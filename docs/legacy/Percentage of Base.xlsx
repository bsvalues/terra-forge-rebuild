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nboxes\Chris\PACS\"/>
    </mc:Choice>
  </mc:AlternateContent>
  <bookViews>
    <workbookView xWindow="0" yWindow="0" windowWidth="15405" windowHeight="12360"/>
  </bookViews>
  <sheets>
    <sheet name="Percentages" sheetId="10" r:id="rId1"/>
    <sheet name="Worksheet" sheetId="1" r:id="rId2"/>
    <sheet name="Template" sheetId="9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0" l="1"/>
  <c r="C15" i="10"/>
  <c r="D14" i="10"/>
  <c r="C14" i="10"/>
  <c r="D13" i="10"/>
  <c r="D1187" i="1" l="1"/>
  <c r="BC1186" i="1"/>
  <c r="AY1186" i="1"/>
  <c r="AU1186" i="1"/>
  <c r="AQ1186" i="1"/>
  <c r="AM1186" i="1"/>
  <c r="AN1186" i="1" s="1"/>
  <c r="AI1186" i="1"/>
  <c r="AE1186" i="1"/>
  <c r="AA1186" i="1"/>
  <c r="W1186" i="1"/>
  <c r="X1186" i="1" s="1"/>
  <c r="S1186" i="1"/>
  <c r="T1186" i="1" s="1"/>
  <c r="O1186" i="1"/>
  <c r="P1186" i="1" s="1"/>
  <c r="K1186" i="1"/>
  <c r="G1186" i="1"/>
  <c r="H1186" i="1" s="1"/>
  <c r="C1186" i="1"/>
  <c r="BC1185" i="1"/>
  <c r="BD1185" i="1" s="1"/>
  <c r="AY1185" i="1"/>
  <c r="AU1185" i="1"/>
  <c r="AQ1185" i="1"/>
  <c r="AR1185" i="1" s="1"/>
  <c r="AM1185" i="1"/>
  <c r="AI1185" i="1"/>
  <c r="AE1185" i="1"/>
  <c r="AA1185" i="1"/>
  <c r="AB1185" i="1" s="1"/>
  <c r="W1185" i="1"/>
  <c r="X1185" i="1" s="1"/>
  <c r="S1185" i="1"/>
  <c r="O1185" i="1"/>
  <c r="K1185" i="1"/>
  <c r="G1185" i="1"/>
  <c r="H1185" i="1" s="1"/>
  <c r="C1185" i="1"/>
  <c r="BC1184" i="1"/>
  <c r="AY1184" i="1"/>
  <c r="AU1184" i="1"/>
  <c r="AV1184" i="1" s="1"/>
  <c r="AQ1184" i="1"/>
  <c r="AM1184" i="1"/>
  <c r="AI1184" i="1"/>
  <c r="AE1184" i="1"/>
  <c r="AA1184" i="1"/>
  <c r="W1184" i="1"/>
  <c r="S1184" i="1"/>
  <c r="O1184" i="1"/>
  <c r="K1184" i="1"/>
  <c r="G1184" i="1"/>
  <c r="C1184" i="1"/>
  <c r="BD1184" i="1" s="1"/>
  <c r="BC1183" i="1"/>
  <c r="AY1183" i="1"/>
  <c r="AU1183" i="1"/>
  <c r="AQ1183" i="1"/>
  <c r="AM1183" i="1"/>
  <c r="AN1183" i="1" s="1"/>
  <c r="AI1183" i="1"/>
  <c r="AE1183" i="1"/>
  <c r="AA1183" i="1"/>
  <c r="W1183" i="1"/>
  <c r="S1183" i="1"/>
  <c r="T1183" i="1" s="1"/>
  <c r="O1183" i="1"/>
  <c r="K1183" i="1"/>
  <c r="G1183" i="1"/>
  <c r="C1183" i="1"/>
  <c r="BD1183" i="1" s="1"/>
  <c r="BC1182" i="1"/>
  <c r="AY1182" i="1"/>
  <c r="AU1182" i="1"/>
  <c r="AQ1182" i="1"/>
  <c r="AM1182" i="1"/>
  <c r="AI1182" i="1"/>
  <c r="AE1182" i="1"/>
  <c r="AF1182" i="1" s="1"/>
  <c r="AA1182" i="1"/>
  <c r="W1182" i="1"/>
  <c r="S1182" i="1"/>
  <c r="O1182" i="1"/>
  <c r="K1182" i="1"/>
  <c r="G1182" i="1"/>
  <c r="C1182" i="1"/>
  <c r="AZ1182" i="1" s="1"/>
  <c r="BC1181" i="1"/>
  <c r="BD1181" i="1" s="1"/>
  <c r="AY1181" i="1"/>
  <c r="AU1181" i="1"/>
  <c r="AQ1181" i="1"/>
  <c r="AM1181" i="1"/>
  <c r="AN1181" i="1" s="1"/>
  <c r="AI1181" i="1"/>
  <c r="AE1181" i="1"/>
  <c r="AA1181" i="1"/>
  <c r="W1181" i="1"/>
  <c r="S1181" i="1"/>
  <c r="O1181" i="1"/>
  <c r="P1181" i="1" s="1"/>
  <c r="K1181" i="1"/>
  <c r="G1181" i="1"/>
  <c r="C1181" i="1"/>
  <c r="AF1181" i="1" s="1"/>
  <c r="BC1180" i="1"/>
  <c r="BD1180" i="1" s="1"/>
  <c r="BD1187" i="1" s="1"/>
  <c r="AY1180" i="1"/>
  <c r="AZ1180" i="1" s="1"/>
  <c r="AZ1187" i="1" s="1"/>
  <c r="AU1180" i="1"/>
  <c r="AU1187" i="1" s="1"/>
  <c r="AQ1180" i="1"/>
  <c r="AR1180" i="1" s="1"/>
  <c r="AN1180" i="1"/>
  <c r="AN1187" i="1" s="1"/>
  <c r="AM1180" i="1"/>
  <c r="AI1180" i="1"/>
  <c r="AJ1180" i="1" s="1"/>
  <c r="AE1180" i="1"/>
  <c r="AA1180" i="1"/>
  <c r="W1180" i="1"/>
  <c r="X1180" i="1" s="1"/>
  <c r="X1187" i="1" s="1"/>
  <c r="S1180" i="1"/>
  <c r="T1180" i="1" s="1"/>
  <c r="T1187" i="1" s="1"/>
  <c r="O1180" i="1"/>
  <c r="P1180" i="1" s="1"/>
  <c r="P1187" i="1" s="1"/>
  <c r="K1180" i="1"/>
  <c r="L1180" i="1" s="1"/>
  <c r="G1180" i="1"/>
  <c r="H1180" i="1" s="1"/>
  <c r="C1180" i="1"/>
  <c r="O1175" i="1"/>
  <c r="D1175" i="1"/>
  <c r="BC1174" i="1"/>
  <c r="AY1174" i="1"/>
  <c r="AZ1174" i="1" s="1"/>
  <c r="AU1174" i="1"/>
  <c r="AQ1174" i="1"/>
  <c r="AM1174" i="1"/>
  <c r="AI1174" i="1"/>
  <c r="AJ1174" i="1" s="1"/>
  <c r="AE1174" i="1"/>
  <c r="AF1174" i="1" s="1"/>
  <c r="AA1174" i="1"/>
  <c r="W1174" i="1"/>
  <c r="X1174" i="1" s="1"/>
  <c r="S1174" i="1"/>
  <c r="O1174" i="1"/>
  <c r="P1174" i="1" s="1"/>
  <c r="K1174" i="1"/>
  <c r="G1174" i="1"/>
  <c r="C1174" i="1"/>
  <c r="BC1173" i="1"/>
  <c r="AY1173" i="1"/>
  <c r="AZ1173" i="1" s="1"/>
  <c r="AU1173" i="1"/>
  <c r="AV1173" i="1" s="1"/>
  <c r="AQ1173" i="1"/>
  <c r="AM1173" i="1"/>
  <c r="AI1173" i="1"/>
  <c r="AE1173" i="1"/>
  <c r="AF1173" i="1" s="1"/>
  <c r="AA1173" i="1"/>
  <c r="W1173" i="1"/>
  <c r="S1173" i="1"/>
  <c r="O1173" i="1"/>
  <c r="K1173" i="1"/>
  <c r="G1173" i="1"/>
  <c r="C1173" i="1"/>
  <c r="BC1172" i="1"/>
  <c r="BD1172" i="1" s="1"/>
  <c r="AY1172" i="1"/>
  <c r="AU1172" i="1"/>
  <c r="AV1172" i="1" s="1"/>
  <c r="AQ1172" i="1"/>
  <c r="AR1172" i="1" s="1"/>
  <c r="AM1172" i="1"/>
  <c r="AN1172" i="1" s="1"/>
  <c r="AI1172" i="1"/>
  <c r="AE1172" i="1"/>
  <c r="AA1172" i="1"/>
  <c r="AB1172" i="1" s="1"/>
  <c r="W1172" i="1"/>
  <c r="X1172" i="1" s="1"/>
  <c r="S1172" i="1"/>
  <c r="T1172" i="1" s="1"/>
  <c r="P1172" i="1"/>
  <c r="O1172" i="1"/>
  <c r="K1172" i="1"/>
  <c r="L1172" i="1" s="1"/>
  <c r="H1172" i="1"/>
  <c r="G1172" i="1"/>
  <c r="C1172" i="1"/>
  <c r="BC1171" i="1"/>
  <c r="AY1171" i="1"/>
  <c r="AZ1171" i="1" s="1"/>
  <c r="AU1171" i="1"/>
  <c r="AQ1171" i="1"/>
  <c r="AM1171" i="1"/>
  <c r="AN1171" i="1" s="1"/>
  <c r="AI1171" i="1"/>
  <c r="AE1171" i="1"/>
  <c r="AA1171" i="1"/>
  <c r="W1171" i="1"/>
  <c r="X1171" i="1" s="1"/>
  <c r="S1171" i="1"/>
  <c r="T1171" i="1" s="1"/>
  <c r="O1171" i="1"/>
  <c r="K1171" i="1"/>
  <c r="G1171" i="1"/>
  <c r="C1171" i="1"/>
  <c r="BC1170" i="1"/>
  <c r="BD1170" i="1" s="1"/>
  <c r="AY1170" i="1"/>
  <c r="AU1170" i="1"/>
  <c r="AQ1170" i="1"/>
  <c r="AM1170" i="1"/>
  <c r="AI1170" i="1"/>
  <c r="AE1170" i="1"/>
  <c r="AA1170" i="1"/>
  <c r="W1170" i="1"/>
  <c r="S1170" i="1"/>
  <c r="O1170" i="1"/>
  <c r="K1170" i="1"/>
  <c r="G1170" i="1"/>
  <c r="C1170" i="1"/>
  <c r="AB1170" i="1" s="1"/>
  <c r="BC1169" i="1"/>
  <c r="AY1169" i="1"/>
  <c r="AU1169" i="1"/>
  <c r="AQ1169" i="1"/>
  <c r="AM1169" i="1"/>
  <c r="AI1169" i="1"/>
  <c r="AE1169" i="1"/>
  <c r="AF1169" i="1" s="1"/>
  <c r="AA1169" i="1"/>
  <c r="W1169" i="1"/>
  <c r="S1169" i="1"/>
  <c r="O1169" i="1"/>
  <c r="K1169" i="1"/>
  <c r="G1169" i="1"/>
  <c r="C1169" i="1"/>
  <c r="BC1168" i="1"/>
  <c r="AY1168" i="1"/>
  <c r="AU1168" i="1"/>
  <c r="AU1175" i="1" s="1"/>
  <c r="AQ1168" i="1"/>
  <c r="AM1168" i="1"/>
  <c r="AI1168" i="1"/>
  <c r="AE1168" i="1"/>
  <c r="AF1168" i="1" s="1"/>
  <c r="AA1168" i="1"/>
  <c r="W1168" i="1"/>
  <c r="S1168" i="1"/>
  <c r="P1168" i="1"/>
  <c r="P1175" i="1" s="1"/>
  <c r="O1168" i="1"/>
  <c r="K1168" i="1"/>
  <c r="L1168" i="1" s="1"/>
  <c r="L1175" i="1" s="1"/>
  <c r="G1168" i="1"/>
  <c r="H1168" i="1" s="1"/>
  <c r="H1175" i="1" s="1"/>
  <c r="C1168" i="1"/>
  <c r="D1163" i="1"/>
  <c r="BC1162" i="1"/>
  <c r="AY1162" i="1"/>
  <c r="AZ1162" i="1" s="1"/>
  <c r="AU1162" i="1"/>
  <c r="AQ1162" i="1"/>
  <c r="AM1162" i="1"/>
  <c r="AI1162" i="1"/>
  <c r="AE1162" i="1"/>
  <c r="AF1162" i="1" s="1"/>
  <c r="AA1162" i="1"/>
  <c r="W1162" i="1"/>
  <c r="S1162" i="1"/>
  <c r="T1162" i="1" s="1"/>
  <c r="O1162" i="1"/>
  <c r="P1162" i="1" s="1"/>
  <c r="K1162" i="1"/>
  <c r="G1162" i="1"/>
  <c r="C1162" i="1"/>
  <c r="BC1161" i="1"/>
  <c r="AY1161" i="1"/>
  <c r="AU1161" i="1"/>
  <c r="AV1161" i="1" s="1"/>
  <c r="AQ1161" i="1"/>
  <c r="AM1161" i="1"/>
  <c r="AI1161" i="1"/>
  <c r="AE1161" i="1"/>
  <c r="AF1161" i="1" s="1"/>
  <c r="AA1161" i="1"/>
  <c r="W1161" i="1"/>
  <c r="S1161" i="1"/>
  <c r="O1161" i="1"/>
  <c r="K1161" i="1"/>
  <c r="G1161" i="1"/>
  <c r="H1161" i="1" s="1"/>
  <c r="C1161" i="1"/>
  <c r="BD1161" i="1" s="1"/>
  <c r="BC1160" i="1"/>
  <c r="AY1160" i="1"/>
  <c r="AU1160" i="1"/>
  <c r="AV1160" i="1" s="1"/>
  <c r="AQ1160" i="1"/>
  <c r="AR1160" i="1" s="1"/>
  <c r="AM1160" i="1"/>
  <c r="AI1160" i="1"/>
  <c r="AE1160" i="1"/>
  <c r="AF1160" i="1" s="1"/>
  <c r="AA1160" i="1"/>
  <c r="W1160" i="1"/>
  <c r="S1160" i="1"/>
  <c r="O1160" i="1"/>
  <c r="P1160" i="1" s="1"/>
  <c r="K1160" i="1"/>
  <c r="L1160" i="1" s="1"/>
  <c r="G1160" i="1"/>
  <c r="C1160" i="1"/>
  <c r="AZ1160" i="1" s="1"/>
  <c r="BC1159" i="1"/>
  <c r="AY1159" i="1"/>
  <c r="AZ1159" i="1" s="1"/>
  <c r="AU1159" i="1"/>
  <c r="AQ1159" i="1"/>
  <c r="AM1159" i="1"/>
  <c r="AI1159" i="1"/>
  <c r="AE1159" i="1"/>
  <c r="AA1159" i="1"/>
  <c r="W1159" i="1"/>
  <c r="S1159" i="1"/>
  <c r="T1159" i="1" s="1"/>
  <c r="P1159" i="1"/>
  <c r="O1159" i="1"/>
  <c r="K1159" i="1"/>
  <c r="G1159" i="1"/>
  <c r="C1159" i="1"/>
  <c r="AB1159" i="1" s="1"/>
  <c r="BC1158" i="1"/>
  <c r="AY1158" i="1"/>
  <c r="AU1158" i="1"/>
  <c r="AV1158" i="1" s="1"/>
  <c r="AQ1158" i="1"/>
  <c r="AM1158" i="1"/>
  <c r="AI1158" i="1"/>
  <c r="AE1158" i="1"/>
  <c r="AA1158" i="1"/>
  <c r="AB1158" i="1" s="1"/>
  <c r="W1158" i="1"/>
  <c r="S1158" i="1"/>
  <c r="O1158" i="1"/>
  <c r="P1158" i="1" s="1"/>
  <c r="K1158" i="1"/>
  <c r="G1158" i="1"/>
  <c r="H1158" i="1" s="1"/>
  <c r="C1158" i="1"/>
  <c r="AR1158" i="1" s="1"/>
  <c r="BC1157" i="1"/>
  <c r="AY1157" i="1"/>
  <c r="AU1157" i="1"/>
  <c r="AQ1157" i="1"/>
  <c r="AR1157" i="1" s="1"/>
  <c r="AM1157" i="1"/>
  <c r="AN1157" i="1" s="1"/>
  <c r="AI1157" i="1"/>
  <c r="AE1157" i="1"/>
  <c r="AA1157" i="1"/>
  <c r="W1157" i="1"/>
  <c r="X1157" i="1" s="1"/>
  <c r="S1157" i="1"/>
  <c r="O1157" i="1"/>
  <c r="K1157" i="1"/>
  <c r="L1157" i="1" s="1"/>
  <c r="G1157" i="1"/>
  <c r="H1157" i="1" s="1"/>
  <c r="C1157" i="1"/>
  <c r="BC1156" i="1"/>
  <c r="AY1156" i="1"/>
  <c r="AU1156" i="1"/>
  <c r="AQ1156" i="1"/>
  <c r="AM1156" i="1"/>
  <c r="AI1156" i="1"/>
  <c r="AE1156" i="1"/>
  <c r="AA1156" i="1"/>
  <c r="W1156" i="1"/>
  <c r="S1156" i="1"/>
  <c r="O1156" i="1"/>
  <c r="K1156" i="1"/>
  <c r="G1156" i="1"/>
  <c r="C1156" i="1"/>
  <c r="D1151" i="1"/>
  <c r="BC1150" i="1"/>
  <c r="AY1150" i="1"/>
  <c r="AU1150" i="1"/>
  <c r="AQ1150" i="1"/>
  <c r="AR1150" i="1" s="1"/>
  <c r="AM1150" i="1"/>
  <c r="AN1150" i="1" s="1"/>
  <c r="AI1150" i="1"/>
  <c r="AE1150" i="1"/>
  <c r="AA1150" i="1"/>
  <c r="X1150" i="1"/>
  <c r="W1150" i="1"/>
  <c r="S1150" i="1"/>
  <c r="O1150" i="1"/>
  <c r="K1150" i="1"/>
  <c r="G1150" i="1"/>
  <c r="H1150" i="1" s="1"/>
  <c r="C1150" i="1"/>
  <c r="BC1149" i="1"/>
  <c r="AY1149" i="1"/>
  <c r="AU1149" i="1"/>
  <c r="AQ1149" i="1"/>
  <c r="AM1149" i="1"/>
  <c r="AI1149" i="1"/>
  <c r="AE1149" i="1"/>
  <c r="AF1149" i="1" s="1"/>
  <c r="AA1149" i="1"/>
  <c r="W1149" i="1"/>
  <c r="S1149" i="1"/>
  <c r="O1149" i="1"/>
  <c r="K1149" i="1"/>
  <c r="G1149" i="1"/>
  <c r="C1149" i="1"/>
  <c r="BC1148" i="1"/>
  <c r="AY1148" i="1"/>
  <c r="AU1148" i="1"/>
  <c r="AV1148" i="1" s="1"/>
  <c r="AR1148" i="1"/>
  <c r="AQ1148" i="1"/>
  <c r="AM1148" i="1"/>
  <c r="AI1148" i="1"/>
  <c r="AE1148" i="1"/>
  <c r="AF1148" i="1" s="1"/>
  <c r="AA1148" i="1"/>
  <c r="AB1148" i="1" s="1"/>
  <c r="W1148" i="1"/>
  <c r="S1148" i="1"/>
  <c r="O1148" i="1"/>
  <c r="P1148" i="1" s="1"/>
  <c r="K1148" i="1"/>
  <c r="L1148" i="1" s="1"/>
  <c r="G1148" i="1"/>
  <c r="H1148" i="1" s="1"/>
  <c r="C1148" i="1"/>
  <c r="BD1148" i="1" s="1"/>
  <c r="BC1147" i="1"/>
  <c r="AY1147" i="1"/>
  <c r="AU1147" i="1"/>
  <c r="AQ1147" i="1"/>
  <c r="AM1147" i="1"/>
  <c r="AI1147" i="1"/>
  <c r="AE1147" i="1"/>
  <c r="AA1147" i="1"/>
  <c r="W1147" i="1"/>
  <c r="S1147" i="1"/>
  <c r="O1147" i="1"/>
  <c r="K1147" i="1"/>
  <c r="G1147" i="1"/>
  <c r="C1147" i="1"/>
  <c r="T1147" i="1" s="1"/>
  <c r="BC1146" i="1"/>
  <c r="AY1146" i="1"/>
  <c r="AU1146" i="1"/>
  <c r="AQ1146" i="1"/>
  <c r="AM1146" i="1"/>
  <c r="AI1146" i="1"/>
  <c r="AE1146" i="1"/>
  <c r="AA1146" i="1"/>
  <c r="W1146" i="1"/>
  <c r="S1146" i="1"/>
  <c r="T1146" i="1" s="1"/>
  <c r="O1146" i="1"/>
  <c r="K1146" i="1"/>
  <c r="G1146" i="1"/>
  <c r="H1146" i="1" s="1"/>
  <c r="C1146" i="1"/>
  <c r="BD1146" i="1" s="1"/>
  <c r="BC1145" i="1"/>
  <c r="AY1145" i="1"/>
  <c r="AU1145" i="1"/>
  <c r="AQ1145" i="1"/>
  <c r="AM1145" i="1"/>
  <c r="AI1145" i="1"/>
  <c r="AE1145" i="1"/>
  <c r="AF1145" i="1" s="1"/>
  <c r="AA1145" i="1"/>
  <c r="W1145" i="1"/>
  <c r="S1145" i="1"/>
  <c r="O1145" i="1"/>
  <c r="K1145" i="1"/>
  <c r="G1145" i="1"/>
  <c r="C1145" i="1"/>
  <c r="BC1144" i="1"/>
  <c r="BD1144" i="1" s="1"/>
  <c r="BD1151" i="1" s="1"/>
  <c r="AY1144" i="1"/>
  <c r="AU1144" i="1"/>
  <c r="AU1151" i="1" s="1"/>
  <c r="AQ1144" i="1"/>
  <c r="AM1144" i="1"/>
  <c r="AJ1144" i="1"/>
  <c r="AJ1151" i="1" s="1"/>
  <c r="AI1144" i="1"/>
  <c r="AE1144" i="1"/>
  <c r="AA1144" i="1"/>
  <c r="AB1144" i="1" s="1"/>
  <c r="AB1151" i="1" s="1"/>
  <c r="W1144" i="1"/>
  <c r="S1144" i="1"/>
  <c r="T1144" i="1" s="1"/>
  <c r="T1151" i="1" s="1"/>
  <c r="O1144" i="1"/>
  <c r="O1151" i="1" s="1"/>
  <c r="K1144" i="1"/>
  <c r="L1144" i="1" s="1"/>
  <c r="L1151" i="1" s="1"/>
  <c r="G1144" i="1"/>
  <c r="C1144" i="1"/>
  <c r="AF1144" i="1" s="1"/>
  <c r="D1139" i="1"/>
  <c r="BC1138" i="1"/>
  <c r="AY1138" i="1"/>
  <c r="AV1138" i="1"/>
  <c r="AU1138" i="1"/>
  <c r="AQ1138" i="1"/>
  <c r="AR1138" i="1" s="1"/>
  <c r="AM1138" i="1"/>
  <c r="AI1138" i="1"/>
  <c r="AE1138" i="1"/>
  <c r="AB1138" i="1"/>
  <c r="AA1138" i="1"/>
  <c r="W1138" i="1"/>
  <c r="S1138" i="1"/>
  <c r="O1138" i="1"/>
  <c r="K1138" i="1"/>
  <c r="G1138" i="1"/>
  <c r="C1138" i="1"/>
  <c r="BC1137" i="1"/>
  <c r="AY1137" i="1"/>
  <c r="AU1137" i="1"/>
  <c r="AQ1137" i="1"/>
  <c r="AM1137" i="1"/>
  <c r="AI1137" i="1"/>
  <c r="AE1137" i="1"/>
  <c r="AA1137" i="1"/>
  <c r="AB1137" i="1" s="1"/>
  <c r="W1137" i="1"/>
  <c r="S1137" i="1"/>
  <c r="O1137" i="1"/>
  <c r="K1137" i="1"/>
  <c r="G1137" i="1"/>
  <c r="C1137" i="1"/>
  <c r="AR1137" i="1" s="1"/>
  <c r="BC1136" i="1"/>
  <c r="AY1136" i="1"/>
  <c r="AU1136" i="1"/>
  <c r="AQ1136" i="1"/>
  <c r="AM1136" i="1"/>
  <c r="AI1136" i="1"/>
  <c r="AE1136" i="1"/>
  <c r="AA1136" i="1"/>
  <c r="W1136" i="1"/>
  <c r="S1136" i="1"/>
  <c r="O1136" i="1"/>
  <c r="K1136" i="1"/>
  <c r="G1136" i="1"/>
  <c r="C1136" i="1"/>
  <c r="AF1136" i="1" s="1"/>
  <c r="BC1135" i="1"/>
  <c r="AY1135" i="1"/>
  <c r="AU1135" i="1"/>
  <c r="AQ1135" i="1"/>
  <c r="AM1135" i="1"/>
  <c r="AN1135" i="1" s="1"/>
  <c r="AI1135" i="1"/>
  <c r="AE1135" i="1"/>
  <c r="AA1135" i="1"/>
  <c r="W1135" i="1"/>
  <c r="S1135" i="1"/>
  <c r="O1135" i="1"/>
  <c r="K1135" i="1"/>
  <c r="G1135" i="1"/>
  <c r="C1135" i="1"/>
  <c r="BC1134" i="1"/>
  <c r="BD1134" i="1" s="1"/>
  <c r="AY1134" i="1"/>
  <c r="AU1134" i="1"/>
  <c r="AQ1134" i="1"/>
  <c r="AM1134" i="1"/>
  <c r="AN1134" i="1" s="1"/>
  <c r="AI1134" i="1"/>
  <c r="AE1134" i="1"/>
  <c r="AA1134" i="1"/>
  <c r="W1134" i="1"/>
  <c r="X1134" i="1" s="1"/>
  <c r="S1134" i="1"/>
  <c r="O1134" i="1"/>
  <c r="K1134" i="1"/>
  <c r="G1134" i="1"/>
  <c r="C1134" i="1"/>
  <c r="BC1133" i="1"/>
  <c r="BD1133" i="1" s="1"/>
  <c r="AZ1133" i="1"/>
  <c r="AY1133" i="1"/>
  <c r="AU1133" i="1"/>
  <c r="AQ1133" i="1"/>
  <c r="AM1133" i="1"/>
  <c r="AI1133" i="1"/>
  <c r="AE1133" i="1"/>
  <c r="AB1133" i="1"/>
  <c r="AA1133" i="1"/>
  <c r="W1133" i="1"/>
  <c r="S1133" i="1"/>
  <c r="O1133" i="1"/>
  <c r="K1133" i="1"/>
  <c r="G1133" i="1"/>
  <c r="C1133" i="1"/>
  <c r="AR1133" i="1" s="1"/>
  <c r="BC1132" i="1"/>
  <c r="AY1132" i="1"/>
  <c r="AU1132" i="1"/>
  <c r="AU1139" i="1" s="1"/>
  <c r="AQ1132" i="1"/>
  <c r="AM1132" i="1"/>
  <c r="AI1132" i="1"/>
  <c r="AE1132" i="1"/>
  <c r="AA1132" i="1"/>
  <c r="W1132" i="1"/>
  <c r="S1132" i="1"/>
  <c r="T1132" i="1" s="1"/>
  <c r="T1139" i="1" s="1"/>
  <c r="O1132" i="1"/>
  <c r="K1132" i="1"/>
  <c r="G1132" i="1"/>
  <c r="C1132" i="1"/>
  <c r="AF1135" i="1" l="1"/>
  <c r="AJ1170" i="1"/>
  <c r="H1135" i="1"/>
  <c r="H1136" i="1"/>
  <c r="AJ1149" i="1"/>
  <c r="AZ1156" i="1"/>
  <c r="AZ1163" i="1" s="1"/>
  <c r="C1163" i="1"/>
  <c r="L1135" i="1"/>
  <c r="H1149" i="1"/>
  <c r="H1156" i="1"/>
  <c r="H1163" i="1" s="1"/>
  <c r="AE1187" i="1"/>
  <c r="AF1180" i="1"/>
  <c r="AF1132" i="1"/>
  <c r="AJ1133" i="1"/>
  <c r="T1157" i="1"/>
  <c r="AZ1185" i="1"/>
  <c r="AN1185" i="1"/>
  <c r="AN1173" i="1"/>
  <c r="P1173" i="1"/>
  <c r="AR1132" i="1"/>
  <c r="AR1139" i="1" s="1"/>
  <c r="T1133" i="1"/>
  <c r="BD1136" i="1"/>
  <c r="AZ1138" i="1"/>
  <c r="AF1138" i="1"/>
  <c r="AZ1145" i="1"/>
  <c r="AR1145" i="1"/>
  <c r="AB1150" i="1"/>
  <c r="BD1150" i="1"/>
  <c r="BD1156" i="1"/>
  <c r="AF1157" i="1"/>
  <c r="AF1158" i="1"/>
  <c r="AZ1169" i="1"/>
  <c r="BD1135" i="1"/>
  <c r="P1135" i="1"/>
  <c r="AN1136" i="1"/>
  <c r="P1136" i="1"/>
  <c r="T1135" i="1"/>
  <c r="AR1135" i="1"/>
  <c r="AV1136" i="1"/>
  <c r="AJ1146" i="1"/>
  <c r="T1170" i="1"/>
  <c r="AF1184" i="1"/>
  <c r="X1135" i="1"/>
  <c r="AV1135" i="1"/>
  <c r="AZ1136" i="1"/>
  <c r="AZ1149" i="1"/>
  <c r="AB1135" i="1"/>
  <c r="L1150" i="1"/>
  <c r="AF1150" i="1"/>
  <c r="BD1157" i="1"/>
  <c r="P1157" i="1"/>
  <c r="AB1157" i="1"/>
  <c r="H1173" i="1"/>
  <c r="BD1173" i="1"/>
  <c r="H1183" i="1"/>
  <c r="AJ1184" i="1"/>
  <c r="AF1185" i="1"/>
  <c r="AJ1132" i="1"/>
  <c r="AJ1139" i="1" s="1"/>
  <c r="L1133" i="1"/>
  <c r="L1136" i="1"/>
  <c r="AJ1136" i="1"/>
  <c r="H1138" i="1"/>
  <c r="BD1138" i="1"/>
  <c r="AN1144" i="1"/>
  <c r="AN1151" i="1" s="1"/>
  <c r="H1145" i="1"/>
  <c r="AN1145" i="1"/>
  <c r="AN1149" i="1"/>
  <c r="AV1150" i="1"/>
  <c r="AJ1156" i="1"/>
  <c r="AJ1163" i="1" s="1"/>
  <c r="AZ1158" i="1"/>
  <c r="X1160" i="1"/>
  <c r="X1161" i="1"/>
  <c r="AJ1169" i="1"/>
  <c r="L1173" i="1"/>
  <c r="AJ1173" i="1"/>
  <c r="H1182" i="1"/>
  <c r="AN1182" i="1"/>
  <c r="L1184" i="1"/>
  <c r="O1187" i="1"/>
  <c r="L1132" i="1"/>
  <c r="L1139" i="1" s="1"/>
  <c r="P1133" i="1"/>
  <c r="AJ1134" i="1"/>
  <c r="L1138" i="1"/>
  <c r="L1145" i="1"/>
  <c r="AN1146" i="1"/>
  <c r="AZ1150" i="1"/>
  <c r="AN1156" i="1"/>
  <c r="AN1163" i="1" s="1"/>
  <c r="L1158" i="1"/>
  <c r="BD1158" i="1"/>
  <c r="BD1159" i="1"/>
  <c r="AB1160" i="1"/>
  <c r="BD1160" i="1"/>
  <c r="AB1161" i="1"/>
  <c r="L1169" i="1"/>
  <c r="H1171" i="1"/>
  <c r="H1174" i="1"/>
  <c r="BD1174" i="1"/>
  <c r="H1181" i="1"/>
  <c r="AJ1181" i="1"/>
  <c r="L1182" i="1"/>
  <c r="P1184" i="1"/>
  <c r="AR1184" i="1"/>
  <c r="L1185" i="1"/>
  <c r="AJ1186" i="1"/>
  <c r="P1182" i="1"/>
  <c r="AR1183" i="1"/>
  <c r="T1136" i="1"/>
  <c r="AV1145" i="1"/>
  <c r="T1149" i="1"/>
  <c r="AJ1150" i="1"/>
  <c r="P1156" i="1"/>
  <c r="P1163" i="1" s="1"/>
  <c r="AZ1157" i="1"/>
  <c r="AN1158" i="1"/>
  <c r="AJ1159" i="1"/>
  <c r="AR1170" i="1"/>
  <c r="T1173" i="1"/>
  <c r="AR1173" i="1"/>
  <c r="AZ1132" i="1"/>
  <c r="AZ1139" i="1" s="1"/>
  <c r="AV1133" i="1"/>
  <c r="X1136" i="1"/>
  <c r="X1138" i="1"/>
  <c r="AV1144" i="1"/>
  <c r="AV1151" i="1" s="1"/>
  <c r="X1145" i="1"/>
  <c r="X1146" i="1"/>
  <c r="T1150" i="1"/>
  <c r="T1156" i="1"/>
  <c r="T1163" i="1" s="1"/>
  <c r="T1158" i="1"/>
  <c r="AN1159" i="1"/>
  <c r="AJ1162" i="1"/>
  <c r="X1168" i="1"/>
  <c r="X1175" i="1" s="1"/>
  <c r="AV1168" i="1"/>
  <c r="AV1175" i="1" s="1"/>
  <c r="AF1172" i="1"/>
  <c r="X1173" i="1"/>
  <c r="AN1174" i="1"/>
  <c r="X1182" i="1"/>
  <c r="X1183" i="1"/>
  <c r="AB1184" i="1"/>
  <c r="AZ1184" i="1"/>
  <c r="AV1186" i="1"/>
  <c r="P1138" i="1"/>
  <c r="AN1138" i="1"/>
  <c r="AR1144" i="1"/>
  <c r="AR1151" i="1" s="1"/>
  <c r="P1145" i="1"/>
  <c r="P1149" i="1"/>
  <c r="AV1157" i="1"/>
  <c r="AJ1158" i="1"/>
  <c r="P1169" i="1"/>
  <c r="AR1182" i="1"/>
  <c r="T1184" i="1"/>
  <c r="P1185" i="1"/>
  <c r="AZ1135" i="1"/>
  <c r="AR1136" i="1"/>
  <c r="H1144" i="1"/>
  <c r="H1151" i="1" s="1"/>
  <c r="P1150" i="1"/>
  <c r="H1160" i="1"/>
  <c r="T1169" i="1"/>
  <c r="AZ1172" i="1"/>
  <c r="AV1182" i="1"/>
  <c r="T1134" i="1"/>
  <c r="AJ1135" i="1"/>
  <c r="AB1136" i="1"/>
  <c r="AZ1144" i="1"/>
  <c r="AZ1151" i="1" s="1"/>
  <c r="AB1145" i="1"/>
  <c r="BD1145" i="1"/>
  <c r="AB1147" i="1"/>
  <c r="BD1149" i="1"/>
  <c r="AJ1157" i="1"/>
  <c r="X1158" i="1"/>
  <c r="AN1160" i="1"/>
  <c r="L1161" i="1"/>
  <c r="L1162" i="1"/>
  <c r="AB1168" i="1"/>
  <c r="AJ1172" i="1"/>
  <c r="AB1173" i="1"/>
  <c r="T1174" i="1"/>
  <c r="C1187" i="1"/>
  <c r="AB1180" i="1"/>
  <c r="AB1187" i="1" s="1"/>
  <c r="AV1180" i="1"/>
  <c r="AV1187" i="1" s="1"/>
  <c r="T1181" i="1"/>
  <c r="AZ1181" i="1"/>
  <c r="AB1182" i="1"/>
  <c r="BD1182" i="1"/>
  <c r="AV1185" i="1"/>
  <c r="AZ1186" i="1"/>
  <c r="AR1147" i="1"/>
  <c r="O1139" i="1"/>
  <c r="P1132" i="1"/>
  <c r="P1139" i="1" s="1"/>
  <c r="AV1147" i="1"/>
  <c r="AE1163" i="1"/>
  <c r="AF1156" i="1"/>
  <c r="T1137" i="1"/>
  <c r="AZ1147" i="1"/>
  <c r="X1137" i="1"/>
  <c r="AE1139" i="1"/>
  <c r="AV1146" i="1"/>
  <c r="AZ1146" i="1"/>
  <c r="P1146" i="1"/>
  <c r="AF1146" i="1"/>
  <c r="AF1151" i="1" s="1"/>
  <c r="BD1147" i="1"/>
  <c r="AN1147" i="1"/>
  <c r="X1147" i="1"/>
  <c r="H1147" i="1"/>
  <c r="AJ1147" i="1"/>
  <c r="P1147" i="1"/>
  <c r="AZ1137" i="1"/>
  <c r="P1137" i="1"/>
  <c r="L1137" i="1"/>
  <c r="AF1137" i="1"/>
  <c r="AV1137" i="1"/>
  <c r="AJ1137" i="1"/>
  <c r="AE1151" i="1"/>
  <c r="AF1147" i="1"/>
  <c r="H1137" i="1"/>
  <c r="AR1171" i="1"/>
  <c r="AB1171" i="1"/>
  <c r="L1171" i="1"/>
  <c r="BD1137" i="1"/>
  <c r="AN1148" i="1"/>
  <c r="AR1149" i="1"/>
  <c r="AB1149" i="1"/>
  <c r="L1149" i="1"/>
  <c r="X1149" i="1"/>
  <c r="AV1149" i="1"/>
  <c r="AR1156" i="1"/>
  <c r="AR1163" i="1" s="1"/>
  <c r="AB1156" i="1"/>
  <c r="L1156" i="1"/>
  <c r="L1163" i="1" s="1"/>
  <c r="X1156" i="1"/>
  <c r="X1163" i="1" s="1"/>
  <c r="AU1163" i="1"/>
  <c r="AV1156" i="1"/>
  <c r="AV1163" i="1" s="1"/>
  <c r="L1159" i="1"/>
  <c r="AV1159" i="1"/>
  <c r="AN1161" i="1"/>
  <c r="BD1162" i="1"/>
  <c r="AN1162" i="1"/>
  <c r="X1162" i="1"/>
  <c r="H1162" i="1"/>
  <c r="AB1162" i="1"/>
  <c r="AV1162" i="1"/>
  <c r="O1163" i="1"/>
  <c r="C1175" i="1"/>
  <c r="AN1168" i="1"/>
  <c r="AN1175" i="1" s="1"/>
  <c r="BD1169" i="1"/>
  <c r="AN1169" i="1"/>
  <c r="X1169" i="1"/>
  <c r="H1169" i="1"/>
  <c r="AB1169" i="1"/>
  <c r="AB1175" i="1" s="1"/>
  <c r="AV1169" i="1"/>
  <c r="L1170" i="1"/>
  <c r="AF1170" i="1"/>
  <c r="P1171" i="1"/>
  <c r="AJ1171" i="1"/>
  <c r="BD1171" i="1"/>
  <c r="AJ1183" i="1"/>
  <c r="BD1132" i="1"/>
  <c r="BD1139" i="1" s="1"/>
  <c r="AN1132" i="1"/>
  <c r="AN1139" i="1" s="1"/>
  <c r="X1132" i="1"/>
  <c r="X1139" i="1" s="1"/>
  <c r="H1132" i="1"/>
  <c r="H1139" i="1" s="1"/>
  <c r="AB1132" i="1"/>
  <c r="AB1139" i="1" s="1"/>
  <c r="AV1132" i="1"/>
  <c r="AV1139" i="1" s="1"/>
  <c r="AF1133" i="1"/>
  <c r="P1134" i="1"/>
  <c r="AN1137" i="1"/>
  <c r="C1151" i="1"/>
  <c r="X1144" i="1"/>
  <c r="X1151" i="1" s="1"/>
  <c r="X1148" i="1"/>
  <c r="AF1159" i="1"/>
  <c r="AR1161" i="1"/>
  <c r="AR1168" i="1"/>
  <c r="AR1175" i="1" s="1"/>
  <c r="AE1175" i="1"/>
  <c r="P1170" i="1"/>
  <c r="AZ1170" i="1"/>
  <c r="AV1171" i="1"/>
  <c r="AV1183" i="1"/>
  <c r="AF1183" i="1"/>
  <c r="AF1187" i="1" s="1"/>
  <c r="P1183" i="1"/>
  <c r="AR1134" i="1"/>
  <c r="AB1134" i="1"/>
  <c r="L1134" i="1"/>
  <c r="C1139" i="1"/>
  <c r="AZ1148" i="1"/>
  <c r="X1159" i="1"/>
  <c r="P1161" i="1"/>
  <c r="AZ1161" i="1"/>
  <c r="AZ1168" i="1"/>
  <c r="AZ1175" i="1" s="1"/>
  <c r="X1170" i="1"/>
  <c r="AB1183" i="1"/>
  <c r="X1133" i="1"/>
  <c r="P1144" i="1"/>
  <c r="P1151" i="1" s="1"/>
  <c r="AB1146" i="1"/>
  <c r="L1147" i="1"/>
  <c r="AJ1148" i="1"/>
  <c r="H1159" i="1"/>
  <c r="AR1159" i="1"/>
  <c r="AJ1161" i="1"/>
  <c r="AR1162" i="1"/>
  <c r="AJ1168" i="1"/>
  <c r="AJ1175" i="1" s="1"/>
  <c r="AR1169" i="1"/>
  <c r="H1170" i="1"/>
  <c r="AF1171" i="1"/>
  <c r="AR1174" i="1"/>
  <c r="AB1174" i="1"/>
  <c r="L1174" i="1"/>
  <c r="AV1174" i="1"/>
  <c r="X1181" i="1"/>
  <c r="AZ1183" i="1"/>
  <c r="AN1170" i="1"/>
  <c r="AN1133" i="1"/>
  <c r="AV1134" i="1"/>
  <c r="AR1146" i="1"/>
  <c r="H1133" i="1"/>
  <c r="H1134" i="1"/>
  <c r="AF1134" i="1"/>
  <c r="AZ1134" i="1"/>
  <c r="L1146" i="1"/>
  <c r="T1148" i="1"/>
  <c r="T1161" i="1"/>
  <c r="T1168" i="1"/>
  <c r="T1175" i="1" s="1"/>
  <c r="BD1168" i="1"/>
  <c r="BD1175" i="1" s="1"/>
  <c r="AV1170" i="1"/>
  <c r="AR1181" i="1"/>
  <c r="AB1181" i="1"/>
  <c r="L1181" i="1"/>
  <c r="AV1181" i="1"/>
  <c r="L1183" i="1"/>
  <c r="AR1186" i="1"/>
  <c r="AB1186" i="1"/>
  <c r="L1186" i="1"/>
  <c r="AF1186" i="1"/>
  <c r="BD1186" i="1"/>
  <c r="T1185" i="1"/>
  <c r="AJ1185" i="1"/>
  <c r="T1138" i="1"/>
  <c r="AJ1138" i="1"/>
  <c r="T1145" i="1"/>
  <c r="AJ1145" i="1"/>
  <c r="T1160" i="1"/>
  <c r="AJ1160" i="1"/>
  <c r="T1182" i="1"/>
  <c r="AJ1182" i="1"/>
  <c r="H1184" i="1"/>
  <c r="X1184" i="1"/>
  <c r="AN1184" i="1"/>
  <c r="D1127" i="1"/>
  <c r="BC1126" i="1"/>
  <c r="AY1126" i="1"/>
  <c r="AU1126" i="1"/>
  <c r="AV1126" i="1" s="1"/>
  <c r="AQ1126" i="1"/>
  <c r="AR1126" i="1" s="1"/>
  <c r="AM1126" i="1"/>
  <c r="AN1126" i="1" s="1"/>
  <c r="AI1126" i="1"/>
  <c r="AE1126" i="1"/>
  <c r="AA1126" i="1"/>
  <c r="AB1126" i="1" s="1"/>
  <c r="W1126" i="1"/>
  <c r="S1126" i="1"/>
  <c r="O1126" i="1"/>
  <c r="P1126" i="1" s="1"/>
  <c r="K1126" i="1"/>
  <c r="L1126" i="1" s="1"/>
  <c r="G1126" i="1"/>
  <c r="H1126" i="1" s="1"/>
  <c r="C1126" i="1"/>
  <c r="BC1125" i="1"/>
  <c r="AY1125" i="1"/>
  <c r="AU1125" i="1"/>
  <c r="AQ1125" i="1"/>
  <c r="AM1125" i="1"/>
  <c r="AI1125" i="1"/>
  <c r="AE1125" i="1"/>
  <c r="AA1125" i="1"/>
  <c r="W1125" i="1"/>
  <c r="S1125" i="1"/>
  <c r="O1125" i="1"/>
  <c r="K1125" i="1"/>
  <c r="G1125" i="1"/>
  <c r="C1125" i="1"/>
  <c r="BC1124" i="1"/>
  <c r="BD1124" i="1" s="1"/>
  <c r="AY1124" i="1"/>
  <c r="AU1124" i="1"/>
  <c r="AQ1124" i="1"/>
  <c r="AM1124" i="1"/>
  <c r="AI1124" i="1"/>
  <c r="AE1124" i="1"/>
  <c r="AF1124" i="1" s="1"/>
  <c r="AA1124" i="1"/>
  <c r="AB1124" i="1" s="1"/>
  <c r="W1124" i="1"/>
  <c r="X1124" i="1" s="1"/>
  <c r="S1124" i="1"/>
  <c r="O1124" i="1"/>
  <c r="K1124" i="1"/>
  <c r="G1124" i="1"/>
  <c r="C1124" i="1"/>
  <c r="BC1123" i="1"/>
  <c r="AY1123" i="1"/>
  <c r="AV1123" i="1"/>
  <c r="AU1123" i="1"/>
  <c r="AQ1123" i="1"/>
  <c r="AM1123" i="1"/>
  <c r="AI1123" i="1"/>
  <c r="AE1123" i="1"/>
  <c r="AA1123" i="1"/>
  <c r="W1123" i="1"/>
  <c r="S1123" i="1"/>
  <c r="O1123" i="1"/>
  <c r="K1123" i="1"/>
  <c r="G1123" i="1"/>
  <c r="C1123" i="1"/>
  <c r="BC1122" i="1"/>
  <c r="BD1122" i="1" s="1"/>
  <c r="AY1122" i="1"/>
  <c r="AU1122" i="1"/>
  <c r="AQ1122" i="1"/>
  <c r="AM1122" i="1"/>
  <c r="AI1122" i="1"/>
  <c r="AE1122" i="1"/>
  <c r="AF1122" i="1" s="1"/>
  <c r="AA1122" i="1"/>
  <c r="AB1122" i="1" s="1"/>
  <c r="W1122" i="1"/>
  <c r="X1122" i="1" s="1"/>
  <c r="S1122" i="1"/>
  <c r="O1122" i="1"/>
  <c r="K1122" i="1"/>
  <c r="G1122" i="1"/>
  <c r="C1122" i="1"/>
  <c r="BC1121" i="1"/>
  <c r="AY1121" i="1"/>
  <c r="AU1121" i="1"/>
  <c r="AQ1121" i="1"/>
  <c r="AM1121" i="1"/>
  <c r="AI1121" i="1"/>
  <c r="AE1121" i="1"/>
  <c r="AA1121" i="1"/>
  <c r="W1121" i="1"/>
  <c r="S1121" i="1"/>
  <c r="O1121" i="1"/>
  <c r="K1121" i="1"/>
  <c r="G1121" i="1"/>
  <c r="C1121" i="1"/>
  <c r="BD1121" i="1" s="1"/>
  <c r="BC1120" i="1"/>
  <c r="AY1120" i="1"/>
  <c r="AU1120" i="1"/>
  <c r="AU1127" i="1" s="1"/>
  <c r="AQ1120" i="1"/>
  <c r="AM1120" i="1"/>
  <c r="AI1120" i="1"/>
  <c r="AE1120" i="1"/>
  <c r="AA1120" i="1"/>
  <c r="W1120" i="1"/>
  <c r="S1120" i="1"/>
  <c r="O1120" i="1"/>
  <c r="O1127" i="1" s="1"/>
  <c r="K1120" i="1"/>
  <c r="G1120" i="1"/>
  <c r="C1120" i="1"/>
  <c r="AU1115" i="1"/>
  <c r="AE1115" i="1"/>
  <c r="D1115" i="1"/>
  <c r="BC1114" i="1"/>
  <c r="AY1114" i="1"/>
  <c r="AZ1114" i="1" s="1"/>
  <c r="AU1114" i="1"/>
  <c r="AQ1114" i="1"/>
  <c r="AM1114" i="1"/>
  <c r="AN1114" i="1" s="1"/>
  <c r="AI1114" i="1"/>
  <c r="AJ1114" i="1" s="1"/>
  <c r="AE1114" i="1"/>
  <c r="AA1114" i="1"/>
  <c r="W1114" i="1"/>
  <c r="S1114" i="1"/>
  <c r="T1114" i="1" s="1"/>
  <c r="O1114" i="1"/>
  <c r="K1114" i="1"/>
  <c r="L1114" i="1" s="1"/>
  <c r="G1114" i="1"/>
  <c r="H1114" i="1" s="1"/>
  <c r="C1114" i="1"/>
  <c r="AB1114" i="1" s="1"/>
  <c r="BC1113" i="1"/>
  <c r="AY1113" i="1"/>
  <c r="AU1113" i="1"/>
  <c r="AQ1113" i="1"/>
  <c r="AM1113" i="1"/>
  <c r="AI1113" i="1"/>
  <c r="AE1113" i="1"/>
  <c r="AF1113" i="1" s="1"/>
  <c r="AA1113" i="1"/>
  <c r="W1113" i="1"/>
  <c r="S1113" i="1"/>
  <c r="O1113" i="1"/>
  <c r="K1113" i="1"/>
  <c r="G1113" i="1"/>
  <c r="C1113" i="1"/>
  <c r="AR1113" i="1" s="1"/>
  <c r="BC1112" i="1"/>
  <c r="AY1112" i="1"/>
  <c r="AU1112" i="1"/>
  <c r="AQ1112" i="1"/>
  <c r="AM1112" i="1"/>
  <c r="AI1112" i="1"/>
  <c r="AE1112" i="1"/>
  <c r="AA1112" i="1"/>
  <c r="W1112" i="1"/>
  <c r="S1112" i="1"/>
  <c r="O1112" i="1"/>
  <c r="K1112" i="1"/>
  <c r="G1112" i="1"/>
  <c r="C1112" i="1"/>
  <c r="BC1111" i="1"/>
  <c r="AY1111" i="1"/>
  <c r="AU1111" i="1"/>
  <c r="AQ1111" i="1"/>
  <c r="AM1111" i="1"/>
  <c r="AI1111" i="1"/>
  <c r="AE1111" i="1"/>
  <c r="AA1111" i="1"/>
  <c r="W1111" i="1"/>
  <c r="S1111" i="1"/>
  <c r="O1111" i="1"/>
  <c r="K1111" i="1"/>
  <c r="G1111" i="1"/>
  <c r="C1111" i="1"/>
  <c r="BC1110" i="1"/>
  <c r="AY1110" i="1"/>
  <c r="AU1110" i="1"/>
  <c r="AQ1110" i="1"/>
  <c r="AM1110" i="1"/>
  <c r="AI1110" i="1"/>
  <c r="AE1110" i="1"/>
  <c r="AA1110" i="1"/>
  <c r="W1110" i="1"/>
  <c r="S1110" i="1"/>
  <c r="O1110" i="1"/>
  <c r="K1110" i="1"/>
  <c r="G1110" i="1"/>
  <c r="C1110" i="1"/>
  <c r="AZ1110" i="1" s="1"/>
  <c r="BC1109" i="1"/>
  <c r="AY1109" i="1"/>
  <c r="AU1109" i="1"/>
  <c r="AQ1109" i="1"/>
  <c r="AM1109" i="1"/>
  <c r="AI1109" i="1"/>
  <c r="AE1109" i="1"/>
  <c r="AF1109" i="1" s="1"/>
  <c r="AA1109" i="1"/>
  <c r="W1109" i="1"/>
  <c r="S1109" i="1"/>
  <c r="O1109" i="1"/>
  <c r="K1109" i="1"/>
  <c r="G1109" i="1"/>
  <c r="C1109" i="1"/>
  <c r="AZ1109" i="1" s="1"/>
  <c r="BC1108" i="1"/>
  <c r="AY1108" i="1"/>
  <c r="AU1108" i="1"/>
  <c r="AQ1108" i="1"/>
  <c r="AM1108" i="1"/>
  <c r="AI1108" i="1"/>
  <c r="AE1108" i="1"/>
  <c r="AA1108" i="1"/>
  <c r="W1108" i="1"/>
  <c r="S1108" i="1"/>
  <c r="O1108" i="1"/>
  <c r="O1115" i="1" s="1"/>
  <c r="K1108" i="1"/>
  <c r="G1108" i="1"/>
  <c r="C1108" i="1"/>
  <c r="D1103" i="1"/>
  <c r="BC1102" i="1"/>
  <c r="AY1102" i="1"/>
  <c r="AU1102" i="1"/>
  <c r="AQ1102" i="1"/>
  <c r="AM1102" i="1"/>
  <c r="AI1102" i="1"/>
  <c r="AE1102" i="1"/>
  <c r="AA1102" i="1"/>
  <c r="W1102" i="1"/>
  <c r="S1102" i="1"/>
  <c r="O1102" i="1"/>
  <c r="K1102" i="1"/>
  <c r="G1102" i="1"/>
  <c r="C1102" i="1"/>
  <c r="BC1101" i="1"/>
  <c r="AY1101" i="1"/>
  <c r="AU1101" i="1"/>
  <c r="AQ1101" i="1"/>
  <c r="AM1101" i="1"/>
  <c r="AI1101" i="1"/>
  <c r="AE1101" i="1"/>
  <c r="AA1101" i="1"/>
  <c r="AB1101" i="1" s="1"/>
  <c r="W1101" i="1"/>
  <c r="S1101" i="1"/>
  <c r="O1101" i="1"/>
  <c r="K1101" i="1"/>
  <c r="G1101" i="1"/>
  <c r="C1101" i="1"/>
  <c r="BC1100" i="1"/>
  <c r="AY1100" i="1"/>
  <c r="AU1100" i="1"/>
  <c r="AQ1100" i="1"/>
  <c r="AM1100" i="1"/>
  <c r="AI1100" i="1"/>
  <c r="AE1100" i="1"/>
  <c r="AA1100" i="1"/>
  <c r="W1100" i="1"/>
  <c r="S1100" i="1"/>
  <c r="O1100" i="1"/>
  <c r="K1100" i="1"/>
  <c r="G1100" i="1"/>
  <c r="C1100" i="1"/>
  <c r="BC1099" i="1"/>
  <c r="AY1099" i="1"/>
  <c r="AU1099" i="1"/>
  <c r="AQ1099" i="1"/>
  <c r="AM1099" i="1"/>
  <c r="AI1099" i="1"/>
  <c r="AE1099" i="1"/>
  <c r="AA1099" i="1"/>
  <c r="W1099" i="1"/>
  <c r="S1099" i="1"/>
  <c r="O1099" i="1"/>
  <c r="K1099" i="1"/>
  <c r="G1099" i="1"/>
  <c r="C1099" i="1"/>
  <c r="BC1098" i="1"/>
  <c r="AY1098" i="1"/>
  <c r="AU1098" i="1"/>
  <c r="AQ1098" i="1"/>
  <c r="AM1098" i="1"/>
  <c r="AI1098" i="1"/>
  <c r="AE1098" i="1"/>
  <c r="AA1098" i="1"/>
  <c r="W1098" i="1"/>
  <c r="S1098" i="1"/>
  <c r="O1098" i="1"/>
  <c r="K1098" i="1"/>
  <c r="G1098" i="1"/>
  <c r="C1098" i="1"/>
  <c r="BC1097" i="1"/>
  <c r="AY1097" i="1"/>
  <c r="AU1097" i="1"/>
  <c r="AQ1097" i="1"/>
  <c r="AM1097" i="1"/>
  <c r="AI1097" i="1"/>
  <c r="AE1097" i="1"/>
  <c r="AA1097" i="1"/>
  <c r="W1097" i="1"/>
  <c r="S1097" i="1"/>
  <c r="O1097" i="1"/>
  <c r="K1097" i="1"/>
  <c r="G1097" i="1"/>
  <c r="C1097" i="1"/>
  <c r="X1097" i="1" s="1"/>
  <c r="BC1096" i="1"/>
  <c r="AY1096" i="1"/>
  <c r="AU1096" i="1"/>
  <c r="AQ1096" i="1"/>
  <c r="AM1096" i="1"/>
  <c r="AI1096" i="1"/>
  <c r="AE1096" i="1"/>
  <c r="AA1096" i="1"/>
  <c r="W1096" i="1"/>
  <c r="S1096" i="1"/>
  <c r="O1096" i="1"/>
  <c r="K1096" i="1"/>
  <c r="G1096" i="1"/>
  <c r="C1096" i="1"/>
  <c r="D1091" i="1"/>
  <c r="BC1090" i="1"/>
  <c r="AY1090" i="1"/>
  <c r="AU1090" i="1"/>
  <c r="AQ1090" i="1"/>
  <c r="AM1090" i="1"/>
  <c r="AI1090" i="1"/>
  <c r="AE1090" i="1"/>
  <c r="AF1090" i="1" s="1"/>
  <c r="AA1090" i="1"/>
  <c r="W1090" i="1"/>
  <c r="S1090" i="1"/>
  <c r="O1090" i="1"/>
  <c r="K1090" i="1"/>
  <c r="G1090" i="1"/>
  <c r="C1090" i="1"/>
  <c r="BC1089" i="1"/>
  <c r="AY1089" i="1"/>
  <c r="AU1089" i="1"/>
  <c r="AQ1089" i="1"/>
  <c r="AM1089" i="1"/>
  <c r="AI1089" i="1"/>
  <c r="AE1089" i="1"/>
  <c r="AA1089" i="1"/>
  <c r="W1089" i="1"/>
  <c r="S1089" i="1"/>
  <c r="O1089" i="1"/>
  <c r="K1089" i="1"/>
  <c r="G1089" i="1"/>
  <c r="C1089" i="1"/>
  <c r="BC1088" i="1"/>
  <c r="AY1088" i="1"/>
  <c r="AU1088" i="1"/>
  <c r="AQ1088" i="1"/>
  <c r="AM1088" i="1"/>
  <c r="AI1088" i="1"/>
  <c r="AE1088" i="1"/>
  <c r="AA1088" i="1"/>
  <c r="W1088" i="1"/>
  <c r="S1088" i="1"/>
  <c r="O1088" i="1"/>
  <c r="K1088" i="1"/>
  <c r="G1088" i="1"/>
  <c r="C1088" i="1"/>
  <c r="BD1087" i="1"/>
  <c r="BC1087" i="1"/>
  <c r="AY1087" i="1"/>
  <c r="AU1087" i="1"/>
  <c r="AQ1087" i="1"/>
  <c r="AM1087" i="1"/>
  <c r="AI1087" i="1"/>
  <c r="AE1087" i="1"/>
  <c r="AA1087" i="1"/>
  <c r="W1087" i="1"/>
  <c r="S1087" i="1"/>
  <c r="O1087" i="1"/>
  <c r="K1087" i="1"/>
  <c r="G1087" i="1"/>
  <c r="C1087" i="1"/>
  <c r="BC1086" i="1"/>
  <c r="AY1086" i="1"/>
  <c r="AU1086" i="1"/>
  <c r="AQ1086" i="1"/>
  <c r="AM1086" i="1"/>
  <c r="AI1086" i="1"/>
  <c r="AE1086" i="1"/>
  <c r="AA1086" i="1"/>
  <c r="W1086" i="1"/>
  <c r="S1086" i="1"/>
  <c r="O1086" i="1"/>
  <c r="K1086" i="1"/>
  <c r="G1086" i="1"/>
  <c r="C1086" i="1"/>
  <c r="BC1085" i="1"/>
  <c r="AY1085" i="1"/>
  <c r="AU1085" i="1"/>
  <c r="AQ1085" i="1"/>
  <c r="AR1085" i="1" s="1"/>
  <c r="AM1085" i="1"/>
  <c r="AI1085" i="1"/>
  <c r="AE1085" i="1"/>
  <c r="AA1085" i="1"/>
  <c r="W1085" i="1"/>
  <c r="S1085" i="1"/>
  <c r="O1085" i="1"/>
  <c r="K1085" i="1"/>
  <c r="L1085" i="1" s="1"/>
  <c r="G1085" i="1"/>
  <c r="C1085" i="1"/>
  <c r="BC1084" i="1"/>
  <c r="AY1084" i="1"/>
  <c r="AU1084" i="1"/>
  <c r="AQ1084" i="1"/>
  <c r="AM1084" i="1"/>
  <c r="AI1084" i="1"/>
  <c r="AE1084" i="1"/>
  <c r="AE1091" i="1" s="1"/>
  <c r="AA1084" i="1"/>
  <c r="W1084" i="1"/>
  <c r="S1084" i="1"/>
  <c r="O1084" i="1"/>
  <c r="K1084" i="1"/>
  <c r="G1084" i="1"/>
  <c r="C1084" i="1"/>
  <c r="D1079" i="1"/>
  <c r="BC1078" i="1"/>
  <c r="AY1078" i="1"/>
  <c r="AZ1078" i="1" s="1"/>
  <c r="AU1078" i="1"/>
  <c r="AQ1078" i="1"/>
  <c r="AM1078" i="1"/>
  <c r="AN1078" i="1" s="1"/>
  <c r="AI1078" i="1"/>
  <c r="AE1078" i="1"/>
  <c r="AA1078" i="1"/>
  <c r="W1078" i="1"/>
  <c r="S1078" i="1"/>
  <c r="T1078" i="1" s="1"/>
  <c r="O1078" i="1"/>
  <c r="K1078" i="1"/>
  <c r="G1078" i="1"/>
  <c r="H1078" i="1" s="1"/>
  <c r="C1078" i="1"/>
  <c r="BC1077" i="1"/>
  <c r="AY1077" i="1"/>
  <c r="AU1077" i="1"/>
  <c r="AQ1077" i="1"/>
  <c r="AM1077" i="1"/>
  <c r="AI1077" i="1"/>
  <c r="AE1077" i="1"/>
  <c r="AA1077" i="1"/>
  <c r="W1077" i="1"/>
  <c r="S1077" i="1"/>
  <c r="O1077" i="1"/>
  <c r="K1077" i="1"/>
  <c r="G1077" i="1"/>
  <c r="C1077" i="1"/>
  <c r="BC1076" i="1"/>
  <c r="AY1076" i="1"/>
  <c r="AU1076" i="1"/>
  <c r="AQ1076" i="1"/>
  <c r="AM1076" i="1"/>
  <c r="AI1076" i="1"/>
  <c r="AE1076" i="1"/>
  <c r="AF1076" i="1" s="1"/>
  <c r="AA1076" i="1"/>
  <c r="W1076" i="1"/>
  <c r="S1076" i="1"/>
  <c r="O1076" i="1"/>
  <c r="K1076" i="1"/>
  <c r="G1076" i="1"/>
  <c r="C1076" i="1"/>
  <c r="BC1075" i="1"/>
  <c r="AY1075" i="1"/>
  <c r="AU1075" i="1"/>
  <c r="AQ1075" i="1"/>
  <c r="AM1075" i="1"/>
  <c r="AI1075" i="1"/>
  <c r="AE1075" i="1"/>
  <c r="AF1075" i="1" s="1"/>
  <c r="AA1075" i="1"/>
  <c r="W1075" i="1"/>
  <c r="S1075" i="1"/>
  <c r="O1075" i="1"/>
  <c r="K1075" i="1"/>
  <c r="G1075" i="1"/>
  <c r="C1075" i="1"/>
  <c r="AV1075" i="1" s="1"/>
  <c r="BC1074" i="1"/>
  <c r="AY1074" i="1"/>
  <c r="AU1074" i="1"/>
  <c r="AQ1074" i="1"/>
  <c r="AM1074" i="1"/>
  <c r="AI1074" i="1"/>
  <c r="AE1074" i="1"/>
  <c r="AA1074" i="1"/>
  <c r="W1074" i="1"/>
  <c r="X1074" i="1" s="1"/>
  <c r="S1074" i="1"/>
  <c r="O1074" i="1"/>
  <c r="K1074" i="1"/>
  <c r="G1074" i="1"/>
  <c r="C1074" i="1"/>
  <c r="AZ1074" i="1" s="1"/>
  <c r="BC1073" i="1"/>
  <c r="AY1073" i="1"/>
  <c r="AU1073" i="1"/>
  <c r="AQ1073" i="1"/>
  <c r="AM1073" i="1"/>
  <c r="AI1073" i="1"/>
  <c r="AE1073" i="1"/>
  <c r="AA1073" i="1"/>
  <c r="W1073" i="1"/>
  <c r="S1073" i="1"/>
  <c r="O1073" i="1"/>
  <c r="K1073" i="1"/>
  <c r="G1073" i="1"/>
  <c r="C1073" i="1"/>
  <c r="L1073" i="1" s="1"/>
  <c r="BC1072" i="1"/>
  <c r="AY1072" i="1"/>
  <c r="AU1072" i="1"/>
  <c r="AU1079" i="1" s="1"/>
  <c r="AQ1072" i="1"/>
  <c r="AM1072" i="1"/>
  <c r="AI1072" i="1"/>
  <c r="AE1072" i="1"/>
  <c r="AE1079" i="1" s="1"/>
  <c r="AA1072" i="1"/>
  <c r="W1072" i="1"/>
  <c r="S1072" i="1"/>
  <c r="O1072" i="1"/>
  <c r="O1079" i="1" s="1"/>
  <c r="K1072" i="1"/>
  <c r="G1072" i="1"/>
  <c r="C1072" i="1"/>
  <c r="AJ1187" i="1" l="1"/>
  <c r="AR1099" i="1"/>
  <c r="H1187" i="1"/>
  <c r="AF1139" i="1"/>
  <c r="BD1112" i="1"/>
  <c r="AV1121" i="1"/>
  <c r="T1126" i="1"/>
  <c r="AZ1126" i="1"/>
  <c r="AJ1121" i="1"/>
  <c r="T1121" i="1"/>
  <c r="AZ1077" i="1"/>
  <c r="P1099" i="1"/>
  <c r="AV1099" i="1"/>
  <c r="X1111" i="1"/>
  <c r="AF1175" i="1"/>
  <c r="BD1163" i="1"/>
  <c r="AF1087" i="1"/>
  <c r="T1099" i="1"/>
  <c r="AZ1099" i="1"/>
  <c r="AV1101" i="1"/>
  <c r="AF1110" i="1"/>
  <c r="AF1126" i="1"/>
  <c r="AZ1121" i="1"/>
  <c r="L1187" i="1"/>
  <c r="AB1163" i="1"/>
  <c r="AV1072" i="1"/>
  <c r="AV1079" i="1" s="1"/>
  <c r="AB1075" i="1"/>
  <c r="BD1076" i="1"/>
  <c r="P1078" i="1"/>
  <c r="AV1078" i="1"/>
  <c r="X1099" i="1"/>
  <c r="AR1187" i="1"/>
  <c r="AF1163" i="1"/>
  <c r="L1124" i="1"/>
  <c r="AR1124" i="1"/>
  <c r="P1124" i="1"/>
  <c r="AV1124" i="1"/>
  <c r="X1123" i="1"/>
  <c r="AZ1123" i="1"/>
  <c r="AN1123" i="1"/>
  <c r="L1122" i="1"/>
  <c r="AR1122" i="1"/>
  <c r="P1122" i="1"/>
  <c r="AV1122" i="1"/>
  <c r="C1127" i="1"/>
  <c r="T1122" i="1"/>
  <c r="AZ1122" i="1"/>
  <c r="H1122" i="1"/>
  <c r="AN1122" i="1"/>
  <c r="L1121" i="1"/>
  <c r="AR1121" i="1"/>
  <c r="AZ1125" i="1"/>
  <c r="AR1123" i="1"/>
  <c r="P1120" i="1"/>
  <c r="P1127" i="1" s="1"/>
  <c r="AV1120" i="1"/>
  <c r="AV1127" i="1" s="1"/>
  <c r="T1120" i="1"/>
  <c r="T1127" i="1" s="1"/>
  <c r="AZ1120" i="1"/>
  <c r="AE1127" i="1"/>
  <c r="X1120" i="1"/>
  <c r="X1127" i="1" s="1"/>
  <c r="BD1120" i="1"/>
  <c r="BD1127" i="1" s="1"/>
  <c r="BD1123" i="1"/>
  <c r="H1125" i="1"/>
  <c r="AN1125" i="1"/>
  <c r="AB1120" i="1"/>
  <c r="AB1121" i="1"/>
  <c r="H1123" i="1"/>
  <c r="AF1123" i="1"/>
  <c r="AJ1124" i="1"/>
  <c r="L1125" i="1"/>
  <c r="AR1125" i="1"/>
  <c r="AF1121" i="1"/>
  <c r="AJ1122" i="1"/>
  <c r="AJ1123" i="1"/>
  <c r="H1124" i="1"/>
  <c r="AN1124" i="1"/>
  <c r="X1126" i="1"/>
  <c r="BD1126" i="1"/>
  <c r="AJ1120" i="1"/>
  <c r="AJ1127" i="1" s="1"/>
  <c r="H1120" i="1"/>
  <c r="H1127" i="1" s="1"/>
  <c r="AN1120" i="1"/>
  <c r="P1123" i="1"/>
  <c r="X1125" i="1"/>
  <c r="BD1125" i="1"/>
  <c r="L1120" i="1"/>
  <c r="L1127" i="1" s="1"/>
  <c r="AR1120" i="1"/>
  <c r="P1121" i="1"/>
  <c r="T1123" i="1"/>
  <c r="T1124" i="1"/>
  <c r="AZ1124" i="1"/>
  <c r="AB1125" i="1"/>
  <c r="AJ1126" i="1"/>
  <c r="AF1114" i="1"/>
  <c r="P1114" i="1"/>
  <c r="AR1114" i="1"/>
  <c r="H1113" i="1"/>
  <c r="AN1113" i="1"/>
  <c r="P1113" i="1"/>
  <c r="AV1113" i="1"/>
  <c r="AF1112" i="1"/>
  <c r="AZ1112" i="1"/>
  <c r="X1112" i="1"/>
  <c r="H1112" i="1"/>
  <c r="AJ1112" i="1"/>
  <c r="L1112" i="1"/>
  <c r="AN1112" i="1"/>
  <c r="P1112" i="1"/>
  <c r="AR1112" i="1"/>
  <c r="T1112" i="1"/>
  <c r="AF1111" i="1"/>
  <c r="BD1111" i="1"/>
  <c r="H1111" i="1"/>
  <c r="AJ1111" i="1"/>
  <c r="P1111" i="1"/>
  <c r="T1111" i="1"/>
  <c r="AR1111" i="1"/>
  <c r="L1111" i="1"/>
  <c r="AN1111" i="1"/>
  <c r="AV1111" i="1"/>
  <c r="AZ1111" i="1"/>
  <c r="L1110" i="1"/>
  <c r="P1110" i="1"/>
  <c r="AV1110" i="1"/>
  <c r="H1110" i="1"/>
  <c r="AR1110" i="1"/>
  <c r="AN1110" i="1"/>
  <c r="C1115" i="1"/>
  <c r="X1110" i="1"/>
  <c r="BD1110" i="1"/>
  <c r="H1109" i="1"/>
  <c r="AN1109" i="1"/>
  <c r="P1109" i="1"/>
  <c r="AV1109" i="1"/>
  <c r="BD1108" i="1"/>
  <c r="BD1115" i="1" s="1"/>
  <c r="AJ1108" i="1"/>
  <c r="AJ1115" i="1" s="1"/>
  <c r="X1108" i="1"/>
  <c r="X1115" i="1" s="1"/>
  <c r="AV1108" i="1"/>
  <c r="AV1115" i="1" s="1"/>
  <c r="X1109" i="1"/>
  <c r="BD1109" i="1"/>
  <c r="X1113" i="1"/>
  <c r="BD1113" i="1"/>
  <c r="AB1108" i="1"/>
  <c r="AB1115" i="1" s="1"/>
  <c r="AZ1108" i="1"/>
  <c r="AZ1115" i="1" s="1"/>
  <c r="AB1109" i="1"/>
  <c r="AB1112" i="1"/>
  <c r="BD1114" i="1"/>
  <c r="H1108" i="1"/>
  <c r="H1115" i="1" s="1"/>
  <c r="AF1108" i="1"/>
  <c r="AF1115" i="1" s="1"/>
  <c r="AJ1113" i="1"/>
  <c r="L1108" i="1"/>
  <c r="L1115" i="1" s="1"/>
  <c r="AN1108" i="1"/>
  <c r="L1109" i="1"/>
  <c r="AR1109" i="1"/>
  <c r="P1108" i="1"/>
  <c r="P1115" i="1" s="1"/>
  <c r="AR1108" i="1"/>
  <c r="AR1115" i="1" s="1"/>
  <c r="T1108" i="1"/>
  <c r="T1115" i="1" s="1"/>
  <c r="AB1110" i="1"/>
  <c r="AB1111" i="1"/>
  <c r="AV1112" i="1"/>
  <c r="T1113" i="1"/>
  <c r="AZ1113" i="1"/>
  <c r="X1114" i="1"/>
  <c r="AV1114" i="1"/>
  <c r="H1121" i="1"/>
  <c r="X1121" i="1"/>
  <c r="AN1121" i="1"/>
  <c r="L1123" i="1"/>
  <c r="AB1123" i="1"/>
  <c r="P1125" i="1"/>
  <c r="AF1125" i="1"/>
  <c r="AV1125" i="1"/>
  <c r="T1125" i="1"/>
  <c r="AJ1125" i="1"/>
  <c r="AF1120" i="1"/>
  <c r="AF1127" i="1" s="1"/>
  <c r="AJ1110" i="1"/>
  <c r="T1110" i="1"/>
  <c r="T1109" i="1"/>
  <c r="AJ1109" i="1"/>
  <c r="L1113" i="1"/>
  <c r="AB1113" i="1"/>
  <c r="T1100" i="1"/>
  <c r="AZ1100" i="1"/>
  <c r="X1100" i="1"/>
  <c r="BD1100" i="1"/>
  <c r="T1096" i="1"/>
  <c r="T1103" i="1" s="1"/>
  <c r="AZ1096" i="1"/>
  <c r="AZ1103" i="1" s="1"/>
  <c r="AB1096" i="1"/>
  <c r="AB1103" i="1" s="1"/>
  <c r="L1096" i="1"/>
  <c r="L1103" i="1" s="1"/>
  <c r="AR1096" i="1"/>
  <c r="AR1103" i="1" s="1"/>
  <c r="AE1103" i="1"/>
  <c r="AV1098" i="1"/>
  <c r="C1103" i="1"/>
  <c r="L1097" i="1"/>
  <c r="AR1097" i="1"/>
  <c r="T1098" i="1"/>
  <c r="AZ1098" i="1"/>
  <c r="P1097" i="1"/>
  <c r="X1098" i="1"/>
  <c r="BD1098" i="1"/>
  <c r="L1101" i="1"/>
  <c r="AR1101" i="1"/>
  <c r="T1097" i="1"/>
  <c r="P1098" i="1"/>
  <c r="AF1099" i="1"/>
  <c r="P1096" i="1"/>
  <c r="P1103" i="1" s="1"/>
  <c r="AV1096" i="1"/>
  <c r="AV1103" i="1" s="1"/>
  <c r="AF1098" i="1"/>
  <c r="H1099" i="1"/>
  <c r="AJ1099" i="1"/>
  <c r="H1089" i="1"/>
  <c r="AN1089" i="1"/>
  <c r="P1089" i="1"/>
  <c r="AV1089" i="1"/>
  <c r="X1089" i="1"/>
  <c r="BD1089" i="1"/>
  <c r="AF1088" i="1"/>
  <c r="P1087" i="1"/>
  <c r="X1078" i="1"/>
  <c r="BD1074" i="1"/>
  <c r="AZ1073" i="1"/>
  <c r="AB1073" i="1"/>
  <c r="X1072" i="1"/>
  <c r="X1079" i="1" s="1"/>
  <c r="H1072" i="1"/>
  <c r="H1079" i="1" s="1"/>
  <c r="AN1072" i="1"/>
  <c r="BD1072" i="1"/>
  <c r="BD1079" i="1" s="1"/>
  <c r="H1075" i="1"/>
  <c r="L1076" i="1"/>
  <c r="AR1075" i="1"/>
  <c r="P1076" i="1"/>
  <c r="AR1076" i="1"/>
  <c r="L1074" i="1"/>
  <c r="AN1074" i="1"/>
  <c r="P1075" i="1"/>
  <c r="AV1076" i="1"/>
  <c r="BD1078" i="1"/>
  <c r="AF1074" i="1"/>
  <c r="L1075" i="1"/>
  <c r="P1074" i="1"/>
  <c r="AR1074" i="1"/>
  <c r="T1075" i="1"/>
  <c r="AF1078" i="1"/>
  <c r="AJ1075" i="1"/>
  <c r="AN1075" i="1"/>
  <c r="AR1073" i="1"/>
  <c r="AV1074" i="1"/>
  <c r="X1075" i="1"/>
  <c r="AZ1075" i="1"/>
  <c r="AB1076" i="1"/>
  <c r="AJ1078" i="1"/>
  <c r="T1086" i="1"/>
  <c r="P1090" i="1"/>
  <c r="AV1090" i="1"/>
  <c r="X1086" i="1"/>
  <c r="BD1086" i="1"/>
  <c r="T1090" i="1"/>
  <c r="AZ1090" i="1"/>
  <c r="AB1086" i="1"/>
  <c r="X1090" i="1"/>
  <c r="BD1090" i="1"/>
  <c r="P1084" i="1"/>
  <c r="P1091" i="1" s="1"/>
  <c r="AV1084" i="1"/>
  <c r="AV1091" i="1" s="1"/>
  <c r="AF1086" i="1"/>
  <c r="X1084" i="1"/>
  <c r="X1091" i="1" s="1"/>
  <c r="BD1084" i="1"/>
  <c r="BD1091" i="1" s="1"/>
  <c r="H1086" i="1"/>
  <c r="AN1086" i="1"/>
  <c r="L1086" i="1"/>
  <c r="AR1086" i="1"/>
  <c r="AN1085" i="1"/>
  <c r="P1086" i="1"/>
  <c r="AN1102" i="1"/>
  <c r="H1073" i="1"/>
  <c r="AF1073" i="1"/>
  <c r="AB1074" i="1"/>
  <c r="L1077" i="1"/>
  <c r="AR1077" i="1"/>
  <c r="AJ1087" i="1"/>
  <c r="AV1097" i="1"/>
  <c r="AB1100" i="1"/>
  <c r="L1102" i="1"/>
  <c r="AR1102" i="1"/>
  <c r="AJ1072" i="1"/>
  <c r="AJ1079" i="1" s="1"/>
  <c r="AJ1073" i="1"/>
  <c r="H1074" i="1"/>
  <c r="P1077" i="1"/>
  <c r="AV1077" i="1"/>
  <c r="AB1084" i="1"/>
  <c r="AB1091" i="1" s="1"/>
  <c r="AZ1085" i="1"/>
  <c r="X1096" i="1"/>
  <c r="X1103" i="1" s="1"/>
  <c r="BD1096" i="1"/>
  <c r="BD1103" i="1" s="1"/>
  <c r="AZ1097" i="1"/>
  <c r="AB1098" i="1"/>
  <c r="BD1099" i="1"/>
  <c r="AF1100" i="1"/>
  <c r="H1101" i="1"/>
  <c r="AN1101" i="1"/>
  <c r="P1102" i="1"/>
  <c r="AV1102" i="1"/>
  <c r="BD1073" i="1"/>
  <c r="AN1077" i="1"/>
  <c r="AN1073" i="1"/>
  <c r="T1102" i="1"/>
  <c r="X1077" i="1"/>
  <c r="AU1091" i="1"/>
  <c r="H1100" i="1"/>
  <c r="X1102" i="1"/>
  <c r="T1073" i="1"/>
  <c r="BD1075" i="1"/>
  <c r="AB1077" i="1"/>
  <c r="AR1078" i="1"/>
  <c r="H1084" i="1"/>
  <c r="H1091" i="1" s="1"/>
  <c r="AN1084" i="1"/>
  <c r="AV1086" i="1"/>
  <c r="AJ1096" i="1"/>
  <c r="AJ1103" i="1" s="1"/>
  <c r="AJ1097" i="1"/>
  <c r="H1098" i="1"/>
  <c r="AN1098" i="1"/>
  <c r="AN1099" i="1"/>
  <c r="L1100" i="1"/>
  <c r="AR1100" i="1"/>
  <c r="AB1102" i="1"/>
  <c r="AJ1102" i="1"/>
  <c r="H1077" i="1"/>
  <c r="H1102" i="1"/>
  <c r="O1091" i="1"/>
  <c r="AB1097" i="1"/>
  <c r="AJ1100" i="1"/>
  <c r="AZ1102" i="1"/>
  <c r="P1073" i="1"/>
  <c r="BD1077" i="1"/>
  <c r="AF1097" i="1"/>
  <c r="AJ1098" i="1"/>
  <c r="AN1100" i="1"/>
  <c r="BD1102" i="1"/>
  <c r="T1072" i="1"/>
  <c r="T1079" i="1" s="1"/>
  <c r="AZ1072" i="1"/>
  <c r="AZ1079" i="1" s="1"/>
  <c r="X1073" i="1"/>
  <c r="AV1073" i="1"/>
  <c r="T1074" i="1"/>
  <c r="AF1077" i="1"/>
  <c r="L1084" i="1"/>
  <c r="L1091" i="1" s="1"/>
  <c r="AR1084" i="1"/>
  <c r="AR1091" i="1" s="1"/>
  <c r="P1085" i="1"/>
  <c r="AZ1086" i="1"/>
  <c r="AR1089" i="1"/>
  <c r="H1096" i="1"/>
  <c r="H1103" i="1" s="1"/>
  <c r="AN1096" i="1"/>
  <c r="L1098" i="1"/>
  <c r="AR1098" i="1"/>
  <c r="P1100" i="1"/>
  <c r="AV1100" i="1"/>
  <c r="X1101" i="1"/>
  <c r="BD1101" i="1"/>
  <c r="AF1102" i="1"/>
  <c r="O1103" i="1"/>
  <c r="AJ1088" i="1"/>
  <c r="T1087" i="1"/>
  <c r="AN1087" i="1"/>
  <c r="H1088" i="1"/>
  <c r="AN1088" i="1"/>
  <c r="T1084" i="1"/>
  <c r="T1091" i="1" s="1"/>
  <c r="AZ1084" i="1"/>
  <c r="AZ1091" i="1" s="1"/>
  <c r="X1085" i="1"/>
  <c r="AV1085" i="1"/>
  <c r="AR1087" i="1"/>
  <c r="L1088" i="1"/>
  <c r="AR1088" i="1"/>
  <c r="AB1090" i="1"/>
  <c r="P1088" i="1"/>
  <c r="AV1088" i="1"/>
  <c r="AB1085" i="1"/>
  <c r="BD1085" i="1"/>
  <c r="AB1087" i="1"/>
  <c r="AV1087" i="1"/>
  <c r="T1088" i="1"/>
  <c r="AZ1088" i="1"/>
  <c r="AJ1090" i="1"/>
  <c r="H1085" i="1"/>
  <c r="AF1085" i="1"/>
  <c r="AJ1086" i="1"/>
  <c r="H1087" i="1"/>
  <c r="AZ1087" i="1"/>
  <c r="X1088" i="1"/>
  <c r="BD1088" i="1"/>
  <c r="AF1089" i="1"/>
  <c r="H1090" i="1"/>
  <c r="AN1090" i="1"/>
  <c r="X1087" i="1"/>
  <c r="C1091" i="1"/>
  <c r="AJ1084" i="1"/>
  <c r="AJ1091" i="1" s="1"/>
  <c r="L1087" i="1"/>
  <c r="AB1088" i="1"/>
  <c r="L1090" i="1"/>
  <c r="AR1090" i="1"/>
  <c r="T1101" i="1"/>
  <c r="AZ1101" i="1"/>
  <c r="AU1103" i="1"/>
  <c r="AJ1101" i="1"/>
  <c r="H1097" i="1"/>
  <c r="AN1097" i="1"/>
  <c r="BD1097" i="1"/>
  <c r="L1099" i="1"/>
  <c r="AB1099" i="1"/>
  <c r="P1101" i="1"/>
  <c r="AF1101" i="1"/>
  <c r="AF1096" i="1"/>
  <c r="T1089" i="1"/>
  <c r="AZ1089" i="1"/>
  <c r="AJ1085" i="1"/>
  <c r="AB1089" i="1"/>
  <c r="AJ1089" i="1"/>
  <c r="T1085" i="1"/>
  <c r="L1089" i="1"/>
  <c r="AF1084" i="1"/>
  <c r="AF1091" i="1" s="1"/>
  <c r="T1077" i="1"/>
  <c r="AJ1077" i="1"/>
  <c r="L1072" i="1"/>
  <c r="L1079" i="1" s="1"/>
  <c r="AR1072" i="1"/>
  <c r="AR1079" i="1" s="1"/>
  <c r="AJ1076" i="1"/>
  <c r="C1079" i="1"/>
  <c r="AB1072" i="1"/>
  <c r="AB1079" i="1" s="1"/>
  <c r="T1076" i="1"/>
  <c r="AZ1076" i="1"/>
  <c r="P1072" i="1"/>
  <c r="P1079" i="1" s="1"/>
  <c r="AF1072" i="1"/>
  <c r="AF1079" i="1" s="1"/>
  <c r="AJ1074" i="1"/>
  <c r="H1076" i="1"/>
  <c r="X1076" i="1"/>
  <c r="AN1076" i="1"/>
  <c r="L1078" i="1"/>
  <c r="AB1078" i="1"/>
  <c r="D1067" i="1"/>
  <c r="BC1066" i="1"/>
  <c r="AY1066" i="1"/>
  <c r="AU1066" i="1"/>
  <c r="AQ1066" i="1"/>
  <c r="AM1066" i="1"/>
  <c r="AI1066" i="1"/>
  <c r="AE1066" i="1"/>
  <c r="AA1066" i="1"/>
  <c r="W1066" i="1"/>
  <c r="S1066" i="1"/>
  <c r="O1066" i="1"/>
  <c r="K1066" i="1"/>
  <c r="G1066" i="1"/>
  <c r="C1066" i="1"/>
  <c r="BC1065" i="1"/>
  <c r="AY1065" i="1"/>
  <c r="AU1065" i="1"/>
  <c r="AQ1065" i="1"/>
  <c r="AM1065" i="1"/>
  <c r="AI1065" i="1"/>
  <c r="AE1065" i="1"/>
  <c r="AA1065" i="1"/>
  <c r="W1065" i="1"/>
  <c r="S1065" i="1"/>
  <c r="O1065" i="1"/>
  <c r="K1065" i="1"/>
  <c r="G1065" i="1"/>
  <c r="C1065" i="1"/>
  <c r="BC1064" i="1"/>
  <c r="AY1064" i="1"/>
  <c r="AU1064" i="1"/>
  <c r="AQ1064" i="1"/>
  <c r="AM1064" i="1"/>
  <c r="AI1064" i="1"/>
  <c r="AE1064" i="1"/>
  <c r="AA1064" i="1"/>
  <c r="W1064" i="1"/>
  <c r="S1064" i="1"/>
  <c r="O1064" i="1"/>
  <c r="K1064" i="1"/>
  <c r="G1064" i="1"/>
  <c r="C1064" i="1"/>
  <c r="BC1063" i="1"/>
  <c r="AY1063" i="1"/>
  <c r="AU1063" i="1"/>
  <c r="AQ1063" i="1"/>
  <c r="AM1063" i="1"/>
  <c r="AI1063" i="1"/>
  <c r="AE1063" i="1"/>
  <c r="AA1063" i="1"/>
  <c r="W1063" i="1"/>
  <c r="S1063" i="1"/>
  <c r="O1063" i="1"/>
  <c r="K1063" i="1"/>
  <c r="G1063" i="1"/>
  <c r="C1063" i="1"/>
  <c r="BC1062" i="1"/>
  <c r="AY1062" i="1"/>
  <c r="AU1062" i="1"/>
  <c r="AQ1062" i="1"/>
  <c r="AM1062" i="1"/>
  <c r="AI1062" i="1"/>
  <c r="AE1062" i="1"/>
  <c r="AA1062" i="1"/>
  <c r="W1062" i="1"/>
  <c r="S1062" i="1"/>
  <c r="O1062" i="1"/>
  <c r="K1062" i="1"/>
  <c r="G1062" i="1"/>
  <c r="C1062" i="1"/>
  <c r="BC1061" i="1"/>
  <c r="AY1061" i="1"/>
  <c r="AU1061" i="1"/>
  <c r="AQ1061" i="1"/>
  <c r="AM1061" i="1"/>
  <c r="AI1061" i="1"/>
  <c r="AE1061" i="1"/>
  <c r="AA1061" i="1"/>
  <c r="W1061" i="1"/>
  <c r="S1061" i="1"/>
  <c r="O1061" i="1"/>
  <c r="K1061" i="1"/>
  <c r="G1061" i="1"/>
  <c r="C1061" i="1"/>
  <c r="BC1060" i="1"/>
  <c r="AY1060" i="1"/>
  <c r="AU1060" i="1"/>
  <c r="AQ1060" i="1"/>
  <c r="AM1060" i="1"/>
  <c r="AI1060" i="1"/>
  <c r="AE1060" i="1"/>
  <c r="AE1067" i="1" s="1"/>
  <c r="AA1060" i="1"/>
  <c r="W1060" i="1"/>
  <c r="S1060" i="1"/>
  <c r="O1060" i="1"/>
  <c r="K1060" i="1"/>
  <c r="G1060" i="1"/>
  <c r="C1060" i="1"/>
  <c r="D1055" i="1"/>
  <c r="BC1054" i="1"/>
  <c r="AY1054" i="1"/>
  <c r="AU1054" i="1"/>
  <c r="AQ1054" i="1"/>
  <c r="AM1054" i="1"/>
  <c r="AI1054" i="1"/>
  <c r="AE1054" i="1"/>
  <c r="AA1054" i="1"/>
  <c r="W1054" i="1"/>
  <c r="S1054" i="1"/>
  <c r="O1054" i="1"/>
  <c r="K1054" i="1"/>
  <c r="G1054" i="1"/>
  <c r="C1054" i="1"/>
  <c r="BC1053" i="1"/>
  <c r="AY1053" i="1"/>
  <c r="AU1053" i="1"/>
  <c r="AQ1053" i="1"/>
  <c r="AM1053" i="1"/>
  <c r="AI1053" i="1"/>
  <c r="AE1053" i="1"/>
  <c r="AA1053" i="1"/>
  <c r="W1053" i="1"/>
  <c r="S1053" i="1"/>
  <c r="O1053" i="1"/>
  <c r="K1053" i="1"/>
  <c r="G1053" i="1"/>
  <c r="C1053" i="1"/>
  <c r="AJ1053" i="1" s="1"/>
  <c r="BC1052" i="1"/>
  <c r="AY1052" i="1"/>
  <c r="AU1052" i="1"/>
  <c r="AV1052" i="1" s="1"/>
  <c r="AQ1052" i="1"/>
  <c r="AM1052" i="1"/>
  <c r="AI1052" i="1"/>
  <c r="AE1052" i="1"/>
  <c r="AA1052" i="1"/>
  <c r="W1052" i="1"/>
  <c r="S1052" i="1"/>
  <c r="O1052" i="1"/>
  <c r="P1052" i="1" s="1"/>
  <c r="K1052" i="1"/>
  <c r="G1052" i="1"/>
  <c r="C1052" i="1"/>
  <c r="BC1051" i="1"/>
  <c r="AY1051" i="1"/>
  <c r="AU1051" i="1"/>
  <c r="AV1051" i="1" s="1"/>
  <c r="AQ1051" i="1"/>
  <c r="AM1051" i="1"/>
  <c r="AI1051" i="1"/>
  <c r="AE1051" i="1"/>
  <c r="AA1051" i="1"/>
  <c r="W1051" i="1"/>
  <c r="S1051" i="1"/>
  <c r="O1051" i="1"/>
  <c r="P1051" i="1" s="1"/>
  <c r="K1051" i="1"/>
  <c r="G1051" i="1"/>
  <c r="C1051" i="1"/>
  <c r="BC1050" i="1"/>
  <c r="AY1050" i="1"/>
  <c r="AU1050" i="1"/>
  <c r="AQ1050" i="1"/>
  <c r="AM1050" i="1"/>
  <c r="AI1050" i="1"/>
  <c r="AE1050" i="1"/>
  <c r="AA1050" i="1"/>
  <c r="W1050" i="1"/>
  <c r="S1050" i="1"/>
  <c r="O1050" i="1"/>
  <c r="K1050" i="1"/>
  <c r="G1050" i="1"/>
  <c r="C1050" i="1"/>
  <c r="BC1049" i="1"/>
  <c r="AY1049" i="1"/>
  <c r="AU1049" i="1"/>
  <c r="AQ1049" i="1"/>
  <c r="AM1049" i="1"/>
  <c r="AI1049" i="1"/>
  <c r="AE1049" i="1"/>
  <c r="AA1049" i="1"/>
  <c r="W1049" i="1"/>
  <c r="S1049" i="1"/>
  <c r="O1049" i="1"/>
  <c r="K1049" i="1"/>
  <c r="G1049" i="1"/>
  <c r="C1049" i="1"/>
  <c r="BC1048" i="1"/>
  <c r="AY1048" i="1"/>
  <c r="AU1048" i="1"/>
  <c r="AU1055" i="1" s="1"/>
  <c r="AQ1048" i="1"/>
  <c r="AM1048" i="1"/>
  <c r="AI1048" i="1"/>
  <c r="AE1048" i="1"/>
  <c r="AA1048" i="1"/>
  <c r="W1048" i="1"/>
  <c r="S1048" i="1"/>
  <c r="O1048" i="1"/>
  <c r="K1048" i="1"/>
  <c r="G1048" i="1"/>
  <c r="C1048" i="1"/>
  <c r="AV1048" i="1" s="1"/>
  <c r="AV1055" i="1" s="1"/>
  <c r="D1043" i="1"/>
  <c r="BC1042" i="1"/>
  <c r="AY1042" i="1"/>
  <c r="AU1042" i="1"/>
  <c r="AQ1042" i="1"/>
  <c r="AM1042" i="1"/>
  <c r="AI1042" i="1"/>
  <c r="AE1042" i="1"/>
  <c r="AA1042" i="1"/>
  <c r="W1042" i="1"/>
  <c r="S1042" i="1"/>
  <c r="O1042" i="1"/>
  <c r="K1042" i="1"/>
  <c r="G1042" i="1"/>
  <c r="C1042" i="1"/>
  <c r="BC1041" i="1"/>
  <c r="AY1041" i="1"/>
  <c r="AU1041" i="1"/>
  <c r="AV1041" i="1" s="1"/>
  <c r="AQ1041" i="1"/>
  <c r="AM1041" i="1"/>
  <c r="AN1041" i="1" s="1"/>
  <c r="AI1041" i="1"/>
  <c r="AE1041" i="1"/>
  <c r="AA1041" i="1"/>
  <c r="W1041" i="1"/>
  <c r="S1041" i="1"/>
  <c r="O1041" i="1"/>
  <c r="P1041" i="1" s="1"/>
  <c r="K1041" i="1"/>
  <c r="G1041" i="1"/>
  <c r="C1041" i="1"/>
  <c r="BC1040" i="1"/>
  <c r="AY1040" i="1"/>
  <c r="AU1040" i="1"/>
  <c r="AQ1040" i="1"/>
  <c r="AM1040" i="1"/>
  <c r="AI1040" i="1"/>
  <c r="AE1040" i="1"/>
  <c r="AA1040" i="1"/>
  <c r="W1040" i="1"/>
  <c r="S1040" i="1"/>
  <c r="O1040" i="1"/>
  <c r="K1040" i="1"/>
  <c r="G1040" i="1"/>
  <c r="C1040" i="1"/>
  <c r="BC1039" i="1"/>
  <c r="AY1039" i="1"/>
  <c r="AU1039" i="1"/>
  <c r="AQ1039" i="1"/>
  <c r="AM1039" i="1"/>
  <c r="AI1039" i="1"/>
  <c r="AE1039" i="1"/>
  <c r="AA1039" i="1"/>
  <c r="W1039" i="1"/>
  <c r="S1039" i="1"/>
  <c r="O1039" i="1"/>
  <c r="K1039" i="1"/>
  <c r="G1039" i="1"/>
  <c r="C1039" i="1"/>
  <c r="BC1038" i="1"/>
  <c r="AY1038" i="1"/>
  <c r="AU1038" i="1"/>
  <c r="AQ1038" i="1"/>
  <c r="AM1038" i="1"/>
  <c r="AI1038" i="1"/>
  <c r="AE1038" i="1"/>
  <c r="AA1038" i="1"/>
  <c r="W1038" i="1"/>
  <c r="S1038" i="1"/>
  <c r="O1038" i="1"/>
  <c r="P1038" i="1" s="1"/>
  <c r="K1038" i="1"/>
  <c r="G1038" i="1"/>
  <c r="C1038" i="1"/>
  <c r="BC1037" i="1"/>
  <c r="AY1037" i="1"/>
  <c r="AU1037" i="1"/>
  <c r="AV1037" i="1" s="1"/>
  <c r="AQ1037" i="1"/>
  <c r="AM1037" i="1"/>
  <c r="AN1037" i="1" s="1"/>
  <c r="AI1037" i="1"/>
  <c r="AE1037" i="1"/>
  <c r="AA1037" i="1"/>
  <c r="W1037" i="1"/>
  <c r="X1037" i="1" s="1"/>
  <c r="S1037" i="1"/>
  <c r="O1037" i="1"/>
  <c r="P1037" i="1" s="1"/>
  <c r="K1037" i="1"/>
  <c r="L1037" i="1" s="1"/>
  <c r="G1037" i="1"/>
  <c r="H1037" i="1" s="1"/>
  <c r="C1037" i="1"/>
  <c r="BC1036" i="1"/>
  <c r="AY1036" i="1"/>
  <c r="AU1036" i="1"/>
  <c r="AU1043" i="1" s="1"/>
  <c r="AQ1036" i="1"/>
  <c r="AM1036" i="1"/>
  <c r="AI1036" i="1"/>
  <c r="AE1036" i="1"/>
  <c r="AA1036" i="1"/>
  <c r="W1036" i="1"/>
  <c r="S1036" i="1"/>
  <c r="O1036" i="1"/>
  <c r="O1043" i="1" s="1"/>
  <c r="K1036" i="1"/>
  <c r="G1036" i="1"/>
  <c r="C1036" i="1"/>
  <c r="D1031" i="1"/>
  <c r="BC1030" i="1"/>
  <c r="AY1030" i="1"/>
  <c r="AU1030" i="1"/>
  <c r="AQ1030" i="1"/>
  <c r="AM1030" i="1"/>
  <c r="AI1030" i="1"/>
  <c r="AE1030" i="1"/>
  <c r="AA1030" i="1"/>
  <c r="AB1030" i="1" s="1"/>
  <c r="W1030" i="1"/>
  <c r="S1030" i="1"/>
  <c r="O1030" i="1"/>
  <c r="K1030" i="1"/>
  <c r="G1030" i="1"/>
  <c r="C1030" i="1"/>
  <c r="BC1029" i="1"/>
  <c r="AY1029" i="1"/>
  <c r="AU1029" i="1"/>
  <c r="AQ1029" i="1"/>
  <c r="AM1029" i="1"/>
  <c r="AI1029" i="1"/>
  <c r="AE1029" i="1"/>
  <c r="AA1029" i="1"/>
  <c r="W1029" i="1"/>
  <c r="S1029" i="1"/>
  <c r="O1029" i="1"/>
  <c r="K1029" i="1"/>
  <c r="G1029" i="1"/>
  <c r="C1029" i="1"/>
  <c r="BC1028" i="1"/>
  <c r="AY1028" i="1"/>
  <c r="AU1028" i="1"/>
  <c r="AQ1028" i="1"/>
  <c r="AM1028" i="1"/>
  <c r="AI1028" i="1"/>
  <c r="AE1028" i="1"/>
  <c r="AA1028" i="1"/>
  <c r="W1028" i="1"/>
  <c r="S1028" i="1"/>
  <c r="O1028" i="1"/>
  <c r="K1028" i="1"/>
  <c r="G1028" i="1"/>
  <c r="C1028" i="1"/>
  <c r="BC1027" i="1"/>
  <c r="AY1027" i="1"/>
  <c r="AU1027" i="1"/>
  <c r="AQ1027" i="1"/>
  <c r="AM1027" i="1"/>
  <c r="AI1027" i="1"/>
  <c r="AE1027" i="1"/>
  <c r="AA1027" i="1"/>
  <c r="W1027" i="1"/>
  <c r="S1027" i="1"/>
  <c r="O1027" i="1"/>
  <c r="K1027" i="1"/>
  <c r="G1027" i="1"/>
  <c r="C1027" i="1"/>
  <c r="BC1026" i="1"/>
  <c r="AY1026" i="1"/>
  <c r="AU1026" i="1"/>
  <c r="AQ1026" i="1"/>
  <c r="AM1026" i="1"/>
  <c r="AI1026" i="1"/>
  <c r="AE1026" i="1"/>
  <c r="AA1026" i="1"/>
  <c r="W1026" i="1"/>
  <c r="S1026" i="1"/>
  <c r="O1026" i="1"/>
  <c r="K1026" i="1"/>
  <c r="G1026" i="1"/>
  <c r="C1026" i="1"/>
  <c r="BC1025" i="1"/>
  <c r="AY1025" i="1"/>
  <c r="AU1025" i="1"/>
  <c r="AQ1025" i="1"/>
  <c r="AM1025" i="1"/>
  <c r="AI1025" i="1"/>
  <c r="AE1025" i="1"/>
  <c r="AA1025" i="1"/>
  <c r="W1025" i="1"/>
  <c r="S1025" i="1"/>
  <c r="O1025" i="1"/>
  <c r="K1025" i="1"/>
  <c r="G1025" i="1"/>
  <c r="C1025" i="1"/>
  <c r="BC1024" i="1"/>
  <c r="AY1024" i="1"/>
  <c r="AU1024" i="1"/>
  <c r="AQ1024" i="1"/>
  <c r="AM1024" i="1"/>
  <c r="AI1024" i="1"/>
  <c r="AE1024" i="1"/>
  <c r="AA1024" i="1"/>
  <c r="W1024" i="1"/>
  <c r="S1024" i="1"/>
  <c r="O1024" i="1"/>
  <c r="K1024" i="1"/>
  <c r="G1024" i="1"/>
  <c r="C1024" i="1"/>
  <c r="D1019" i="1"/>
  <c r="BC1018" i="1"/>
  <c r="AY1018" i="1"/>
  <c r="AU1018" i="1"/>
  <c r="AQ1018" i="1"/>
  <c r="AM1018" i="1"/>
  <c r="AI1018" i="1"/>
  <c r="AE1018" i="1"/>
  <c r="AA1018" i="1"/>
  <c r="W1018" i="1"/>
  <c r="S1018" i="1"/>
  <c r="O1018" i="1"/>
  <c r="K1018" i="1"/>
  <c r="G1018" i="1"/>
  <c r="C1018" i="1"/>
  <c r="BC1017" i="1"/>
  <c r="AY1017" i="1"/>
  <c r="AU1017" i="1"/>
  <c r="AQ1017" i="1"/>
  <c r="AM1017" i="1"/>
  <c r="AI1017" i="1"/>
  <c r="AE1017" i="1"/>
  <c r="AA1017" i="1"/>
  <c r="W1017" i="1"/>
  <c r="S1017" i="1"/>
  <c r="O1017" i="1"/>
  <c r="K1017" i="1"/>
  <c r="G1017" i="1"/>
  <c r="C1017" i="1"/>
  <c r="BC1016" i="1"/>
  <c r="AY1016" i="1"/>
  <c r="AU1016" i="1"/>
  <c r="AQ1016" i="1"/>
  <c r="AM1016" i="1"/>
  <c r="AI1016" i="1"/>
  <c r="AE1016" i="1"/>
  <c r="AA1016" i="1"/>
  <c r="W1016" i="1"/>
  <c r="S1016" i="1"/>
  <c r="O1016" i="1"/>
  <c r="K1016" i="1"/>
  <c r="G1016" i="1"/>
  <c r="C1016" i="1"/>
  <c r="BC1015" i="1"/>
  <c r="AY1015" i="1"/>
  <c r="AU1015" i="1"/>
  <c r="AQ1015" i="1"/>
  <c r="AM1015" i="1"/>
  <c r="AI1015" i="1"/>
  <c r="AE1015" i="1"/>
  <c r="AA1015" i="1"/>
  <c r="W1015" i="1"/>
  <c r="S1015" i="1"/>
  <c r="O1015" i="1"/>
  <c r="K1015" i="1"/>
  <c r="G1015" i="1"/>
  <c r="C1015" i="1"/>
  <c r="BC1014" i="1"/>
  <c r="AY1014" i="1"/>
  <c r="AU1014" i="1"/>
  <c r="AQ1014" i="1"/>
  <c r="AM1014" i="1"/>
  <c r="AI1014" i="1"/>
  <c r="AE1014" i="1"/>
  <c r="AA1014" i="1"/>
  <c r="W1014" i="1"/>
  <c r="S1014" i="1"/>
  <c r="O1014" i="1"/>
  <c r="K1014" i="1"/>
  <c r="G1014" i="1"/>
  <c r="C1014" i="1"/>
  <c r="BC1013" i="1"/>
  <c r="AY1013" i="1"/>
  <c r="AU1013" i="1"/>
  <c r="AQ1013" i="1"/>
  <c r="AM1013" i="1"/>
  <c r="AI1013" i="1"/>
  <c r="AE1013" i="1"/>
  <c r="AA1013" i="1"/>
  <c r="W1013" i="1"/>
  <c r="S1013" i="1"/>
  <c r="O1013" i="1"/>
  <c r="K1013" i="1"/>
  <c r="G1013" i="1"/>
  <c r="C1013" i="1"/>
  <c r="BC1012" i="1"/>
  <c r="AY1012" i="1"/>
  <c r="AU1012" i="1"/>
  <c r="AU1019" i="1" s="1"/>
  <c r="AQ1012" i="1"/>
  <c r="AM1012" i="1"/>
  <c r="AI1012" i="1"/>
  <c r="AE1012" i="1"/>
  <c r="AA1012" i="1"/>
  <c r="W1012" i="1"/>
  <c r="S1012" i="1"/>
  <c r="O1012" i="1"/>
  <c r="K1012" i="1"/>
  <c r="G1012" i="1"/>
  <c r="C1012" i="1"/>
  <c r="D1007" i="1"/>
  <c r="BC1006" i="1"/>
  <c r="AY1006" i="1"/>
  <c r="AU1006" i="1"/>
  <c r="AQ1006" i="1"/>
  <c r="AM1006" i="1"/>
  <c r="AI1006" i="1"/>
  <c r="AE1006" i="1"/>
  <c r="AA1006" i="1"/>
  <c r="W1006" i="1"/>
  <c r="S1006" i="1"/>
  <c r="O1006" i="1"/>
  <c r="K1006" i="1"/>
  <c r="G1006" i="1"/>
  <c r="C1006" i="1"/>
  <c r="BC1005" i="1"/>
  <c r="AY1005" i="1"/>
  <c r="AU1005" i="1"/>
  <c r="AQ1005" i="1"/>
  <c r="AM1005" i="1"/>
  <c r="AI1005" i="1"/>
  <c r="AE1005" i="1"/>
  <c r="AF1005" i="1" s="1"/>
  <c r="AA1005" i="1"/>
  <c r="W1005" i="1"/>
  <c r="S1005" i="1"/>
  <c r="O1005" i="1"/>
  <c r="P1005" i="1" s="1"/>
  <c r="K1005" i="1"/>
  <c r="G1005" i="1"/>
  <c r="C1005" i="1"/>
  <c r="BC1004" i="1"/>
  <c r="AY1004" i="1"/>
  <c r="AU1004" i="1"/>
  <c r="AQ1004" i="1"/>
  <c r="AM1004" i="1"/>
  <c r="AI1004" i="1"/>
  <c r="AE1004" i="1"/>
  <c r="AA1004" i="1"/>
  <c r="W1004" i="1"/>
  <c r="S1004" i="1"/>
  <c r="O1004" i="1"/>
  <c r="K1004" i="1"/>
  <c r="G1004" i="1"/>
  <c r="C1004" i="1"/>
  <c r="BC1003" i="1"/>
  <c r="AY1003" i="1"/>
  <c r="AU1003" i="1"/>
  <c r="AQ1003" i="1"/>
  <c r="AM1003" i="1"/>
  <c r="AI1003" i="1"/>
  <c r="AE1003" i="1"/>
  <c r="AA1003" i="1"/>
  <c r="W1003" i="1"/>
  <c r="S1003" i="1"/>
  <c r="O1003" i="1"/>
  <c r="K1003" i="1"/>
  <c r="G1003" i="1"/>
  <c r="C1003" i="1"/>
  <c r="BC1002" i="1"/>
  <c r="AY1002" i="1"/>
  <c r="AU1002" i="1"/>
  <c r="AQ1002" i="1"/>
  <c r="AM1002" i="1"/>
  <c r="AI1002" i="1"/>
  <c r="AE1002" i="1"/>
  <c r="AA1002" i="1"/>
  <c r="W1002" i="1"/>
  <c r="S1002" i="1"/>
  <c r="O1002" i="1"/>
  <c r="K1002" i="1"/>
  <c r="G1002" i="1"/>
  <c r="C1002" i="1"/>
  <c r="BC1001" i="1"/>
  <c r="AY1001" i="1"/>
  <c r="AU1001" i="1"/>
  <c r="AQ1001" i="1"/>
  <c r="AM1001" i="1"/>
  <c r="AI1001" i="1"/>
  <c r="AE1001" i="1"/>
  <c r="AA1001" i="1"/>
  <c r="W1001" i="1"/>
  <c r="S1001" i="1"/>
  <c r="O1001" i="1"/>
  <c r="K1001" i="1"/>
  <c r="G1001" i="1"/>
  <c r="C1001" i="1"/>
  <c r="BC1000" i="1"/>
  <c r="AY1000" i="1"/>
  <c r="AU1000" i="1"/>
  <c r="AQ1000" i="1"/>
  <c r="AM1000" i="1"/>
  <c r="AI1000" i="1"/>
  <c r="AE1000" i="1"/>
  <c r="AA1000" i="1"/>
  <c r="W1000" i="1"/>
  <c r="S1000" i="1"/>
  <c r="O1000" i="1"/>
  <c r="K1000" i="1"/>
  <c r="G1000" i="1"/>
  <c r="C1000" i="1"/>
  <c r="D995" i="1"/>
  <c r="BC994" i="1"/>
  <c r="AY994" i="1"/>
  <c r="AU994" i="1"/>
  <c r="AQ994" i="1"/>
  <c r="AM994" i="1"/>
  <c r="AI994" i="1"/>
  <c r="AE994" i="1"/>
  <c r="AA994" i="1"/>
  <c r="W994" i="1"/>
  <c r="S994" i="1"/>
  <c r="O994" i="1"/>
  <c r="K994" i="1"/>
  <c r="G994" i="1"/>
  <c r="C994" i="1"/>
  <c r="BC993" i="1"/>
  <c r="AY993" i="1"/>
  <c r="AU993" i="1"/>
  <c r="AQ993" i="1"/>
  <c r="AM993" i="1"/>
  <c r="AI993" i="1"/>
  <c r="AE993" i="1"/>
  <c r="AF993" i="1" s="1"/>
  <c r="AA993" i="1"/>
  <c r="W993" i="1"/>
  <c r="S993" i="1"/>
  <c r="O993" i="1"/>
  <c r="K993" i="1"/>
  <c r="G993" i="1"/>
  <c r="C993" i="1"/>
  <c r="BC992" i="1"/>
  <c r="AY992" i="1"/>
  <c r="AU992" i="1"/>
  <c r="AQ992" i="1"/>
  <c r="AM992" i="1"/>
  <c r="AI992" i="1"/>
  <c r="AE992" i="1"/>
  <c r="AA992" i="1"/>
  <c r="W992" i="1"/>
  <c r="S992" i="1"/>
  <c r="O992" i="1"/>
  <c r="K992" i="1"/>
  <c r="G992" i="1"/>
  <c r="C992" i="1"/>
  <c r="BC991" i="1"/>
  <c r="AY991" i="1"/>
  <c r="AU991" i="1"/>
  <c r="AQ991" i="1"/>
  <c r="AM991" i="1"/>
  <c r="AI991" i="1"/>
  <c r="AE991" i="1"/>
  <c r="AA991" i="1"/>
  <c r="W991" i="1"/>
  <c r="S991" i="1"/>
  <c r="O991" i="1"/>
  <c r="K991" i="1"/>
  <c r="G991" i="1"/>
  <c r="C991" i="1"/>
  <c r="BC990" i="1"/>
  <c r="AY990" i="1"/>
  <c r="AU990" i="1"/>
  <c r="AQ990" i="1"/>
  <c r="AM990" i="1"/>
  <c r="AI990" i="1"/>
  <c r="AE990" i="1"/>
  <c r="AA990" i="1"/>
  <c r="W990" i="1"/>
  <c r="S990" i="1"/>
  <c r="O990" i="1"/>
  <c r="K990" i="1"/>
  <c r="G990" i="1"/>
  <c r="C990" i="1"/>
  <c r="BC989" i="1"/>
  <c r="AY989" i="1"/>
  <c r="AU989" i="1"/>
  <c r="AQ989" i="1"/>
  <c r="AM989" i="1"/>
  <c r="AI989" i="1"/>
  <c r="AE989" i="1"/>
  <c r="AA989" i="1"/>
  <c r="W989" i="1"/>
  <c r="S989" i="1"/>
  <c r="O989" i="1"/>
  <c r="K989" i="1"/>
  <c r="G989" i="1"/>
  <c r="C989" i="1"/>
  <c r="BC988" i="1"/>
  <c r="AY988" i="1"/>
  <c r="AU988" i="1"/>
  <c r="AU995" i="1" s="1"/>
  <c r="AQ988" i="1"/>
  <c r="AM988" i="1"/>
  <c r="AI988" i="1"/>
  <c r="AE988" i="1"/>
  <c r="AA988" i="1"/>
  <c r="W988" i="1"/>
  <c r="S988" i="1"/>
  <c r="O988" i="1"/>
  <c r="K988" i="1"/>
  <c r="G988" i="1"/>
  <c r="C988" i="1"/>
  <c r="D983" i="1"/>
  <c r="BC982" i="1"/>
  <c r="AY982" i="1"/>
  <c r="AU982" i="1"/>
  <c r="AQ982" i="1"/>
  <c r="AM982" i="1"/>
  <c r="AI982" i="1"/>
  <c r="AE982" i="1"/>
  <c r="AA982" i="1"/>
  <c r="W982" i="1"/>
  <c r="S982" i="1"/>
  <c r="O982" i="1"/>
  <c r="K982" i="1"/>
  <c r="G982" i="1"/>
  <c r="C982" i="1"/>
  <c r="BD981" i="1"/>
  <c r="BC981" i="1"/>
  <c r="AY981" i="1"/>
  <c r="AU981" i="1"/>
  <c r="AQ981" i="1"/>
  <c r="AR981" i="1" s="1"/>
  <c r="AM981" i="1"/>
  <c r="AI981" i="1"/>
  <c r="AE981" i="1"/>
  <c r="AA981" i="1"/>
  <c r="W981" i="1"/>
  <c r="S981" i="1"/>
  <c r="O981" i="1"/>
  <c r="P981" i="1" s="1"/>
  <c r="K981" i="1"/>
  <c r="G981" i="1"/>
  <c r="C981" i="1"/>
  <c r="BC980" i="1"/>
  <c r="AY980" i="1"/>
  <c r="AU980" i="1"/>
  <c r="AQ980" i="1"/>
  <c r="AM980" i="1"/>
  <c r="AI980" i="1"/>
  <c r="AE980" i="1"/>
  <c r="AA980" i="1"/>
  <c r="W980" i="1"/>
  <c r="S980" i="1"/>
  <c r="O980" i="1"/>
  <c r="K980" i="1"/>
  <c r="G980" i="1"/>
  <c r="C980" i="1"/>
  <c r="BC979" i="1"/>
  <c r="AY979" i="1"/>
  <c r="AU979" i="1"/>
  <c r="AQ979" i="1"/>
  <c r="AM979" i="1"/>
  <c r="AI979" i="1"/>
  <c r="AE979" i="1"/>
  <c r="AA979" i="1"/>
  <c r="W979" i="1"/>
  <c r="S979" i="1"/>
  <c r="O979" i="1"/>
  <c r="K979" i="1"/>
  <c r="G979" i="1"/>
  <c r="C979" i="1"/>
  <c r="BC978" i="1"/>
  <c r="AY978" i="1"/>
  <c r="AU978" i="1"/>
  <c r="AQ978" i="1"/>
  <c r="AM978" i="1"/>
  <c r="AI978" i="1"/>
  <c r="AE978" i="1"/>
  <c r="AA978" i="1"/>
  <c r="W978" i="1"/>
  <c r="S978" i="1"/>
  <c r="O978" i="1"/>
  <c r="K978" i="1"/>
  <c r="G978" i="1"/>
  <c r="C978" i="1"/>
  <c r="BC977" i="1"/>
  <c r="AY977" i="1"/>
  <c r="AU977" i="1"/>
  <c r="AV977" i="1" s="1"/>
  <c r="AQ977" i="1"/>
  <c r="AM977" i="1"/>
  <c r="AI977" i="1"/>
  <c r="AE977" i="1"/>
  <c r="AA977" i="1"/>
  <c r="W977" i="1"/>
  <c r="S977" i="1"/>
  <c r="O977" i="1"/>
  <c r="K977" i="1"/>
  <c r="G977" i="1"/>
  <c r="C977" i="1"/>
  <c r="BC976" i="1"/>
  <c r="AY976" i="1"/>
  <c r="AU976" i="1"/>
  <c r="AU983" i="1" s="1"/>
  <c r="AQ976" i="1"/>
  <c r="AM976" i="1"/>
  <c r="AI976" i="1"/>
  <c r="AE976" i="1"/>
  <c r="AA976" i="1"/>
  <c r="W976" i="1"/>
  <c r="S976" i="1"/>
  <c r="O976" i="1"/>
  <c r="K976" i="1"/>
  <c r="G976" i="1"/>
  <c r="C976" i="1"/>
  <c r="AZ1002" i="1" l="1"/>
  <c r="T1004" i="1"/>
  <c r="P1017" i="1"/>
  <c r="AV1017" i="1"/>
  <c r="T1027" i="1"/>
  <c r="L1049" i="1"/>
  <c r="AB1051" i="1"/>
  <c r="AZ1052" i="1"/>
  <c r="BD988" i="1"/>
  <c r="BD995" i="1" s="1"/>
  <c r="L989" i="1"/>
  <c r="AR1012" i="1"/>
  <c r="AZ1040" i="1"/>
  <c r="AV1049" i="1"/>
  <c r="AF977" i="1"/>
  <c r="AB1000" i="1"/>
  <c r="AB1007" i="1" s="1"/>
  <c r="H1015" i="1"/>
  <c r="AZ990" i="1"/>
  <c r="L993" i="1"/>
  <c r="AV1030" i="1"/>
  <c r="BD1050" i="1"/>
  <c r="AF1054" i="1"/>
  <c r="AJ1060" i="1"/>
  <c r="AJ1067" i="1" s="1"/>
  <c r="AN1127" i="1"/>
  <c r="AR1127" i="1"/>
  <c r="AZ1127" i="1"/>
  <c r="AB1127" i="1"/>
  <c r="AN1115" i="1"/>
  <c r="AF1103" i="1"/>
  <c r="AN1103" i="1"/>
  <c r="AN1091" i="1"/>
  <c r="AN1079" i="1"/>
  <c r="AJ1066" i="1"/>
  <c r="AJ1038" i="1"/>
  <c r="X1050" i="1"/>
  <c r="BD1003" i="1"/>
  <c r="H1005" i="1"/>
  <c r="AN1005" i="1"/>
  <c r="AV1014" i="1"/>
  <c r="AN1015" i="1"/>
  <c r="AR1024" i="1"/>
  <c r="T1026" i="1"/>
  <c r="AZ1026" i="1"/>
  <c r="AB1027" i="1"/>
  <c r="AN1038" i="1"/>
  <c r="X1040" i="1"/>
  <c r="T1049" i="1"/>
  <c r="AZ1049" i="1"/>
  <c r="H1052" i="1"/>
  <c r="H977" i="1"/>
  <c r="H981" i="1"/>
  <c r="AN981" i="1"/>
  <c r="BD989" i="1"/>
  <c r="L1005" i="1"/>
  <c r="AR1005" i="1"/>
  <c r="L1015" i="1"/>
  <c r="AR1015" i="1"/>
  <c r="AF1027" i="1"/>
  <c r="X1030" i="1"/>
  <c r="X1049" i="1"/>
  <c r="P1062" i="1"/>
  <c r="AF1064" i="1"/>
  <c r="AV1066" i="1"/>
  <c r="AJ1027" i="1"/>
  <c r="AN1050" i="1"/>
  <c r="AZ1048" i="1"/>
  <c r="AZ1055" i="1" s="1"/>
  <c r="AZ1066" i="1"/>
  <c r="AZ1038" i="1"/>
  <c r="H1050" i="1"/>
  <c r="X1005" i="1"/>
  <c r="P1026" i="1"/>
  <c r="X1038" i="1"/>
  <c r="BD1038" i="1"/>
  <c r="AF1049" i="1"/>
  <c r="L1050" i="1"/>
  <c r="AR1050" i="1"/>
  <c r="AV1063" i="1"/>
  <c r="H989" i="1"/>
  <c r="AZ1004" i="1"/>
  <c r="AB1005" i="1"/>
  <c r="AN1006" i="1"/>
  <c r="BD1016" i="1"/>
  <c r="AR1017" i="1"/>
  <c r="P1027" i="1"/>
  <c r="AV1027" i="1"/>
  <c r="H1030" i="1"/>
  <c r="AN1030" i="1"/>
  <c r="AB1038" i="1"/>
  <c r="AZ1041" i="1"/>
  <c r="AF1062" i="1"/>
  <c r="AV978" i="1"/>
  <c r="P992" i="1"/>
  <c r="H1000" i="1"/>
  <c r="H1007" i="1" s="1"/>
  <c r="AJ1004" i="1"/>
  <c r="T1016" i="1"/>
  <c r="AJ1040" i="1"/>
  <c r="X992" i="1"/>
  <c r="P1015" i="1"/>
  <c r="T1029" i="1"/>
  <c r="AB1037" i="1"/>
  <c r="AN1040" i="1"/>
  <c r="AZ1060" i="1"/>
  <c r="AZ1067" i="1" s="1"/>
  <c r="AR980" i="1"/>
  <c r="AV989" i="1"/>
  <c r="AJ989" i="1"/>
  <c r="AB992" i="1"/>
  <c r="AR1000" i="1"/>
  <c r="AB1002" i="1"/>
  <c r="AN1003" i="1"/>
  <c r="AB1006" i="1"/>
  <c r="AZ1015" i="1"/>
  <c r="H1027" i="1"/>
  <c r="AN1027" i="1"/>
  <c r="P1040" i="1"/>
  <c r="AR1040" i="1"/>
  <c r="BD1048" i="1"/>
  <c r="BD1055" i="1" s="1"/>
  <c r="AJ1051" i="1"/>
  <c r="AN1052" i="1"/>
  <c r="AB1060" i="1"/>
  <c r="AB1067" i="1" s="1"/>
  <c r="BD1060" i="1"/>
  <c r="P978" i="1"/>
  <c r="AV992" i="1"/>
  <c r="AZ1016" i="1"/>
  <c r="AF1052" i="1"/>
  <c r="T1060" i="1"/>
  <c r="T1067" i="1" s="1"/>
  <c r="H980" i="1"/>
  <c r="BD992" i="1"/>
  <c r="H1004" i="1"/>
  <c r="AV1015" i="1"/>
  <c r="AZ1029" i="1"/>
  <c r="BD1037" i="1"/>
  <c r="L1040" i="1"/>
  <c r="X1060" i="1"/>
  <c r="X1067" i="1" s="1"/>
  <c r="AN989" i="1"/>
  <c r="BD1005" i="1"/>
  <c r="X1015" i="1"/>
  <c r="AB1025" i="1"/>
  <c r="L1027" i="1"/>
  <c r="AR1027" i="1"/>
  <c r="H1038" i="1"/>
  <c r="T1040" i="1"/>
  <c r="AV1040" i="1"/>
  <c r="AF1042" i="1"/>
  <c r="AF1048" i="1"/>
  <c r="L1052" i="1"/>
  <c r="AR1052" i="1"/>
  <c r="AR1062" i="1"/>
  <c r="AZ1063" i="1"/>
  <c r="AN1065" i="1"/>
  <c r="H978" i="1"/>
  <c r="AN978" i="1"/>
  <c r="X980" i="1"/>
  <c r="BD980" i="1"/>
  <c r="X1004" i="1"/>
  <c r="H1016" i="1"/>
  <c r="AF1029" i="1"/>
  <c r="H1042" i="1"/>
  <c r="H1060" i="1"/>
  <c r="H1067" i="1" s="1"/>
  <c r="AB976" i="1"/>
  <c r="L978" i="1"/>
  <c r="AR978" i="1"/>
  <c r="AB980" i="1"/>
  <c r="L1002" i="1"/>
  <c r="AR1002" i="1"/>
  <c r="AB1004" i="1"/>
  <c r="AR1006" i="1"/>
  <c r="AJ1015" i="1"/>
  <c r="X1027" i="1"/>
  <c r="AR1037" i="1"/>
  <c r="AB1040" i="1"/>
  <c r="AF1041" i="1"/>
  <c r="L1042" i="1"/>
  <c r="AR1042" i="1"/>
  <c r="P1049" i="1"/>
  <c r="T1050" i="1"/>
  <c r="AZ1051" i="1"/>
  <c r="X1052" i="1"/>
  <c r="BD1052" i="1"/>
  <c r="AN1060" i="1"/>
  <c r="AN1067" i="1" s="1"/>
  <c r="X1062" i="1"/>
  <c r="BD1062" i="1"/>
  <c r="AF1063" i="1"/>
  <c r="AV1002" i="1"/>
  <c r="P1042" i="1"/>
  <c r="AB1052" i="1"/>
  <c r="P1060" i="1"/>
  <c r="P1067" i="1" s="1"/>
  <c r="AB1062" i="1"/>
  <c r="AB1066" i="1"/>
  <c r="H1014" i="1"/>
  <c r="AE983" i="1"/>
  <c r="AZ991" i="1"/>
  <c r="AJ1001" i="1"/>
  <c r="X1018" i="1"/>
  <c r="AZ1039" i="1"/>
  <c r="P1063" i="1"/>
  <c r="T1064" i="1"/>
  <c r="AB1065" i="1"/>
  <c r="BD1065" i="1"/>
  <c r="AF1000" i="1"/>
  <c r="P1012" i="1"/>
  <c r="X1013" i="1"/>
  <c r="AJ1014" i="1"/>
  <c r="H1013" i="1"/>
  <c r="AB1012" i="1"/>
  <c r="T1014" i="1"/>
  <c r="P1054" i="1"/>
  <c r="AV1054" i="1"/>
  <c r="AN1063" i="1"/>
  <c r="L1064" i="1"/>
  <c r="AR1064" i="1"/>
  <c r="T1065" i="1"/>
  <c r="AJ1054" i="1"/>
  <c r="AJ1013" i="1"/>
  <c r="AN1018" i="1"/>
  <c r="AJ1039" i="1"/>
  <c r="L1065" i="1"/>
  <c r="L1054" i="1"/>
  <c r="AR1065" i="1"/>
  <c r="X982" i="1"/>
  <c r="BD982" i="1"/>
  <c r="AJ982" i="1"/>
  <c r="AR1013" i="1"/>
  <c r="P977" i="1"/>
  <c r="AF981" i="1"/>
  <c r="AJ981" i="1"/>
  <c r="AJ1016" i="1"/>
  <c r="T1018" i="1"/>
  <c r="AZ1018" i="1"/>
  <c r="H1026" i="1"/>
  <c r="T1054" i="1"/>
  <c r="P1064" i="1"/>
  <c r="AV1064" i="1"/>
  <c r="H982" i="1"/>
  <c r="H988" i="1"/>
  <c r="H995" i="1" s="1"/>
  <c r="AF992" i="1"/>
  <c r="AJ1006" i="1"/>
  <c r="L1013" i="1"/>
  <c r="L1014" i="1"/>
  <c r="AN1014" i="1"/>
  <c r="AR1016" i="1"/>
  <c r="AB1018" i="1"/>
  <c r="AR1025" i="1"/>
  <c r="BD1030" i="1"/>
  <c r="AZ1037" i="1"/>
  <c r="AJ1042" i="1"/>
  <c r="AB1049" i="1"/>
  <c r="BD1049" i="1"/>
  <c r="H1062" i="1"/>
  <c r="AJ1062" i="1"/>
  <c r="H1063" i="1"/>
  <c r="X1064" i="1"/>
  <c r="AZ1064" i="1"/>
  <c r="AJ976" i="1"/>
  <c r="AJ983" i="1" s="1"/>
  <c r="T978" i="1"/>
  <c r="AZ978" i="1"/>
  <c r="AN980" i="1"/>
  <c r="L982" i="1"/>
  <c r="AR982" i="1"/>
  <c r="L988" i="1"/>
  <c r="L995" i="1" s="1"/>
  <c r="AF991" i="1"/>
  <c r="AJ993" i="1"/>
  <c r="L994" i="1"/>
  <c r="AR994" i="1"/>
  <c r="AN1000" i="1"/>
  <c r="AN1007" i="1" s="1"/>
  <c r="AV1004" i="1"/>
  <c r="AF1004" i="1"/>
  <c r="AJ1005" i="1"/>
  <c r="P1013" i="1"/>
  <c r="P1014" i="1"/>
  <c r="AR1014" i="1"/>
  <c r="P1016" i="1"/>
  <c r="H1025" i="1"/>
  <c r="AN1025" i="1"/>
  <c r="AV1026" i="1"/>
  <c r="X1028" i="1"/>
  <c r="AF1030" i="1"/>
  <c r="AE1043" i="1"/>
  <c r="T1038" i="1"/>
  <c r="P1039" i="1"/>
  <c r="AV1039" i="1"/>
  <c r="AN1042" i="1"/>
  <c r="H1048" i="1"/>
  <c r="H1055" i="1" s="1"/>
  <c r="AJ1048" i="1"/>
  <c r="AJ1055" i="1" s="1"/>
  <c r="H1049" i="1"/>
  <c r="AB1050" i="1"/>
  <c r="X1051" i="1"/>
  <c r="AN1053" i="1"/>
  <c r="L1062" i="1"/>
  <c r="AN1062" i="1"/>
  <c r="AJ1063" i="1"/>
  <c r="BD1063" i="1"/>
  <c r="AB1064" i="1"/>
  <c r="BD1064" i="1"/>
  <c r="X1066" i="1"/>
  <c r="T981" i="1"/>
  <c r="AR992" i="1"/>
  <c r="T994" i="1"/>
  <c r="L1030" i="1"/>
  <c r="T1042" i="1"/>
  <c r="AJ1049" i="1"/>
  <c r="H1064" i="1"/>
  <c r="BD977" i="1"/>
  <c r="P980" i="1"/>
  <c r="X981" i="1"/>
  <c r="AR990" i="1"/>
  <c r="L991" i="1"/>
  <c r="T993" i="1"/>
  <c r="BD994" i="1"/>
  <c r="X1000" i="1"/>
  <c r="X1007" i="1" s="1"/>
  <c r="AJ1002" i="1"/>
  <c r="H1003" i="1"/>
  <c r="AN1004" i="1"/>
  <c r="T1012" i="1"/>
  <c r="BD1014" i="1"/>
  <c r="BD1026" i="1"/>
  <c r="P1030" i="1"/>
  <c r="BD1040" i="1"/>
  <c r="X1042" i="1"/>
  <c r="AZ1042" i="1"/>
  <c r="T1048" i="1"/>
  <c r="AN1049" i="1"/>
  <c r="H1051" i="1"/>
  <c r="T1053" i="1"/>
  <c r="AV1062" i="1"/>
  <c r="T1063" i="1"/>
  <c r="AJ1064" i="1"/>
  <c r="P1066" i="1"/>
  <c r="AV981" i="1"/>
  <c r="P993" i="1"/>
  <c r="AR993" i="1"/>
  <c r="T1000" i="1"/>
  <c r="AV1013" i="1"/>
  <c r="AZ1014" i="1"/>
  <c r="X1026" i="1"/>
  <c r="AF1037" i="1"/>
  <c r="AV1042" i="1"/>
  <c r="P1053" i="1"/>
  <c r="T1062" i="1"/>
  <c r="H1065" i="1"/>
  <c r="T976" i="1"/>
  <c r="T983" i="1" s="1"/>
  <c r="AZ976" i="1"/>
  <c r="AZ983" i="1" s="1"/>
  <c r="AZ980" i="1"/>
  <c r="AB982" i="1"/>
  <c r="AB988" i="1"/>
  <c r="AB995" i="1" s="1"/>
  <c r="AF989" i="1"/>
  <c r="AZ993" i="1"/>
  <c r="BD1000" i="1"/>
  <c r="BD1007" i="1" s="1"/>
  <c r="H1002" i="1"/>
  <c r="P1004" i="1"/>
  <c r="T1005" i="1"/>
  <c r="AV1005" i="1"/>
  <c r="AB1013" i="1"/>
  <c r="AF1015" i="1"/>
  <c r="BD1015" i="1"/>
  <c r="P1018" i="1"/>
  <c r="AR1018" i="1"/>
  <c r="P1024" i="1"/>
  <c r="AF1026" i="1"/>
  <c r="AV1029" i="1"/>
  <c r="AR1030" i="1"/>
  <c r="H1040" i="1"/>
  <c r="AF1040" i="1"/>
  <c r="AB1042" i="1"/>
  <c r="BD1042" i="1"/>
  <c r="X1048" i="1"/>
  <c r="X1055" i="1" s="1"/>
  <c r="AR1049" i="1"/>
  <c r="BD1053" i="1"/>
  <c r="AZ1062" i="1"/>
  <c r="X1063" i="1"/>
  <c r="AN1064" i="1"/>
  <c r="O1067" i="1"/>
  <c r="AF1003" i="1"/>
  <c r="BD1006" i="1"/>
  <c r="AZ1025" i="1"/>
  <c r="L1001" i="1"/>
  <c r="AJ1003" i="1"/>
  <c r="AR1004" i="1"/>
  <c r="H1006" i="1"/>
  <c r="X1012" i="1"/>
  <c r="X1019" i="1" s="1"/>
  <c r="X1016" i="1"/>
  <c r="BD1025" i="1"/>
  <c r="L1028" i="1"/>
  <c r="AV1001" i="1"/>
  <c r="T1002" i="1"/>
  <c r="L1003" i="1"/>
  <c r="L1006" i="1"/>
  <c r="AV1012" i="1"/>
  <c r="AV1019" i="1" s="1"/>
  <c r="AB1016" i="1"/>
  <c r="X1017" i="1"/>
  <c r="AV1018" i="1"/>
  <c r="L1025" i="1"/>
  <c r="AJ1025" i="1"/>
  <c r="AR1003" i="1"/>
  <c r="H1012" i="1"/>
  <c r="H1019" i="1" s="1"/>
  <c r="BD1018" i="1"/>
  <c r="O1007" i="1"/>
  <c r="X1003" i="1"/>
  <c r="AV1003" i="1"/>
  <c r="BD1004" i="1"/>
  <c r="L1012" i="1"/>
  <c r="L1019" i="1" s="1"/>
  <c r="AJ1012" i="1"/>
  <c r="AJ1019" i="1" s="1"/>
  <c r="AN1013" i="1"/>
  <c r="BD1013" i="1"/>
  <c r="T1015" i="1"/>
  <c r="H1017" i="1"/>
  <c r="AJ1017" i="1"/>
  <c r="H1018" i="1"/>
  <c r="AJ1018" i="1"/>
  <c r="AJ1026" i="1"/>
  <c r="AZ1027" i="1"/>
  <c r="AZ1030" i="1"/>
  <c r="AB1003" i="1"/>
  <c r="AV1025" i="1"/>
  <c r="P1003" i="1"/>
  <c r="AZ1012" i="1"/>
  <c r="AZ1019" i="1" s="1"/>
  <c r="AF1016" i="1"/>
  <c r="P1025" i="1"/>
  <c r="L1000" i="1"/>
  <c r="L1007" i="1" s="1"/>
  <c r="AZ1000" i="1"/>
  <c r="AZ1007" i="1" s="1"/>
  <c r="X1001" i="1"/>
  <c r="T1003" i="1"/>
  <c r="BD1012" i="1"/>
  <c r="BD1019" i="1" s="1"/>
  <c r="AF1018" i="1"/>
  <c r="T1025" i="1"/>
  <c r="P1000" i="1"/>
  <c r="AJ1000" i="1"/>
  <c r="AJ1007" i="1" s="1"/>
  <c r="BD1002" i="1"/>
  <c r="AZ1003" i="1"/>
  <c r="AZ1005" i="1"/>
  <c r="X1006" i="1"/>
  <c r="AV1006" i="1"/>
  <c r="AN1012" i="1"/>
  <c r="AN1019" i="1" s="1"/>
  <c r="AF1014" i="1"/>
  <c r="AB1015" i="1"/>
  <c r="AN1016" i="1"/>
  <c r="L1018" i="1"/>
  <c r="X1025" i="1"/>
  <c r="AN1026" i="1"/>
  <c r="BD1027" i="1"/>
  <c r="AB1028" i="1"/>
  <c r="X988" i="1"/>
  <c r="X995" i="1" s="1"/>
  <c r="AB991" i="1"/>
  <c r="AB977" i="1"/>
  <c r="T977" i="1"/>
  <c r="AN977" i="1"/>
  <c r="T988" i="1"/>
  <c r="T995" i="1" s="1"/>
  <c r="AN988" i="1"/>
  <c r="AN995" i="1" s="1"/>
  <c r="X989" i="1"/>
  <c r="X991" i="1"/>
  <c r="AR991" i="1"/>
  <c r="X976" i="1"/>
  <c r="X983" i="1" s="1"/>
  <c r="BD976" i="1"/>
  <c r="BD983" i="1" s="1"/>
  <c r="AR977" i="1"/>
  <c r="T980" i="1"/>
  <c r="AV980" i="1"/>
  <c r="AF982" i="1"/>
  <c r="AB989" i="1"/>
  <c r="AZ989" i="1"/>
  <c r="X990" i="1"/>
  <c r="BD990" i="1"/>
  <c r="AV991" i="1"/>
  <c r="H991" i="1"/>
  <c r="AV988" i="1"/>
  <c r="AV995" i="1" s="1"/>
  <c r="H976" i="1"/>
  <c r="H983" i="1" s="1"/>
  <c r="AN976" i="1"/>
  <c r="AN983" i="1" s="1"/>
  <c r="L977" i="1"/>
  <c r="AB978" i="1"/>
  <c r="AJ980" i="1"/>
  <c r="AB981" i="1"/>
  <c r="P982" i="1"/>
  <c r="AE995" i="1"/>
  <c r="AZ988" i="1"/>
  <c r="AZ995" i="1" s="1"/>
  <c r="P989" i="1"/>
  <c r="H992" i="1"/>
  <c r="X977" i="1"/>
  <c r="AZ977" i="1"/>
  <c r="AF980" i="1"/>
  <c r="AZ992" i="1"/>
  <c r="L976" i="1"/>
  <c r="L983" i="1" s="1"/>
  <c r="AR976" i="1"/>
  <c r="AR983" i="1" s="1"/>
  <c r="AJ977" i="1"/>
  <c r="AR979" i="1"/>
  <c r="AZ981" i="1"/>
  <c r="AJ988" i="1"/>
  <c r="AJ995" i="1" s="1"/>
  <c r="T989" i="1"/>
  <c r="P991" i="1"/>
  <c r="AN991" i="1"/>
  <c r="L992" i="1"/>
  <c r="AB994" i="1"/>
  <c r="AR988" i="1"/>
  <c r="AR995" i="1" s="1"/>
  <c r="BD991" i="1"/>
  <c r="P976" i="1"/>
  <c r="AJ978" i="1"/>
  <c r="L980" i="1"/>
  <c r="L981" i="1"/>
  <c r="AR989" i="1"/>
  <c r="AN992" i="1"/>
  <c r="AV979" i="1"/>
  <c r="H979" i="1"/>
  <c r="AB979" i="1"/>
  <c r="AF1036" i="1"/>
  <c r="AJ990" i="1"/>
  <c r="BD1061" i="1"/>
  <c r="AN1061" i="1"/>
  <c r="X1061" i="1"/>
  <c r="H1061" i="1"/>
  <c r="L1061" i="1"/>
  <c r="AB1061" i="1"/>
  <c r="AR1061" i="1"/>
  <c r="T1061" i="1"/>
  <c r="AF1061" i="1"/>
  <c r="P979" i="1"/>
  <c r="AJ979" i="1"/>
  <c r="O983" i="1"/>
  <c r="O995" i="1"/>
  <c r="P988" i="1"/>
  <c r="AV1028" i="1"/>
  <c r="AF1028" i="1"/>
  <c r="P1028" i="1"/>
  <c r="BD1028" i="1"/>
  <c r="T1028" i="1"/>
  <c r="AJ1028" i="1"/>
  <c r="AN1028" i="1"/>
  <c r="AZ1028" i="1"/>
  <c r="X978" i="1"/>
  <c r="AN979" i="1"/>
  <c r="L990" i="1"/>
  <c r="H1028" i="1"/>
  <c r="AF1012" i="1"/>
  <c r="AE1019" i="1"/>
  <c r="AF1002" i="1"/>
  <c r="AE1007" i="1"/>
  <c r="AJ1036" i="1"/>
  <c r="AJ1043" i="1" s="1"/>
  <c r="P1036" i="1"/>
  <c r="P1043" i="1" s="1"/>
  <c r="AV1036" i="1"/>
  <c r="AV1043" i="1" s="1"/>
  <c r="AF976" i="1"/>
  <c r="AZ979" i="1"/>
  <c r="AF988" i="1"/>
  <c r="AF1025" i="1"/>
  <c r="AE1031" i="1"/>
  <c r="AF979" i="1"/>
  <c r="AV990" i="1"/>
  <c r="AF990" i="1"/>
  <c r="P990" i="1"/>
  <c r="AB990" i="1"/>
  <c r="L979" i="1"/>
  <c r="BD979" i="1"/>
  <c r="T979" i="1"/>
  <c r="AV976" i="1"/>
  <c r="AV983" i="1" s="1"/>
  <c r="C983" i="1"/>
  <c r="AF978" i="1"/>
  <c r="BD978" i="1"/>
  <c r="X979" i="1"/>
  <c r="C995" i="1"/>
  <c r="T990" i="1"/>
  <c r="AR1028" i="1"/>
  <c r="AZ1036" i="1"/>
  <c r="AZ1043" i="1" s="1"/>
  <c r="C1043" i="1"/>
  <c r="H990" i="1"/>
  <c r="AV994" i="1"/>
  <c r="AN994" i="1"/>
  <c r="X994" i="1"/>
  <c r="H994" i="1"/>
  <c r="AF994" i="1"/>
  <c r="AZ994" i="1"/>
  <c r="C1007" i="1"/>
  <c r="AZ1001" i="1"/>
  <c r="H1001" i="1"/>
  <c r="BD1001" i="1"/>
  <c r="AB1029" i="1"/>
  <c r="H1036" i="1"/>
  <c r="BD1039" i="1"/>
  <c r="AN1039" i="1"/>
  <c r="X1039" i="1"/>
  <c r="H1039" i="1"/>
  <c r="L1039" i="1"/>
  <c r="AB1039" i="1"/>
  <c r="T1041" i="1"/>
  <c r="AV1053" i="1"/>
  <c r="AJ1061" i="1"/>
  <c r="AF1066" i="1"/>
  <c r="T982" i="1"/>
  <c r="AN982" i="1"/>
  <c r="T1017" i="1"/>
  <c r="AF1017" i="1"/>
  <c r="L1017" i="1"/>
  <c r="AB1017" i="1"/>
  <c r="AZ1017" i="1"/>
  <c r="X1024" i="1"/>
  <c r="X1031" i="1" s="1"/>
  <c r="AU1031" i="1"/>
  <c r="AV1024" i="1"/>
  <c r="AV1031" i="1" s="1"/>
  <c r="L1036" i="1"/>
  <c r="AN1036" i="1"/>
  <c r="AN1043" i="1" s="1"/>
  <c r="AF1039" i="1"/>
  <c r="X1041" i="1"/>
  <c r="P1048" i="1"/>
  <c r="AN1048" i="1"/>
  <c r="AN1055" i="1" s="1"/>
  <c r="AE1055" i="1"/>
  <c r="AV1050" i="1"/>
  <c r="AF1050" i="1"/>
  <c r="P1050" i="1"/>
  <c r="AJ1050" i="1"/>
  <c r="AZ1050" i="1"/>
  <c r="T1051" i="1"/>
  <c r="X1053" i="1"/>
  <c r="AZ1053" i="1"/>
  <c r="P1061" i="1"/>
  <c r="AR1063" i="1"/>
  <c r="AB1063" i="1"/>
  <c r="L1063" i="1"/>
  <c r="H1066" i="1"/>
  <c r="BD1024" i="1"/>
  <c r="BD1031" i="1" s="1"/>
  <c r="T1024" i="1"/>
  <c r="C1031" i="1"/>
  <c r="AF1024" i="1"/>
  <c r="L1024" i="1"/>
  <c r="L1031" i="1" s="1"/>
  <c r="AV982" i="1"/>
  <c r="AN990" i="1"/>
  <c r="BD993" i="1"/>
  <c r="AN993" i="1"/>
  <c r="X993" i="1"/>
  <c r="H993" i="1"/>
  <c r="AB993" i="1"/>
  <c r="AV993" i="1"/>
  <c r="P994" i="1"/>
  <c r="AJ994" i="1"/>
  <c r="AU1007" i="1"/>
  <c r="AV1000" i="1"/>
  <c r="AV1007" i="1" s="1"/>
  <c r="AN1001" i="1"/>
  <c r="H1024" i="1"/>
  <c r="H1031" i="1" s="1"/>
  <c r="L1029" i="1"/>
  <c r="AN1029" i="1"/>
  <c r="H1041" i="1"/>
  <c r="O1055" i="1"/>
  <c r="AF1051" i="1"/>
  <c r="H1053" i="1"/>
  <c r="BD1054" i="1"/>
  <c r="AN1054" i="1"/>
  <c r="X1054" i="1"/>
  <c r="H1054" i="1"/>
  <c r="AB1054" i="1"/>
  <c r="AR1054" i="1"/>
  <c r="AZ1054" i="1"/>
  <c r="AU1067" i="1"/>
  <c r="AJ1029" i="1"/>
  <c r="P1029" i="1"/>
  <c r="AB1024" i="1"/>
  <c r="AB1031" i="1" s="1"/>
  <c r="AZ1024" i="1"/>
  <c r="AZ1031" i="1" s="1"/>
  <c r="H1029" i="1"/>
  <c r="T1036" i="1"/>
  <c r="T1043" i="1" s="1"/>
  <c r="AR1041" i="1"/>
  <c r="AB1041" i="1"/>
  <c r="L1041" i="1"/>
  <c r="AZ982" i="1"/>
  <c r="T1001" i="1"/>
  <c r="AR1001" i="1"/>
  <c r="AJ1024" i="1"/>
  <c r="AJ1031" i="1" s="1"/>
  <c r="AB1036" i="1"/>
  <c r="AB1043" i="1" s="1"/>
  <c r="T1039" i="1"/>
  <c r="AR1039" i="1"/>
  <c r="AJ1041" i="1"/>
  <c r="BD1041" i="1"/>
  <c r="C1055" i="1"/>
  <c r="AR1048" i="1"/>
  <c r="AB1048" i="1"/>
  <c r="AB1055" i="1" s="1"/>
  <c r="L1048" i="1"/>
  <c r="L1055" i="1" s="1"/>
  <c r="L1053" i="1"/>
  <c r="AZ1061" i="1"/>
  <c r="AV1065" i="1"/>
  <c r="AF1065" i="1"/>
  <c r="P1065" i="1"/>
  <c r="AJ1065" i="1"/>
  <c r="AZ1065" i="1"/>
  <c r="X1065" i="1"/>
  <c r="T1066" i="1"/>
  <c r="AB1001" i="1"/>
  <c r="AF1006" i="1"/>
  <c r="AF1013" i="1"/>
  <c r="AV1016" i="1"/>
  <c r="BD1029" i="1"/>
  <c r="BD1036" i="1"/>
  <c r="BD1043" i="1" s="1"/>
  <c r="AR1038" i="1"/>
  <c r="L1051" i="1"/>
  <c r="AR1060" i="1"/>
  <c r="L1066" i="1"/>
  <c r="T991" i="1"/>
  <c r="AJ991" i="1"/>
  <c r="AF1001" i="1"/>
  <c r="P1002" i="1"/>
  <c r="P1006" i="1"/>
  <c r="AZ1006" i="1"/>
  <c r="AZ1013" i="1"/>
  <c r="C1019" i="1"/>
  <c r="O1031" i="1"/>
  <c r="AR1026" i="1"/>
  <c r="AB1026" i="1"/>
  <c r="L1026" i="1"/>
  <c r="AV1038" i="1"/>
  <c r="BD1051" i="1"/>
  <c r="AR1053" i="1"/>
  <c r="C1067" i="1"/>
  <c r="AV1060" i="1"/>
  <c r="AV1061" i="1"/>
  <c r="BD1066" i="1"/>
  <c r="P1001" i="1"/>
  <c r="AN1002" i="1"/>
  <c r="L1004" i="1"/>
  <c r="T1006" i="1"/>
  <c r="T1013" i="1"/>
  <c r="X1014" i="1"/>
  <c r="L1016" i="1"/>
  <c r="BD1017" i="1"/>
  <c r="AR1029" i="1"/>
  <c r="AR1036" i="1"/>
  <c r="AR1043" i="1" s="1"/>
  <c r="AF1038" i="1"/>
  <c r="AN1051" i="1"/>
  <c r="AB1053" i="1"/>
  <c r="AN1066" i="1"/>
  <c r="T992" i="1"/>
  <c r="AJ992" i="1"/>
  <c r="X1002" i="1"/>
  <c r="O1019" i="1"/>
  <c r="AB1014" i="1"/>
  <c r="AN1017" i="1"/>
  <c r="AN1024" i="1"/>
  <c r="AN1031" i="1" s="1"/>
  <c r="X1029" i="1"/>
  <c r="X1036" i="1"/>
  <c r="X1043" i="1" s="1"/>
  <c r="L1038" i="1"/>
  <c r="AR1051" i="1"/>
  <c r="AF1053" i="1"/>
  <c r="L1060" i="1"/>
  <c r="AR1066" i="1"/>
  <c r="T1030" i="1"/>
  <c r="AJ1030" i="1"/>
  <c r="T1037" i="1"/>
  <c r="AJ1037" i="1"/>
  <c r="T1052" i="1"/>
  <c r="AJ1052" i="1"/>
  <c r="AF1060" i="1"/>
  <c r="AF1067" i="1" s="1"/>
  <c r="D971" i="1"/>
  <c r="BC970" i="1"/>
  <c r="AY970" i="1"/>
  <c r="AU970" i="1"/>
  <c r="AQ970" i="1"/>
  <c r="AM970" i="1"/>
  <c r="AI970" i="1"/>
  <c r="AE970" i="1"/>
  <c r="AA970" i="1"/>
  <c r="W970" i="1"/>
  <c r="S970" i="1"/>
  <c r="O970" i="1"/>
  <c r="K970" i="1"/>
  <c r="G970" i="1"/>
  <c r="C970" i="1"/>
  <c r="BC969" i="1"/>
  <c r="AY969" i="1"/>
  <c r="AU969" i="1"/>
  <c r="AQ969" i="1"/>
  <c r="AM969" i="1"/>
  <c r="AI969" i="1"/>
  <c r="AE969" i="1"/>
  <c r="AA969" i="1"/>
  <c r="W969" i="1"/>
  <c r="S969" i="1"/>
  <c r="O969" i="1"/>
  <c r="K969" i="1"/>
  <c r="G969" i="1"/>
  <c r="C969" i="1"/>
  <c r="BC968" i="1"/>
  <c r="AY968" i="1"/>
  <c r="AU968" i="1"/>
  <c r="AQ968" i="1"/>
  <c r="AM968" i="1"/>
  <c r="AI968" i="1"/>
  <c r="AE968" i="1"/>
  <c r="AA968" i="1"/>
  <c r="W968" i="1"/>
  <c r="S968" i="1"/>
  <c r="O968" i="1"/>
  <c r="K968" i="1"/>
  <c r="G968" i="1"/>
  <c r="C968" i="1"/>
  <c r="BC967" i="1"/>
  <c r="AY967" i="1"/>
  <c r="AU967" i="1"/>
  <c r="AQ967" i="1"/>
  <c r="AM967" i="1"/>
  <c r="AI967" i="1"/>
  <c r="AE967" i="1"/>
  <c r="AA967" i="1"/>
  <c r="W967" i="1"/>
  <c r="S967" i="1"/>
  <c r="O967" i="1"/>
  <c r="K967" i="1"/>
  <c r="G967" i="1"/>
  <c r="C967" i="1"/>
  <c r="BC966" i="1"/>
  <c r="AY966" i="1"/>
  <c r="AU966" i="1"/>
  <c r="AQ966" i="1"/>
  <c r="AM966" i="1"/>
  <c r="AI966" i="1"/>
  <c r="AE966" i="1"/>
  <c r="AA966" i="1"/>
  <c r="W966" i="1"/>
  <c r="S966" i="1"/>
  <c r="O966" i="1"/>
  <c r="K966" i="1"/>
  <c r="G966" i="1"/>
  <c r="C966" i="1"/>
  <c r="BC965" i="1"/>
  <c r="AY965" i="1"/>
  <c r="AU965" i="1"/>
  <c r="AQ965" i="1"/>
  <c r="AM965" i="1"/>
  <c r="AI965" i="1"/>
  <c r="AE965" i="1"/>
  <c r="AA965" i="1"/>
  <c r="W965" i="1"/>
  <c r="S965" i="1"/>
  <c r="O965" i="1"/>
  <c r="K965" i="1"/>
  <c r="G965" i="1"/>
  <c r="C965" i="1"/>
  <c r="BC964" i="1"/>
  <c r="AY964" i="1"/>
  <c r="AU964" i="1"/>
  <c r="AQ964" i="1"/>
  <c r="AM964" i="1"/>
  <c r="AI964" i="1"/>
  <c r="AE964" i="1"/>
  <c r="AA964" i="1"/>
  <c r="W964" i="1"/>
  <c r="S964" i="1"/>
  <c r="O964" i="1"/>
  <c r="O971" i="1" s="1"/>
  <c r="K964" i="1"/>
  <c r="G964" i="1"/>
  <c r="C964" i="1"/>
  <c r="D959" i="1"/>
  <c r="BC958" i="1"/>
  <c r="AY958" i="1"/>
  <c r="AU958" i="1"/>
  <c r="AQ958" i="1"/>
  <c r="AM958" i="1"/>
  <c r="AI958" i="1"/>
  <c r="AE958" i="1"/>
  <c r="AA958" i="1"/>
  <c r="W958" i="1"/>
  <c r="S958" i="1"/>
  <c r="O958" i="1"/>
  <c r="K958" i="1"/>
  <c r="G958" i="1"/>
  <c r="C958" i="1"/>
  <c r="AJ958" i="1" s="1"/>
  <c r="BC957" i="1"/>
  <c r="AY957" i="1"/>
  <c r="AU957" i="1"/>
  <c r="AQ957" i="1"/>
  <c r="AM957" i="1"/>
  <c r="AI957" i="1"/>
  <c r="AE957" i="1"/>
  <c r="AF957" i="1" s="1"/>
  <c r="AA957" i="1"/>
  <c r="W957" i="1"/>
  <c r="S957" i="1"/>
  <c r="O957" i="1"/>
  <c r="K957" i="1"/>
  <c r="G957" i="1"/>
  <c r="C957" i="1"/>
  <c r="BC956" i="1"/>
  <c r="AY956" i="1"/>
  <c r="AU956" i="1"/>
  <c r="AQ956" i="1"/>
  <c r="AM956" i="1"/>
  <c r="AI956" i="1"/>
  <c r="AE956" i="1"/>
  <c r="AA956" i="1"/>
  <c r="W956" i="1"/>
  <c r="S956" i="1"/>
  <c r="O956" i="1"/>
  <c r="K956" i="1"/>
  <c r="G956" i="1"/>
  <c r="C956" i="1"/>
  <c r="BC955" i="1"/>
  <c r="AY955" i="1"/>
  <c r="AU955" i="1"/>
  <c r="AQ955" i="1"/>
  <c r="AM955" i="1"/>
  <c r="AI955" i="1"/>
  <c r="AE955" i="1"/>
  <c r="AF955" i="1" s="1"/>
  <c r="AA955" i="1"/>
  <c r="W955" i="1"/>
  <c r="S955" i="1"/>
  <c r="O955" i="1"/>
  <c r="K955" i="1"/>
  <c r="G955" i="1"/>
  <c r="C955" i="1"/>
  <c r="BC954" i="1"/>
  <c r="AY954" i="1"/>
  <c r="AU954" i="1"/>
  <c r="AQ954" i="1"/>
  <c r="AM954" i="1"/>
  <c r="AI954" i="1"/>
  <c r="AE954" i="1"/>
  <c r="AA954" i="1"/>
  <c r="W954" i="1"/>
  <c r="S954" i="1"/>
  <c r="O954" i="1"/>
  <c r="K954" i="1"/>
  <c r="G954" i="1"/>
  <c r="C954" i="1"/>
  <c r="BC953" i="1"/>
  <c r="AY953" i="1"/>
  <c r="AU953" i="1"/>
  <c r="AQ953" i="1"/>
  <c r="AM953" i="1"/>
  <c r="AI953" i="1"/>
  <c r="AE953" i="1"/>
  <c r="AA953" i="1"/>
  <c r="W953" i="1"/>
  <c r="S953" i="1"/>
  <c r="O953" i="1"/>
  <c r="K953" i="1"/>
  <c r="G953" i="1"/>
  <c r="C953" i="1"/>
  <c r="BC952" i="1"/>
  <c r="AY952" i="1"/>
  <c r="AU952" i="1"/>
  <c r="AU959" i="1" s="1"/>
  <c r="AQ952" i="1"/>
  <c r="AM952" i="1"/>
  <c r="AI952" i="1"/>
  <c r="AE952" i="1"/>
  <c r="AA952" i="1"/>
  <c r="W952" i="1"/>
  <c r="S952" i="1"/>
  <c r="O952" i="1"/>
  <c r="K952" i="1"/>
  <c r="G952" i="1"/>
  <c r="C952" i="1"/>
  <c r="D947" i="1"/>
  <c r="BC946" i="1"/>
  <c r="AY946" i="1"/>
  <c r="AU946" i="1"/>
  <c r="AQ946" i="1"/>
  <c r="AM946" i="1"/>
  <c r="AI946" i="1"/>
  <c r="AE946" i="1"/>
  <c r="AA946" i="1"/>
  <c r="W946" i="1"/>
  <c r="S946" i="1"/>
  <c r="O946" i="1"/>
  <c r="K946" i="1"/>
  <c r="G946" i="1"/>
  <c r="C946" i="1"/>
  <c r="BC945" i="1"/>
  <c r="AY945" i="1"/>
  <c r="AU945" i="1"/>
  <c r="AQ945" i="1"/>
  <c r="AM945" i="1"/>
  <c r="AI945" i="1"/>
  <c r="AE945" i="1"/>
  <c r="AA945" i="1"/>
  <c r="W945" i="1"/>
  <c r="S945" i="1"/>
  <c r="O945" i="1"/>
  <c r="K945" i="1"/>
  <c r="G945" i="1"/>
  <c r="C945" i="1"/>
  <c r="BC944" i="1"/>
  <c r="AY944" i="1"/>
  <c r="AU944" i="1"/>
  <c r="AQ944" i="1"/>
  <c r="AM944" i="1"/>
  <c r="AI944" i="1"/>
  <c r="AE944" i="1"/>
  <c r="AA944" i="1"/>
  <c r="W944" i="1"/>
  <c r="S944" i="1"/>
  <c r="O944" i="1"/>
  <c r="K944" i="1"/>
  <c r="G944" i="1"/>
  <c r="C944" i="1"/>
  <c r="L944" i="1" s="1"/>
  <c r="BC943" i="1"/>
  <c r="AY943" i="1"/>
  <c r="AU943" i="1"/>
  <c r="AQ943" i="1"/>
  <c r="AR943" i="1" s="1"/>
  <c r="AM943" i="1"/>
  <c r="AI943" i="1"/>
  <c r="AE943" i="1"/>
  <c r="AA943" i="1"/>
  <c r="W943" i="1"/>
  <c r="S943" i="1"/>
  <c r="O943" i="1"/>
  <c r="K943" i="1"/>
  <c r="G943" i="1"/>
  <c r="C943" i="1"/>
  <c r="BC942" i="1"/>
  <c r="AY942" i="1"/>
  <c r="AU942" i="1"/>
  <c r="AQ942" i="1"/>
  <c r="AM942" i="1"/>
  <c r="AI942" i="1"/>
  <c r="AE942" i="1"/>
  <c r="AA942" i="1"/>
  <c r="W942" i="1"/>
  <c r="S942" i="1"/>
  <c r="O942" i="1"/>
  <c r="K942" i="1"/>
  <c r="G942" i="1"/>
  <c r="C942" i="1"/>
  <c r="BC941" i="1"/>
  <c r="AY941" i="1"/>
  <c r="AU941" i="1"/>
  <c r="AQ941" i="1"/>
  <c r="AM941" i="1"/>
  <c r="AI941" i="1"/>
  <c r="AE941" i="1"/>
  <c r="AA941" i="1"/>
  <c r="W941" i="1"/>
  <c r="S941" i="1"/>
  <c r="O941" i="1"/>
  <c r="K941" i="1"/>
  <c r="G941" i="1"/>
  <c r="C941" i="1"/>
  <c r="BC940" i="1"/>
  <c r="AY940" i="1"/>
  <c r="AU940" i="1"/>
  <c r="AU947" i="1" s="1"/>
  <c r="AQ940" i="1"/>
  <c r="AM940" i="1"/>
  <c r="AI940" i="1"/>
  <c r="AE940" i="1"/>
  <c r="AA940" i="1"/>
  <c r="W940" i="1"/>
  <c r="S940" i="1"/>
  <c r="O940" i="1"/>
  <c r="O947" i="1" s="1"/>
  <c r="K940" i="1"/>
  <c r="G940" i="1"/>
  <c r="C940" i="1"/>
  <c r="X941" i="1" l="1"/>
  <c r="X952" i="1"/>
  <c r="X959" i="1" s="1"/>
  <c r="BD1067" i="1"/>
  <c r="P1019" i="1"/>
  <c r="AR965" i="1"/>
  <c r="AR1007" i="1"/>
  <c r="AR1019" i="1"/>
  <c r="L954" i="1"/>
  <c r="AV969" i="1"/>
  <c r="T1019" i="1"/>
  <c r="AF1007" i="1"/>
  <c r="AZ940" i="1"/>
  <c r="AZ947" i="1" s="1"/>
  <c r="AZ942" i="1"/>
  <c r="X965" i="1"/>
  <c r="P983" i="1"/>
  <c r="P955" i="1"/>
  <c r="X942" i="1"/>
  <c r="AF956" i="1"/>
  <c r="T1007" i="1"/>
  <c r="AV1067" i="1"/>
  <c r="AF1055" i="1"/>
  <c r="AB983" i="1"/>
  <c r="L943" i="1"/>
  <c r="AR954" i="1"/>
  <c r="P1031" i="1"/>
  <c r="AF966" i="1"/>
  <c r="P1007" i="1"/>
  <c r="AB1019" i="1"/>
  <c r="AN952" i="1"/>
  <c r="T1055" i="1"/>
  <c r="L952" i="1"/>
  <c r="L959" i="1" s="1"/>
  <c r="AF995" i="1"/>
  <c r="T1031" i="1"/>
  <c r="AR1031" i="1"/>
  <c r="AF1019" i="1"/>
  <c r="P1055" i="1"/>
  <c r="AF1043" i="1"/>
  <c r="AF983" i="1"/>
  <c r="P995" i="1"/>
  <c r="AR1055" i="1"/>
  <c r="H1043" i="1"/>
  <c r="AF1031" i="1"/>
  <c r="L1067" i="1"/>
  <c r="AR1067" i="1"/>
  <c r="L1043" i="1"/>
  <c r="H955" i="1"/>
  <c r="AB968" i="1"/>
  <c r="AF969" i="1"/>
  <c r="P954" i="1"/>
  <c r="P966" i="1"/>
  <c r="AV966" i="1"/>
  <c r="AF968" i="1"/>
  <c r="AZ944" i="1"/>
  <c r="T954" i="1"/>
  <c r="T955" i="1"/>
  <c r="T966" i="1"/>
  <c r="X954" i="1"/>
  <c r="AZ954" i="1"/>
  <c r="X955" i="1"/>
  <c r="AZ955" i="1"/>
  <c r="AZ957" i="1"/>
  <c r="T965" i="1"/>
  <c r="AV965" i="1"/>
  <c r="X966" i="1"/>
  <c r="AV954" i="1"/>
  <c r="AV955" i="1"/>
  <c r="T943" i="1"/>
  <c r="AV943" i="1"/>
  <c r="X944" i="1"/>
  <c r="AE947" i="1"/>
  <c r="X943" i="1"/>
  <c r="AZ943" i="1"/>
  <c r="AV945" i="1"/>
  <c r="AB955" i="1"/>
  <c r="AB966" i="1"/>
  <c r="AB970" i="1"/>
  <c r="AN945" i="1"/>
  <c r="L957" i="1"/>
  <c r="AR953" i="1"/>
  <c r="AN954" i="1"/>
  <c r="L955" i="1"/>
  <c r="AJ955" i="1"/>
  <c r="P957" i="1"/>
  <c r="AV957" i="1"/>
  <c r="X958" i="1"/>
  <c r="BD958" i="1"/>
  <c r="H945" i="1"/>
  <c r="AR957" i="1"/>
  <c r="T964" i="1"/>
  <c r="T971" i="1" s="1"/>
  <c r="AZ964" i="1"/>
  <c r="AZ971" i="1" s="1"/>
  <c r="X945" i="1"/>
  <c r="H952" i="1"/>
  <c r="H959" i="1" s="1"/>
  <c r="AN955" i="1"/>
  <c r="X968" i="1"/>
  <c r="BD968" i="1"/>
  <c r="AV964" i="1"/>
  <c r="AV971" i="1" s="1"/>
  <c r="AZ965" i="1"/>
  <c r="BD967" i="1"/>
  <c r="X970" i="1"/>
  <c r="BD970" i="1"/>
  <c r="AF970" i="1"/>
  <c r="X969" i="1"/>
  <c r="AZ969" i="1"/>
  <c r="AB969" i="1"/>
  <c r="T968" i="1"/>
  <c r="AZ968" i="1"/>
  <c r="C971" i="1"/>
  <c r="AR967" i="1"/>
  <c r="AV967" i="1"/>
  <c r="AZ967" i="1"/>
  <c r="T967" i="1"/>
  <c r="X967" i="1"/>
  <c r="AZ966" i="1"/>
  <c r="BD966" i="1"/>
  <c r="X964" i="1"/>
  <c r="X971" i="1" s="1"/>
  <c r="BD964" i="1"/>
  <c r="BD971" i="1" s="1"/>
  <c r="AB964" i="1"/>
  <c r="AB971" i="1" s="1"/>
  <c r="AN965" i="1"/>
  <c r="AE971" i="1"/>
  <c r="AB965" i="1"/>
  <c r="BD965" i="1"/>
  <c r="AJ969" i="1"/>
  <c r="AJ964" i="1"/>
  <c r="AJ971" i="1" s="1"/>
  <c r="H965" i="1"/>
  <c r="AJ965" i="1"/>
  <c r="AJ966" i="1"/>
  <c r="AJ967" i="1"/>
  <c r="H968" i="1"/>
  <c r="AN968" i="1"/>
  <c r="AN969" i="1"/>
  <c r="L970" i="1"/>
  <c r="AR970" i="1"/>
  <c r="AB967" i="1"/>
  <c r="H969" i="1"/>
  <c r="AJ970" i="1"/>
  <c r="AF965" i="1"/>
  <c r="H967" i="1"/>
  <c r="AJ968" i="1"/>
  <c r="H970" i="1"/>
  <c r="H964" i="1"/>
  <c r="AN964" i="1"/>
  <c r="L965" i="1"/>
  <c r="H966" i="1"/>
  <c r="AN966" i="1"/>
  <c r="L967" i="1"/>
  <c r="L968" i="1"/>
  <c r="AR968" i="1"/>
  <c r="P969" i="1"/>
  <c r="AR969" i="1"/>
  <c r="P970" i="1"/>
  <c r="AV970" i="1"/>
  <c r="BD969" i="1"/>
  <c r="AF967" i="1"/>
  <c r="L969" i="1"/>
  <c r="AN970" i="1"/>
  <c r="L964" i="1"/>
  <c r="L971" i="1" s="1"/>
  <c r="AR964" i="1"/>
  <c r="P965" i="1"/>
  <c r="L966" i="1"/>
  <c r="AR966" i="1"/>
  <c r="P967" i="1"/>
  <c r="P968" i="1"/>
  <c r="AV968" i="1"/>
  <c r="T969" i="1"/>
  <c r="T970" i="1"/>
  <c r="AZ970" i="1"/>
  <c r="P964" i="1"/>
  <c r="P971" i="1" s="1"/>
  <c r="AN967" i="1"/>
  <c r="AU971" i="1"/>
  <c r="AF964" i="1"/>
  <c r="H958" i="1"/>
  <c r="AN958" i="1"/>
  <c r="L958" i="1"/>
  <c r="AR958" i="1"/>
  <c r="P958" i="1"/>
  <c r="AV958" i="1"/>
  <c r="AB958" i="1"/>
  <c r="AF958" i="1"/>
  <c r="AN956" i="1"/>
  <c r="AR955" i="1"/>
  <c r="AJ954" i="1"/>
  <c r="P953" i="1"/>
  <c r="P952" i="1"/>
  <c r="P959" i="1" s="1"/>
  <c r="AR952" i="1"/>
  <c r="AR959" i="1" s="1"/>
  <c r="T952" i="1"/>
  <c r="T959" i="1" s="1"/>
  <c r="AV952" i="1"/>
  <c r="AV959" i="1" s="1"/>
  <c r="AZ952" i="1"/>
  <c r="AZ959" i="1" s="1"/>
  <c r="AJ952" i="1"/>
  <c r="AJ959" i="1" s="1"/>
  <c r="AE959" i="1"/>
  <c r="AB954" i="1"/>
  <c r="AV953" i="1"/>
  <c r="T953" i="1"/>
  <c r="AZ953" i="1"/>
  <c r="P956" i="1"/>
  <c r="AR956" i="1"/>
  <c r="X953" i="1"/>
  <c r="BD953" i="1"/>
  <c r="T956" i="1"/>
  <c r="C959" i="1"/>
  <c r="AB952" i="1"/>
  <c r="BD954" i="1"/>
  <c r="X956" i="1"/>
  <c r="AV956" i="1"/>
  <c r="X957" i="1"/>
  <c r="BD957" i="1"/>
  <c r="BD952" i="1"/>
  <c r="BD959" i="1" s="1"/>
  <c r="AF953" i="1"/>
  <c r="H954" i="1"/>
  <c r="AF954" i="1"/>
  <c r="BD955" i="1"/>
  <c r="AB956" i="1"/>
  <c r="AZ956" i="1"/>
  <c r="AB957" i="1"/>
  <c r="AJ953" i="1"/>
  <c r="BD956" i="1"/>
  <c r="H953" i="1"/>
  <c r="AN953" i="1"/>
  <c r="H956" i="1"/>
  <c r="L956" i="1"/>
  <c r="AJ956" i="1"/>
  <c r="H957" i="1"/>
  <c r="AN957" i="1"/>
  <c r="AF946" i="1"/>
  <c r="AJ946" i="1"/>
  <c r="L946" i="1"/>
  <c r="AR946" i="1"/>
  <c r="P946" i="1"/>
  <c r="AN946" i="1"/>
  <c r="T946" i="1"/>
  <c r="P945" i="1"/>
  <c r="AR945" i="1"/>
  <c r="T945" i="1"/>
  <c r="AF945" i="1"/>
  <c r="H944" i="1"/>
  <c r="P944" i="1"/>
  <c r="AR944" i="1"/>
  <c r="AJ944" i="1"/>
  <c r="T944" i="1"/>
  <c r="AV944" i="1"/>
  <c r="AF944" i="1"/>
  <c r="H941" i="1"/>
  <c r="AJ941" i="1"/>
  <c r="L941" i="1"/>
  <c r="AF941" i="1"/>
  <c r="BD941" i="1"/>
  <c r="P941" i="1"/>
  <c r="AN941" i="1"/>
  <c r="T941" i="1"/>
  <c r="AV941" i="1"/>
  <c r="AZ941" i="1"/>
  <c r="AN942" i="1"/>
  <c r="AN940" i="1"/>
  <c r="H942" i="1"/>
  <c r="BD943" i="1"/>
  <c r="AR941" i="1"/>
  <c r="L942" i="1"/>
  <c r="H943" i="1"/>
  <c r="AF943" i="1"/>
  <c r="AB944" i="1"/>
  <c r="BD944" i="1"/>
  <c r="AB945" i="1"/>
  <c r="AZ945" i="1"/>
  <c r="X946" i="1"/>
  <c r="AV946" i="1"/>
  <c r="AB942" i="1"/>
  <c r="H940" i="1"/>
  <c r="H947" i="1" s="1"/>
  <c r="BD942" i="1"/>
  <c r="L940" i="1"/>
  <c r="L947" i="1" s="1"/>
  <c r="AR940" i="1"/>
  <c r="AR947" i="1" s="1"/>
  <c r="AJ942" i="1"/>
  <c r="AB943" i="1"/>
  <c r="P942" i="1"/>
  <c r="AJ943" i="1"/>
  <c r="BD945" i="1"/>
  <c r="AB946" i="1"/>
  <c r="AZ946" i="1"/>
  <c r="AF942" i="1"/>
  <c r="X940" i="1"/>
  <c r="X947" i="1" s="1"/>
  <c r="BD940" i="1"/>
  <c r="BD947" i="1" s="1"/>
  <c r="T942" i="1"/>
  <c r="AR942" i="1"/>
  <c r="AN943" i="1"/>
  <c r="BD946" i="1"/>
  <c r="AB940" i="1"/>
  <c r="AB941" i="1"/>
  <c r="AV942" i="1"/>
  <c r="P943" i="1"/>
  <c r="AN944" i="1"/>
  <c r="L945" i="1"/>
  <c r="AJ945" i="1"/>
  <c r="H946" i="1"/>
  <c r="T958" i="1"/>
  <c r="AZ958" i="1"/>
  <c r="L953" i="1"/>
  <c r="AB953" i="1"/>
  <c r="T957" i="1"/>
  <c r="AJ957" i="1"/>
  <c r="O959" i="1"/>
  <c r="AF952" i="1"/>
  <c r="C947" i="1"/>
  <c r="P940" i="1"/>
  <c r="P947" i="1" s="1"/>
  <c r="AF940" i="1"/>
  <c r="AV940" i="1"/>
  <c r="AV947" i="1" s="1"/>
  <c r="T940" i="1"/>
  <c r="T947" i="1" s="1"/>
  <c r="AJ940" i="1"/>
  <c r="AJ947" i="1" s="1"/>
  <c r="D935" i="1"/>
  <c r="BC934" i="1"/>
  <c r="AY934" i="1"/>
  <c r="AU934" i="1"/>
  <c r="AQ934" i="1"/>
  <c r="AM934" i="1"/>
  <c r="AI934" i="1"/>
  <c r="AE934" i="1"/>
  <c r="AA934" i="1"/>
  <c r="W934" i="1"/>
  <c r="S934" i="1"/>
  <c r="O934" i="1"/>
  <c r="K934" i="1"/>
  <c r="G934" i="1"/>
  <c r="C934" i="1"/>
  <c r="BC933" i="1"/>
  <c r="AY933" i="1"/>
  <c r="AU933" i="1"/>
  <c r="AQ933" i="1"/>
  <c r="AM933" i="1"/>
  <c r="AI933" i="1"/>
  <c r="AE933" i="1"/>
  <c r="AA933" i="1"/>
  <c r="W933" i="1"/>
  <c r="S933" i="1"/>
  <c r="O933" i="1"/>
  <c r="K933" i="1"/>
  <c r="G933" i="1"/>
  <c r="C933" i="1"/>
  <c r="BC932" i="1"/>
  <c r="AY932" i="1"/>
  <c r="AU932" i="1"/>
  <c r="AQ932" i="1"/>
  <c r="AM932" i="1"/>
  <c r="AI932" i="1"/>
  <c r="AE932" i="1"/>
  <c r="AA932" i="1"/>
  <c r="W932" i="1"/>
  <c r="S932" i="1"/>
  <c r="O932" i="1"/>
  <c r="K932" i="1"/>
  <c r="G932" i="1"/>
  <c r="C932" i="1"/>
  <c r="BC931" i="1"/>
  <c r="AY931" i="1"/>
  <c r="AU931" i="1"/>
  <c r="AQ931" i="1"/>
  <c r="AM931" i="1"/>
  <c r="AI931" i="1"/>
  <c r="AE931" i="1"/>
  <c r="AA931" i="1"/>
  <c r="W931" i="1"/>
  <c r="S931" i="1"/>
  <c r="O931" i="1"/>
  <c r="K931" i="1"/>
  <c r="G931" i="1"/>
  <c r="C931" i="1"/>
  <c r="BC930" i="1"/>
  <c r="AY930" i="1"/>
  <c r="AU930" i="1"/>
  <c r="AQ930" i="1"/>
  <c r="AM930" i="1"/>
  <c r="AI930" i="1"/>
  <c r="AE930" i="1"/>
  <c r="AA930" i="1"/>
  <c r="W930" i="1"/>
  <c r="S930" i="1"/>
  <c r="O930" i="1"/>
  <c r="K930" i="1"/>
  <c r="G930" i="1"/>
  <c r="C930" i="1"/>
  <c r="BC929" i="1"/>
  <c r="AY929" i="1"/>
  <c r="AU929" i="1"/>
  <c r="AQ929" i="1"/>
  <c r="AM929" i="1"/>
  <c r="AI929" i="1"/>
  <c r="AE929" i="1"/>
  <c r="AA929" i="1"/>
  <c r="W929" i="1"/>
  <c r="S929" i="1"/>
  <c r="O929" i="1"/>
  <c r="K929" i="1"/>
  <c r="G929" i="1"/>
  <c r="C929" i="1"/>
  <c r="BC928" i="1"/>
  <c r="AY928" i="1"/>
  <c r="AU928" i="1"/>
  <c r="AU935" i="1" s="1"/>
  <c r="AQ928" i="1"/>
  <c r="AM928" i="1"/>
  <c r="AI928" i="1"/>
  <c r="AE928" i="1"/>
  <c r="AA928" i="1"/>
  <c r="W928" i="1"/>
  <c r="S928" i="1"/>
  <c r="O928" i="1"/>
  <c r="O935" i="1" s="1"/>
  <c r="K928" i="1"/>
  <c r="G928" i="1"/>
  <c r="C928" i="1"/>
  <c r="AZ931" i="1" l="1"/>
  <c r="AF931" i="1"/>
  <c r="AB930" i="1"/>
  <c r="AF971" i="1"/>
  <c r="H934" i="1"/>
  <c r="AN947" i="1"/>
  <c r="AN959" i="1"/>
  <c r="L928" i="1"/>
  <c r="T928" i="1"/>
  <c r="T935" i="1" s="1"/>
  <c r="AZ928" i="1"/>
  <c r="AZ935" i="1" s="1"/>
  <c r="X928" i="1"/>
  <c r="AR928" i="1"/>
  <c r="AR935" i="1" s="1"/>
  <c r="AR971" i="1"/>
  <c r="H971" i="1"/>
  <c r="AN971" i="1"/>
  <c r="AF959" i="1"/>
  <c r="AB959" i="1"/>
  <c r="AF947" i="1"/>
  <c r="AB947" i="1"/>
  <c r="BD930" i="1"/>
  <c r="AF929" i="1"/>
  <c r="AN933" i="1"/>
  <c r="AN928" i="1"/>
  <c r="AN935" i="1" s="1"/>
  <c r="AR929" i="1"/>
  <c r="AZ932" i="1"/>
  <c r="L933" i="1"/>
  <c r="AN934" i="1"/>
  <c r="P934" i="1"/>
  <c r="AJ933" i="1"/>
  <c r="H933" i="1"/>
  <c r="AV933" i="1"/>
  <c r="AZ933" i="1"/>
  <c r="X933" i="1"/>
  <c r="P931" i="1"/>
  <c r="AV931" i="1"/>
  <c r="AB931" i="1"/>
  <c r="L931" i="1"/>
  <c r="AR931" i="1"/>
  <c r="AN930" i="1"/>
  <c r="C935" i="1"/>
  <c r="AR930" i="1"/>
  <c r="P930" i="1"/>
  <c r="AZ930" i="1"/>
  <c r="P929" i="1"/>
  <c r="AF928" i="1"/>
  <c r="AF935" i="1" s="1"/>
  <c r="H928" i="1"/>
  <c r="H935" i="1" s="1"/>
  <c r="AJ928" i="1"/>
  <c r="AJ935" i="1" s="1"/>
  <c r="T929" i="1"/>
  <c r="X932" i="1"/>
  <c r="BD932" i="1"/>
  <c r="T934" i="1"/>
  <c r="AR934" i="1"/>
  <c r="X929" i="1"/>
  <c r="AV929" i="1"/>
  <c r="T930" i="1"/>
  <c r="AB932" i="1"/>
  <c r="AB933" i="1"/>
  <c r="AV934" i="1"/>
  <c r="AB928" i="1"/>
  <c r="AB935" i="1" s="1"/>
  <c r="BD928" i="1"/>
  <c r="BD935" i="1" s="1"/>
  <c r="AB929" i="1"/>
  <c r="AZ929" i="1"/>
  <c r="X930" i="1"/>
  <c r="AV930" i="1"/>
  <c r="X931" i="1"/>
  <c r="BD931" i="1"/>
  <c r="AF932" i="1"/>
  <c r="AF933" i="1"/>
  <c r="BD933" i="1"/>
  <c r="X934" i="1"/>
  <c r="AZ934" i="1"/>
  <c r="BD929" i="1"/>
  <c r="AB934" i="1"/>
  <c r="H929" i="1"/>
  <c r="H932" i="1"/>
  <c r="AN932" i="1"/>
  <c r="AF934" i="1"/>
  <c r="BD934" i="1"/>
  <c r="AJ929" i="1"/>
  <c r="H930" i="1"/>
  <c r="L932" i="1"/>
  <c r="AR932" i="1"/>
  <c r="P933" i="1"/>
  <c r="AJ934" i="1"/>
  <c r="L929" i="1"/>
  <c r="AF930" i="1"/>
  <c r="AN929" i="1"/>
  <c r="L930" i="1"/>
  <c r="AJ930" i="1"/>
  <c r="H931" i="1"/>
  <c r="AN931" i="1"/>
  <c r="P932" i="1"/>
  <c r="AV932" i="1"/>
  <c r="T933" i="1"/>
  <c r="AR933" i="1"/>
  <c r="L934" i="1"/>
  <c r="AJ932" i="1"/>
  <c r="AE935" i="1"/>
  <c r="T932" i="1"/>
  <c r="P928" i="1"/>
  <c r="P935" i="1" s="1"/>
  <c r="AV928" i="1"/>
  <c r="AV935" i="1" s="1"/>
  <c r="T931" i="1"/>
  <c r="AJ931" i="1"/>
  <c r="D923" i="1"/>
  <c r="BC922" i="1"/>
  <c r="AY922" i="1"/>
  <c r="AU922" i="1"/>
  <c r="AQ922" i="1"/>
  <c r="AM922" i="1"/>
  <c r="AI922" i="1"/>
  <c r="AE922" i="1"/>
  <c r="AA922" i="1"/>
  <c r="W922" i="1"/>
  <c r="S922" i="1"/>
  <c r="O922" i="1"/>
  <c r="K922" i="1"/>
  <c r="G922" i="1"/>
  <c r="C922" i="1"/>
  <c r="BC921" i="1"/>
  <c r="AY921" i="1"/>
  <c r="AU921" i="1"/>
  <c r="AQ921" i="1"/>
  <c r="AM921" i="1"/>
  <c r="AI921" i="1"/>
  <c r="AE921" i="1"/>
  <c r="AA921" i="1"/>
  <c r="W921" i="1"/>
  <c r="S921" i="1"/>
  <c r="O921" i="1"/>
  <c r="K921" i="1"/>
  <c r="G921" i="1"/>
  <c r="C921" i="1"/>
  <c r="BC920" i="1"/>
  <c r="AY920" i="1"/>
  <c r="AU920" i="1"/>
  <c r="AQ920" i="1"/>
  <c r="AM920" i="1"/>
  <c r="AI920" i="1"/>
  <c r="AE920" i="1"/>
  <c r="AA920" i="1"/>
  <c r="W920" i="1"/>
  <c r="S920" i="1"/>
  <c r="O920" i="1"/>
  <c r="K920" i="1"/>
  <c r="G920" i="1"/>
  <c r="C920" i="1"/>
  <c r="BC919" i="1"/>
  <c r="AY919" i="1"/>
  <c r="AU919" i="1"/>
  <c r="AQ919" i="1"/>
  <c r="AM919" i="1"/>
  <c r="AI919" i="1"/>
  <c r="AE919" i="1"/>
  <c r="AA919" i="1"/>
  <c r="W919" i="1"/>
  <c r="S919" i="1"/>
  <c r="O919" i="1"/>
  <c r="K919" i="1"/>
  <c r="G919" i="1"/>
  <c r="C919" i="1"/>
  <c r="BC918" i="1"/>
  <c r="AY918" i="1"/>
  <c r="AU918" i="1"/>
  <c r="AQ918" i="1"/>
  <c r="AM918" i="1"/>
  <c r="AI918" i="1"/>
  <c r="AE918" i="1"/>
  <c r="AA918" i="1"/>
  <c r="W918" i="1"/>
  <c r="S918" i="1"/>
  <c r="O918" i="1"/>
  <c r="K918" i="1"/>
  <c r="G918" i="1"/>
  <c r="C918" i="1"/>
  <c r="BC917" i="1"/>
  <c r="AY917" i="1"/>
  <c r="AU917" i="1"/>
  <c r="AQ917" i="1"/>
  <c r="AM917" i="1"/>
  <c r="AI917" i="1"/>
  <c r="AE917" i="1"/>
  <c r="AA917" i="1"/>
  <c r="W917" i="1"/>
  <c r="S917" i="1"/>
  <c r="O917" i="1"/>
  <c r="K917" i="1"/>
  <c r="G917" i="1"/>
  <c r="C917" i="1"/>
  <c r="AJ917" i="1" s="1"/>
  <c r="BC916" i="1"/>
  <c r="AY916" i="1"/>
  <c r="AU916" i="1"/>
  <c r="AU923" i="1" s="1"/>
  <c r="AQ916" i="1"/>
  <c r="AM916" i="1"/>
  <c r="AI916" i="1"/>
  <c r="AE916" i="1"/>
  <c r="AE923" i="1" s="1"/>
  <c r="AA916" i="1"/>
  <c r="W916" i="1"/>
  <c r="S916" i="1"/>
  <c r="O916" i="1"/>
  <c r="K916" i="1"/>
  <c r="G916" i="1"/>
  <c r="C916" i="1"/>
  <c r="D911" i="1"/>
  <c r="BC910" i="1"/>
  <c r="AY910" i="1"/>
  <c r="AU910" i="1"/>
  <c r="AQ910" i="1"/>
  <c r="AM910" i="1"/>
  <c r="AI910" i="1"/>
  <c r="AE910" i="1"/>
  <c r="AA910" i="1"/>
  <c r="W910" i="1"/>
  <c r="S910" i="1"/>
  <c r="O910" i="1"/>
  <c r="K910" i="1"/>
  <c r="G910" i="1"/>
  <c r="C910" i="1"/>
  <c r="BC909" i="1"/>
  <c r="AY909" i="1"/>
  <c r="AU909" i="1"/>
  <c r="AQ909" i="1"/>
  <c r="AM909" i="1"/>
  <c r="AI909" i="1"/>
  <c r="AE909" i="1"/>
  <c r="AA909" i="1"/>
  <c r="W909" i="1"/>
  <c r="S909" i="1"/>
  <c r="O909" i="1"/>
  <c r="K909" i="1"/>
  <c r="G909" i="1"/>
  <c r="C909" i="1"/>
  <c r="BC908" i="1"/>
  <c r="AY908" i="1"/>
  <c r="AU908" i="1"/>
  <c r="AQ908" i="1"/>
  <c r="AM908" i="1"/>
  <c r="AI908" i="1"/>
  <c r="AE908" i="1"/>
  <c r="AA908" i="1"/>
  <c r="W908" i="1"/>
  <c r="S908" i="1"/>
  <c r="O908" i="1"/>
  <c r="K908" i="1"/>
  <c r="G908" i="1"/>
  <c r="C908" i="1"/>
  <c r="BC907" i="1"/>
  <c r="AY907" i="1"/>
  <c r="AU907" i="1"/>
  <c r="AQ907" i="1"/>
  <c r="AM907" i="1"/>
  <c r="AI907" i="1"/>
  <c r="AE907" i="1"/>
  <c r="AA907" i="1"/>
  <c r="W907" i="1"/>
  <c r="S907" i="1"/>
  <c r="O907" i="1"/>
  <c r="K907" i="1"/>
  <c r="G907" i="1"/>
  <c r="C907" i="1"/>
  <c r="BC906" i="1"/>
  <c r="AY906" i="1"/>
  <c r="AU906" i="1"/>
  <c r="AQ906" i="1"/>
  <c r="AM906" i="1"/>
  <c r="AI906" i="1"/>
  <c r="AE906" i="1"/>
  <c r="AA906" i="1"/>
  <c r="W906" i="1"/>
  <c r="S906" i="1"/>
  <c r="O906" i="1"/>
  <c r="K906" i="1"/>
  <c r="G906" i="1"/>
  <c r="C906" i="1"/>
  <c r="BC905" i="1"/>
  <c r="AY905" i="1"/>
  <c r="AU905" i="1"/>
  <c r="AQ905" i="1"/>
  <c r="AM905" i="1"/>
  <c r="AI905" i="1"/>
  <c r="AE905" i="1"/>
  <c r="AA905" i="1"/>
  <c r="W905" i="1"/>
  <c r="S905" i="1"/>
  <c r="O905" i="1"/>
  <c r="K905" i="1"/>
  <c r="G905" i="1"/>
  <c r="C905" i="1"/>
  <c r="BC904" i="1"/>
  <c r="AY904" i="1"/>
  <c r="AU904" i="1"/>
  <c r="AQ904" i="1"/>
  <c r="AM904" i="1"/>
  <c r="AI904" i="1"/>
  <c r="AE904" i="1"/>
  <c r="AA904" i="1"/>
  <c r="W904" i="1"/>
  <c r="S904" i="1"/>
  <c r="O904" i="1"/>
  <c r="O911" i="1" s="1"/>
  <c r="K904" i="1"/>
  <c r="G904" i="1"/>
  <c r="C904" i="1"/>
  <c r="D899" i="1"/>
  <c r="BC898" i="1"/>
  <c r="AY898" i="1"/>
  <c r="AU898" i="1"/>
  <c r="AQ898" i="1"/>
  <c r="AM898" i="1"/>
  <c r="AI898" i="1"/>
  <c r="AE898" i="1"/>
  <c r="AA898" i="1"/>
  <c r="W898" i="1"/>
  <c r="S898" i="1"/>
  <c r="O898" i="1"/>
  <c r="K898" i="1"/>
  <c r="G898" i="1"/>
  <c r="C898" i="1"/>
  <c r="BC897" i="1"/>
  <c r="AY897" i="1"/>
  <c r="AU897" i="1"/>
  <c r="AQ897" i="1"/>
  <c r="AM897" i="1"/>
  <c r="AI897" i="1"/>
  <c r="AE897" i="1"/>
  <c r="AA897" i="1"/>
  <c r="W897" i="1"/>
  <c r="S897" i="1"/>
  <c r="O897" i="1"/>
  <c r="K897" i="1"/>
  <c r="G897" i="1"/>
  <c r="C897" i="1"/>
  <c r="BC896" i="1"/>
  <c r="AY896" i="1"/>
  <c r="AU896" i="1"/>
  <c r="AQ896" i="1"/>
  <c r="AM896" i="1"/>
  <c r="AI896" i="1"/>
  <c r="AE896" i="1"/>
  <c r="AA896" i="1"/>
  <c r="W896" i="1"/>
  <c r="S896" i="1"/>
  <c r="O896" i="1"/>
  <c r="K896" i="1"/>
  <c r="G896" i="1"/>
  <c r="C896" i="1"/>
  <c r="BC895" i="1"/>
  <c r="AY895" i="1"/>
  <c r="AU895" i="1"/>
  <c r="AQ895" i="1"/>
  <c r="AM895" i="1"/>
  <c r="AI895" i="1"/>
  <c r="AE895" i="1"/>
  <c r="AA895" i="1"/>
  <c r="W895" i="1"/>
  <c r="S895" i="1"/>
  <c r="O895" i="1"/>
  <c r="K895" i="1"/>
  <c r="G895" i="1"/>
  <c r="C895" i="1"/>
  <c r="BC894" i="1"/>
  <c r="AY894" i="1"/>
  <c r="AU894" i="1"/>
  <c r="AQ894" i="1"/>
  <c r="AM894" i="1"/>
  <c r="AI894" i="1"/>
  <c r="AE894" i="1"/>
  <c r="AA894" i="1"/>
  <c r="W894" i="1"/>
  <c r="S894" i="1"/>
  <c r="O894" i="1"/>
  <c r="K894" i="1"/>
  <c r="G894" i="1"/>
  <c r="C894" i="1"/>
  <c r="BC893" i="1"/>
  <c r="AY893" i="1"/>
  <c r="AU893" i="1"/>
  <c r="AQ893" i="1"/>
  <c r="AM893" i="1"/>
  <c r="AI893" i="1"/>
  <c r="AE893" i="1"/>
  <c r="AA893" i="1"/>
  <c r="W893" i="1"/>
  <c r="S893" i="1"/>
  <c r="O893" i="1"/>
  <c r="K893" i="1"/>
  <c r="G893" i="1"/>
  <c r="C893" i="1"/>
  <c r="BC892" i="1"/>
  <c r="AY892" i="1"/>
  <c r="AU892" i="1"/>
  <c r="AQ892" i="1"/>
  <c r="AM892" i="1"/>
  <c r="AI892" i="1"/>
  <c r="AE892" i="1"/>
  <c r="AA892" i="1"/>
  <c r="W892" i="1"/>
  <c r="S892" i="1"/>
  <c r="O892" i="1"/>
  <c r="O899" i="1" s="1"/>
  <c r="K892" i="1"/>
  <c r="G892" i="1"/>
  <c r="C892" i="1"/>
  <c r="D887" i="1"/>
  <c r="BC886" i="1"/>
  <c r="AY886" i="1"/>
  <c r="AU886" i="1"/>
  <c r="AQ886" i="1"/>
  <c r="AM886" i="1"/>
  <c r="AI886" i="1"/>
  <c r="AE886" i="1"/>
  <c r="AA886" i="1"/>
  <c r="W886" i="1"/>
  <c r="S886" i="1"/>
  <c r="O886" i="1"/>
  <c r="K886" i="1"/>
  <c r="G886" i="1"/>
  <c r="C886" i="1"/>
  <c r="BC885" i="1"/>
  <c r="AY885" i="1"/>
  <c r="AU885" i="1"/>
  <c r="AQ885" i="1"/>
  <c r="AM885" i="1"/>
  <c r="AI885" i="1"/>
  <c r="AE885" i="1"/>
  <c r="AA885" i="1"/>
  <c r="W885" i="1"/>
  <c r="S885" i="1"/>
  <c r="O885" i="1"/>
  <c r="K885" i="1"/>
  <c r="G885" i="1"/>
  <c r="C885" i="1"/>
  <c r="BC884" i="1"/>
  <c r="AY884" i="1"/>
  <c r="AU884" i="1"/>
  <c r="AQ884" i="1"/>
  <c r="AM884" i="1"/>
  <c r="AI884" i="1"/>
  <c r="AE884" i="1"/>
  <c r="AA884" i="1"/>
  <c r="W884" i="1"/>
  <c r="S884" i="1"/>
  <c r="O884" i="1"/>
  <c r="K884" i="1"/>
  <c r="G884" i="1"/>
  <c r="C884" i="1"/>
  <c r="BC883" i="1"/>
  <c r="AY883" i="1"/>
  <c r="AU883" i="1"/>
  <c r="AQ883" i="1"/>
  <c r="AM883" i="1"/>
  <c r="AI883" i="1"/>
  <c r="AE883" i="1"/>
  <c r="AA883" i="1"/>
  <c r="W883" i="1"/>
  <c r="S883" i="1"/>
  <c r="O883" i="1"/>
  <c r="K883" i="1"/>
  <c r="G883" i="1"/>
  <c r="C883" i="1"/>
  <c r="BC882" i="1"/>
  <c r="AY882" i="1"/>
  <c r="AU882" i="1"/>
  <c r="AQ882" i="1"/>
  <c r="AM882" i="1"/>
  <c r="AI882" i="1"/>
  <c r="AE882" i="1"/>
  <c r="AA882" i="1"/>
  <c r="W882" i="1"/>
  <c r="S882" i="1"/>
  <c r="O882" i="1"/>
  <c r="K882" i="1"/>
  <c r="G882" i="1"/>
  <c r="C882" i="1"/>
  <c r="BC881" i="1"/>
  <c r="AY881" i="1"/>
  <c r="AU881" i="1"/>
  <c r="AQ881" i="1"/>
  <c r="AM881" i="1"/>
  <c r="AI881" i="1"/>
  <c r="AE881" i="1"/>
  <c r="AA881" i="1"/>
  <c r="W881" i="1"/>
  <c r="S881" i="1"/>
  <c r="O881" i="1"/>
  <c r="K881" i="1"/>
  <c r="G881" i="1"/>
  <c r="C881" i="1"/>
  <c r="BC880" i="1"/>
  <c r="AY880" i="1"/>
  <c r="AU880" i="1"/>
  <c r="AU887" i="1" s="1"/>
  <c r="AQ880" i="1"/>
  <c r="AM880" i="1"/>
  <c r="AI880" i="1"/>
  <c r="AE880" i="1"/>
  <c r="AE887" i="1" s="1"/>
  <c r="AA880" i="1"/>
  <c r="W880" i="1"/>
  <c r="S880" i="1"/>
  <c r="O880" i="1"/>
  <c r="K880" i="1"/>
  <c r="G880" i="1"/>
  <c r="C880" i="1"/>
  <c r="D875" i="1"/>
  <c r="BC874" i="1"/>
  <c r="AY874" i="1"/>
  <c r="AU874" i="1"/>
  <c r="AQ874" i="1"/>
  <c r="AM874" i="1"/>
  <c r="AI874" i="1"/>
  <c r="AE874" i="1"/>
  <c r="AA874" i="1"/>
  <c r="W874" i="1"/>
  <c r="S874" i="1"/>
  <c r="O874" i="1"/>
  <c r="K874" i="1"/>
  <c r="G874" i="1"/>
  <c r="C874" i="1"/>
  <c r="BC873" i="1"/>
  <c r="AY873" i="1"/>
  <c r="AU873" i="1"/>
  <c r="AQ873" i="1"/>
  <c r="AM873" i="1"/>
  <c r="AI873" i="1"/>
  <c r="AE873" i="1"/>
  <c r="AA873" i="1"/>
  <c r="W873" i="1"/>
  <c r="S873" i="1"/>
  <c r="O873" i="1"/>
  <c r="K873" i="1"/>
  <c r="G873" i="1"/>
  <c r="C873" i="1"/>
  <c r="BC872" i="1"/>
  <c r="AY872" i="1"/>
  <c r="AU872" i="1"/>
  <c r="AQ872" i="1"/>
  <c r="AM872" i="1"/>
  <c r="AI872" i="1"/>
  <c r="AE872" i="1"/>
  <c r="AA872" i="1"/>
  <c r="W872" i="1"/>
  <c r="S872" i="1"/>
  <c r="O872" i="1"/>
  <c r="K872" i="1"/>
  <c r="G872" i="1"/>
  <c r="C872" i="1"/>
  <c r="BC871" i="1"/>
  <c r="AY871" i="1"/>
  <c r="AU871" i="1"/>
  <c r="AQ871" i="1"/>
  <c r="AM871" i="1"/>
  <c r="AI871" i="1"/>
  <c r="AE871" i="1"/>
  <c r="AA871" i="1"/>
  <c r="W871" i="1"/>
  <c r="S871" i="1"/>
  <c r="O871" i="1"/>
  <c r="K871" i="1"/>
  <c r="G871" i="1"/>
  <c r="C871" i="1"/>
  <c r="BC870" i="1"/>
  <c r="AY870" i="1"/>
  <c r="AU870" i="1"/>
  <c r="AQ870" i="1"/>
  <c r="AM870" i="1"/>
  <c r="AI870" i="1"/>
  <c r="AE870" i="1"/>
  <c r="AA870" i="1"/>
  <c r="W870" i="1"/>
  <c r="S870" i="1"/>
  <c r="O870" i="1"/>
  <c r="K870" i="1"/>
  <c r="G870" i="1"/>
  <c r="C870" i="1"/>
  <c r="BC869" i="1"/>
  <c r="AY869" i="1"/>
  <c r="AU869" i="1"/>
  <c r="AQ869" i="1"/>
  <c r="AM869" i="1"/>
  <c r="AI869" i="1"/>
  <c r="AE869" i="1"/>
  <c r="AA869" i="1"/>
  <c r="W869" i="1"/>
  <c r="S869" i="1"/>
  <c r="O869" i="1"/>
  <c r="K869" i="1"/>
  <c r="G869" i="1"/>
  <c r="C869" i="1"/>
  <c r="BC868" i="1"/>
  <c r="AY868" i="1"/>
  <c r="AU868" i="1"/>
  <c r="AQ868" i="1"/>
  <c r="AM868" i="1"/>
  <c r="AI868" i="1"/>
  <c r="AE868" i="1"/>
  <c r="AA868" i="1"/>
  <c r="W868" i="1"/>
  <c r="S868" i="1"/>
  <c r="O868" i="1"/>
  <c r="K868" i="1"/>
  <c r="G868" i="1"/>
  <c r="C868" i="1"/>
  <c r="AV917" i="1" l="1"/>
  <c r="AB894" i="1"/>
  <c r="AV919" i="1"/>
  <c r="T869" i="1"/>
  <c r="T919" i="1"/>
  <c r="X919" i="1"/>
  <c r="X885" i="1"/>
  <c r="T882" i="1"/>
  <c r="AZ882" i="1"/>
  <c r="AB873" i="1"/>
  <c r="H893" i="1"/>
  <c r="H897" i="1"/>
  <c r="L898" i="1"/>
  <c r="L921" i="1"/>
  <c r="AZ874" i="1"/>
  <c r="T872" i="1"/>
  <c r="AB904" i="1"/>
  <c r="AB911" i="1" s="1"/>
  <c r="H919" i="1"/>
  <c r="AZ919" i="1"/>
  <c r="AF870" i="1"/>
  <c r="AF874" i="1"/>
  <c r="AB883" i="1"/>
  <c r="AN884" i="1"/>
  <c r="AB906" i="1"/>
  <c r="BD919" i="1"/>
  <c r="X886" i="1"/>
  <c r="BD886" i="1"/>
  <c r="AB909" i="1"/>
  <c r="T898" i="1"/>
  <c r="BD907" i="1"/>
  <c r="AB907" i="1"/>
  <c r="X918" i="1"/>
  <c r="BD918" i="1"/>
  <c r="AB918" i="1"/>
  <c r="X881" i="1"/>
  <c r="AV897" i="1"/>
  <c r="AZ893" i="1"/>
  <c r="AZ897" i="1"/>
  <c r="L882" i="1"/>
  <c r="AR882" i="1"/>
  <c r="T883" i="1"/>
  <c r="AZ883" i="1"/>
  <c r="BD893" i="1"/>
  <c r="X897" i="1"/>
  <c r="H882" i="1"/>
  <c r="H886" i="1"/>
  <c r="AN886" i="1"/>
  <c r="T897" i="1"/>
  <c r="AN881" i="1"/>
  <c r="P882" i="1"/>
  <c r="AV882" i="1"/>
  <c r="AB893" i="1"/>
  <c r="AB872" i="1"/>
  <c r="AB870" i="1"/>
  <c r="AR872" i="1"/>
  <c r="AR871" i="1"/>
  <c r="L885" i="1"/>
  <c r="L895" i="1"/>
  <c r="AJ904" i="1"/>
  <c r="AJ911" i="1" s="1"/>
  <c r="H870" i="1"/>
  <c r="AN870" i="1"/>
  <c r="P871" i="1"/>
  <c r="AV871" i="1"/>
  <c r="X882" i="1"/>
  <c r="BD882" i="1"/>
  <c r="AF883" i="1"/>
  <c r="AZ886" i="1"/>
  <c r="H904" i="1"/>
  <c r="H911" i="1" s="1"/>
  <c r="P919" i="1"/>
  <c r="AF885" i="1"/>
  <c r="H871" i="1"/>
  <c r="L871" i="1"/>
  <c r="AR870" i="1"/>
  <c r="AR904" i="1"/>
  <c r="AR911" i="1" s="1"/>
  <c r="X908" i="1"/>
  <c r="P870" i="1"/>
  <c r="X871" i="1"/>
  <c r="BD871" i="1"/>
  <c r="AB881" i="1"/>
  <c r="AR898" i="1"/>
  <c r="AV904" i="1"/>
  <c r="AV911" i="1" s="1"/>
  <c r="T910" i="1"/>
  <c r="AZ910" i="1"/>
  <c r="AB921" i="1"/>
  <c r="AB922" i="1"/>
  <c r="T871" i="1"/>
  <c r="AZ916" i="1"/>
  <c r="AZ923" i="1" s="1"/>
  <c r="T868" i="1"/>
  <c r="T875" i="1" s="1"/>
  <c r="T870" i="1"/>
  <c r="AJ882" i="1"/>
  <c r="L883" i="1"/>
  <c r="AR883" i="1"/>
  <c r="AF886" i="1"/>
  <c r="AB895" i="1"/>
  <c r="T904" i="1"/>
  <c r="T911" i="1" s="1"/>
  <c r="AZ904" i="1"/>
  <c r="AZ911" i="1" s="1"/>
  <c r="T909" i="1"/>
  <c r="L870" i="1"/>
  <c r="L904" i="1"/>
  <c r="L911" i="1" s="1"/>
  <c r="AF871" i="1"/>
  <c r="AN872" i="1"/>
  <c r="P883" i="1"/>
  <c r="AB885" i="1"/>
  <c r="P886" i="1"/>
  <c r="AV893" i="1"/>
  <c r="BD894" i="1"/>
  <c r="AR897" i="1"/>
  <c r="X904" i="1"/>
  <c r="X911" i="1" s="1"/>
  <c r="BD904" i="1"/>
  <c r="AZ909" i="1"/>
  <c r="AB920" i="1"/>
  <c r="AJ921" i="1"/>
  <c r="H869" i="1"/>
  <c r="H874" i="1"/>
  <c r="P880" i="1"/>
  <c r="P887" i="1" s="1"/>
  <c r="L907" i="1"/>
  <c r="AV874" i="1"/>
  <c r="X892" i="1"/>
  <c r="X899" i="1" s="1"/>
  <c r="L893" i="1"/>
  <c r="P907" i="1"/>
  <c r="AR907" i="1"/>
  <c r="AV908" i="1"/>
  <c r="AN921" i="1"/>
  <c r="AZ870" i="1"/>
  <c r="AB871" i="1"/>
  <c r="AR873" i="1"/>
  <c r="AN882" i="1"/>
  <c r="AF882" i="1"/>
  <c r="AJ883" i="1"/>
  <c r="P885" i="1"/>
  <c r="AN885" i="1"/>
  <c r="P893" i="1"/>
  <c r="AR894" i="1"/>
  <c r="P895" i="1"/>
  <c r="AV895" i="1"/>
  <c r="BD897" i="1"/>
  <c r="AF898" i="1"/>
  <c r="AF904" i="1"/>
  <c r="AF911" i="1" s="1"/>
  <c r="AB905" i="1"/>
  <c r="T907" i="1"/>
  <c r="AV907" i="1"/>
  <c r="L920" i="1"/>
  <c r="AR920" i="1"/>
  <c r="P921" i="1"/>
  <c r="AR921" i="1"/>
  <c r="P904" i="1"/>
  <c r="P911" i="1" s="1"/>
  <c r="AN874" i="1"/>
  <c r="AF893" i="1"/>
  <c r="AJ907" i="1"/>
  <c r="L868" i="1"/>
  <c r="L875" i="1" s="1"/>
  <c r="AR874" i="1"/>
  <c r="O887" i="1"/>
  <c r="P896" i="1"/>
  <c r="AN907" i="1"/>
  <c r="AR868" i="1"/>
  <c r="AR875" i="1" s="1"/>
  <c r="AJ885" i="1"/>
  <c r="AN893" i="1"/>
  <c r="AN894" i="1"/>
  <c r="AR895" i="1"/>
  <c r="X869" i="1"/>
  <c r="BD869" i="1"/>
  <c r="BD870" i="1"/>
  <c r="P873" i="1"/>
  <c r="X874" i="1"/>
  <c r="BD874" i="1"/>
  <c r="AB880" i="1"/>
  <c r="AB887" i="1" s="1"/>
  <c r="T885" i="1"/>
  <c r="AR885" i="1"/>
  <c r="AR886" i="1"/>
  <c r="T893" i="1"/>
  <c r="T894" i="1"/>
  <c r="AZ895" i="1"/>
  <c r="AN897" i="1"/>
  <c r="AF897" i="1"/>
  <c r="AB898" i="1"/>
  <c r="AJ898" i="1"/>
  <c r="X907" i="1"/>
  <c r="AZ907" i="1"/>
  <c r="L910" i="1"/>
  <c r="AU911" i="1"/>
  <c r="L918" i="1"/>
  <c r="AN918" i="1"/>
  <c r="AN919" i="1"/>
  <c r="P920" i="1"/>
  <c r="AV920" i="1"/>
  <c r="BD885" i="1"/>
  <c r="AF907" i="1"/>
  <c r="AN869" i="1"/>
  <c r="H907" i="1"/>
  <c r="L874" i="1"/>
  <c r="AF919" i="1"/>
  <c r="AZ880" i="1"/>
  <c r="AZ887" i="1" s="1"/>
  <c r="BD868" i="1"/>
  <c r="BD875" i="1" s="1"/>
  <c r="AZ873" i="1"/>
  <c r="H881" i="1"/>
  <c r="T886" i="1"/>
  <c r="AV886" i="1"/>
  <c r="X893" i="1"/>
  <c r="AF896" i="1"/>
  <c r="AZ906" i="1"/>
  <c r="AR919" i="1"/>
  <c r="AZ921" i="1"/>
  <c r="AF922" i="1"/>
  <c r="AR884" i="1"/>
  <c r="AB892" i="1"/>
  <c r="AB899" i="1" s="1"/>
  <c r="AF905" i="1"/>
  <c r="AF908" i="1"/>
  <c r="BD908" i="1"/>
  <c r="BD892" i="1"/>
  <c r="AZ896" i="1"/>
  <c r="AV896" i="1"/>
  <c r="X896" i="1"/>
  <c r="AJ905" i="1"/>
  <c r="H908" i="1"/>
  <c r="AJ908" i="1"/>
  <c r="AJ910" i="1"/>
  <c r="P881" i="1"/>
  <c r="AR881" i="1"/>
  <c r="X884" i="1"/>
  <c r="AZ884" i="1"/>
  <c r="AF892" i="1"/>
  <c r="H896" i="1"/>
  <c r="L905" i="1"/>
  <c r="P906" i="1"/>
  <c r="AR906" i="1"/>
  <c r="AN908" i="1"/>
  <c r="AN910" i="1"/>
  <c r="BD922" i="1"/>
  <c r="AV881" i="1"/>
  <c r="L892" i="1"/>
  <c r="AJ894" i="1"/>
  <c r="L894" i="1"/>
  <c r="AN896" i="1"/>
  <c r="P905" i="1"/>
  <c r="P908" i="1"/>
  <c r="P910" i="1"/>
  <c r="AR910" i="1"/>
  <c r="H922" i="1"/>
  <c r="AR892" i="1"/>
  <c r="AR899" i="1" s="1"/>
  <c r="AB910" i="1"/>
  <c r="L922" i="1"/>
  <c r="AZ881" i="1"/>
  <c r="AU899" i="1"/>
  <c r="AV892" i="1"/>
  <c r="AV899" i="1" s="1"/>
  <c r="AB896" i="1"/>
  <c r="BD896" i="1"/>
  <c r="AN906" i="1"/>
  <c r="X906" i="1"/>
  <c r="AB908" i="1"/>
  <c r="P922" i="1"/>
  <c r="AR922" i="1"/>
  <c r="C887" i="1"/>
  <c r="H892" i="1"/>
  <c r="X894" i="1"/>
  <c r="H906" i="1"/>
  <c r="AZ908" i="1"/>
  <c r="AE911" i="1"/>
  <c r="AZ918" i="1"/>
  <c r="AF918" i="1"/>
  <c r="AJ922" i="1"/>
  <c r="AU875" i="1"/>
  <c r="AJ870" i="1"/>
  <c r="AZ871" i="1"/>
  <c r="AZ872" i="1"/>
  <c r="AV873" i="1"/>
  <c r="P874" i="1"/>
  <c r="H880" i="1"/>
  <c r="AB886" i="1"/>
  <c r="AE899" i="1"/>
  <c r="AZ892" i="1"/>
  <c r="AZ899" i="1" s="1"/>
  <c r="AJ893" i="1"/>
  <c r="AZ894" i="1"/>
  <c r="L896" i="1"/>
  <c r="AB897" i="1"/>
  <c r="P898" i="1"/>
  <c r="L908" i="1"/>
  <c r="BD909" i="1"/>
  <c r="X910" i="1"/>
  <c r="AB916" i="1"/>
  <c r="AB923" i="1" s="1"/>
  <c r="L917" i="1"/>
  <c r="H918" i="1"/>
  <c r="AB919" i="1"/>
  <c r="T920" i="1"/>
  <c r="AZ920" i="1"/>
  <c r="X921" i="1"/>
  <c r="AN922" i="1"/>
  <c r="BD881" i="1"/>
  <c r="AJ892" i="1"/>
  <c r="AJ899" i="1" s="1"/>
  <c r="H894" i="1"/>
  <c r="L897" i="1"/>
  <c r="T905" i="1"/>
  <c r="P918" i="1"/>
  <c r="T921" i="1"/>
  <c r="X870" i="1"/>
  <c r="AJ871" i="1"/>
  <c r="AV872" i="1"/>
  <c r="H873" i="1"/>
  <c r="AF873" i="1"/>
  <c r="H885" i="1"/>
  <c r="AV885" i="1"/>
  <c r="AJ886" i="1"/>
  <c r="T892" i="1"/>
  <c r="T899" i="1" s="1"/>
  <c r="AN892" i="1"/>
  <c r="AN899" i="1" s="1"/>
  <c r="AR893" i="1"/>
  <c r="H895" i="1"/>
  <c r="AJ897" i="1"/>
  <c r="AZ898" i="1"/>
  <c r="T908" i="1"/>
  <c r="H909" i="1"/>
  <c r="AJ909" i="1"/>
  <c r="AF910" i="1"/>
  <c r="AR918" i="1"/>
  <c r="AJ919" i="1"/>
  <c r="AF920" i="1"/>
  <c r="H921" i="1"/>
  <c r="AF921" i="1"/>
  <c r="X922" i="1"/>
  <c r="AV922" i="1"/>
  <c r="T873" i="1"/>
  <c r="AF881" i="1"/>
  <c r="H884" i="1"/>
  <c r="L886" i="1"/>
  <c r="C899" i="1"/>
  <c r="AR896" i="1"/>
  <c r="AR905" i="1"/>
  <c r="AR909" i="1"/>
  <c r="H910" i="1"/>
  <c r="T916" i="1"/>
  <c r="L919" i="1"/>
  <c r="T922" i="1"/>
  <c r="AJ868" i="1"/>
  <c r="AJ875" i="1" s="1"/>
  <c r="AJ869" i="1"/>
  <c r="AV870" i="1"/>
  <c r="AN871" i="1"/>
  <c r="AB874" i="1"/>
  <c r="AR880" i="1"/>
  <c r="AR887" i="1" s="1"/>
  <c r="L881" i="1"/>
  <c r="AB882" i="1"/>
  <c r="P884" i="1"/>
  <c r="AZ885" i="1"/>
  <c r="AF895" i="1"/>
  <c r="P897" i="1"/>
  <c r="AZ905" i="1"/>
  <c r="AV906" i="1"/>
  <c r="AR908" i="1"/>
  <c r="L909" i="1"/>
  <c r="AN909" i="1"/>
  <c r="BD910" i="1"/>
  <c r="L916" i="1"/>
  <c r="L923" i="1" s="1"/>
  <c r="AV918" i="1"/>
  <c r="BD920" i="1"/>
  <c r="AJ920" i="1"/>
  <c r="BD921" i="1"/>
  <c r="AZ922" i="1"/>
  <c r="L935" i="1"/>
  <c r="X935" i="1"/>
  <c r="X872" i="1"/>
  <c r="P892" i="1"/>
  <c r="P899" i="1" s="1"/>
  <c r="H916" i="1"/>
  <c r="H923" i="1" s="1"/>
  <c r="AN917" i="1"/>
  <c r="X868" i="1"/>
  <c r="X875" i="1" s="1"/>
  <c r="H872" i="1"/>
  <c r="L873" i="1"/>
  <c r="L880" i="1"/>
  <c r="AV880" i="1"/>
  <c r="AV887" i="1" s="1"/>
  <c r="AB884" i="1"/>
  <c r="AV884" i="1"/>
  <c r="T917" i="1"/>
  <c r="H868" i="1"/>
  <c r="H875" i="1" s="1"/>
  <c r="AR869" i="1"/>
  <c r="C875" i="1"/>
  <c r="AF880" i="1"/>
  <c r="AF887" i="1" s="1"/>
  <c r="BD883" i="1"/>
  <c r="AN883" i="1"/>
  <c r="X883" i="1"/>
  <c r="H883" i="1"/>
  <c r="AV883" i="1"/>
  <c r="L884" i="1"/>
  <c r="AF884" i="1"/>
  <c r="AV894" i="1"/>
  <c r="AF894" i="1"/>
  <c r="P894" i="1"/>
  <c r="BD898" i="1"/>
  <c r="AN898" i="1"/>
  <c r="X898" i="1"/>
  <c r="H898" i="1"/>
  <c r="AV898" i="1"/>
  <c r="C911" i="1"/>
  <c r="AN904" i="1"/>
  <c r="BD905" i="1"/>
  <c r="AN905" i="1"/>
  <c r="X905" i="1"/>
  <c r="H905" i="1"/>
  <c r="AV905" i="1"/>
  <c r="L906" i="1"/>
  <c r="AF906" i="1"/>
  <c r="AV910" i="1"/>
  <c r="BD916" i="1"/>
  <c r="BD923" i="1" s="1"/>
  <c r="X917" i="1"/>
  <c r="AR917" i="1"/>
  <c r="L872" i="1"/>
  <c r="AJ916" i="1"/>
  <c r="AJ923" i="1" s="1"/>
  <c r="AE875" i="1"/>
  <c r="AF868" i="1"/>
  <c r="L869" i="1"/>
  <c r="AF869" i="1"/>
  <c r="AF872" i="1"/>
  <c r="AJ873" i="1"/>
  <c r="BD873" i="1"/>
  <c r="AJ880" i="1"/>
  <c r="AJ887" i="1" s="1"/>
  <c r="BD880" i="1"/>
  <c r="AJ884" i="1"/>
  <c r="AJ895" i="1"/>
  <c r="BD895" i="1"/>
  <c r="AJ906" i="1"/>
  <c r="AN916" i="1"/>
  <c r="AN923" i="1" s="1"/>
  <c r="H917" i="1"/>
  <c r="AB917" i="1"/>
  <c r="AV921" i="1"/>
  <c r="O923" i="1"/>
  <c r="P917" i="1"/>
  <c r="AN868" i="1"/>
  <c r="AN875" i="1" s="1"/>
  <c r="AB869" i="1"/>
  <c r="O875" i="1"/>
  <c r="P868" i="1"/>
  <c r="AZ868" i="1"/>
  <c r="AZ875" i="1" s="1"/>
  <c r="P869" i="1"/>
  <c r="AZ869" i="1"/>
  <c r="P872" i="1"/>
  <c r="BD872" i="1"/>
  <c r="AN873" i="1"/>
  <c r="T880" i="1"/>
  <c r="T887" i="1" s="1"/>
  <c r="AN880" i="1"/>
  <c r="T884" i="1"/>
  <c r="BD884" i="1"/>
  <c r="T895" i="1"/>
  <c r="AN895" i="1"/>
  <c r="T906" i="1"/>
  <c r="BD906" i="1"/>
  <c r="X909" i="1"/>
  <c r="AF917" i="1"/>
  <c r="AZ917" i="1"/>
  <c r="AV916" i="1"/>
  <c r="AV923" i="1" s="1"/>
  <c r="AF916" i="1"/>
  <c r="AF923" i="1" s="1"/>
  <c r="P916" i="1"/>
  <c r="C923" i="1"/>
  <c r="AB868" i="1"/>
  <c r="AV868" i="1"/>
  <c r="AV869" i="1"/>
  <c r="AJ872" i="1"/>
  <c r="X873" i="1"/>
  <c r="X880" i="1"/>
  <c r="X887" i="1" s="1"/>
  <c r="X895" i="1"/>
  <c r="AV909" i="1"/>
  <c r="AF909" i="1"/>
  <c r="P909" i="1"/>
  <c r="X916" i="1"/>
  <c r="X923" i="1" s="1"/>
  <c r="AR916" i="1"/>
  <c r="BD917" i="1"/>
  <c r="T874" i="1"/>
  <c r="AJ874" i="1"/>
  <c r="T881" i="1"/>
  <c r="AJ881" i="1"/>
  <c r="T896" i="1"/>
  <c r="AJ896" i="1"/>
  <c r="T918" i="1"/>
  <c r="AJ918" i="1"/>
  <c r="H920" i="1"/>
  <c r="X920" i="1"/>
  <c r="AN920" i="1"/>
  <c r="D5" i="10" l="1"/>
  <c r="AB875" i="1"/>
  <c r="L899" i="1"/>
  <c r="H887" i="1"/>
  <c r="P923" i="1"/>
  <c r="AF899" i="1"/>
  <c r="T923" i="1"/>
  <c r="C5" i="10" s="1"/>
  <c r="BD899" i="1"/>
  <c r="BD911" i="1"/>
  <c r="BD887" i="1"/>
  <c r="H899" i="1"/>
  <c r="AN911" i="1"/>
  <c r="AR923" i="1"/>
  <c r="AF875" i="1"/>
  <c r="L887" i="1"/>
  <c r="AV875" i="1"/>
  <c r="AN887" i="1"/>
  <c r="P875" i="1"/>
  <c r="D863" i="1" l="1"/>
  <c r="BC862" i="1"/>
  <c r="AY862" i="1"/>
  <c r="AU862" i="1"/>
  <c r="AQ862" i="1"/>
  <c r="AM862" i="1"/>
  <c r="AI862" i="1"/>
  <c r="AE862" i="1"/>
  <c r="AA862" i="1"/>
  <c r="W862" i="1"/>
  <c r="S862" i="1"/>
  <c r="O862" i="1"/>
  <c r="K862" i="1"/>
  <c r="G862" i="1"/>
  <c r="C862" i="1"/>
  <c r="AZ862" i="1" s="1"/>
  <c r="BC861" i="1"/>
  <c r="AY861" i="1"/>
  <c r="AU861" i="1"/>
  <c r="AQ861" i="1"/>
  <c r="AM861" i="1"/>
  <c r="AI861" i="1"/>
  <c r="AE861" i="1"/>
  <c r="AF861" i="1" s="1"/>
  <c r="AA861" i="1"/>
  <c r="AB861" i="1" s="1"/>
  <c r="W861" i="1"/>
  <c r="S861" i="1"/>
  <c r="O861" i="1"/>
  <c r="K861" i="1"/>
  <c r="G861" i="1"/>
  <c r="C861" i="1"/>
  <c r="BC860" i="1"/>
  <c r="AY860" i="1"/>
  <c r="AU860" i="1"/>
  <c r="AQ860" i="1"/>
  <c r="AM860" i="1"/>
  <c r="AI860" i="1"/>
  <c r="AE860" i="1"/>
  <c r="AA860" i="1"/>
  <c r="W860" i="1"/>
  <c r="S860" i="1"/>
  <c r="O860" i="1"/>
  <c r="K860" i="1"/>
  <c r="G860" i="1"/>
  <c r="C860" i="1"/>
  <c r="BC859" i="1"/>
  <c r="AY859" i="1"/>
  <c r="AU859" i="1"/>
  <c r="AQ859" i="1"/>
  <c r="AM859" i="1"/>
  <c r="AI859" i="1"/>
  <c r="AE859" i="1"/>
  <c r="AA859" i="1"/>
  <c r="W859" i="1"/>
  <c r="S859" i="1"/>
  <c r="O859" i="1"/>
  <c r="K859" i="1"/>
  <c r="G859" i="1"/>
  <c r="C859" i="1"/>
  <c r="BC858" i="1"/>
  <c r="AY858" i="1"/>
  <c r="AU858" i="1"/>
  <c r="AQ858" i="1"/>
  <c r="AM858" i="1"/>
  <c r="AI858" i="1"/>
  <c r="AE858" i="1"/>
  <c r="AA858" i="1"/>
  <c r="W858" i="1"/>
  <c r="S858" i="1"/>
  <c r="O858" i="1"/>
  <c r="K858" i="1"/>
  <c r="G858" i="1"/>
  <c r="C858" i="1"/>
  <c r="BC857" i="1"/>
  <c r="AY857" i="1"/>
  <c r="AU857" i="1"/>
  <c r="AQ857" i="1"/>
  <c r="AM857" i="1"/>
  <c r="AI857" i="1"/>
  <c r="AE857" i="1"/>
  <c r="AA857" i="1"/>
  <c r="W857" i="1"/>
  <c r="S857" i="1"/>
  <c r="O857" i="1"/>
  <c r="K857" i="1"/>
  <c r="G857" i="1"/>
  <c r="C857" i="1"/>
  <c r="BC856" i="1"/>
  <c r="AY856" i="1"/>
  <c r="AU856" i="1"/>
  <c r="AU863" i="1" s="1"/>
  <c r="AQ856" i="1"/>
  <c r="AM856" i="1"/>
  <c r="AI856" i="1"/>
  <c r="AE856" i="1"/>
  <c r="AE863" i="1" s="1"/>
  <c r="AA856" i="1"/>
  <c r="W856" i="1"/>
  <c r="S856" i="1"/>
  <c r="O856" i="1"/>
  <c r="K856" i="1"/>
  <c r="G856" i="1"/>
  <c r="C856" i="1"/>
  <c r="D851" i="1"/>
  <c r="BC850" i="1"/>
  <c r="AY850" i="1"/>
  <c r="AU850" i="1"/>
  <c r="AQ850" i="1"/>
  <c r="AM850" i="1"/>
  <c r="AI850" i="1"/>
  <c r="AE850" i="1"/>
  <c r="AA850" i="1"/>
  <c r="W850" i="1"/>
  <c r="S850" i="1"/>
  <c r="O850" i="1"/>
  <c r="K850" i="1"/>
  <c r="G850" i="1"/>
  <c r="C850" i="1"/>
  <c r="BC849" i="1"/>
  <c r="AY849" i="1"/>
  <c r="AU849" i="1"/>
  <c r="AQ849" i="1"/>
  <c r="AM849" i="1"/>
  <c r="AI849" i="1"/>
  <c r="AE849" i="1"/>
  <c r="AA849" i="1"/>
  <c r="W849" i="1"/>
  <c r="S849" i="1"/>
  <c r="O849" i="1"/>
  <c r="K849" i="1"/>
  <c r="G849" i="1"/>
  <c r="C849" i="1"/>
  <c r="BC848" i="1"/>
  <c r="AY848" i="1"/>
  <c r="AU848" i="1"/>
  <c r="AQ848" i="1"/>
  <c r="AM848" i="1"/>
  <c r="AI848" i="1"/>
  <c r="AE848" i="1"/>
  <c r="AA848" i="1"/>
  <c r="W848" i="1"/>
  <c r="S848" i="1"/>
  <c r="O848" i="1"/>
  <c r="K848" i="1"/>
  <c r="G848" i="1"/>
  <c r="C848" i="1"/>
  <c r="BC847" i="1"/>
  <c r="AY847" i="1"/>
  <c r="AU847" i="1"/>
  <c r="AQ847" i="1"/>
  <c r="AM847" i="1"/>
  <c r="AI847" i="1"/>
  <c r="AE847" i="1"/>
  <c r="AA847" i="1"/>
  <c r="W847" i="1"/>
  <c r="S847" i="1"/>
  <c r="O847" i="1"/>
  <c r="K847" i="1"/>
  <c r="G847" i="1"/>
  <c r="C847" i="1"/>
  <c r="BC846" i="1"/>
  <c r="AY846" i="1"/>
  <c r="AU846" i="1"/>
  <c r="AV846" i="1" s="1"/>
  <c r="AQ846" i="1"/>
  <c r="AM846" i="1"/>
  <c r="AI846" i="1"/>
  <c r="AE846" i="1"/>
  <c r="AA846" i="1"/>
  <c r="W846" i="1"/>
  <c r="S846" i="1"/>
  <c r="O846" i="1"/>
  <c r="P846" i="1" s="1"/>
  <c r="K846" i="1"/>
  <c r="L846" i="1" s="1"/>
  <c r="G846" i="1"/>
  <c r="C846" i="1"/>
  <c r="BC845" i="1"/>
  <c r="AY845" i="1"/>
  <c r="AU845" i="1"/>
  <c r="AQ845" i="1"/>
  <c r="AM845" i="1"/>
  <c r="AI845" i="1"/>
  <c r="AE845" i="1"/>
  <c r="AA845" i="1"/>
  <c r="W845" i="1"/>
  <c r="S845" i="1"/>
  <c r="O845" i="1"/>
  <c r="K845" i="1"/>
  <c r="G845" i="1"/>
  <c r="C845" i="1"/>
  <c r="BC844" i="1"/>
  <c r="AY844" i="1"/>
  <c r="AU844" i="1"/>
  <c r="AQ844" i="1"/>
  <c r="AM844" i="1"/>
  <c r="AI844" i="1"/>
  <c r="AE844" i="1"/>
  <c r="AE851" i="1" s="1"/>
  <c r="AA844" i="1"/>
  <c r="W844" i="1"/>
  <c r="S844" i="1"/>
  <c r="O844" i="1"/>
  <c r="K844" i="1"/>
  <c r="G844" i="1"/>
  <c r="C844" i="1"/>
  <c r="AM832" i="1"/>
  <c r="D839" i="1"/>
  <c r="BC838" i="1"/>
  <c r="AY838" i="1"/>
  <c r="AU838" i="1"/>
  <c r="AQ838" i="1"/>
  <c r="AM838" i="1"/>
  <c r="AI838" i="1"/>
  <c r="AE838" i="1"/>
  <c r="AA838" i="1"/>
  <c r="W838" i="1"/>
  <c r="S838" i="1"/>
  <c r="O838" i="1"/>
  <c r="K838" i="1"/>
  <c r="G838" i="1"/>
  <c r="C838" i="1"/>
  <c r="BC837" i="1"/>
  <c r="AY837" i="1"/>
  <c r="AU837" i="1"/>
  <c r="AQ837" i="1"/>
  <c r="AM837" i="1"/>
  <c r="AI837" i="1"/>
  <c r="AE837" i="1"/>
  <c r="AA837" i="1"/>
  <c r="W837" i="1"/>
  <c r="S837" i="1"/>
  <c r="O837" i="1"/>
  <c r="K837" i="1"/>
  <c r="G837" i="1"/>
  <c r="C837" i="1"/>
  <c r="AJ837" i="1" s="1"/>
  <c r="BC836" i="1"/>
  <c r="AY836" i="1"/>
  <c r="AU836" i="1"/>
  <c r="AQ836" i="1"/>
  <c r="AM836" i="1"/>
  <c r="AI836" i="1"/>
  <c r="AE836" i="1"/>
  <c r="AA836" i="1"/>
  <c r="W836" i="1"/>
  <c r="S836" i="1"/>
  <c r="O836" i="1"/>
  <c r="K836" i="1"/>
  <c r="G836" i="1"/>
  <c r="C836" i="1"/>
  <c r="AJ836" i="1" s="1"/>
  <c r="BC835" i="1"/>
  <c r="AY835" i="1"/>
  <c r="AU835" i="1"/>
  <c r="AQ835" i="1"/>
  <c r="AM835" i="1"/>
  <c r="AI835" i="1"/>
  <c r="AE835" i="1"/>
  <c r="AA835" i="1"/>
  <c r="W835" i="1"/>
  <c r="S835" i="1"/>
  <c r="O835" i="1"/>
  <c r="K835" i="1"/>
  <c r="G835" i="1"/>
  <c r="C835" i="1"/>
  <c r="BC834" i="1"/>
  <c r="AY834" i="1"/>
  <c r="AU834" i="1"/>
  <c r="AQ834" i="1"/>
  <c r="AM834" i="1"/>
  <c r="AI834" i="1"/>
  <c r="AE834" i="1"/>
  <c r="AA834" i="1"/>
  <c r="W834" i="1"/>
  <c r="S834" i="1"/>
  <c r="O834" i="1"/>
  <c r="K834" i="1"/>
  <c r="G834" i="1"/>
  <c r="C834" i="1"/>
  <c r="BC833" i="1"/>
  <c r="AY833" i="1"/>
  <c r="AU833" i="1"/>
  <c r="AQ833" i="1"/>
  <c r="AM833" i="1"/>
  <c r="AI833" i="1"/>
  <c r="AE833" i="1"/>
  <c r="AA833" i="1"/>
  <c r="W833" i="1"/>
  <c r="S833" i="1"/>
  <c r="O833" i="1"/>
  <c r="K833" i="1"/>
  <c r="G833" i="1"/>
  <c r="C833" i="1"/>
  <c r="BC832" i="1"/>
  <c r="AY832" i="1"/>
  <c r="AU832" i="1"/>
  <c r="AU839" i="1" s="1"/>
  <c r="AQ832" i="1"/>
  <c r="AI832" i="1"/>
  <c r="AE832" i="1"/>
  <c r="AE839" i="1" s="1"/>
  <c r="AA832" i="1"/>
  <c r="W832" i="1"/>
  <c r="S832" i="1"/>
  <c r="O832" i="1"/>
  <c r="O839" i="1" s="1"/>
  <c r="K832" i="1"/>
  <c r="G832" i="1"/>
  <c r="C832" i="1"/>
  <c r="D827" i="1"/>
  <c r="BC826" i="1"/>
  <c r="AY826" i="1"/>
  <c r="AU826" i="1"/>
  <c r="AQ826" i="1"/>
  <c r="AM826" i="1"/>
  <c r="AI826" i="1"/>
  <c r="AE826" i="1"/>
  <c r="AA826" i="1"/>
  <c r="W826" i="1"/>
  <c r="S826" i="1"/>
  <c r="O826" i="1"/>
  <c r="K826" i="1"/>
  <c r="G826" i="1"/>
  <c r="C826" i="1"/>
  <c r="BD826" i="1" s="1"/>
  <c r="BC825" i="1"/>
  <c r="AY825" i="1"/>
  <c r="AU825" i="1"/>
  <c r="AQ825" i="1"/>
  <c r="AM825" i="1"/>
  <c r="AI825" i="1"/>
  <c r="AE825" i="1"/>
  <c r="AA825" i="1"/>
  <c r="W825" i="1"/>
  <c r="S825" i="1"/>
  <c r="O825" i="1"/>
  <c r="K825" i="1"/>
  <c r="G825" i="1"/>
  <c r="C825" i="1"/>
  <c r="AJ825" i="1" s="1"/>
  <c r="BC824" i="1"/>
  <c r="AY824" i="1"/>
  <c r="AU824" i="1"/>
  <c r="AQ824" i="1"/>
  <c r="AM824" i="1"/>
  <c r="AI824" i="1"/>
  <c r="AE824" i="1"/>
  <c r="AA824" i="1"/>
  <c r="W824" i="1"/>
  <c r="S824" i="1"/>
  <c r="O824" i="1"/>
  <c r="K824" i="1"/>
  <c r="G824" i="1"/>
  <c r="C824" i="1"/>
  <c r="AJ824" i="1" s="1"/>
  <c r="BC823" i="1"/>
  <c r="AY823" i="1"/>
  <c r="AU823" i="1"/>
  <c r="AQ823" i="1"/>
  <c r="AM823" i="1"/>
  <c r="AI823" i="1"/>
  <c r="AE823" i="1"/>
  <c r="AA823" i="1"/>
  <c r="W823" i="1"/>
  <c r="S823" i="1"/>
  <c r="O823" i="1"/>
  <c r="K823" i="1"/>
  <c r="G823" i="1"/>
  <c r="C823" i="1"/>
  <c r="BC822" i="1"/>
  <c r="AY822" i="1"/>
  <c r="AU822" i="1"/>
  <c r="AQ822" i="1"/>
  <c r="AM822" i="1"/>
  <c r="AI822" i="1"/>
  <c r="AE822" i="1"/>
  <c r="AA822" i="1"/>
  <c r="W822" i="1"/>
  <c r="S822" i="1"/>
  <c r="O822" i="1"/>
  <c r="K822" i="1"/>
  <c r="G822" i="1"/>
  <c r="C822" i="1"/>
  <c r="BC821" i="1"/>
  <c r="AY821" i="1"/>
  <c r="AU821" i="1"/>
  <c r="AQ821" i="1"/>
  <c r="AM821" i="1"/>
  <c r="AI821" i="1"/>
  <c r="AE821" i="1"/>
  <c r="AA821" i="1"/>
  <c r="W821" i="1"/>
  <c r="S821" i="1"/>
  <c r="O821" i="1"/>
  <c r="K821" i="1"/>
  <c r="G821" i="1"/>
  <c r="C821" i="1"/>
  <c r="BC820" i="1"/>
  <c r="AY820" i="1"/>
  <c r="AU820" i="1"/>
  <c r="AQ820" i="1"/>
  <c r="AM820" i="1"/>
  <c r="AI820" i="1"/>
  <c r="AE820" i="1"/>
  <c r="AE827" i="1" s="1"/>
  <c r="AA820" i="1"/>
  <c r="W820" i="1"/>
  <c r="S820" i="1"/>
  <c r="O820" i="1"/>
  <c r="O827" i="1" s="1"/>
  <c r="K820" i="1"/>
  <c r="G820" i="1"/>
  <c r="C820" i="1"/>
  <c r="D815" i="1"/>
  <c r="BC814" i="1"/>
  <c r="AY814" i="1"/>
  <c r="AU814" i="1"/>
  <c r="AQ814" i="1"/>
  <c r="AM814" i="1"/>
  <c r="AI814" i="1"/>
  <c r="AE814" i="1"/>
  <c r="AA814" i="1"/>
  <c r="W814" i="1"/>
  <c r="S814" i="1"/>
  <c r="O814" i="1"/>
  <c r="K814" i="1"/>
  <c r="G814" i="1"/>
  <c r="C814" i="1"/>
  <c r="BC813" i="1"/>
  <c r="AY813" i="1"/>
  <c r="AU813" i="1"/>
  <c r="AQ813" i="1"/>
  <c r="AM813" i="1"/>
  <c r="AI813" i="1"/>
  <c r="AE813" i="1"/>
  <c r="AA813" i="1"/>
  <c r="W813" i="1"/>
  <c r="S813" i="1"/>
  <c r="O813" i="1"/>
  <c r="K813" i="1"/>
  <c r="G813" i="1"/>
  <c r="C813" i="1"/>
  <c r="BC812" i="1"/>
  <c r="AY812" i="1"/>
  <c r="AU812" i="1"/>
  <c r="AQ812" i="1"/>
  <c r="AM812" i="1"/>
  <c r="AI812" i="1"/>
  <c r="AE812" i="1"/>
  <c r="AA812" i="1"/>
  <c r="W812" i="1"/>
  <c r="S812" i="1"/>
  <c r="O812" i="1"/>
  <c r="K812" i="1"/>
  <c r="G812" i="1"/>
  <c r="C812" i="1"/>
  <c r="BC811" i="1"/>
  <c r="AY811" i="1"/>
  <c r="AU811" i="1"/>
  <c r="AQ811" i="1"/>
  <c r="AM811" i="1"/>
  <c r="AI811" i="1"/>
  <c r="AE811" i="1"/>
  <c r="AA811" i="1"/>
  <c r="W811" i="1"/>
  <c r="S811" i="1"/>
  <c r="O811" i="1"/>
  <c r="K811" i="1"/>
  <c r="G811" i="1"/>
  <c r="C811" i="1"/>
  <c r="BC810" i="1"/>
  <c r="AY810" i="1"/>
  <c r="AU810" i="1"/>
  <c r="AQ810" i="1"/>
  <c r="AM810" i="1"/>
  <c r="AI810" i="1"/>
  <c r="AE810" i="1"/>
  <c r="AA810" i="1"/>
  <c r="W810" i="1"/>
  <c r="S810" i="1"/>
  <c r="O810" i="1"/>
  <c r="K810" i="1"/>
  <c r="G810" i="1"/>
  <c r="C810" i="1"/>
  <c r="BC809" i="1"/>
  <c r="AY809" i="1"/>
  <c r="AU809" i="1"/>
  <c r="AQ809" i="1"/>
  <c r="AM809" i="1"/>
  <c r="AI809" i="1"/>
  <c r="AE809" i="1"/>
  <c r="AA809" i="1"/>
  <c r="W809" i="1"/>
  <c r="S809" i="1"/>
  <c r="O809" i="1"/>
  <c r="K809" i="1"/>
  <c r="G809" i="1"/>
  <c r="C809" i="1"/>
  <c r="BC808" i="1"/>
  <c r="AY808" i="1"/>
  <c r="AU808" i="1"/>
  <c r="AU815" i="1" s="1"/>
  <c r="AQ808" i="1"/>
  <c r="AM808" i="1"/>
  <c r="AI808" i="1"/>
  <c r="AE808" i="1"/>
  <c r="AE815" i="1" s="1"/>
  <c r="AA808" i="1"/>
  <c r="W808" i="1"/>
  <c r="S808" i="1"/>
  <c r="O808" i="1"/>
  <c r="K808" i="1"/>
  <c r="G808" i="1"/>
  <c r="C808" i="1"/>
  <c r="AJ808" i="1" s="1"/>
  <c r="AJ815" i="1" s="1"/>
  <c r="AB836" i="1" l="1"/>
  <c r="AR847" i="1"/>
  <c r="X814" i="1"/>
  <c r="BD814" i="1"/>
  <c r="P834" i="1"/>
  <c r="L814" i="1"/>
  <c r="AF824" i="1"/>
  <c r="AZ814" i="1"/>
  <c r="AV834" i="1"/>
  <c r="AF846" i="1"/>
  <c r="AF850" i="1"/>
  <c r="X808" i="1"/>
  <c r="AN835" i="1"/>
  <c r="AJ858" i="1"/>
  <c r="AR820" i="1"/>
  <c r="AR827" i="1" s="1"/>
  <c r="L835" i="1"/>
  <c r="H858" i="1"/>
  <c r="AN858" i="1"/>
  <c r="P825" i="1"/>
  <c r="AV825" i="1"/>
  <c r="AV835" i="1"/>
  <c r="AB857" i="1"/>
  <c r="L858" i="1"/>
  <c r="AN825" i="1"/>
  <c r="T835" i="1"/>
  <c r="BD825" i="1"/>
  <c r="BD849" i="1"/>
  <c r="AV822" i="1"/>
  <c r="AV832" i="1"/>
  <c r="AV839" i="1" s="1"/>
  <c r="X834" i="1"/>
  <c r="AZ834" i="1"/>
  <c r="AB835" i="1"/>
  <c r="H825" i="1"/>
  <c r="AZ835" i="1"/>
  <c r="X825" i="1"/>
  <c r="X835" i="1"/>
  <c r="P844" i="1"/>
  <c r="P851" i="1" s="1"/>
  <c r="AV844" i="1"/>
  <c r="AV851" i="1" s="1"/>
  <c r="X849" i="1"/>
  <c r="AV860" i="1"/>
  <c r="AB812" i="1"/>
  <c r="X844" i="1"/>
  <c r="BD844" i="1"/>
  <c r="BD851" i="1" s="1"/>
  <c r="AF822" i="1"/>
  <c r="AB821" i="1"/>
  <c r="H822" i="1"/>
  <c r="H821" i="1"/>
  <c r="AJ821" i="1"/>
  <c r="L822" i="1"/>
  <c r="AN822" i="1"/>
  <c r="AB834" i="1"/>
  <c r="O851" i="1"/>
  <c r="AZ861" i="1"/>
  <c r="AN810" i="1"/>
  <c r="AN821" i="1"/>
  <c r="P835" i="1"/>
  <c r="T844" i="1"/>
  <c r="T851" i="1" s="1"/>
  <c r="AZ844" i="1"/>
  <c r="AZ851" i="1" s="1"/>
  <c r="AB849" i="1"/>
  <c r="H856" i="1"/>
  <c r="H863" i="1" s="1"/>
  <c r="AJ822" i="1"/>
  <c r="L821" i="1"/>
  <c r="T822" i="1"/>
  <c r="AR814" i="1"/>
  <c r="AV821" i="1"/>
  <c r="AZ826" i="1"/>
  <c r="BD845" i="1"/>
  <c r="AR846" i="1"/>
  <c r="AV849" i="1"/>
  <c r="X858" i="1"/>
  <c r="T821" i="1"/>
  <c r="AZ821" i="1"/>
  <c r="X826" i="1"/>
  <c r="AR833" i="1"/>
  <c r="AV859" i="1"/>
  <c r="X821" i="1"/>
  <c r="AV823" i="1"/>
  <c r="X836" i="1"/>
  <c r="BD836" i="1"/>
  <c r="AF837" i="1"/>
  <c r="L849" i="1"/>
  <c r="AR849" i="1"/>
  <c r="AB858" i="1"/>
  <c r="AJ857" i="1"/>
  <c r="AN857" i="1"/>
  <c r="L856" i="1"/>
  <c r="L863" i="1" s="1"/>
  <c r="L857" i="1"/>
  <c r="T857" i="1"/>
  <c r="AZ856" i="1"/>
  <c r="AZ863" i="1" s="1"/>
  <c r="AZ857" i="1"/>
  <c r="X856" i="1"/>
  <c r="T850" i="1"/>
  <c r="AZ850" i="1"/>
  <c r="P848" i="1"/>
  <c r="AV848" i="1"/>
  <c r="AF847" i="1"/>
  <c r="P847" i="1"/>
  <c r="T847" i="1"/>
  <c r="X847" i="1"/>
  <c r="AV847" i="1"/>
  <c r="AZ847" i="1"/>
  <c r="AJ847" i="1"/>
  <c r="H847" i="1"/>
  <c r="L845" i="1"/>
  <c r="H844" i="1"/>
  <c r="AN844" i="1"/>
  <c r="AN851" i="1" s="1"/>
  <c r="L844" i="1"/>
  <c r="L851" i="1" s="1"/>
  <c r="AR844" i="1"/>
  <c r="AR851" i="1" s="1"/>
  <c r="AB844" i="1"/>
  <c r="AB851" i="1" s="1"/>
  <c r="AZ860" i="1"/>
  <c r="P856" i="1"/>
  <c r="P863" i="1" s="1"/>
  <c r="AN856" i="1"/>
  <c r="AN863" i="1" s="1"/>
  <c r="T856" i="1"/>
  <c r="T863" i="1" s="1"/>
  <c r="AR856" i="1"/>
  <c r="AR863" i="1" s="1"/>
  <c r="AB860" i="1"/>
  <c r="AV856" i="1"/>
  <c r="AV863" i="1" s="1"/>
  <c r="P857" i="1"/>
  <c r="AR857" i="1"/>
  <c r="P858" i="1"/>
  <c r="AV858" i="1"/>
  <c r="BD856" i="1"/>
  <c r="BD863" i="1" s="1"/>
  <c r="AJ856" i="1"/>
  <c r="AJ863" i="1" s="1"/>
  <c r="AF858" i="1"/>
  <c r="AF859" i="1"/>
  <c r="L859" i="1"/>
  <c r="H860" i="1"/>
  <c r="AN859" i="1"/>
  <c r="L860" i="1"/>
  <c r="AJ860" i="1"/>
  <c r="H861" i="1"/>
  <c r="AN861" i="1"/>
  <c r="P862" i="1"/>
  <c r="AV862" i="1"/>
  <c r="C863" i="1"/>
  <c r="AB856" i="1"/>
  <c r="AB863" i="1" s="1"/>
  <c r="X857" i="1"/>
  <c r="AV857" i="1"/>
  <c r="T858" i="1"/>
  <c r="AR858" i="1"/>
  <c r="P859" i="1"/>
  <c r="AR859" i="1"/>
  <c r="AN860" i="1"/>
  <c r="L861" i="1"/>
  <c r="AR861" i="1"/>
  <c r="BD859" i="1"/>
  <c r="H862" i="1"/>
  <c r="AJ859" i="1"/>
  <c r="AF860" i="1"/>
  <c r="AR862" i="1"/>
  <c r="P860" i="1"/>
  <c r="P861" i="1"/>
  <c r="BD862" i="1"/>
  <c r="BD857" i="1"/>
  <c r="AZ858" i="1"/>
  <c r="X859" i="1"/>
  <c r="T860" i="1"/>
  <c r="AB862" i="1"/>
  <c r="H859" i="1"/>
  <c r="BD860" i="1"/>
  <c r="AN862" i="1"/>
  <c r="L862" i="1"/>
  <c r="T859" i="1"/>
  <c r="AR860" i="1"/>
  <c r="AV861" i="1"/>
  <c r="X862" i="1"/>
  <c r="H857" i="1"/>
  <c r="AF857" i="1"/>
  <c r="BD858" i="1"/>
  <c r="AB859" i="1"/>
  <c r="AZ859" i="1"/>
  <c r="X860" i="1"/>
  <c r="X861" i="1"/>
  <c r="BD861" i="1"/>
  <c r="AF862" i="1"/>
  <c r="AB845" i="1"/>
  <c r="AJ848" i="1"/>
  <c r="AF845" i="1"/>
  <c r="AJ846" i="1"/>
  <c r="H848" i="1"/>
  <c r="AN848" i="1"/>
  <c r="X850" i="1"/>
  <c r="BD850" i="1"/>
  <c r="C851" i="1"/>
  <c r="AJ844" i="1"/>
  <c r="AJ851" i="1" s="1"/>
  <c r="AJ845" i="1"/>
  <c r="H846" i="1"/>
  <c r="AN846" i="1"/>
  <c r="AN847" i="1"/>
  <c r="L848" i="1"/>
  <c r="AR848" i="1"/>
  <c r="AB850" i="1"/>
  <c r="P845" i="1"/>
  <c r="T848" i="1"/>
  <c r="AJ850" i="1"/>
  <c r="AR845" i="1"/>
  <c r="T846" i="1"/>
  <c r="X848" i="1"/>
  <c r="H850" i="1"/>
  <c r="AV845" i="1"/>
  <c r="X846" i="1"/>
  <c r="BD846" i="1"/>
  <c r="AB848" i="1"/>
  <c r="L850" i="1"/>
  <c r="AR850" i="1"/>
  <c r="AZ848" i="1"/>
  <c r="T845" i="1"/>
  <c r="AZ846" i="1"/>
  <c r="BD848" i="1"/>
  <c r="AN850" i="1"/>
  <c r="AZ845" i="1"/>
  <c r="AB846" i="1"/>
  <c r="BD847" i="1"/>
  <c r="AF848" i="1"/>
  <c r="H849" i="1"/>
  <c r="AN849" i="1"/>
  <c r="P850" i="1"/>
  <c r="AV850" i="1"/>
  <c r="T861" i="1"/>
  <c r="AJ861" i="1"/>
  <c r="O863" i="1"/>
  <c r="T862" i="1"/>
  <c r="AJ862" i="1"/>
  <c r="AF856" i="1"/>
  <c r="AF863" i="1" s="1"/>
  <c r="AU851" i="1"/>
  <c r="T849" i="1"/>
  <c r="AJ849" i="1"/>
  <c r="AZ849" i="1"/>
  <c r="H845" i="1"/>
  <c r="X845" i="1"/>
  <c r="AN845" i="1"/>
  <c r="L847" i="1"/>
  <c r="AB847" i="1"/>
  <c r="P849" i="1"/>
  <c r="AF849" i="1"/>
  <c r="AF844" i="1"/>
  <c r="AF851" i="1" s="1"/>
  <c r="AN838" i="1"/>
  <c r="AB837" i="1"/>
  <c r="AF835" i="1"/>
  <c r="H835" i="1"/>
  <c r="AJ835" i="1"/>
  <c r="AZ833" i="1"/>
  <c r="H832" i="1"/>
  <c r="H839" i="1" s="1"/>
  <c r="AN832" i="1"/>
  <c r="X832" i="1"/>
  <c r="BD832" i="1"/>
  <c r="BD839" i="1" s="1"/>
  <c r="AJ838" i="1"/>
  <c r="BD833" i="1"/>
  <c r="H833" i="1"/>
  <c r="AF833" i="1"/>
  <c r="BD834" i="1"/>
  <c r="L838" i="1"/>
  <c r="AR838" i="1"/>
  <c r="AJ832" i="1"/>
  <c r="AJ839" i="1" s="1"/>
  <c r="AJ833" i="1"/>
  <c r="H834" i="1"/>
  <c r="AF834" i="1"/>
  <c r="BD835" i="1"/>
  <c r="AF836" i="1"/>
  <c r="H837" i="1"/>
  <c r="AN837" i="1"/>
  <c r="P838" i="1"/>
  <c r="AV838" i="1"/>
  <c r="AB833" i="1"/>
  <c r="L833" i="1"/>
  <c r="AN833" i="1"/>
  <c r="L834" i="1"/>
  <c r="AJ834" i="1"/>
  <c r="L837" i="1"/>
  <c r="AR837" i="1"/>
  <c r="T838" i="1"/>
  <c r="AZ838" i="1"/>
  <c r="P833" i="1"/>
  <c r="AN834" i="1"/>
  <c r="H836" i="1"/>
  <c r="AN836" i="1"/>
  <c r="P837" i="1"/>
  <c r="AV837" i="1"/>
  <c r="T833" i="1"/>
  <c r="AR834" i="1"/>
  <c r="L836" i="1"/>
  <c r="AR836" i="1"/>
  <c r="AB838" i="1"/>
  <c r="T832" i="1"/>
  <c r="T839" i="1" s="1"/>
  <c r="AZ832" i="1"/>
  <c r="AZ839" i="1" s="1"/>
  <c r="X833" i="1"/>
  <c r="AV833" i="1"/>
  <c r="T834" i="1"/>
  <c r="AR835" i="1"/>
  <c r="P836" i="1"/>
  <c r="AV836" i="1"/>
  <c r="X837" i="1"/>
  <c r="BD837" i="1"/>
  <c r="AF838" i="1"/>
  <c r="L826" i="1"/>
  <c r="P826" i="1"/>
  <c r="AR826" i="1"/>
  <c r="AJ826" i="1"/>
  <c r="H826" i="1"/>
  <c r="AN826" i="1"/>
  <c r="T826" i="1"/>
  <c r="AV826" i="1"/>
  <c r="L825" i="1"/>
  <c r="AR825" i="1"/>
  <c r="P822" i="1"/>
  <c r="AR822" i="1"/>
  <c r="P821" i="1"/>
  <c r="AR821" i="1"/>
  <c r="AF821" i="1"/>
  <c r="H823" i="1"/>
  <c r="H824" i="1"/>
  <c r="AN824" i="1"/>
  <c r="P820" i="1"/>
  <c r="P827" i="1" s="1"/>
  <c r="L824" i="1"/>
  <c r="AZ820" i="1"/>
  <c r="AZ827" i="1" s="1"/>
  <c r="P823" i="1"/>
  <c r="AR823" i="1"/>
  <c r="AV824" i="1"/>
  <c r="X820" i="1"/>
  <c r="BD820" i="1"/>
  <c r="BD827" i="1" s="1"/>
  <c r="X822" i="1"/>
  <c r="T823" i="1"/>
  <c r="AB825" i="1"/>
  <c r="AB826" i="1"/>
  <c r="BD823" i="1"/>
  <c r="H820" i="1"/>
  <c r="H827" i="1" s="1"/>
  <c r="AF823" i="1"/>
  <c r="AJ823" i="1"/>
  <c r="AR824" i="1"/>
  <c r="T820" i="1"/>
  <c r="T827" i="1" s="1"/>
  <c r="P824" i="1"/>
  <c r="BD821" i="1"/>
  <c r="AB822" i="1"/>
  <c r="AZ822" i="1"/>
  <c r="X823" i="1"/>
  <c r="X824" i="1"/>
  <c r="BD824" i="1"/>
  <c r="AF825" i="1"/>
  <c r="AF826" i="1"/>
  <c r="AJ820" i="1"/>
  <c r="AJ827" i="1" s="1"/>
  <c r="AN820" i="1"/>
  <c r="AN827" i="1" s="1"/>
  <c r="L823" i="1"/>
  <c r="AV820" i="1"/>
  <c r="AV827" i="1" s="1"/>
  <c r="AN823" i="1"/>
  <c r="BD822" i="1"/>
  <c r="AB823" i="1"/>
  <c r="AZ823" i="1"/>
  <c r="AB824" i="1"/>
  <c r="H814" i="1"/>
  <c r="AN814" i="1"/>
  <c r="AF813" i="1"/>
  <c r="AF811" i="1"/>
  <c r="AB811" i="1"/>
  <c r="AZ810" i="1"/>
  <c r="X809" i="1"/>
  <c r="BD809" i="1"/>
  <c r="AB809" i="1"/>
  <c r="AF809" i="1"/>
  <c r="AB808" i="1"/>
  <c r="AB815" i="1" s="1"/>
  <c r="AB810" i="1"/>
  <c r="H812" i="1"/>
  <c r="AF812" i="1"/>
  <c r="BD808" i="1"/>
  <c r="BD815" i="1" s="1"/>
  <c r="AN813" i="1"/>
  <c r="H811" i="1"/>
  <c r="AN812" i="1"/>
  <c r="L808" i="1"/>
  <c r="L815" i="1" s="1"/>
  <c r="AN809" i="1"/>
  <c r="L810" i="1"/>
  <c r="L811" i="1"/>
  <c r="AR811" i="1"/>
  <c r="P812" i="1"/>
  <c r="P813" i="1"/>
  <c r="AV813" i="1"/>
  <c r="P808" i="1"/>
  <c r="P815" i="1" s="1"/>
  <c r="AN808" i="1"/>
  <c r="AN815" i="1" s="1"/>
  <c r="L809" i="1"/>
  <c r="AR809" i="1"/>
  <c r="P810" i="1"/>
  <c r="P811" i="1"/>
  <c r="AV811" i="1"/>
  <c r="T812" i="1"/>
  <c r="T813" i="1"/>
  <c r="AZ813" i="1"/>
  <c r="AB814" i="1"/>
  <c r="C815" i="1"/>
  <c r="BD812" i="1"/>
  <c r="AF810" i="1"/>
  <c r="H813" i="1"/>
  <c r="AJ809" i="1"/>
  <c r="AN811" i="1"/>
  <c r="L813" i="1"/>
  <c r="AV809" i="1"/>
  <c r="T811" i="1"/>
  <c r="AV812" i="1"/>
  <c r="BD813" i="1"/>
  <c r="AJ813" i="1"/>
  <c r="AJ811" i="1"/>
  <c r="AJ812" i="1"/>
  <c r="H808" i="1"/>
  <c r="H815" i="1" s="1"/>
  <c r="AJ810" i="1"/>
  <c r="AR813" i="1"/>
  <c r="H809" i="1"/>
  <c r="AR808" i="1"/>
  <c r="AR815" i="1" s="1"/>
  <c r="P809" i="1"/>
  <c r="T810" i="1"/>
  <c r="AR810" i="1"/>
  <c r="AZ811" i="1"/>
  <c r="X812" i="1"/>
  <c r="X813" i="1"/>
  <c r="AV808" i="1"/>
  <c r="AV815" i="1" s="1"/>
  <c r="T809" i="1"/>
  <c r="AZ809" i="1"/>
  <c r="AV810" i="1"/>
  <c r="X811" i="1"/>
  <c r="BD811" i="1"/>
  <c r="AZ812" i="1"/>
  <c r="AB813" i="1"/>
  <c r="AZ837" i="1"/>
  <c r="T837" i="1"/>
  <c r="L832" i="1"/>
  <c r="L839" i="1" s="1"/>
  <c r="AR832" i="1"/>
  <c r="AR839" i="1" s="1"/>
  <c r="T836" i="1"/>
  <c r="AZ836" i="1"/>
  <c r="X838" i="1"/>
  <c r="BD838" i="1"/>
  <c r="C839" i="1"/>
  <c r="AB832" i="1"/>
  <c r="AB839" i="1" s="1"/>
  <c r="H838" i="1"/>
  <c r="P832" i="1"/>
  <c r="P839" i="1" s="1"/>
  <c r="AF832" i="1"/>
  <c r="AF839" i="1" s="1"/>
  <c r="AU827" i="1"/>
  <c r="T825" i="1"/>
  <c r="AZ825" i="1"/>
  <c r="L820" i="1"/>
  <c r="L827" i="1" s="1"/>
  <c r="T824" i="1"/>
  <c r="AZ824" i="1"/>
  <c r="C827" i="1"/>
  <c r="AB820" i="1"/>
  <c r="AB827" i="1" s="1"/>
  <c r="AF820" i="1"/>
  <c r="AF827" i="1" s="1"/>
  <c r="T814" i="1"/>
  <c r="AZ808" i="1"/>
  <c r="AZ815" i="1" s="1"/>
  <c r="H810" i="1"/>
  <c r="BD810" i="1"/>
  <c r="L812" i="1"/>
  <c r="AR812" i="1"/>
  <c r="P814" i="1"/>
  <c r="AF814" i="1"/>
  <c r="AV814" i="1"/>
  <c r="AJ814" i="1"/>
  <c r="AF808" i="1"/>
  <c r="AF815" i="1" s="1"/>
  <c r="T808" i="1"/>
  <c r="T815" i="1" s="1"/>
  <c r="X810" i="1"/>
  <c r="O815" i="1"/>
  <c r="D803" i="1"/>
  <c r="BC802" i="1"/>
  <c r="AY802" i="1"/>
  <c r="AU802" i="1"/>
  <c r="AQ802" i="1"/>
  <c r="AM802" i="1"/>
  <c r="AI802" i="1"/>
  <c r="AE802" i="1"/>
  <c r="AA802" i="1"/>
  <c r="W802" i="1"/>
  <c r="S802" i="1"/>
  <c r="O802" i="1"/>
  <c r="K802" i="1"/>
  <c r="G802" i="1"/>
  <c r="C802" i="1"/>
  <c r="BC801" i="1"/>
  <c r="AY801" i="1"/>
  <c r="AU801" i="1"/>
  <c r="AQ801" i="1"/>
  <c r="AM801" i="1"/>
  <c r="AI801" i="1"/>
  <c r="AE801" i="1"/>
  <c r="AA801" i="1"/>
  <c r="W801" i="1"/>
  <c r="S801" i="1"/>
  <c r="O801" i="1"/>
  <c r="K801" i="1"/>
  <c r="G801" i="1"/>
  <c r="C801" i="1"/>
  <c r="BC800" i="1"/>
  <c r="AY800" i="1"/>
  <c r="AU800" i="1"/>
  <c r="AQ800" i="1"/>
  <c r="AM800" i="1"/>
  <c r="AI800" i="1"/>
  <c r="AE800" i="1"/>
  <c r="AA800" i="1"/>
  <c r="W800" i="1"/>
  <c r="S800" i="1"/>
  <c r="O800" i="1"/>
  <c r="K800" i="1"/>
  <c r="G800" i="1"/>
  <c r="C800" i="1"/>
  <c r="BC799" i="1"/>
  <c r="AY799" i="1"/>
  <c r="AU799" i="1"/>
  <c r="AQ799" i="1"/>
  <c r="AM799" i="1"/>
  <c r="AI799" i="1"/>
  <c r="AE799" i="1"/>
  <c r="AA799" i="1"/>
  <c r="W799" i="1"/>
  <c r="S799" i="1"/>
  <c r="O799" i="1"/>
  <c r="K799" i="1"/>
  <c r="G799" i="1"/>
  <c r="C799" i="1"/>
  <c r="BC798" i="1"/>
  <c r="AY798" i="1"/>
  <c r="AU798" i="1"/>
  <c r="AQ798" i="1"/>
  <c r="AM798" i="1"/>
  <c r="AI798" i="1"/>
  <c r="AE798" i="1"/>
  <c r="AA798" i="1"/>
  <c r="W798" i="1"/>
  <c r="S798" i="1"/>
  <c r="O798" i="1"/>
  <c r="K798" i="1"/>
  <c r="G798" i="1"/>
  <c r="C798" i="1"/>
  <c r="BC797" i="1"/>
  <c r="AY797" i="1"/>
  <c r="AU797" i="1"/>
  <c r="AQ797" i="1"/>
  <c r="AM797" i="1"/>
  <c r="AI797" i="1"/>
  <c r="AE797" i="1"/>
  <c r="AA797" i="1"/>
  <c r="W797" i="1"/>
  <c r="S797" i="1"/>
  <c r="O797" i="1"/>
  <c r="K797" i="1"/>
  <c r="G797" i="1"/>
  <c r="C797" i="1"/>
  <c r="BC796" i="1"/>
  <c r="AY796" i="1"/>
  <c r="AU796" i="1"/>
  <c r="AQ796" i="1"/>
  <c r="AM796" i="1"/>
  <c r="AI796" i="1"/>
  <c r="AE796" i="1"/>
  <c r="AA796" i="1"/>
  <c r="W796" i="1"/>
  <c r="S796" i="1"/>
  <c r="O796" i="1"/>
  <c r="K796" i="1"/>
  <c r="G796" i="1"/>
  <c r="C796" i="1"/>
  <c r="D791" i="1"/>
  <c r="BC790" i="1"/>
  <c r="AY790" i="1"/>
  <c r="AU790" i="1"/>
  <c r="AQ790" i="1"/>
  <c r="AM790" i="1"/>
  <c r="AI790" i="1"/>
  <c r="AE790" i="1"/>
  <c r="AA790" i="1"/>
  <c r="W790" i="1"/>
  <c r="S790" i="1"/>
  <c r="O790" i="1"/>
  <c r="K790" i="1"/>
  <c r="G790" i="1"/>
  <c r="C790" i="1"/>
  <c r="BC789" i="1"/>
  <c r="AY789" i="1"/>
  <c r="AU789" i="1"/>
  <c r="AQ789" i="1"/>
  <c r="AM789" i="1"/>
  <c r="AI789" i="1"/>
  <c r="AE789" i="1"/>
  <c r="AA789" i="1"/>
  <c r="W789" i="1"/>
  <c r="S789" i="1"/>
  <c r="O789" i="1"/>
  <c r="K789" i="1"/>
  <c r="G789" i="1"/>
  <c r="C789" i="1"/>
  <c r="BC788" i="1"/>
  <c r="AY788" i="1"/>
  <c r="AU788" i="1"/>
  <c r="AQ788" i="1"/>
  <c r="AM788" i="1"/>
  <c r="AI788" i="1"/>
  <c r="AE788" i="1"/>
  <c r="AA788" i="1"/>
  <c r="W788" i="1"/>
  <c r="S788" i="1"/>
  <c r="O788" i="1"/>
  <c r="K788" i="1"/>
  <c r="G788" i="1"/>
  <c r="C788" i="1"/>
  <c r="BC787" i="1"/>
  <c r="AY787" i="1"/>
  <c r="AU787" i="1"/>
  <c r="AQ787" i="1"/>
  <c r="AM787" i="1"/>
  <c r="AI787" i="1"/>
  <c r="AE787" i="1"/>
  <c r="AA787" i="1"/>
  <c r="W787" i="1"/>
  <c r="S787" i="1"/>
  <c r="O787" i="1"/>
  <c r="K787" i="1"/>
  <c r="G787" i="1"/>
  <c r="C787" i="1"/>
  <c r="BC786" i="1"/>
  <c r="AY786" i="1"/>
  <c r="AU786" i="1"/>
  <c r="AQ786" i="1"/>
  <c r="AM786" i="1"/>
  <c r="AI786" i="1"/>
  <c r="AE786" i="1"/>
  <c r="AA786" i="1"/>
  <c r="W786" i="1"/>
  <c r="S786" i="1"/>
  <c r="O786" i="1"/>
  <c r="K786" i="1"/>
  <c r="G786" i="1"/>
  <c r="C786" i="1"/>
  <c r="BC785" i="1"/>
  <c r="AY785" i="1"/>
  <c r="AU785" i="1"/>
  <c r="AQ785" i="1"/>
  <c r="AM785" i="1"/>
  <c r="AI785" i="1"/>
  <c r="AE785" i="1"/>
  <c r="AA785" i="1"/>
  <c r="W785" i="1"/>
  <c r="S785" i="1"/>
  <c r="O785" i="1"/>
  <c r="K785" i="1"/>
  <c r="G785" i="1"/>
  <c r="C785" i="1"/>
  <c r="BC784" i="1"/>
  <c r="AY784" i="1"/>
  <c r="AU784" i="1"/>
  <c r="AU791" i="1" s="1"/>
  <c r="AQ784" i="1"/>
  <c r="AM784" i="1"/>
  <c r="AI784" i="1"/>
  <c r="AE784" i="1"/>
  <c r="AA784" i="1"/>
  <c r="W784" i="1"/>
  <c r="S784" i="1"/>
  <c r="O784" i="1"/>
  <c r="O791" i="1" s="1"/>
  <c r="K784" i="1"/>
  <c r="G784" i="1"/>
  <c r="C784" i="1"/>
  <c r="D779" i="1"/>
  <c r="BC778" i="1"/>
  <c r="AY778" i="1"/>
  <c r="AU778" i="1"/>
  <c r="AQ778" i="1"/>
  <c r="AM778" i="1"/>
  <c r="AI778" i="1"/>
  <c r="AE778" i="1"/>
  <c r="AA778" i="1"/>
  <c r="W778" i="1"/>
  <c r="S778" i="1"/>
  <c r="O778" i="1"/>
  <c r="K778" i="1"/>
  <c r="G778" i="1"/>
  <c r="C778" i="1"/>
  <c r="BC777" i="1"/>
  <c r="AY777" i="1"/>
  <c r="AU777" i="1"/>
  <c r="AQ777" i="1"/>
  <c r="AM777" i="1"/>
  <c r="AI777" i="1"/>
  <c r="AE777" i="1"/>
  <c r="AA777" i="1"/>
  <c r="W777" i="1"/>
  <c r="S777" i="1"/>
  <c r="O777" i="1"/>
  <c r="K777" i="1"/>
  <c r="G777" i="1"/>
  <c r="C777" i="1"/>
  <c r="BC776" i="1"/>
  <c r="AY776" i="1"/>
  <c r="AU776" i="1"/>
  <c r="AQ776" i="1"/>
  <c r="AM776" i="1"/>
  <c r="AI776" i="1"/>
  <c r="AE776" i="1"/>
  <c r="AA776" i="1"/>
  <c r="W776" i="1"/>
  <c r="S776" i="1"/>
  <c r="O776" i="1"/>
  <c r="K776" i="1"/>
  <c r="G776" i="1"/>
  <c r="C776" i="1"/>
  <c r="BC775" i="1"/>
  <c r="AY775" i="1"/>
  <c r="AU775" i="1"/>
  <c r="AQ775" i="1"/>
  <c r="AM775" i="1"/>
  <c r="AI775" i="1"/>
  <c r="AE775" i="1"/>
  <c r="AA775" i="1"/>
  <c r="W775" i="1"/>
  <c r="S775" i="1"/>
  <c r="O775" i="1"/>
  <c r="K775" i="1"/>
  <c r="G775" i="1"/>
  <c r="C775" i="1"/>
  <c r="BC774" i="1"/>
  <c r="AY774" i="1"/>
  <c r="AU774" i="1"/>
  <c r="AQ774" i="1"/>
  <c r="AM774" i="1"/>
  <c r="AI774" i="1"/>
  <c r="AE774" i="1"/>
  <c r="AA774" i="1"/>
  <c r="W774" i="1"/>
  <c r="S774" i="1"/>
  <c r="O774" i="1"/>
  <c r="K774" i="1"/>
  <c r="G774" i="1"/>
  <c r="C774" i="1"/>
  <c r="BC773" i="1"/>
  <c r="AY773" i="1"/>
  <c r="AU773" i="1"/>
  <c r="AQ773" i="1"/>
  <c r="AM773" i="1"/>
  <c r="AI773" i="1"/>
  <c r="AE773" i="1"/>
  <c r="AA773" i="1"/>
  <c r="W773" i="1"/>
  <c r="S773" i="1"/>
  <c r="O773" i="1"/>
  <c r="K773" i="1"/>
  <c r="G773" i="1"/>
  <c r="C773" i="1"/>
  <c r="BC772" i="1"/>
  <c r="AY772" i="1"/>
  <c r="AU772" i="1"/>
  <c r="AU779" i="1" s="1"/>
  <c r="AQ772" i="1"/>
  <c r="AM772" i="1"/>
  <c r="AI772" i="1"/>
  <c r="AE772" i="1"/>
  <c r="AA772" i="1"/>
  <c r="W772" i="1"/>
  <c r="S772" i="1"/>
  <c r="O772" i="1"/>
  <c r="O779" i="1" s="1"/>
  <c r="K772" i="1"/>
  <c r="G772" i="1"/>
  <c r="C772" i="1"/>
  <c r="D767" i="1"/>
  <c r="BC766" i="1"/>
  <c r="AY766" i="1"/>
  <c r="AU766" i="1"/>
  <c r="AQ766" i="1"/>
  <c r="AM766" i="1"/>
  <c r="AI766" i="1"/>
  <c r="AE766" i="1"/>
  <c r="AA766" i="1"/>
  <c r="W766" i="1"/>
  <c r="S766" i="1"/>
  <c r="O766" i="1"/>
  <c r="K766" i="1"/>
  <c r="G766" i="1"/>
  <c r="C766" i="1"/>
  <c r="BC765" i="1"/>
  <c r="AY765" i="1"/>
  <c r="AU765" i="1"/>
  <c r="AQ765" i="1"/>
  <c r="AM765" i="1"/>
  <c r="AI765" i="1"/>
  <c r="AE765" i="1"/>
  <c r="AA765" i="1"/>
  <c r="W765" i="1"/>
  <c r="S765" i="1"/>
  <c r="O765" i="1"/>
  <c r="K765" i="1"/>
  <c r="G765" i="1"/>
  <c r="C765" i="1"/>
  <c r="BC764" i="1"/>
  <c r="AY764" i="1"/>
  <c r="AU764" i="1"/>
  <c r="AQ764" i="1"/>
  <c r="AM764" i="1"/>
  <c r="AI764" i="1"/>
  <c r="AE764" i="1"/>
  <c r="AA764" i="1"/>
  <c r="W764" i="1"/>
  <c r="S764" i="1"/>
  <c r="O764" i="1"/>
  <c r="K764" i="1"/>
  <c r="G764" i="1"/>
  <c r="C764" i="1"/>
  <c r="BC763" i="1"/>
  <c r="AY763" i="1"/>
  <c r="AU763" i="1"/>
  <c r="AQ763" i="1"/>
  <c r="AM763" i="1"/>
  <c r="AI763" i="1"/>
  <c r="AE763" i="1"/>
  <c r="AA763" i="1"/>
  <c r="W763" i="1"/>
  <c r="S763" i="1"/>
  <c r="O763" i="1"/>
  <c r="K763" i="1"/>
  <c r="G763" i="1"/>
  <c r="C763" i="1"/>
  <c r="BC762" i="1"/>
  <c r="AY762" i="1"/>
  <c r="AU762" i="1"/>
  <c r="AQ762" i="1"/>
  <c r="AM762" i="1"/>
  <c r="AI762" i="1"/>
  <c r="AE762" i="1"/>
  <c r="AA762" i="1"/>
  <c r="W762" i="1"/>
  <c r="S762" i="1"/>
  <c r="O762" i="1"/>
  <c r="K762" i="1"/>
  <c r="G762" i="1"/>
  <c r="C762" i="1"/>
  <c r="BC761" i="1"/>
  <c r="AY761" i="1"/>
  <c r="AU761" i="1"/>
  <c r="AQ761" i="1"/>
  <c r="AM761" i="1"/>
  <c r="AI761" i="1"/>
  <c r="AE761" i="1"/>
  <c r="AA761" i="1"/>
  <c r="W761" i="1"/>
  <c r="S761" i="1"/>
  <c r="O761" i="1"/>
  <c r="K761" i="1"/>
  <c r="G761" i="1"/>
  <c r="C761" i="1"/>
  <c r="BC760" i="1"/>
  <c r="AY760" i="1"/>
  <c r="AU760" i="1"/>
  <c r="AU767" i="1" s="1"/>
  <c r="AQ760" i="1"/>
  <c r="AM760" i="1"/>
  <c r="AI760" i="1"/>
  <c r="AE760" i="1"/>
  <c r="AA760" i="1"/>
  <c r="W760" i="1"/>
  <c r="S760" i="1"/>
  <c r="O760" i="1"/>
  <c r="K760" i="1"/>
  <c r="G760" i="1"/>
  <c r="C760" i="1"/>
  <c r="D755" i="1"/>
  <c r="BC754" i="1"/>
  <c r="AY754" i="1"/>
  <c r="AU754" i="1"/>
  <c r="AQ754" i="1"/>
  <c r="AM754" i="1"/>
  <c r="AI754" i="1"/>
  <c r="AE754" i="1"/>
  <c r="AA754" i="1"/>
  <c r="W754" i="1"/>
  <c r="S754" i="1"/>
  <c r="O754" i="1"/>
  <c r="K754" i="1"/>
  <c r="G754" i="1"/>
  <c r="C754" i="1"/>
  <c r="BC753" i="1"/>
  <c r="AY753" i="1"/>
  <c r="AU753" i="1"/>
  <c r="AQ753" i="1"/>
  <c r="AM753" i="1"/>
  <c r="AI753" i="1"/>
  <c r="AE753" i="1"/>
  <c r="AA753" i="1"/>
  <c r="W753" i="1"/>
  <c r="S753" i="1"/>
  <c r="O753" i="1"/>
  <c r="K753" i="1"/>
  <c r="G753" i="1"/>
  <c r="C753" i="1"/>
  <c r="BC752" i="1"/>
  <c r="AY752" i="1"/>
  <c r="AU752" i="1"/>
  <c r="AQ752" i="1"/>
  <c r="AM752" i="1"/>
  <c r="AI752" i="1"/>
  <c r="AE752" i="1"/>
  <c r="AA752" i="1"/>
  <c r="W752" i="1"/>
  <c r="S752" i="1"/>
  <c r="O752" i="1"/>
  <c r="K752" i="1"/>
  <c r="G752" i="1"/>
  <c r="C752" i="1"/>
  <c r="BC751" i="1"/>
  <c r="AY751" i="1"/>
  <c r="AU751" i="1"/>
  <c r="AQ751" i="1"/>
  <c r="AM751" i="1"/>
  <c r="AI751" i="1"/>
  <c r="AE751" i="1"/>
  <c r="AA751" i="1"/>
  <c r="W751" i="1"/>
  <c r="S751" i="1"/>
  <c r="O751" i="1"/>
  <c r="K751" i="1"/>
  <c r="G751" i="1"/>
  <c r="C751" i="1"/>
  <c r="BC750" i="1"/>
  <c r="AY750" i="1"/>
  <c r="AU750" i="1"/>
  <c r="AQ750" i="1"/>
  <c r="AM750" i="1"/>
  <c r="AI750" i="1"/>
  <c r="AE750" i="1"/>
  <c r="AA750" i="1"/>
  <c r="W750" i="1"/>
  <c r="S750" i="1"/>
  <c r="O750" i="1"/>
  <c r="K750" i="1"/>
  <c r="G750" i="1"/>
  <c r="C750" i="1"/>
  <c r="BC749" i="1"/>
  <c r="AY749" i="1"/>
  <c r="AU749" i="1"/>
  <c r="AQ749" i="1"/>
  <c r="AM749" i="1"/>
  <c r="AI749" i="1"/>
  <c r="AE749" i="1"/>
  <c r="AA749" i="1"/>
  <c r="W749" i="1"/>
  <c r="S749" i="1"/>
  <c r="O749" i="1"/>
  <c r="K749" i="1"/>
  <c r="G749" i="1"/>
  <c r="C749" i="1"/>
  <c r="BC748" i="1"/>
  <c r="AY748" i="1"/>
  <c r="AU748" i="1"/>
  <c r="AU755" i="1" s="1"/>
  <c r="AQ748" i="1"/>
  <c r="AM748" i="1"/>
  <c r="AI748" i="1"/>
  <c r="AE748" i="1"/>
  <c r="AE755" i="1" s="1"/>
  <c r="AA748" i="1"/>
  <c r="W748" i="1"/>
  <c r="S748" i="1"/>
  <c r="O748" i="1"/>
  <c r="O755" i="1" s="1"/>
  <c r="K748" i="1"/>
  <c r="G748" i="1"/>
  <c r="C748" i="1"/>
  <c r="D743" i="1"/>
  <c r="BC742" i="1"/>
  <c r="AY742" i="1"/>
  <c r="AU742" i="1"/>
  <c r="AQ742" i="1"/>
  <c r="AM742" i="1"/>
  <c r="AI742" i="1"/>
  <c r="AE742" i="1"/>
  <c r="AA742" i="1"/>
  <c r="W742" i="1"/>
  <c r="S742" i="1"/>
  <c r="O742" i="1"/>
  <c r="K742" i="1"/>
  <c r="G742" i="1"/>
  <c r="C742" i="1"/>
  <c r="BC741" i="1"/>
  <c r="AY741" i="1"/>
  <c r="AU741" i="1"/>
  <c r="AQ741" i="1"/>
  <c r="AM741" i="1"/>
  <c r="AI741" i="1"/>
  <c r="AE741" i="1"/>
  <c r="AA741" i="1"/>
  <c r="W741" i="1"/>
  <c r="S741" i="1"/>
  <c r="O741" i="1"/>
  <c r="K741" i="1"/>
  <c r="G741" i="1"/>
  <c r="C741" i="1"/>
  <c r="BC740" i="1"/>
  <c r="AY740" i="1"/>
  <c r="AU740" i="1"/>
  <c r="AQ740" i="1"/>
  <c r="AM740" i="1"/>
  <c r="AI740" i="1"/>
  <c r="AE740" i="1"/>
  <c r="AA740" i="1"/>
  <c r="W740" i="1"/>
  <c r="S740" i="1"/>
  <c r="O740" i="1"/>
  <c r="K740" i="1"/>
  <c r="G740" i="1"/>
  <c r="C740" i="1"/>
  <c r="BC739" i="1"/>
  <c r="AY739" i="1"/>
  <c r="AU739" i="1"/>
  <c r="AQ739" i="1"/>
  <c r="AM739" i="1"/>
  <c r="AI739" i="1"/>
  <c r="AE739" i="1"/>
  <c r="AA739" i="1"/>
  <c r="W739" i="1"/>
  <c r="S739" i="1"/>
  <c r="O739" i="1"/>
  <c r="K739" i="1"/>
  <c r="G739" i="1"/>
  <c r="C739" i="1"/>
  <c r="BC738" i="1"/>
  <c r="AY738" i="1"/>
  <c r="AU738" i="1"/>
  <c r="AQ738" i="1"/>
  <c r="AM738" i="1"/>
  <c r="AI738" i="1"/>
  <c r="AE738" i="1"/>
  <c r="AA738" i="1"/>
  <c r="W738" i="1"/>
  <c r="S738" i="1"/>
  <c r="O738" i="1"/>
  <c r="K738" i="1"/>
  <c r="G738" i="1"/>
  <c r="C738" i="1"/>
  <c r="BC737" i="1"/>
  <c r="AY737" i="1"/>
  <c r="AU737" i="1"/>
  <c r="AQ737" i="1"/>
  <c r="AM737" i="1"/>
  <c r="AI737" i="1"/>
  <c r="AE737" i="1"/>
  <c r="AA737" i="1"/>
  <c r="W737" i="1"/>
  <c r="S737" i="1"/>
  <c r="O737" i="1"/>
  <c r="K737" i="1"/>
  <c r="G737" i="1"/>
  <c r="C737" i="1"/>
  <c r="BC736" i="1"/>
  <c r="AY736" i="1"/>
  <c r="AU736" i="1"/>
  <c r="AU743" i="1" s="1"/>
  <c r="AQ736" i="1"/>
  <c r="AM736" i="1"/>
  <c r="AI736" i="1"/>
  <c r="AE736" i="1"/>
  <c r="AE743" i="1" s="1"/>
  <c r="AA736" i="1"/>
  <c r="W736" i="1"/>
  <c r="S736" i="1"/>
  <c r="O736" i="1"/>
  <c r="O743" i="1" s="1"/>
  <c r="K736" i="1"/>
  <c r="G736" i="1"/>
  <c r="C736" i="1"/>
  <c r="D731" i="1"/>
  <c r="BC730" i="1"/>
  <c r="AY730" i="1"/>
  <c r="AU730" i="1"/>
  <c r="AQ730" i="1"/>
  <c r="AM730" i="1"/>
  <c r="AI730" i="1"/>
  <c r="AE730" i="1"/>
  <c r="AA730" i="1"/>
  <c r="W730" i="1"/>
  <c r="S730" i="1"/>
  <c r="O730" i="1"/>
  <c r="K730" i="1"/>
  <c r="G730" i="1"/>
  <c r="C730" i="1"/>
  <c r="BC729" i="1"/>
  <c r="AY729" i="1"/>
  <c r="AU729" i="1"/>
  <c r="AQ729" i="1"/>
  <c r="AM729" i="1"/>
  <c r="AI729" i="1"/>
  <c r="AE729" i="1"/>
  <c r="AA729" i="1"/>
  <c r="W729" i="1"/>
  <c r="S729" i="1"/>
  <c r="O729" i="1"/>
  <c r="K729" i="1"/>
  <c r="G729" i="1"/>
  <c r="C729" i="1"/>
  <c r="BC728" i="1"/>
  <c r="AY728" i="1"/>
  <c r="AU728" i="1"/>
  <c r="AQ728" i="1"/>
  <c r="AM728" i="1"/>
  <c r="AI728" i="1"/>
  <c r="AE728" i="1"/>
  <c r="AA728" i="1"/>
  <c r="W728" i="1"/>
  <c r="S728" i="1"/>
  <c r="O728" i="1"/>
  <c r="K728" i="1"/>
  <c r="G728" i="1"/>
  <c r="C728" i="1"/>
  <c r="BC727" i="1"/>
  <c r="AY727" i="1"/>
  <c r="AU727" i="1"/>
  <c r="AQ727" i="1"/>
  <c r="AM727" i="1"/>
  <c r="AI727" i="1"/>
  <c r="AE727" i="1"/>
  <c r="AA727" i="1"/>
  <c r="W727" i="1"/>
  <c r="S727" i="1"/>
  <c r="O727" i="1"/>
  <c r="K727" i="1"/>
  <c r="G727" i="1"/>
  <c r="C727" i="1"/>
  <c r="BC726" i="1"/>
  <c r="AY726" i="1"/>
  <c r="AU726" i="1"/>
  <c r="AQ726" i="1"/>
  <c r="AM726" i="1"/>
  <c r="AI726" i="1"/>
  <c r="AE726" i="1"/>
  <c r="AA726" i="1"/>
  <c r="W726" i="1"/>
  <c r="S726" i="1"/>
  <c r="O726" i="1"/>
  <c r="K726" i="1"/>
  <c r="G726" i="1"/>
  <c r="C726" i="1"/>
  <c r="BC725" i="1"/>
  <c r="AY725" i="1"/>
  <c r="AU725" i="1"/>
  <c r="AQ725" i="1"/>
  <c r="AM725" i="1"/>
  <c r="AI725" i="1"/>
  <c r="AE725" i="1"/>
  <c r="AA725" i="1"/>
  <c r="W725" i="1"/>
  <c r="S725" i="1"/>
  <c r="O725" i="1"/>
  <c r="K725" i="1"/>
  <c r="G725" i="1"/>
  <c r="C725" i="1"/>
  <c r="BC724" i="1"/>
  <c r="AY724" i="1"/>
  <c r="AU724" i="1"/>
  <c r="AQ724" i="1"/>
  <c r="AM724" i="1"/>
  <c r="AI724" i="1"/>
  <c r="AE724" i="1"/>
  <c r="AE731" i="1" s="1"/>
  <c r="AA724" i="1"/>
  <c r="W724" i="1"/>
  <c r="S724" i="1"/>
  <c r="O724" i="1"/>
  <c r="O731" i="1" s="1"/>
  <c r="K724" i="1"/>
  <c r="G724" i="1"/>
  <c r="C724" i="1"/>
  <c r="D719" i="1"/>
  <c r="BC718" i="1"/>
  <c r="AY718" i="1"/>
  <c r="AU718" i="1"/>
  <c r="AQ718" i="1"/>
  <c r="AM718" i="1"/>
  <c r="AI718" i="1"/>
  <c r="AE718" i="1"/>
  <c r="AA718" i="1"/>
  <c r="W718" i="1"/>
  <c r="S718" i="1"/>
  <c r="O718" i="1"/>
  <c r="K718" i="1"/>
  <c r="G718" i="1"/>
  <c r="C718" i="1"/>
  <c r="BC717" i="1"/>
  <c r="AY717" i="1"/>
  <c r="AU717" i="1"/>
  <c r="AQ717" i="1"/>
  <c r="AM717" i="1"/>
  <c r="AI717" i="1"/>
  <c r="AE717" i="1"/>
  <c r="AA717" i="1"/>
  <c r="W717" i="1"/>
  <c r="S717" i="1"/>
  <c r="O717" i="1"/>
  <c r="K717" i="1"/>
  <c r="G717" i="1"/>
  <c r="C717" i="1"/>
  <c r="BC716" i="1"/>
  <c r="AY716" i="1"/>
  <c r="AU716" i="1"/>
  <c r="AQ716" i="1"/>
  <c r="AM716" i="1"/>
  <c r="AI716" i="1"/>
  <c r="AE716" i="1"/>
  <c r="AA716" i="1"/>
  <c r="W716" i="1"/>
  <c r="S716" i="1"/>
  <c r="O716" i="1"/>
  <c r="K716" i="1"/>
  <c r="G716" i="1"/>
  <c r="C716" i="1"/>
  <c r="BC715" i="1"/>
  <c r="AY715" i="1"/>
  <c r="AU715" i="1"/>
  <c r="AQ715" i="1"/>
  <c r="AM715" i="1"/>
  <c r="AI715" i="1"/>
  <c r="AE715" i="1"/>
  <c r="AA715" i="1"/>
  <c r="W715" i="1"/>
  <c r="S715" i="1"/>
  <c r="O715" i="1"/>
  <c r="K715" i="1"/>
  <c r="G715" i="1"/>
  <c r="C715" i="1"/>
  <c r="BC714" i="1"/>
  <c r="AY714" i="1"/>
  <c r="AU714" i="1"/>
  <c r="AQ714" i="1"/>
  <c r="AM714" i="1"/>
  <c r="AI714" i="1"/>
  <c r="AE714" i="1"/>
  <c r="AA714" i="1"/>
  <c r="W714" i="1"/>
  <c r="S714" i="1"/>
  <c r="O714" i="1"/>
  <c r="K714" i="1"/>
  <c r="G714" i="1"/>
  <c r="C714" i="1"/>
  <c r="BC713" i="1"/>
  <c r="AY713" i="1"/>
  <c r="AU713" i="1"/>
  <c r="AQ713" i="1"/>
  <c r="AM713" i="1"/>
  <c r="AI713" i="1"/>
  <c r="AE713" i="1"/>
  <c r="AA713" i="1"/>
  <c r="W713" i="1"/>
  <c r="S713" i="1"/>
  <c r="O713" i="1"/>
  <c r="K713" i="1"/>
  <c r="G713" i="1"/>
  <c r="C713" i="1"/>
  <c r="BC712" i="1"/>
  <c r="AY712" i="1"/>
  <c r="AU712" i="1"/>
  <c r="AU719" i="1" s="1"/>
  <c r="AQ712" i="1"/>
  <c r="AM712" i="1"/>
  <c r="AI712" i="1"/>
  <c r="AE712" i="1"/>
  <c r="AA712" i="1"/>
  <c r="W712" i="1"/>
  <c r="S712" i="1"/>
  <c r="O712" i="1"/>
  <c r="K712" i="1"/>
  <c r="G712" i="1"/>
  <c r="C712" i="1"/>
  <c r="D707" i="1"/>
  <c r="BC706" i="1"/>
  <c r="AY706" i="1"/>
  <c r="AU706" i="1"/>
  <c r="AQ706" i="1"/>
  <c r="AM706" i="1"/>
  <c r="AI706" i="1"/>
  <c r="AE706" i="1"/>
  <c r="AA706" i="1"/>
  <c r="W706" i="1"/>
  <c r="S706" i="1"/>
  <c r="O706" i="1"/>
  <c r="K706" i="1"/>
  <c r="G706" i="1"/>
  <c r="C706" i="1"/>
  <c r="BC705" i="1"/>
  <c r="AY705" i="1"/>
  <c r="AU705" i="1"/>
  <c r="AQ705" i="1"/>
  <c r="AM705" i="1"/>
  <c r="AI705" i="1"/>
  <c r="AE705" i="1"/>
  <c r="AA705" i="1"/>
  <c r="W705" i="1"/>
  <c r="S705" i="1"/>
  <c r="O705" i="1"/>
  <c r="K705" i="1"/>
  <c r="G705" i="1"/>
  <c r="C705" i="1"/>
  <c r="BC704" i="1"/>
  <c r="AY704" i="1"/>
  <c r="AU704" i="1"/>
  <c r="AQ704" i="1"/>
  <c r="AM704" i="1"/>
  <c r="AI704" i="1"/>
  <c r="AE704" i="1"/>
  <c r="AA704" i="1"/>
  <c r="W704" i="1"/>
  <c r="S704" i="1"/>
  <c r="O704" i="1"/>
  <c r="K704" i="1"/>
  <c r="G704" i="1"/>
  <c r="C704" i="1"/>
  <c r="BC703" i="1"/>
  <c r="AY703" i="1"/>
  <c r="AU703" i="1"/>
  <c r="AQ703" i="1"/>
  <c r="AM703" i="1"/>
  <c r="AI703" i="1"/>
  <c r="AE703" i="1"/>
  <c r="AA703" i="1"/>
  <c r="W703" i="1"/>
  <c r="S703" i="1"/>
  <c r="O703" i="1"/>
  <c r="K703" i="1"/>
  <c r="G703" i="1"/>
  <c r="C703" i="1"/>
  <c r="BC702" i="1"/>
  <c r="AY702" i="1"/>
  <c r="AU702" i="1"/>
  <c r="AQ702" i="1"/>
  <c r="AM702" i="1"/>
  <c r="AI702" i="1"/>
  <c r="AE702" i="1"/>
  <c r="AA702" i="1"/>
  <c r="W702" i="1"/>
  <c r="S702" i="1"/>
  <c r="O702" i="1"/>
  <c r="K702" i="1"/>
  <c r="G702" i="1"/>
  <c r="C702" i="1"/>
  <c r="BC701" i="1"/>
  <c r="AY701" i="1"/>
  <c r="AU701" i="1"/>
  <c r="AQ701" i="1"/>
  <c r="AM701" i="1"/>
  <c r="AI701" i="1"/>
  <c r="AE701" i="1"/>
  <c r="AA701" i="1"/>
  <c r="W701" i="1"/>
  <c r="S701" i="1"/>
  <c r="O701" i="1"/>
  <c r="K701" i="1"/>
  <c r="G701" i="1"/>
  <c r="C701" i="1"/>
  <c r="BC700" i="1"/>
  <c r="AY700" i="1"/>
  <c r="AU700" i="1"/>
  <c r="AU707" i="1" s="1"/>
  <c r="AQ700" i="1"/>
  <c r="AM700" i="1"/>
  <c r="AI700" i="1"/>
  <c r="AE700" i="1"/>
  <c r="AE707" i="1" s="1"/>
  <c r="AA700" i="1"/>
  <c r="W700" i="1"/>
  <c r="S700" i="1"/>
  <c r="O700" i="1"/>
  <c r="O707" i="1" s="1"/>
  <c r="K700" i="1"/>
  <c r="G700" i="1"/>
  <c r="C700" i="1"/>
  <c r="D695" i="1"/>
  <c r="BC694" i="1"/>
  <c r="AY694" i="1"/>
  <c r="AU694" i="1"/>
  <c r="AQ694" i="1"/>
  <c r="AM694" i="1"/>
  <c r="AI694" i="1"/>
  <c r="AE694" i="1"/>
  <c r="AA694" i="1"/>
  <c r="W694" i="1"/>
  <c r="S694" i="1"/>
  <c r="O694" i="1"/>
  <c r="K694" i="1"/>
  <c r="G694" i="1"/>
  <c r="C694" i="1"/>
  <c r="BC693" i="1"/>
  <c r="AY693" i="1"/>
  <c r="AU693" i="1"/>
  <c r="AQ693" i="1"/>
  <c r="AM693" i="1"/>
  <c r="AI693" i="1"/>
  <c r="AE693" i="1"/>
  <c r="AA693" i="1"/>
  <c r="W693" i="1"/>
  <c r="S693" i="1"/>
  <c r="O693" i="1"/>
  <c r="K693" i="1"/>
  <c r="G693" i="1"/>
  <c r="C693" i="1"/>
  <c r="BC692" i="1"/>
  <c r="AY692" i="1"/>
  <c r="AU692" i="1"/>
  <c r="AQ692" i="1"/>
  <c r="AM692" i="1"/>
  <c r="AI692" i="1"/>
  <c r="AE692" i="1"/>
  <c r="AA692" i="1"/>
  <c r="W692" i="1"/>
  <c r="S692" i="1"/>
  <c r="O692" i="1"/>
  <c r="K692" i="1"/>
  <c r="G692" i="1"/>
  <c r="C692" i="1"/>
  <c r="BC691" i="1"/>
  <c r="AY691" i="1"/>
  <c r="AU691" i="1"/>
  <c r="AQ691" i="1"/>
  <c r="AM691" i="1"/>
  <c r="AI691" i="1"/>
  <c r="AE691" i="1"/>
  <c r="AA691" i="1"/>
  <c r="W691" i="1"/>
  <c r="S691" i="1"/>
  <c r="O691" i="1"/>
  <c r="K691" i="1"/>
  <c r="G691" i="1"/>
  <c r="C691" i="1"/>
  <c r="BC690" i="1"/>
  <c r="AY690" i="1"/>
  <c r="AU690" i="1"/>
  <c r="AQ690" i="1"/>
  <c r="AM690" i="1"/>
  <c r="AI690" i="1"/>
  <c r="AE690" i="1"/>
  <c r="AA690" i="1"/>
  <c r="W690" i="1"/>
  <c r="S690" i="1"/>
  <c r="O690" i="1"/>
  <c r="K690" i="1"/>
  <c r="G690" i="1"/>
  <c r="C690" i="1"/>
  <c r="BC689" i="1"/>
  <c r="AY689" i="1"/>
  <c r="AU689" i="1"/>
  <c r="AQ689" i="1"/>
  <c r="AM689" i="1"/>
  <c r="AI689" i="1"/>
  <c r="AE689" i="1"/>
  <c r="AA689" i="1"/>
  <c r="W689" i="1"/>
  <c r="S689" i="1"/>
  <c r="O689" i="1"/>
  <c r="K689" i="1"/>
  <c r="G689" i="1"/>
  <c r="C689" i="1"/>
  <c r="BC688" i="1"/>
  <c r="AY688" i="1"/>
  <c r="AU688" i="1"/>
  <c r="AQ688" i="1"/>
  <c r="AM688" i="1"/>
  <c r="AI688" i="1"/>
  <c r="AE688" i="1"/>
  <c r="AA688" i="1"/>
  <c r="W688" i="1"/>
  <c r="S688" i="1"/>
  <c r="O688" i="1"/>
  <c r="K688" i="1"/>
  <c r="G688" i="1"/>
  <c r="C688" i="1"/>
  <c r="D683" i="1"/>
  <c r="BC682" i="1"/>
  <c r="AY682" i="1"/>
  <c r="AU682" i="1"/>
  <c r="AQ682" i="1"/>
  <c r="AM682" i="1"/>
  <c r="AI682" i="1"/>
  <c r="AE682" i="1"/>
  <c r="AA682" i="1"/>
  <c r="W682" i="1"/>
  <c r="S682" i="1"/>
  <c r="O682" i="1"/>
  <c r="K682" i="1"/>
  <c r="G682" i="1"/>
  <c r="C682" i="1"/>
  <c r="BC681" i="1"/>
  <c r="AY681" i="1"/>
  <c r="AU681" i="1"/>
  <c r="AQ681" i="1"/>
  <c r="AM681" i="1"/>
  <c r="AI681" i="1"/>
  <c r="AE681" i="1"/>
  <c r="AA681" i="1"/>
  <c r="W681" i="1"/>
  <c r="S681" i="1"/>
  <c r="O681" i="1"/>
  <c r="K681" i="1"/>
  <c r="G681" i="1"/>
  <c r="C681" i="1"/>
  <c r="BC680" i="1"/>
  <c r="AY680" i="1"/>
  <c r="AU680" i="1"/>
  <c r="AQ680" i="1"/>
  <c r="AM680" i="1"/>
  <c r="AI680" i="1"/>
  <c r="AE680" i="1"/>
  <c r="AA680" i="1"/>
  <c r="W680" i="1"/>
  <c r="S680" i="1"/>
  <c r="O680" i="1"/>
  <c r="K680" i="1"/>
  <c r="G680" i="1"/>
  <c r="C680" i="1"/>
  <c r="BC679" i="1"/>
  <c r="AY679" i="1"/>
  <c r="AU679" i="1"/>
  <c r="AQ679" i="1"/>
  <c r="AM679" i="1"/>
  <c r="AI679" i="1"/>
  <c r="AE679" i="1"/>
  <c r="AA679" i="1"/>
  <c r="W679" i="1"/>
  <c r="S679" i="1"/>
  <c r="O679" i="1"/>
  <c r="K679" i="1"/>
  <c r="G679" i="1"/>
  <c r="C679" i="1"/>
  <c r="BC678" i="1"/>
  <c r="AY678" i="1"/>
  <c r="AU678" i="1"/>
  <c r="AQ678" i="1"/>
  <c r="AM678" i="1"/>
  <c r="AI678" i="1"/>
  <c r="AE678" i="1"/>
  <c r="AA678" i="1"/>
  <c r="W678" i="1"/>
  <c r="S678" i="1"/>
  <c r="O678" i="1"/>
  <c r="K678" i="1"/>
  <c r="G678" i="1"/>
  <c r="C678" i="1"/>
  <c r="BC677" i="1"/>
  <c r="AY677" i="1"/>
  <c r="AU677" i="1"/>
  <c r="AQ677" i="1"/>
  <c r="AM677" i="1"/>
  <c r="AI677" i="1"/>
  <c r="AE677" i="1"/>
  <c r="AA677" i="1"/>
  <c r="W677" i="1"/>
  <c r="S677" i="1"/>
  <c r="O677" i="1"/>
  <c r="K677" i="1"/>
  <c r="G677" i="1"/>
  <c r="C677" i="1"/>
  <c r="BC676" i="1"/>
  <c r="AY676" i="1"/>
  <c r="AU676" i="1"/>
  <c r="AU683" i="1" s="1"/>
  <c r="AQ676" i="1"/>
  <c r="AM676" i="1"/>
  <c r="AI676" i="1"/>
  <c r="AE676" i="1"/>
  <c r="AA676" i="1"/>
  <c r="W676" i="1"/>
  <c r="S676" i="1"/>
  <c r="O676" i="1"/>
  <c r="O683" i="1" s="1"/>
  <c r="K676" i="1"/>
  <c r="G676" i="1"/>
  <c r="C676" i="1"/>
  <c r="D671" i="1"/>
  <c r="BC670" i="1"/>
  <c r="AY670" i="1"/>
  <c r="AU670" i="1"/>
  <c r="AQ670" i="1"/>
  <c r="AM670" i="1"/>
  <c r="AI670" i="1"/>
  <c r="AE670" i="1"/>
  <c r="AA670" i="1"/>
  <c r="W670" i="1"/>
  <c r="S670" i="1"/>
  <c r="O670" i="1"/>
  <c r="K670" i="1"/>
  <c r="G670" i="1"/>
  <c r="C670" i="1"/>
  <c r="BC669" i="1"/>
  <c r="AY669" i="1"/>
  <c r="AU669" i="1"/>
  <c r="AQ669" i="1"/>
  <c r="AM669" i="1"/>
  <c r="AI669" i="1"/>
  <c r="AE669" i="1"/>
  <c r="AA669" i="1"/>
  <c r="W669" i="1"/>
  <c r="S669" i="1"/>
  <c r="O669" i="1"/>
  <c r="K669" i="1"/>
  <c r="G669" i="1"/>
  <c r="C669" i="1"/>
  <c r="BC668" i="1"/>
  <c r="AY668" i="1"/>
  <c r="AU668" i="1"/>
  <c r="AQ668" i="1"/>
  <c r="AM668" i="1"/>
  <c r="AI668" i="1"/>
  <c r="AE668" i="1"/>
  <c r="AA668" i="1"/>
  <c r="W668" i="1"/>
  <c r="S668" i="1"/>
  <c r="O668" i="1"/>
  <c r="K668" i="1"/>
  <c r="G668" i="1"/>
  <c r="C668" i="1"/>
  <c r="BC667" i="1"/>
  <c r="AY667" i="1"/>
  <c r="AU667" i="1"/>
  <c r="AQ667" i="1"/>
  <c r="AM667" i="1"/>
  <c r="AI667" i="1"/>
  <c r="AE667" i="1"/>
  <c r="AA667" i="1"/>
  <c r="W667" i="1"/>
  <c r="S667" i="1"/>
  <c r="O667" i="1"/>
  <c r="K667" i="1"/>
  <c r="G667" i="1"/>
  <c r="C667" i="1"/>
  <c r="BC666" i="1"/>
  <c r="AY666" i="1"/>
  <c r="AU666" i="1"/>
  <c r="AQ666" i="1"/>
  <c r="AM666" i="1"/>
  <c r="AI666" i="1"/>
  <c r="AE666" i="1"/>
  <c r="AA666" i="1"/>
  <c r="W666" i="1"/>
  <c r="S666" i="1"/>
  <c r="O666" i="1"/>
  <c r="K666" i="1"/>
  <c r="G666" i="1"/>
  <c r="C666" i="1"/>
  <c r="BC665" i="1"/>
  <c r="AY665" i="1"/>
  <c r="AU665" i="1"/>
  <c r="AQ665" i="1"/>
  <c r="AM665" i="1"/>
  <c r="AI665" i="1"/>
  <c r="AE665" i="1"/>
  <c r="AA665" i="1"/>
  <c r="W665" i="1"/>
  <c r="S665" i="1"/>
  <c r="O665" i="1"/>
  <c r="K665" i="1"/>
  <c r="G665" i="1"/>
  <c r="C665" i="1"/>
  <c r="BC664" i="1"/>
  <c r="AY664" i="1"/>
  <c r="AU664" i="1"/>
  <c r="AQ664" i="1"/>
  <c r="AM664" i="1"/>
  <c r="AI664" i="1"/>
  <c r="AE664" i="1"/>
  <c r="AE671" i="1" s="1"/>
  <c r="AA664" i="1"/>
  <c r="W664" i="1"/>
  <c r="S664" i="1"/>
  <c r="O664" i="1"/>
  <c r="O671" i="1" s="1"/>
  <c r="K664" i="1"/>
  <c r="G664" i="1"/>
  <c r="C664" i="1"/>
  <c r="D659" i="1"/>
  <c r="BC658" i="1"/>
  <c r="AY658" i="1"/>
  <c r="AU658" i="1"/>
  <c r="AQ658" i="1"/>
  <c r="AM658" i="1"/>
  <c r="AI658" i="1"/>
  <c r="AE658" i="1"/>
  <c r="AA658" i="1"/>
  <c r="W658" i="1"/>
  <c r="S658" i="1"/>
  <c r="O658" i="1"/>
  <c r="K658" i="1"/>
  <c r="G658" i="1"/>
  <c r="C658" i="1"/>
  <c r="BC657" i="1"/>
  <c r="AY657" i="1"/>
  <c r="AU657" i="1"/>
  <c r="AQ657" i="1"/>
  <c r="AM657" i="1"/>
  <c r="AI657" i="1"/>
  <c r="AE657" i="1"/>
  <c r="AA657" i="1"/>
  <c r="W657" i="1"/>
  <c r="S657" i="1"/>
  <c r="O657" i="1"/>
  <c r="K657" i="1"/>
  <c r="G657" i="1"/>
  <c r="C657" i="1"/>
  <c r="BC656" i="1"/>
  <c r="AY656" i="1"/>
  <c r="AU656" i="1"/>
  <c r="AQ656" i="1"/>
  <c r="AM656" i="1"/>
  <c r="AI656" i="1"/>
  <c r="AE656" i="1"/>
  <c r="AA656" i="1"/>
  <c r="W656" i="1"/>
  <c r="S656" i="1"/>
  <c r="O656" i="1"/>
  <c r="K656" i="1"/>
  <c r="G656" i="1"/>
  <c r="C656" i="1"/>
  <c r="BC655" i="1"/>
  <c r="AY655" i="1"/>
  <c r="AU655" i="1"/>
  <c r="AQ655" i="1"/>
  <c r="AM655" i="1"/>
  <c r="AI655" i="1"/>
  <c r="AE655" i="1"/>
  <c r="AA655" i="1"/>
  <c r="W655" i="1"/>
  <c r="S655" i="1"/>
  <c r="O655" i="1"/>
  <c r="K655" i="1"/>
  <c r="G655" i="1"/>
  <c r="C655" i="1"/>
  <c r="BC654" i="1"/>
  <c r="AY654" i="1"/>
  <c r="AU654" i="1"/>
  <c r="AQ654" i="1"/>
  <c r="AM654" i="1"/>
  <c r="AI654" i="1"/>
  <c r="AE654" i="1"/>
  <c r="AA654" i="1"/>
  <c r="W654" i="1"/>
  <c r="S654" i="1"/>
  <c r="O654" i="1"/>
  <c r="K654" i="1"/>
  <c r="G654" i="1"/>
  <c r="C654" i="1"/>
  <c r="BC653" i="1"/>
  <c r="AY653" i="1"/>
  <c r="AU653" i="1"/>
  <c r="AQ653" i="1"/>
  <c r="AM653" i="1"/>
  <c r="AI653" i="1"/>
  <c r="AE653" i="1"/>
  <c r="AA653" i="1"/>
  <c r="W653" i="1"/>
  <c r="S653" i="1"/>
  <c r="O653" i="1"/>
  <c r="K653" i="1"/>
  <c r="G653" i="1"/>
  <c r="C653" i="1"/>
  <c r="BC652" i="1"/>
  <c r="AY652" i="1"/>
  <c r="AU652" i="1"/>
  <c r="AU659" i="1" s="1"/>
  <c r="AQ652" i="1"/>
  <c r="AM652" i="1"/>
  <c r="AI652" i="1"/>
  <c r="AE652" i="1"/>
  <c r="AE659" i="1" s="1"/>
  <c r="AA652" i="1"/>
  <c r="W652" i="1"/>
  <c r="S652" i="1"/>
  <c r="O652" i="1"/>
  <c r="O659" i="1" s="1"/>
  <c r="K652" i="1"/>
  <c r="G652" i="1"/>
  <c r="C652" i="1"/>
  <c r="D647" i="1"/>
  <c r="BC646" i="1"/>
  <c r="AY646" i="1"/>
  <c r="AU646" i="1"/>
  <c r="AQ646" i="1"/>
  <c r="AM646" i="1"/>
  <c r="AI646" i="1"/>
  <c r="AE646" i="1"/>
  <c r="AA646" i="1"/>
  <c r="W646" i="1"/>
  <c r="S646" i="1"/>
  <c r="O646" i="1"/>
  <c r="K646" i="1"/>
  <c r="G646" i="1"/>
  <c r="C646" i="1"/>
  <c r="BC645" i="1"/>
  <c r="AY645" i="1"/>
  <c r="AU645" i="1"/>
  <c r="AQ645" i="1"/>
  <c r="AM645" i="1"/>
  <c r="AI645" i="1"/>
  <c r="AE645" i="1"/>
  <c r="AA645" i="1"/>
  <c r="W645" i="1"/>
  <c r="S645" i="1"/>
  <c r="O645" i="1"/>
  <c r="K645" i="1"/>
  <c r="G645" i="1"/>
  <c r="C645" i="1"/>
  <c r="BC644" i="1"/>
  <c r="AY644" i="1"/>
  <c r="AU644" i="1"/>
  <c r="AQ644" i="1"/>
  <c r="AM644" i="1"/>
  <c r="AI644" i="1"/>
  <c r="AE644" i="1"/>
  <c r="AA644" i="1"/>
  <c r="W644" i="1"/>
  <c r="S644" i="1"/>
  <c r="O644" i="1"/>
  <c r="K644" i="1"/>
  <c r="G644" i="1"/>
  <c r="C644" i="1"/>
  <c r="BC643" i="1"/>
  <c r="AY643" i="1"/>
  <c r="AU643" i="1"/>
  <c r="AQ643" i="1"/>
  <c r="AM643" i="1"/>
  <c r="AI643" i="1"/>
  <c r="AE643" i="1"/>
  <c r="AA643" i="1"/>
  <c r="W643" i="1"/>
  <c r="S643" i="1"/>
  <c r="O643" i="1"/>
  <c r="K643" i="1"/>
  <c r="G643" i="1"/>
  <c r="C643" i="1"/>
  <c r="BC642" i="1"/>
  <c r="AY642" i="1"/>
  <c r="AU642" i="1"/>
  <c r="AQ642" i="1"/>
  <c r="AM642" i="1"/>
  <c r="AI642" i="1"/>
  <c r="AE642" i="1"/>
  <c r="AA642" i="1"/>
  <c r="W642" i="1"/>
  <c r="S642" i="1"/>
  <c r="O642" i="1"/>
  <c r="K642" i="1"/>
  <c r="G642" i="1"/>
  <c r="C642" i="1"/>
  <c r="BC641" i="1"/>
  <c r="AY641" i="1"/>
  <c r="AU641" i="1"/>
  <c r="AQ641" i="1"/>
  <c r="AM641" i="1"/>
  <c r="AI641" i="1"/>
  <c r="AE641" i="1"/>
  <c r="AA641" i="1"/>
  <c r="W641" i="1"/>
  <c r="S641" i="1"/>
  <c r="O641" i="1"/>
  <c r="K641" i="1"/>
  <c r="G641" i="1"/>
  <c r="C641" i="1"/>
  <c r="BC640" i="1"/>
  <c r="AY640" i="1"/>
  <c r="AU640" i="1"/>
  <c r="AU647" i="1" s="1"/>
  <c r="AQ640" i="1"/>
  <c r="AM640" i="1"/>
  <c r="AI640" i="1"/>
  <c r="AE640" i="1"/>
  <c r="AE647" i="1" s="1"/>
  <c r="AA640" i="1"/>
  <c r="W640" i="1"/>
  <c r="S640" i="1"/>
  <c r="O640" i="1"/>
  <c r="O647" i="1" s="1"/>
  <c r="K640" i="1"/>
  <c r="G640" i="1"/>
  <c r="C640" i="1"/>
  <c r="D635" i="1"/>
  <c r="BC634" i="1"/>
  <c r="AY634" i="1"/>
  <c r="AU634" i="1"/>
  <c r="AQ634" i="1"/>
  <c r="AM634" i="1"/>
  <c r="AI634" i="1"/>
  <c r="AE634" i="1"/>
  <c r="AA634" i="1"/>
  <c r="W634" i="1"/>
  <c r="S634" i="1"/>
  <c r="O634" i="1"/>
  <c r="K634" i="1"/>
  <c r="G634" i="1"/>
  <c r="C634" i="1"/>
  <c r="BC633" i="1"/>
  <c r="AY633" i="1"/>
  <c r="AU633" i="1"/>
  <c r="AQ633" i="1"/>
  <c r="AM633" i="1"/>
  <c r="AI633" i="1"/>
  <c r="AE633" i="1"/>
  <c r="AA633" i="1"/>
  <c r="W633" i="1"/>
  <c r="S633" i="1"/>
  <c r="O633" i="1"/>
  <c r="K633" i="1"/>
  <c r="G633" i="1"/>
  <c r="C633" i="1"/>
  <c r="BC632" i="1"/>
  <c r="AY632" i="1"/>
  <c r="AU632" i="1"/>
  <c r="AQ632" i="1"/>
  <c r="AM632" i="1"/>
  <c r="AI632" i="1"/>
  <c r="AE632" i="1"/>
  <c r="AA632" i="1"/>
  <c r="W632" i="1"/>
  <c r="S632" i="1"/>
  <c r="O632" i="1"/>
  <c r="K632" i="1"/>
  <c r="G632" i="1"/>
  <c r="C632" i="1"/>
  <c r="BC631" i="1"/>
  <c r="AY631" i="1"/>
  <c r="AU631" i="1"/>
  <c r="AQ631" i="1"/>
  <c r="AM631" i="1"/>
  <c r="AI631" i="1"/>
  <c r="AE631" i="1"/>
  <c r="AA631" i="1"/>
  <c r="W631" i="1"/>
  <c r="S631" i="1"/>
  <c r="O631" i="1"/>
  <c r="K631" i="1"/>
  <c r="G631" i="1"/>
  <c r="C631" i="1"/>
  <c r="BC630" i="1"/>
  <c r="AY630" i="1"/>
  <c r="AU630" i="1"/>
  <c r="AQ630" i="1"/>
  <c r="AM630" i="1"/>
  <c r="AI630" i="1"/>
  <c r="AE630" i="1"/>
  <c r="AA630" i="1"/>
  <c r="W630" i="1"/>
  <c r="S630" i="1"/>
  <c r="O630" i="1"/>
  <c r="K630" i="1"/>
  <c r="G630" i="1"/>
  <c r="C630" i="1"/>
  <c r="BC629" i="1"/>
  <c r="AY629" i="1"/>
  <c r="AU629" i="1"/>
  <c r="AQ629" i="1"/>
  <c r="AM629" i="1"/>
  <c r="AI629" i="1"/>
  <c r="AE629" i="1"/>
  <c r="AA629" i="1"/>
  <c r="W629" i="1"/>
  <c r="S629" i="1"/>
  <c r="O629" i="1"/>
  <c r="K629" i="1"/>
  <c r="G629" i="1"/>
  <c r="C629" i="1"/>
  <c r="BC628" i="1"/>
  <c r="AY628" i="1"/>
  <c r="AU628" i="1"/>
  <c r="AU635" i="1" s="1"/>
  <c r="AQ628" i="1"/>
  <c r="AM628" i="1"/>
  <c r="AI628" i="1"/>
  <c r="AE628" i="1"/>
  <c r="AA628" i="1"/>
  <c r="W628" i="1"/>
  <c r="S628" i="1"/>
  <c r="O628" i="1"/>
  <c r="O635" i="1" s="1"/>
  <c r="K628" i="1"/>
  <c r="G628" i="1"/>
  <c r="C628" i="1"/>
  <c r="D623" i="1"/>
  <c r="BC622" i="1"/>
  <c r="AY622" i="1"/>
  <c r="AU622" i="1"/>
  <c r="AQ622" i="1"/>
  <c r="AM622" i="1"/>
  <c r="AI622" i="1"/>
  <c r="AE622" i="1"/>
  <c r="AA622" i="1"/>
  <c r="W622" i="1"/>
  <c r="S622" i="1"/>
  <c r="O622" i="1"/>
  <c r="K622" i="1"/>
  <c r="G622" i="1"/>
  <c r="C622" i="1"/>
  <c r="BC621" i="1"/>
  <c r="AY621" i="1"/>
  <c r="AU621" i="1"/>
  <c r="AQ621" i="1"/>
  <c r="AM621" i="1"/>
  <c r="AI621" i="1"/>
  <c r="AE621" i="1"/>
  <c r="AA621" i="1"/>
  <c r="W621" i="1"/>
  <c r="S621" i="1"/>
  <c r="O621" i="1"/>
  <c r="K621" i="1"/>
  <c r="G621" i="1"/>
  <c r="C621" i="1"/>
  <c r="BC620" i="1"/>
  <c r="AY620" i="1"/>
  <c r="AU620" i="1"/>
  <c r="AQ620" i="1"/>
  <c r="AM620" i="1"/>
  <c r="AI620" i="1"/>
  <c r="AE620" i="1"/>
  <c r="AA620" i="1"/>
  <c r="W620" i="1"/>
  <c r="S620" i="1"/>
  <c r="O620" i="1"/>
  <c r="K620" i="1"/>
  <c r="G620" i="1"/>
  <c r="C620" i="1"/>
  <c r="BC619" i="1"/>
  <c r="AY619" i="1"/>
  <c r="AU619" i="1"/>
  <c r="AQ619" i="1"/>
  <c r="AM619" i="1"/>
  <c r="AI619" i="1"/>
  <c r="AE619" i="1"/>
  <c r="AA619" i="1"/>
  <c r="W619" i="1"/>
  <c r="S619" i="1"/>
  <c r="O619" i="1"/>
  <c r="K619" i="1"/>
  <c r="G619" i="1"/>
  <c r="C619" i="1"/>
  <c r="BC618" i="1"/>
  <c r="AY618" i="1"/>
  <c r="AU618" i="1"/>
  <c r="AQ618" i="1"/>
  <c r="AM618" i="1"/>
  <c r="AI618" i="1"/>
  <c r="AE618" i="1"/>
  <c r="AA618" i="1"/>
  <c r="W618" i="1"/>
  <c r="S618" i="1"/>
  <c r="O618" i="1"/>
  <c r="K618" i="1"/>
  <c r="G618" i="1"/>
  <c r="C618" i="1"/>
  <c r="BC617" i="1"/>
  <c r="AY617" i="1"/>
  <c r="AU617" i="1"/>
  <c r="AQ617" i="1"/>
  <c r="AM617" i="1"/>
  <c r="AI617" i="1"/>
  <c r="AE617" i="1"/>
  <c r="AA617" i="1"/>
  <c r="W617" i="1"/>
  <c r="S617" i="1"/>
  <c r="O617" i="1"/>
  <c r="K617" i="1"/>
  <c r="G617" i="1"/>
  <c r="C617" i="1"/>
  <c r="BC616" i="1"/>
  <c r="AY616" i="1"/>
  <c r="AU616" i="1"/>
  <c r="AQ616" i="1"/>
  <c r="AM616" i="1"/>
  <c r="AI616" i="1"/>
  <c r="AE616" i="1"/>
  <c r="AA616" i="1"/>
  <c r="W616" i="1"/>
  <c r="S616" i="1"/>
  <c r="O616" i="1"/>
  <c r="O623" i="1" s="1"/>
  <c r="K616" i="1"/>
  <c r="G616" i="1"/>
  <c r="C616" i="1"/>
  <c r="AF668" i="1" l="1"/>
  <c r="P669" i="1"/>
  <c r="AF705" i="1"/>
  <c r="T713" i="1"/>
  <c r="X796" i="1"/>
  <c r="X803" i="1" s="1"/>
  <c r="BD796" i="1"/>
  <c r="BD803" i="1" s="1"/>
  <c r="X800" i="1"/>
  <c r="AF801" i="1"/>
  <c r="X667" i="1"/>
  <c r="BD667" i="1"/>
  <c r="BD713" i="1"/>
  <c r="P797" i="1"/>
  <c r="AV801" i="1"/>
  <c r="X753" i="1"/>
  <c r="AJ629" i="1"/>
  <c r="AJ715" i="1"/>
  <c r="BD798" i="1"/>
  <c r="X863" i="1"/>
  <c r="X851" i="1"/>
  <c r="H851" i="1"/>
  <c r="AN839" i="1"/>
  <c r="X839" i="1"/>
  <c r="X827" i="1"/>
  <c r="X815" i="1"/>
  <c r="T752" i="1"/>
  <c r="L667" i="1"/>
  <c r="AR667" i="1"/>
  <c r="AN712" i="1"/>
  <c r="H799" i="1"/>
  <c r="AV800" i="1"/>
  <c r="X801" i="1"/>
  <c r="BD801" i="1"/>
  <c r="AB797" i="1"/>
  <c r="T800" i="1"/>
  <c r="AB801" i="1"/>
  <c r="X752" i="1"/>
  <c r="AB677" i="1"/>
  <c r="AB788" i="1"/>
  <c r="AB776" i="1"/>
  <c r="AV766" i="1"/>
  <c r="T766" i="1"/>
  <c r="AZ766" i="1"/>
  <c r="AB766" i="1"/>
  <c r="AB713" i="1"/>
  <c r="AN718" i="1"/>
  <c r="AF739" i="1"/>
  <c r="H738" i="1"/>
  <c r="AN742" i="1"/>
  <c r="AN705" i="1"/>
  <c r="AV646" i="1"/>
  <c r="AR705" i="1"/>
  <c r="AJ760" i="1"/>
  <c r="AJ767" i="1" s="1"/>
  <c r="L765" i="1"/>
  <c r="AJ778" i="1"/>
  <c r="H784" i="1"/>
  <c r="H791" i="1" s="1"/>
  <c r="AB796" i="1"/>
  <c r="AB643" i="1"/>
  <c r="T646" i="1"/>
  <c r="AZ646" i="1"/>
  <c r="P701" i="1"/>
  <c r="P705" i="1"/>
  <c r="AV705" i="1"/>
  <c r="H727" i="1"/>
  <c r="X729" i="1"/>
  <c r="AN750" i="1"/>
  <c r="AV751" i="1"/>
  <c r="AZ752" i="1"/>
  <c r="P765" i="1"/>
  <c r="AV765" i="1"/>
  <c r="BD772" i="1"/>
  <c r="BD779" i="1" s="1"/>
  <c r="AF800" i="1"/>
  <c r="AN802" i="1"/>
  <c r="H705" i="1"/>
  <c r="H765" i="1"/>
  <c r="T703" i="1"/>
  <c r="T705" i="1"/>
  <c r="AZ705" i="1"/>
  <c r="L727" i="1"/>
  <c r="AV730" i="1"/>
  <c r="AR750" i="1"/>
  <c r="T751" i="1"/>
  <c r="AV763" i="1"/>
  <c r="T765" i="1"/>
  <c r="AZ775" i="1"/>
  <c r="X789" i="1"/>
  <c r="BD789" i="1"/>
  <c r="AR643" i="1"/>
  <c r="X666" i="1"/>
  <c r="T668" i="1"/>
  <c r="AZ693" i="1"/>
  <c r="X705" i="1"/>
  <c r="AZ718" i="1"/>
  <c r="AB742" i="1"/>
  <c r="BD751" i="1"/>
  <c r="T753" i="1"/>
  <c r="X761" i="1"/>
  <c r="BD761" i="1"/>
  <c r="BD765" i="1"/>
  <c r="X775" i="1"/>
  <c r="BD775" i="1"/>
  <c r="AZ784" i="1"/>
  <c r="AZ791" i="1" s="1"/>
  <c r="T788" i="1"/>
  <c r="AZ788" i="1"/>
  <c r="H796" i="1"/>
  <c r="BD668" i="1"/>
  <c r="AF669" i="1"/>
  <c r="T677" i="1"/>
  <c r="AB678" i="1"/>
  <c r="P679" i="1"/>
  <c r="AV713" i="1"/>
  <c r="AF742" i="1"/>
  <c r="AZ750" i="1"/>
  <c r="H798" i="1"/>
  <c r="AN798" i="1"/>
  <c r="AJ692" i="1"/>
  <c r="AJ739" i="1"/>
  <c r="H754" i="1"/>
  <c r="L764" i="1"/>
  <c r="AR764" i="1"/>
  <c r="AB777" i="1"/>
  <c r="L778" i="1"/>
  <c r="AJ797" i="1"/>
  <c r="AR798" i="1"/>
  <c r="P666" i="1"/>
  <c r="H688" i="1"/>
  <c r="H695" i="1" s="1"/>
  <c r="AR712" i="1"/>
  <c r="AR719" i="1" s="1"/>
  <c r="BD725" i="1"/>
  <c r="AJ725" i="1"/>
  <c r="AN739" i="1"/>
  <c r="AR749" i="1"/>
  <c r="P764" i="1"/>
  <c r="AV764" i="1"/>
  <c r="AV778" i="1"/>
  <c r="X786" i="1"/>
  <c r="AJ786" i="1"/>
  <c r="AB789" i="1"/>
  <c r="P798" i="1"/>
  <c r="AJ801" i="1"/>
  <c r="P712" i="1"/>
  <c r="P719" i="1" s="1"/>
  <c r="X713" i="1"/>
  <c r="AZ713" i="1"/>
  <c r="AZ717" i="1"/>
  <c r="AB718" i="1"/>
  <c r="H725" i="1"/>
  <c r="AB737" i="1"/>
  <c r="AV738" i="1"/>
  <c r="L739" i="1"/>
  <c r="X742" i="1"/>
  <c r="P749" i="1"/>
  <c r="AV749" i="1"/>
  <c r="X750" i="1"/>
  <c r="AN753" i="1"/>
  <c r="AB761" i="1"/>
  <c r="T764" i="1"/>
  <c r="X776" i="1"/>
  <c r="BD784" i="1"/>
  <c r="BD791" i="1" s="1"/>
  <c r="AF785" i="1"/>
  <c r="BD788" i="1"/>
  <c r="T798" i="1"/>
  <c r="AN801" i="1"/>
  <c r="AN666" i="1"/>
  <c r="BD666" i="1"/>
  <c r="AV706" i="1"/>
  <c r="AZ712" i="1"/>
  <c r="AZ719" i="1" s="1"/>
  <c r="P739" i="1"/>
  <c r="T749" i="1"/>
  <c r="AZ754" i="1"/>
  <c r="X760" i="1"/>
  <c r="X767" i="1" s="1"/>
  <c r="BD764" i="1"/>
  <c r="AJ785" i="1"/>
  <c r="X798" i="1"/>
  <c r="L801" i="1"/>
  <c r="T688" i="1"/>
  <c r="T695" i="1" s="1"/>
  <c r="AZ688" i="1"/>
  <c r="AZ695" i="1" s="1"/>
  <c r="X712" i="1"/>
  <c r="X719" i="1" s="1"/>
  <c r="BD712" i="1"/>
  <c r="BD719" i="1" s="1"/>
  <c r="AF713" i="1"/>
  <c r="AV729" i="1"/>
  <c r="T739" i="1"/>
  <c r="X749" i="1"/>
  <c r="BD749" i="1"/>
  <c r="AV753" i="1"/>
  <c r="BD754" i="1"/>
  <c r="AB760" i="1"/>
  <c r="AB767" i="1" s="1"/>
  <c r="AF788" i="1"/>
  <c r="T797" i="1"/>
  <c r="AB798" i="1"/>
  <c r="AZ799" i="1"/>
  <c r="P801" i="1"/>
  <c r="H764" i="1"/>
  <c r="P706" i="1"/>
  <c r="X764" i="1"/>
  <c r="X778" i="1"/>
  <c r="AZ802" i="1"/>
  <c r="T676" i="1"/>
  <c r="T683" i="1" s="1"/>
  <c r="BD706" i="1"/>
  <c r="AB712" i="1"/>
  <c r="AB719" i="1" s="1"/>
  <c r="X739" i="1"/>
  <c r="BD739" i="1"/>
  <c r="AB749" i="1"/>
  <c r="L751" i="1"/>
  <c r="AZ753" i="1"/>
  <c r="AF764" i="1"/>
  <c r="AB784" i="1"/>
  <c r="AB791" i="1" s="1"/>
  <c r="AJ788" i="1"/>
  <c r="BD797" i="1"/>
  <c r="AF798" i="1"/>
  <c r="T801" i="1"/>
  <c r="AN641" i="1"/>
  <c r="AN617" i="1"/>
  <c r="P641" i="1"/>
  <c r="AR658" i="1"/>
  <c r="AR633" i="1"/>
  <c r="H656" i="1"/>
  <c r="BD644" i="1"/>
  <c r="AR654" i="1"/>
  <c r="AF632" i="1"/>
  <c r="H737" i="1"/>
  <c r="AJ799" i="1"/>
  <c r="AJ730" i="1"/>
  <c r="AF658" i="1"/>
  <c r="AN676" i="1"/>
  <c r="AN683" i="1" s="1"/>
  <c r="AJ693" i="1"/>
  <c r="L700" i="1"/>
  <c r="AR700" i="1"/>
  <c r="AB752" i="1"/>
  <c r="BD752" i="1"/>
  <c r="H786" i="1"/>
  <c r="AN786" i="1"/>
  <c r="AF789" i="1"/>
  <c r="T799" i="1"/>
  <c r="X802" i="1"/>
  <c r="AF736" i="1"/>
  <c r="AF743" i="1" s="1"/>
  <c r="AV760" i="1"/>
  <c r="AV767" i="1" s="1"/>
  <c r="AJ762" i="1"/>
  <c r="AZ730" i="1"/>
  <c r="AZ736" i="1"/>
  <c r="BD737" i="1"/>
  <c r="AF752" i="1"/>
  <c r="AJ774" i="1"/>
  <c r="AB802" i="1"/>
  <c r="BD802" i="1"/>
  <c r="AF737" i="1"/>
  <c r="AJ763" i="1"/>
  <c r="AV796" i="1"/>
  <c r="AV803" i="1" s="1"/>
  <c r="AU803" i="1"/>
  <c r="AJ802" i="1"/>
  <c r="AR715" i="1"/>
  <c r="AR799" i="1"/>
  <c r="AR762" i="1"/>
  <c r="AJ775" i="1"/>
  <c r="T802" i="1"/>
  <c r="AF630" i="1"/>
  <c r="AJ640" i="1"/>
  <c r="AJ647" i="1" s="1"/>
  <c r="AF653" i="1"/>
  <c r="AF657" i="1"/>
  <c r="L666" i="1"/>
  <c r="AR666" i="1"/>
  <c r="AR670" i="1"/>
  <c r="BD730" i="1"/>
  <c r="AB736" i="1"/>
  <c r="AB743" i="1" s="1"/>
  <c r="AJ742" i="1"/>
  <c r="AV775" i="1"/>
  <c r="AJ784" i="1"/>
  <c r="AJ791" i="1" s="1"/>
  <c r="H789" i="1"/>
  <c r="P790" i="1"/>
  <c r="BD799" i="1"/>
  <c r="AN762" i="1"/>
  <c r="H776" i="1"/>
  <c r="P786" i="1"/>
  <c r="L799" i="1"/>
  <c r="AF692" i="1"/>
  <c r="P715" i="1"/>
  <c r="AN737" i="1"/>
  <c r="H752" i="1"/>
  <c r="AJ754" i="1"/>
  <c r="H760" i="1"/>
  <c r="AN775" i="1"/>
  <c r="P617" i="1"/>
  <c r="AV617" i="1"/>
  <c r="L630" i="1"/>
  <c r="AR630" i="1"/>
  <c r="L634" i="1"/>
  <c r="X641" i="1"/>
  <c r="AN688" i="1"/>
  <c r="AN695" i="1" s="1"/>
  <c r="P689" i="1"/>
  <c r="AV689" i="1"/>
  <c r="X690" i="1"/>
  <c r="BD690" i="1"/>
  <c r="L693" i="1"/>
  <c r="AR693" i="1"/>
  <c r="AV694" i="1"/>
  <c r="T700" i="1"/>
  <c r="T707" i="1" s="1"/>
  <c r="AZ700" i="1"/>
  <c r="AZ707" i="1" s="1"/>
  <c r="AF706" i="1"/>
  <c r="AJ706" i="1"/>
  <c r="H713" i="1"/>
  <c r="AN713" i="1"/>
  <c r="T715" i="1"/>
  <c r="AV715" i="1"/>
  <c r="P725" i="1"/>
  <c r="L730" i="1"/>
  <c r="L736" i="1"/>
  <c r="L743" i="1" s="1"/>
  <c r="P737" i="1"/>
  <c r="AR737" i="1"/>
  <c r="AZ738" i="1"/>
  <c r="P742" i="1"/>
  <c r="AV742" i="1"/>
  <c r="AF750" i="1"/>
  <c r="H751" i="1"/>
  <c r="L752" i="1"/>
  <c r="AN752" i="1"/>
  <c r="AN754" i="1"/>
  <c r="L760" i="1"/>
  <c r="L767" i="1" s="1"/>
  <c r="H761" i="1"/>
  <c r="AN761" i="1"/>
  <c r="AF765" i="1"/>
  <c r="T775" i="1"/>
  <c r="P776" i="1"/>
  <c r="T784" i="1"/>
  <c r="T791" i="1" s="1"/>
  <c r="T785" i="1"/>
  <c r="AV785" i="1"/>
  <c r="H788" i="1"/>
  <c r="L789" i="1"/>
  <c r="AZ798" i="1"/>
  <c r="X754" i="1"/>
  <c r="BD760" i="1"/>
  <c r="BD767" i="1" s="1"/>
  <c r="L763" i="1"/>
  <c r="AE779" i="1"/>
  <c r="AN785" i="1"/>
  <c r="H802" i="1"/>
  <c r="AZ641" i="1"/>
  <c r="AV658" i="1"/>
  <c r="T666" i="1"/>
  <c r="H693" i="1"/>
  <c r="AN725" i="1"/>
  <c r="L737" i="1"/>
  <c r="L762" i="1"/>
  <c r="AJ766" i="1"/>
  <c r="P775" i="1"/>
  <c r="P785" i="1"/>
  <c r="AN799" i="1"/>
  <c r="AR801" i="1"/>
  <c r="T640" i="1"/>
  <c r="T647" i="1" s="1"/>
  <c r="AN668" i="1"/>
  <c r="AB690" i="1"/>
  <c r="AN692" i="1"/>
  <c r="P693" i="1"/>
  <c r="H706" i="1"/>
  <c r="H712" i="1"/>
  <c r="AJ712" i="1"/>
  <c r="AJ719" i="1" s="1"/>
  <c r="L713" i="1"/>
  <c r="AR713" i="1"/>
  <c r="AV714" i="1"/>
  <c r="T725" i="1"/>
  <c r="X728" i="1"/>
  <c r="P730" i="1"/>
  <c r="AR730" i="1"/>
  <c r="AR736" i="1"/>
  <c r="AV737" i="1"/>
  <c r="X738" i="1"/>
  <c r="T742" i="1"/>
  <c r="AZ742" i="1"/>
  <c r="AN751" i="1"/>
  <c r="P752" i="1"/>
  <c r="AR752" i="1"/>
  <c r="L754" i="1"/>
  <c r="AN760" i="1"/>
  <c r="AR761" i="1"/>
  <c r="AV762" i="1"/>
  <c r="AJ765" i="1"/>
  <c r="L766" i="1"/>
  <c r="X785" i="1"/>
  <c r="AZ785" i="1"/>
  <c r="AB786" i="1"/>
  <c r="T787" i="1"/>
  <c r="L788" i="1"/>
  <c r="AR788" i="1"/>
  <c r="AV789" i="1"/>
  <c r="L796" i="1"/>
  <c r="L803" i="1" s="1"/>
  <c r="AN796" i="1"/>
  <c r="AN797" i="1"/>
  <c r="AJ800" i="1"/>
  <c r="H801" i="1"/>
  <c r="BD753" i="1"/>
  <c r="AF754" i="1"/>
  <c r="AR763" i="1"/>
  <c r="AN776" i="1"/>
  <c r="L784" i="1"/>
  <c r="L791" i="1" s="1"/>
  <c r="AZ796" i="1"/>
  <c r="AZ803" i="1" s="1"/>
  <c r="AR617" i="1"/>
  <c r="T641" i="1"/>
  <c r="AJ713" i="1"/>
  <c r="AZ727" i="1"/>
  <c r="AJ736" i="1"/>
  <c r="AJ743" i="1" s="1"/>
  <c r="L742" i="1"/>
  <c r="AF751" i="1"/>
  <c r="C767" i="1"/>
  <c r="AR784" i="1"/>
  <c r="AV798" i="1"/>
  <c r="P799" i="1"/>
  <c r="L802" i="1"/>
  <c r="BD628" i="1"/>
  <c r="T630" i="1"/>
  <c r="AZ630" i="1"/>
  <c r="AB631" i="1"/>
  <c r="AF666" i="1"/>
  <c r="L668" i="1"/>
  <c r="AR668" i="1"/>
  <c r="AV678" i="1"/>
  <c r="AV688" i="1"/>
  <c r="T693" i="1"/>
  <c r="L712" i="1"/>
  <c r="L719" i="1" s="1"/>
  <c r="P713" i="1"/>
  <c r="AB715" i="1"/>
  <c r="T724" i="1"/>
  <c r="T731" i="1" s="1"/>
  <c r="AZ724" i="1"/>
  <c r="AF727" i="1"/>
  <c r="T736" i="1"/>
  <c r="T743" i="1" s="1"/>
  <c r="X737" i="1"/>
  <c r="AB738" i="1"/>
  <c r="AV739" i="1"/>
  <c r="BD742" i="1"/>
  <c r="L749" i="1"/>
  <c r="AR751" i="1"/>
  <c r="P754" i="1"/>
  <c r="AV754" i="1"/>
  <c r="T760" i="1"/>
  <c r="T767" i="1" s="1"/>
  <c r="AR760" i="1"/>
  <c r="AR767" i="1" s="1"/>
  <c r="P761" i="1"/>
  <c r="AV761" i="1"/>
  <c r="X762" i="1"/>
  <c r="BD776" i="1"/>
  <c r="AN787" i="1"/>
  <c r="AV788" i="1"/>
  <c r="BD790" i="1"/>
  <c r="AR796" i="1"/>
  <c r="AR803" i="1" s="1"/>
  <c r="L798" i="1"/>
  <c r="AJ798" i="1"/>
  <c r="X799" i="1"/>
  <c r="P800" i="1"/>
  <c r="AN800" i="1"/>
  <c r="AZ801" i="1"/>
  <c r="AR802" i="1"/>
  <c r="AB763" i="1"/>
  <c r="L761" i="1"/>
  <c r="AF761" i="1"/>
  <c r="AN763" i="1"/>
  <c r="AJ776" i="1"/>
  <c r="AV786" i="1"/>
  <c r="T790" i="1"/>
  <c r="AZ760" i="1"/>
  <c r="AZ767" i="1" s="1"/>
  <c r="AJ761" i="1"/>
  <c r="T763" i="1"/>
  <c r="P766" i="1"/>
  <c r="AN778" i="1"/>
  <c r="AZ786" i="1"/>
  <c r="X787" i="1"/>
  <c r="T761" i="1"/>
  <c r="H762" i="1"/>
  <c r="AF762" i="1"/>
  <c r="BD762" i="1"/>
  <c r="AN764" i="1"/>
  <c r="AB765" i="1"/>
  <c r="AZ765" i="1"/>
  <c r="H775" i="1"/>
  <c r="AR776" i="1"/>
  <c r="T778" i="1"/>
  <c r="L786" i="1"/>
  <c r="AF786" i="1"/>
  <c r="BD786" i="1"/>
  <c r="P789" i="1"/>
  <c r="AR789" i="1"/>
  <c r="AV776" i="1"/>
  <c r="AJ787" i="1"/>
  <c r="H763" i="1"/>
  <c r="AF763" i="1"/>
  <c r="AZ763" i="1"/>
  <c r="AZ776" i="1"/>
  <c r="H787" i="1"/>
  <c r="BD763" i="1"/>
  <c r="AJ772" i="1"/>
  <c r="AJ779" i="1" s="1"/>
  <c r="T786" i="1"/>
  <c r="L787" i="1"/>
  <c r="AZ789" i="1"/>
  <c r="X790" i="1"/>
  <c r="AZ761" i="1"/>
  <c r="T762" i="1"/>
  <c r="AB764" i="1"/>
  <c r="AZ764" i="1"/>
  <c r="AN765" i="1"/>
  <c r="AF766" i="1"/>
  <c r="L776" i="1"/>
  <c r="AF776" i="1"/>
  <c r="P784" i="1"/>
  <c r="P791" i="1" s="1"/>
  <c r="AN784" i="1"/>
  <c r="AN791" i="1" s="1"/>
  <c r="BD785" i="1"/>
  <c r="AR786" i="1"/>
  <c r="P788" i="1"/>
  <c r="AN788" i="1"/>
  <c r="P763" i="1"/>
  <c r="AN766" i="1"/>
  <c r="AZ787" i="1"/>
  <c r="AJ790" i="1"/>
  <c r="AB762" i="1"/>
  <c r="AZ762" i="1"/>
  <c r="AJ764" i="1"/>
  <c r="X765" i="1"/>
  <c r="AR766" i="1"/>
  <c r="T776" i="1"/>
  <c r="P778" i="1"/>
  <c r="X784" i="1"/>
  <c r="X791" i="1" s="1"/>
  <c r="AV784" i="1"/>
  <c r="AV791" i="1" s="1"/>
  <c r="AN789" i="1"/>
  <c r="AN790" i="1"/>
  <c r="L670" i="1"/>
  <c r="AJ738" i="1"/>
  <c r="H657" i="1"/>
  <c r="AV712" i="1"/>
  <c r="AV719" i="1" s="1"/>
  <c r="AZ714" i="1"/>
  <c r="AF628" i="1"/>
  <c r="AF635" i="1" s="1"/>
  <c r="H643" i="1"/>
  <c r="BD714" i="1"/>
  <c r="P714" i="1"/>
  <c r="AR714" i="1"/>
  <c r="AF714" i="1"/>
  <c r="H714" i="1"/>
  <c r="AJ714" i="1"/>
  <c r="AF738" i="1"/>
  <c r="L714" i="1"/>
  <c r="AN628" i="1"/>
  <c r="AN635" i="1" s="1"/>
  <c r="L653" i="1"/>
  <c r="L657" i="1"/>
  <c r="C671" i="1"/>
  <c r="P670" i="1"/>
  <c r="AN680" i="1"/>
  <c r="AF690" i="1"/>
  <c r="P692" i="1"/>
  <c r="X702" i="1"/>
  <c r="H715" i="1"/>
  <c r="O719" i="1"/>
  <c r="L738" i="1"/>
  <c r="AB748" i="1"/>
  <c r="AB755" i="1" s="1"/>
  <c r="H749" i="1"/>
  <c r="AZ617" i="1"/>
  <c r="L618" i="1"/>
  <c r="AZ621" i="1"/>
  <c r="AR622" i="1"/>
  <c r="L628" i="1"/>
  <c r="L635" i="1" s="1"/>
  <c r="AR628" i="1"/>
  <c r="AR635" i="1" s="1"/>
  <c r="H646" i="1"/>
  <c r="P653" i="1"/>
  <c r="AV653" i="1"/>
  <c r="X654" i="1"/>
  <c r="AF655" i="1"/>
  <c r="P657" i="1"/>
  <c r="AV657" i="1"/>
  <c r="X658" i="1"/>
  <c r="AV668" i="1"/>
  <c r="AR680" i="1"/>
  <c r="T681" i="1"/>
  <c r="X688" i="1"/>
  <c r="AF689" i="1"/>
  <c r="AJ690" i="1"/>
  <c r="T692" i="1"/>
  <c r="BD705" i="1"/>
  <c r="T714" i="1"/>
  <c r="AF717" i="1"/>
  <c r="AJ718" i="1"/>
  <c r="AZ737" i="1"/>
  <c r="P738" i="1"/>
  <c r="AR739" i="1"/>
  <c r="H753" i="1"/>
  <c r="T754" i="1"/>
  <c r="AZ749" i="1"/>
  <c r="AR653" i="1"/>
  <c r="P618" i="1"/>
  <c r="AV618" i="1"/>
  <c r="AF620" i="1"/>
  <c r="AV622" i="1"/>
  <c r="AJ641" i="1"/>
  <c r="AZ657" i="1"/>
  <c r="AZ676" i="1"/>
  <c r="AZ683" i="1" s="1"/>
  <c r="AV680" i="1"/>
  <c r="AB688" i="1"/>
  <c r="AB695" i="1" s="1"/>
  <c r="L690" i="1"/>
  <c r="AN690" i="1"/>
  <c r="AB705" i="1"/>
  <c r="T712" i="1"/>
  <c r="T719" i="1" s="1"/>
  <c r="L715" i="1"/>
  <c r="AF715" i="1"/>
  <c r="AZ715" i="1"/>
  <c r="AZ728" i="1"/>
  <c r="AB730" i="1"/>
  <c r="T738" i="1"/>
  <c r="AN738" i="1"/>
  <c r="H739" i="1"/>
  <c r="AR742" i="1"/>
  <c r="AF749" i="1"/>
  <c r="AJ751" i="1"/>
  <c r="AZ751" i="1"/>
  <c r="AF753" i="1"/>
  <c r="AR754" i="1"/>
  <c r="BD738" i="1"/>
  <c r="T622" i="1"/>
  <c r="AZ622" i="1"/>
  <c r="P642" i="1"/>
  <c r="AV642" i="1"/>
  <c r="AB644" i="1"/>
  <c r="T645" i="1"/>
  <c r="BD657" i="1"/>
  <c r="T680" i="1"/>
  <c r="T682" i="1"/>
  <c r="P690" i="1"/>
  <c r="AR690" i="1"/>
  <c r="AJ700" i="1"/>
  <c r="AJ707" i="1" s="1"/>
  <c r="AB714" i="1"/>
  <c r="AR725" i="1"/>
  <c r="AZ725" i="1"/>
  <c r="T730" i="1"/>
  <c r="AR738" i="1"/>
  <c r="AB739" i="1"/>
  <c r="AJ749" i="1"/>
  <c r="P753" i="1"/>
  <c r="X618" i="1"/>
  <c r="AJ630" i="1"/>
  <c r="AR641" i="1"/>
  <c r="AZ642" i="1"/>
  <c r="BD643" i="1"/>
  <c r="AF644" i="1"/>
  <c r="AB653" i="1"/>
  <c r="AB657" i="1"/>
  <c r="X680" i="1"/>
  <c r="AJ688" i="1"/>
  <c r="AJ695" i="1" s="1"/>
  <c r="T690" i="1"/>
  <c r="AV690" i="1"/>
  <c r="AF693" i="1"/>
  <c r="H694" i="1"/>
  <c r="L705" i="1"/>
  <c r="AJ705" i="1"/>
  <c r="L706" i="1"/>
  <c r="AN706" i="1"/>
  <c r="AN715" i="1"/>
  <c r="T718" i="1"/>
  <c r="AV718" i="1"/>
  <c r="AN727" i="1"/>
  <c r="H730" i="1"/>
  <c r="AZ739" i="1"/>
  <c r="H742" i="1"/>
  <c r="AV748" i="1"/>
  <c r="AV755" i="1" s="1"/>
  <c r="AN749" i="1"/>
  <c r="L750" i="1"/>
  <c r="AJ752" i="1"/>
  <c r="AB754" i="1"/>
  <c r="AJ664" i="1"/>
  <c r="AJ671" i="1" s="1"/>
  <c r="L703" i="1"/>
  <c r="P664" i="1"/>
  <c r="P671" i="1" s="1"/>
  <c r="BD703" i="1"/>
  <c r="AN703" i="1"/>
  <c r="AN656" i="1"/>
  <c r="BD664" i="1"/>
  <c r="AB620" i="1"/>
  <c r="BD632" i="1"/>
  <c r="AJ655" i="1"/>
  <c r="H665" i="1"/>
  <c r="AN665" i="1"/>
  <c r="AZ701" i="1"/>
  <c r="AV621" i="1"/>
  <c r="AJ632" i="1"/>
  <c r="AF643" i="1"/>
  <c r="L655" i="1"/>
  <c r="AR656" i="1"/>
  <c r="AN664" i="1"/>
  <c r="AN671" i="1" s="1"/>
  <c r="L665" i="1"/>
  <c r="AR665" i="1"/>
  <c r="L678" i="1"/>
  <c r="AR679" i="1"/>
  <c r="AJ682" i="1"/>
  <c r="AR688" i="1"/>
  <c r="AR695" i="1" s="1"/>
  <c r="X692" i="1"/>
  <c r="AV692" i="1"/>
  <c r="AB618" i="1"/>
  <c r="AB628" i="1"/>
  <c r="AB635" i="1" s="1"/>
  <c r="AR631" i="1"/>
  <c r="L632" i="1"/>
  <c r="AN632" i="1"/>
  <c r="AZ640" i="1"/>
  <c r="AZ647" i="1" s="1"/>
  <c r="AB641" i="1"/>
  <c r="AJ643" i="1"/>
  <c r="AZ645" i="1"/>
  <c r="X646" i="1"/>
  <c r="AZ653" i="1"/>
  <c r="P655" i="1"/>
  <c r="AR655" i="1"/>
  <c r="T656" i="1"/>
  <c r="AB667" i="1"/>
  <c r="AJ668" i="1"/>
  <c r="P678" i="1"/>
  <c r="AR678" i="1"/>
  <c r="AV679" i="1"/>
  <c r="BD688" i="1"/>
  <c r="AZ690" i="1"/>
  <c r="AR703" i="1"/>
  <c r="T706" i="1"/>
  <c r="AR706" i="1"/>
  <c r="AF678" i="1"/>
  <c r="AV644" i="1"/>
  <c r="AV655" i="1"/>
  <c r="T664" i="1"/>
  <c r="T671" i="1" s="1"/>
  <c r="T679" i="1"/>
  <c r="AN701" i="1"/>
  <c r="X706" i="1"/>
  <c r="AE635" i="1"/>
  <c r="L643" i="1"/>
  <c r="P654" i="1"/>
  <c r="X665" i="1"/>
  <c r="BD665" i="1"/>
  <c r="AZ669" i="1"/>
  <c r="AZ670" i="1"/>
  <c r="AV677" i="1"/>
  <c r="X679" i="1"/>
  <c r="BD679" i="1"/>
  <c r="AN681" i="1"/>
  <c r="L688" i="1"/>
  <c r="L695" i="1" s="1"/>
  <c r="BD692" i="1"/>
  <c r="T694" i="1"/>
  <c r="AB700" i="1"/>
  <c r="AB707" i="1" s="1"/>
  <c r="AV700" i="1"/>
  <c r="AV707" i="1" s="1"/>
  <c r="AR701" i="1"/>
  <c r="X704" i="1"/>
  <c r="AB706" i="1"/>
  <c r="H664" i="1"/>
  <c r="H671" i="1" s="1"/>
  <c r="P632" i="1"/>
  <c r="T655" i="1"/>
  <c r="T670" i="1"/>
  <c r="AV670" i="1"/>
  <c r="AR677" i="1"/>
  <c r="AZ679" i="1"/>
  <c r="AJ681" i="1"/>
  <c r="AB692" i="1"/>
  <c r="AZ692" i="1"/>
  <c r="AV628" i="1"/>
  <c r="AV635" i="1" s="1"/>
  <c r="AN642" i="1"/>
  <c r="AZ644" i="1"/>
  <c r="AZ655" i="1"/>
  <c r="H618" i="1"/>
  <c r="AN618" i="1"/>
  <c r="H628" i="1"/>
  <c r="H635" i="1" s="1"/>
  <c r="AZ632" i="1"/>
  <c r="AN634" i="1"/>
  <c r="H641" i="1"/>
  <c r="AF645" i="1"/>
  <c r="AJ646" i="1"/>
  <c r="T654" i="1"/>
  <c r="AB655" i="1"/>
  <c r="AJ657" i="1"/>
  <c r="H658" i="1"/>
  <c r="AB665" i="1"/>
  <c r="AJ666" i="1"/>
  <c r="H667" i="1"/>
  <c r="AN667" i="1"/>
  <c r="P668" i="1"/>
  <c r="X669" i="1"/>
  <c r="AZ677" i="1"/>
  <c r="L681" i="1"/>
  <c r="AZ682" i="1"/>
  <c r="H690" i="1"/>
  <c r="L692" i="1"/>
  <c r="AV693" i="1"/>
  <c r="X694" i="1"/>
  <c r="AF700" i="1"/>
  <c r="AF707" i="1" s="1"/>
  <c r="AZ706" i="1"/>
  <c r="AV665" i="1"/>
  <c r="AZ667" i="1"/>
  <c r="AB670" i="1"/>
  <c r="AE683" i="1"/>
  <c r="H679" i="1"/>
  <c r="AJ665" i="1"/>
  <c r="AV666" i="1"/>
  <c r="AJ667" i="1"/>
  <c r="AN669" i="1"/>
  <c r="AJ670" i="1"/>
  <c r="BD670" i="1"/>
  <c r="L677" i="1"/>
  <c r="AF677" i="1"/>
  <c r="L679" i="1"/>
  <c r="AF679" i="1"/>
  <c r="AZ680" i="1"/>
  <c r="AV667" i="1"/>
  <c r="BD669" i="1"/>
  <c r="H669" i="1"/>
  <c r="AB664" i="1"/>
  <c r="AB671" i="1" s="1"/>
  <c r="AF665" i="1"/>
  <c r="AF667" i="1"/>
  <c r="AJ669" i="1"/>
  <c r="H670" i="1"/>
  <c r="AF670" i="1"/>
  <c r="AJ676" i="1"/>
  <c r="AJ683" i="1" s="1"/>
  <c r="AB679" i="1"/>
  <c r="AF664" i="1"/>
  <c r="AF671" i="1" s="1"/>
  <c r="AZ664" i="1"/>
  <c r="AZ671" i="1" s="1"/>
  <c r="P665" i="1"/>
  <c r="AZ666" i="1"/>
  <c r="P667" i="1"/>
  <c r="X668" i="1"/>
  <c r="AN670" i="1"/>
  <c r="P677" i="1"/>
  <c r="AJ677" i="1"/>
  <c r="AJ679" i="1"/>
  <c r="AZ665" i="1"/>
  <c r="AV664" i="1"/>
  <c r="H677" i="1"/>
  <c r="T665" i="1"/>
  <c r="H666" i="1"/>
  <c r="AB666" i="1"/>
  <c r="T667" i="1"/>
  <c r="H668" i="1"/>
  <c r="AB668" i="1"/>
  <c r="AZ668" i="1"/>
  <c r="T669" i="1"/>
  <c r="AN677" i="1"/>
  <c r="BD678" i="1"/>
  <c r="AN679" i="1"/>
  <c r="AR681" i="1"/>
  <c r="BD681" i="1"/>
  <c r="AJ616" i="1"/>
  <c r="AJ623" i="1" s="1"/>
  <c r="AF631" i="1"/>
  <c r="AJ620" i="1"/>
  <c r="AF634" i="1"/>
  <c r="L621" i="1"/>
  <c r="AJ633" i="1"/>
  <c r="AJ634" i="1"/>
  <c r="AB658" i="1"/>
  <c r="X617" i="1"/>
  <c r="P619" i="1"/>
  <c r="L620" i="1"/>
  <c r="P628" i="1"/>
  <c r="P635" i="1" s="1"/>
  <c r="T642" i="1"/>
  <c r="P643" i="1"/>
  <c r="AN643" i="1"/>
  <c r="L644" i="1"/>
  <c r="AJ644" i="1"/>
  <c r="BD646" i="1"/>
  <c r="X656" i="1"/>
  <c r="BD658" i="1"/>
  <c r="AZ616" i="1"/>
  <c r="AZ623" i="1" s="1"/>
  <c r="AB617" i="1"/>
  <c r="AF618" i="1"/>
  <c r="P620" i="1"/>
  <c r="X622" i="1"/>
  <c r="T631" i="1"/>
  <c r="AV631" i="1"/>
  <c r="AR634" i="1"/>
  <c r="X642" i="1"/>
  <c r="T643" i="1"/>
  <c r="AJ645" i="1"/>
  <c r="AB652" i="1"/>
  <c r="AB659" i="1" s="1"/>
  <c r="AB656" i="1"/>
  <c r="AB633" i="1"/>
  <c r="AF633" i="1"/>
  <c r="AR616" i="1"/>
  <c r="AR623" i="1" s="1"/>
  <c r="AR621" i="1"/>
  <c r="L631" i="1"/>
  <c r="L633" i="1"/>
  <c r="AV652" i="1"/>
  <c r="AV659" i="1" s="1"/>
  <c r="AZ658" i="1"/>
  <c r="AR620" i="1"/>
  <c r="P631" i="1"/>
  <c r="P633" i="1"/>
  <c r="X616" i="1"/>
  <c r="AJ618" i="1"/>
  <c r="T620" i="1"/>
  <c r="AV620" i="1"/>
  <c r="X628" i="1"/>
  <c r="X635" i="1" s="1"/>
  <c r="T629" i="1"/>
  <c r="X631" i="1"/>
  <c r="AZ631" i="1"/>
  <c r="AV632" i="1"/>
  <c r="T633" i="1"/>
  <c r="P634" i="1"/>
  <c r="BD641" i="1"/>
  <c r="BD642" i="1"/>
  <c r="X643" i="1"/>
  <c r="P644" i="1"/>
  <c r="AR644" i="1"/>
  <c r="L645" i="1"/>
  <c r="AN645" i="1"/>
  <c r="T657" i="1"/>
  <c r="X657" i="1"/>
  <c r="AR657" i="1"/>
  <c r="L658" i="1"/>
  <c r="AJ658" i="1"/>
  <c r="AJ631" i="1"/>
  <c r="AB616" i="1"/>
  <c r="AZ620" i="1"/>
  <c r="AB621" i="1"/>
  <c r="BD629" i="1"/>
  <c r="BD631" i="1"/>
  <c r="AV633" i="1"/>
  <c r="T634" i="1"/>
  <c r="AZ634" i="1"/>
  <c r="AV643" i="1"/>
  <c r="T644" i="1"/>
  <c r="P645" i="1"/>
  <c r="P646" i="1"/>
  <c r="AN646" i="1"/>
  <c r="P658" i="1"/>
  <c r="AN658" i="1"/>
  <c r="BD620" i="1"/>
  <c r="AN622" i="1"/>
  <c r="AJ622" i="1"/>
  <c r="AZ628" i="1"/>
  <c r="AZ635" i="1" s="1"/>
  <c r="AZ633" i="1"/>
  <c r="BD634" i="1"/>
  <c r="AJ642" i="1"/>
  <c r="AZ643" i="1"/>
  <c r="H654" i="1"/>
  <c r="T658" i="1"/>
  <c r="AF619" i="1"/>
  <c r="BD616" i="1"/>
  <c r="BD623" i="1" s="1"/>
  <c r="AJ619" i="1"/>
  <c r="L619" i="1"/>
  <c r="AF621" i="1"/>
  <c r="H617" i="1"/>
  <c r="AB622" i="1"/>
  <c r="BD622" i="1"/>
  <c r="P616" i="1"/>
  <c r="P623" i="1" s="1"/>
  <c r="T618" i="1"/>
  <c r="AR618" i="1"/>
  <c r="T619" i="1"/>
  <c r="AN621" i="1"/>
  <c r="AF622" i="1"/>
  <c r="H619" i="1"/>
  <c r="H621" i="1"/>
  <c r="L616" i="1"/>
  <c r="L623" i="1" s="1"/>
  <c r="AR619" i="1"/>
  <c r="T616" i="1"/>
  <c r="T623" i="1" s="1"/>
  <c r="L617" i="1"/>
  <c r="AF617" i="1"/>
  <c r="AZ619" i="1"/>
  <c r="P621" i="1"/>
  <c r="H622" i="1"/>
  <c r="BD617" i="1"/>
  <c r="AZ618" i="1"/>
  <c r="L622" i="1"/>
  <c r="C623" i="1"/>
  <c r="H616" i="1"/>
  <c r="H623" i="1" s="1"/>
  <c r="AN619" i="1"/>
  <c r="BD621" i="1"/>
  <c r="BD618" i="1"/>
  <c r="X621" i="1"/>
  <c r="P622" i="1"/>
  <c r="AN629" i="1"/>
  <c r="H716" i="1"/>
  <c r="T716" i="1"/>
  <c r="C719" i="1"/>
  <c r="AJ716" i="1"/>
  <c r="AZ716" i="1"/>
  <c r="AV716" i="1"/>
  <c r="P716" i="1"/>
  <c r="AN716" i="1"/>
  <c r="AB619" i="1"/>
  <c r="AV619" i="1"/>
  <c r="AB691" i="1"/>
  <c r="AE719" i="1"/>
  <c r="AF712" i="1"/>
  <c r="AF629" i="1"/>
  <c r="AV691" i="1"/>
  <c r="AF691" i="1"/>
  <c r="P691" i="1"/>
  <c r="AN691" i="1"/>
  <c r="T691" i="1"/>
  <c r="BD691" i="1"/>
  <c r="AJ691" i="1"/>
  <c r="AZ691" i="1"/>
  <c r="AF726" i="1"/>
  <c r="BD726" i="1"/>
  <c r="H726" i="1"/>
  <c r="T726" i="1"/>
  <c r="AN726" i="1"/>
  <c r="P726" i="1"/>
  <c r="AV616" i="1"/>
  <c r="AV623" i="1" s="1"/>
  <c r="AU623" i="1"/>
  <c r="H629" i="1"/>
  <c r="H691" i="1"/>
  <c r="AV702" i="1"/>
  <c r="AU731" i="1"/>
  <c r="AV724" i="1"/>
  <c r="AV731" i="1" s="1"/>
  <c r="AB740" i="1"/>
  <c r="L740" i="1"/>
  <c r="AJ740" i="1"/>
  <c r="BD740" i="1"/>
  <c r="C743" i="1"/>
  <c r="X740" i="1"/>
  <c r="P773" i="1"/>
  <c r="AZ773" i="1"/>
  <c r="AB773" i="1"/>
  <c r="T773" i="1"/>
  <c r="BD619" i="1"/>
  <c r="BD630" i="1"/>
  <c r="AN630" i="1"/>
  <c r="X630" i="1"/>
  <c r="H630" i="1"/>
  <c r="AB630" i="1"/>
  <c r="AV630" i="1"/>
  <c r="AB640" i="1"/>
  <c r="AB647" i="1" s="1"/>
  <c r="C647" i="1"/>
  <c r="BD640" i="1"/>
  <c r="X640" i="1"/>
  <c r="X647" i="1" s="1"/>
  <c r="H640" i="1"/>
  <c r="AV640" i="1"/>
  <c r="AV647" i="1" s="1"/>
  <c r="AF640" i="1"/>
  <c r="AF647" i="1" s="1"/>
  <c r="P640" i="1"/>
  <c r="P647" i="1" s="1"/>
  <c r="AR640" i="1"/>
  <c r="AR647" i="1" s="1"/>
  <c r="L640" i="1"/>
  <c r="L647" i="1" s="1"/>
  <c r="AN640" i="1"/>
  <c r="P652" i="1"/>
  <c r="P659" i="1" s="1"/>
  <c r="AR652" i="1"/>
  <c r="AR659" i="1" s="1"/>
  <c r="C659" i="1"/>
  <c r="AZ652" i="1"/>
  <c r="AZ659" i="1" s="1"/>
  <c r="AZ704" i="1"/>
  <c r="H717" i="1"/>
  <c r="X717" i="1"/>
  <c r="BD717" i="1"/>
  <c r="AN717" i="1"/>
  <c r="P717" i="1"/>
  <c r="AJ717" i="1"/>
  <c r="H652" i="1"/>
  <c r="H659" i="1" s="1"/>
  <c r="AJ652" i="1"/>
  <c r="AJ659" i="1" s="1"/>
  <c r="AZ654" i="1"/>
  <c r="AF716" i="1"/>
  <c r="AV629" i="1"/>
  <c r="C635" i="1"/>
  <c r="AZ629" i="1"/>
  <c r="P629" i="1"/>
  <c r="AJ702" i="1"/>
  <c r="BD702" i="1"/>
  <c r="AF702" i="1"/>
  <c r="H702" i="1"/>
  <c r="AN702" i="1"/>
  <c r="T702" i="1"/>
  <c r="AJ704" i="1"/>
  <c r="AB704" i="1"/>
  <c r="AN704" i="1"/>
  <c r="BD704" i="1"/>
  <c r="L704" i="1"/>
  <c r="AR704" i="1"/>
  <c r="T704" i="1"/>
  <c r="X619" i="1"/>
  <c r="X629" i="1"/>
  <c r="P630" i="1"/>
  <c r="T652" i="1"/>
  <c r="T659" i="1" s="1"/>
  <c r="AV654" i="1"/>
  <c r="BD654" i="1"/>
  <c r="AF654" i="1"/>
  <c r="AN654" i="1"/>
  <c r="AJ654" i="1"/>
  <c r="AU671" i="1"/>
  <c r="AR682" i="1"/>
  <c r="AB682" i="1"/>
  <c r="L682" i="1"/>
  <c r="BD682" i="1"/>
  <c r="X682" i="1"/>
  <c r="AN682" i="1"/>
  <c r="AV682" i="1"/>
  <c r="AF682" i="1"/>
  <c r="P682" i="1"/>
  <c r="H682" i="1"/>
  <c r="C695" i="1"/>
  <c r="X691" i="1"/>
  <c r="H704" i="1"/>
  <c r="AV717" i="1"/>
  <c r="AB726" i="1"/>
  <c r="C683" i="1"/>
  <c r="AV676" i="1"/>
  <c r="AV683" i="1" s="1"/>
  <c r="AF676" i="1"/>
  <c r="P676" i="1"/>
  <c r="P683" i="1" s="1"/>
  <c r="AR676" i="1"/>
  <c r="AR683" i="1" s="1"/>
  <c r="AB676" i="1"/>
  <c r="AB683" i="1" s="1"/>
  <c r="L676" i="1"/>
  <c r="L683" i="1" s="1"/>
  <c r="X676" i="1"/>
  <c r="X683" i="1" s="1"/>
  <c r="AJ689" i="1"/>
  <c r="AZ702" i="1"/>
  <c r="AZ729" i="1"/>
  <c r="AB729" i="1"/>
  <c r="L729" i="1"/>
  <c r="AN740" i="1"/>
  <c r="C779" i="1"/>
  <c r="AF772" i="1"/>
  <c r="AV772" i="1"/>
  <c r="AV779" i="1" s="1"/>
  <c r="AZ772" i="1"/>
  <c r="H772" i="1"/>
  <c r="H779" i="1" s="1"/>
  <c r="T772" i="1"/>
  <c r="T779" i="1" s="1"/>
  <c r="P772" i="1"/>
  <c r="P779" i="1" s="1"/>
  <c r="AR629" i="1"/>
  <c r="AR642" i="1"/>
  <c r="AB642" i="1"/>
  <c r="L642" i="1"/>
  <c r="X620" i="1"/>
  <c r="L629" i="1"/>
  <c r="AN631" i="1"/>
  <c r="T632" i="1"/>
  <c r="X634" i="1"/>
  <c r="H642" i="1"/>
  <c r="AR645" i="1"/>
  <c r="AB646" i="1"/>
  <c r="AJ653" i="1"/>
  <c r="AF656" i="1"/>
  <c r="AN616" i="1"/>
  <c r="AN623" i="1" s="1"/>
  <c r="T617" i="1"/>
  <c r="AJ617" i="1"/>
  <c r="T628" i="1"/>
  <c r="T635" i="1" s="1"/>
  <c r="AJ628" i="1"/>
  <c r="AJ635" i="1" s="1"/>
  <c r="H631" i="1"/>
  <c r="H632" i="1"/>
  <c r="X632" i="1"/>
  <c r="AR632" i="1"/>
  <c r="H634" i="1"/>
  <c r="AB634" i="1"/>
  <c r="AV634" i="1"/>
  <c r="L641" i="1"/>
  <c r="AF642" i="1"/>
  <c r="AB645" i="1"/>
  <c r="AV645" i="1"/>
  <c r="AF646" i="1"/>
  <c r="X652" i="1"/>
  <c r="H653" i="1"/>
  <c r="X653" i="1"/>
  <c r="AN653" i="1"/>
  <c r="BD653" i="1"/>
  <c r="P656" i="1"/>
  <c r="AJ656" i="1"/>
  <c r="AN657" i="1"/>
  <c r="H681" i="1"/>
  <c r="AZ681" i="1"/>
  <c r="AR691" i="1"/>
  <c r="AB693" i="1"/>
  <c r="P694" i="1"/>
  <c r="AN694" i="1"/>
  <c r="H701" i="1"/>
  <c r="AF701" i="1"/>
  <c r="H703" i="1"/>
  <c r="P718" i="1"/>
  <c r="X726" i="1"/>
  <c r="AZ726" i="1"/>
  <c r="AV728" i="1"/>
  <c r="T729" i="1"/>
  <c r="P741" i="1"/>
  <c r="AB741" i="1"/>
  <c r="AJ741" i="1"/>
  <c r="L741" i="1"/>
  <c r="AV741" i="1"/>
  <c r="AR741" i="1"/>
  <c r="T741" i="1"/>
  <c r="AF741" i="1"/>
  <c r="X772" i="1"/>
  <c r="X779" i="1" s="1"/>
  <c r="AZ774" i="1"/>
  <c r="AB774" i="1"/>
  <c r="T774" i="1"/>
  <c r="X774" i="1"/>
  <c r="AJ777" i="1"/>
  <c r="L652" i="1"/>
  <c r="L659" i="1" s="1"/>
  <c r="AZ689" i="1"/>
  <c r="H728" i="1"/>
  <c r="AN728" i="1"/>
  <c r="BD728" i="1"/>
  <c r="AJ728" i="1"/>
  <c r="H740" i="1"/>
  <c r="P688" i="1"/>
  <c r="P695" i="1" s="1"/>
  <c r="O695" i="1"/>
  <c r="AF704" i="1"/>
  <c r="L717" i="1"/>
  <c r="C731" i="1"/>
  <c r="AF724" i="1"/>
  <c r="AF731" i="1" s="1"/>
  <c r="X724" i="1"/>
  <c r="X731" i="1" s="1"/>
  <c r="AN724" i="1"/>
  <c r="P724" i="1"/>
  <c r="P731" i="1" s="1"/>
  <c r="BD724" i="1"/>
  <c r="BD731" i="1" s="1"/>
  <c r="AB724" i="1"/>
  <c r="AB731" i="1" s="1"/>
  <c r="AF728" i="1"/>
  <c r="AN772" i="1"/>
  <c r="L773" i="1"/>
  <c r="AN620" i="1"/>
  <c r="T621" i="1"/>
  <c r="AJ621" i="1"/>
  <c r="AB629" i="1"/>
  <c r="H644" i="1"/>
  <c r="X644" i="1"/>
  <c r="AN644" i="1"/>
  <c r="AR646" i="1"/>
  <c r="BD652" i="1"/>
  <c r="AV656" i="1"/>
  <c r="H676" i="1"/>
  <c r="H683" i="1" s="1"/>
  <c r="T678" i="1"/>
  <c r="AJ678" i="1"/>
  <c r="AZ678" i="1"/>
  <c r="BD680" i="1"/>
  <c r="H680" i="1"/>
  <c r="AB680" i="1"/>
  <c r="X681" i="1"/>
  <c r="H689" i="1"/>
  <c r="X689" i="1"/>
  <c r="AN689" i="1"/>
  <c r="BD689" i="1"/>
  <c r="AZ694" i="1"/>
  <c r="P700" i="1"/>
  <c r="P707" i="1" s="1"/>
  <c r="L702" i="1"/>
  <c r="AR718" i="1"/>
  <c r="H718" i="1"/>
  <c r="X718" i="1"/>
  <c r="BD718" i="1"/>
  <c r="L728" i="1"/>
  <c r="BD748" i="1"/>
  <c r="BD755" i="1" s="1"/>
  <c r="T689" i="1"/>
  <c r="AB702" i="1"/>
  <c r="AB728" i="1"/>
  <c r="AE623" i="1"/>
  <c r="AF616" i="1"/>
  <c r="AF623" i="1" s="1"/>
  <c r="AF694" i="1"/>
  <c r="X645" i="1"/>
  <c r="AN652" i="1"/>
  <c r="T653" i="1"/>
  <c r="AZ656" i="1"/>
  <c r="AB681" i="1"/>
  <c r="L694" i="1"/>
  <c r="AJ694" i="1"/>
  <c r="BD694" i="1"/>
  <c r="AU695" i="1"/>
  <c r="BD701" i="1"/>
  <c r="T701" i="1"/>
  <c r="X701" i="1"/>
  <c r="AV701" i="1"/>
  <c r="P702" i="1"/>
  <c r="AJ703" i="1"/>
  <c r="X703" i="1"/>
  <c r="H724" i="1"/>
  <c r="AJ724" i="1"/>
  <c r="AJ731" i="1" s="1"/>
  <c r="AR726" i="1"/>
  <c r="AJ729" i="1"/>
  <c r="T740" i="1"/>
  <c r="AR748" i="1"/>
  <c r="AR755" i="1" s="1"/>
  <c r="AZ748" i="1"/>
  <c r="L748" i="1"/>
  <c r="L755" i="1" s="1"/>
  <c r="T748" i="1"/>
  <c r="T755" i="1" s="1"/>
  <c r="C755" i="1"/>
  <c r="P748" i="1"/>
  <c r="P755" i="1" s="1"/>
  <c r="AN777" i="1"/>
  <c r="X777" i="1"/>
  <c r="BD777" i="1"/>
  <c r="H620" i="1"/>
  <c r="BD633" i="1"/>
  <c r="AN633" i="1"/>
  <c r="X633" i="1"/>
  <c r="H633" i="1"/>
  <c r="AV641" i="1"/>
  <c r="H645" i="1"/>
  <c r="L646" i="1"/>
  <c r="BD655" i="1"/>
  <c r="AN655" i="1"/>
  <c r="X655" i="1"/>
  <c r="H655" i="1"/>
  <c r="L656" i="1"/>
  <c r="BD656" i="1"/>
  <c r="X664" i="1"/>
  <c r="AR669" i="1"/>
  <c r="AB669" i="1"/>
  <c r="L669" i="1"/>
  <c r="AV669" i="1"/>
  <c r="BD676" i="1"/>
  <c r="BD683" i="1" s="1"/>
  <c r="H678" i="1"/>
  <c r="X678" i="1"/>
  <c r="AN678" i="1"/>
  <c r="L680" i="1"/>
  <c r="AJ680" i="1"/>
  <c r="AF681" i="1"/>
  <c r="L689" i="1"/>
  <c r="AB689" i="1"/>
  <c r="AR689" i="1"/>
  <c r="X693" i="1"/>
  <c r="AB703" i="1"/>
  <c r="AZ703" i="1"/>
  <c r="C707" i="1"/>
  <c r="X716" i="1"/>
  <c r="L718" i="1"/>
  <c r="AR728" i="1"/>
  <c r="AN729" i="1"/>
  <c r="AJ748" i="1"/>
  <c r="AJ755" i="1" s="1"/>
  <c r="X773" i="1"/>
  <c r="BD773" i="1"/>
  <c r="BD774" i="1"/>
  <c r="H777" i="1"/>
  <c r="AF652" i="1"/>
  <c r="AF659" i="1" s="1"/>
  <c r="L654" i="1"/>
  <c r="AF680" i="1"/>
  <c r="P681" i="1"/>
  <c r="L691" i="1"/>
  <c r="AR692" i="1"/>
  <c r="BD693" i="1"/>
  <c r="BD700" i="1"/>
  <c r="BD707" i="1" s="1"/>
  <c r="AN700" i="1"/>
  <c r="AN707" i="1" s="1"/>
  <c r="X700" i="1"/>
  <c r="H700" i="1"/>
  <c r="H707" i="1" s="1"/>
  <c r="AB701" i="1"/>
  <c r="T717" i="1"/>
  <c r="AF718" i="1"/>
  <c r="T727" i="1"/>
  <c r="L716" i="1"/>
  <c r="L725" i="1"/>
  <c r="X725" i="1"/>
  <c r="AB725" i="1"/>
  <c r="AJ726" i="1"/>
  <c r="BD727" i="1"/>
  <c r="AJ727" i="1"/>
  <c r="AV727" i="1"/>
  <c r="AR727" i="1"/>
  <c r="AF729" i="1"/>
  <c r="X741" i="1"/>
  <c r="P760" i="1"/>
  <c r="P767" i="1" s="1"/>
  <c r="O767" i="1"/>
  <c r="AV774" i="1"/>
  <c r="AV777" i="1"/>
  <c r="P680" i="1"/>
  <c r="AE695" i="1"/>
  <c r="AF688" i="1"/>
  <c r="AF695" i="1" s="1"/>
  <c r="AN693" i="1"/>
  <c r="L701" i="1"/>
  <c r="AJ701" i="1"/>
  <c r="AR702" i="1"/>
  <c r="AF703" i="1"/>
  <c r="BD716" i="1"/>
  <c r="X727" i="1"/>
  <c r="T728" i="1"/>
  <c r="AZ777" i="1"/>
  <c r="AB632" i="1"/>
  <c r="AF641" i="1"/>
  <c r="BD645" i="1"/>
  <c r="AB654" i="1"/>
  <c r="AR664" i="1"/>
  <c r="AR671" i="1" s="1"/>
  <c r="X670" i="1"/>
  <c r="BD677" i="1"/>
  <c r="H692" i="1"/>
  <c r="AV703" i="1"/>
  <c r="AV704" i="1"/>
  <c r="BD715" i="1"/>
  <c r="AR724" i="1"/>
  <c r="AR731" i="1" s="1"/>
  <c r="AV726" i="1"/>
  <c r="AR729" i="1"/>
  <c r="X736" i="1"/>
  <c r="X743" i="1" s="1"/>
  <c r="H741" i="1"/>
  <c r="AZ741" i="1"/>
  <c r="AR753" i="1"/>
  <c r="AJ773" i="1"/>
  <c r="AF775" i="1"/>
  <c r="AB778" i="1"/>
  <c r="AR778" i="1"/>
  <c r="X797" i="1"/>
  <c r="L664" i="1"/>
  <c r="L671" i="1" s="1"/>
  <c r="X677" i="1"/>
  <c r="AV681" i="1"/>
  <c r="AR694" i="1"/>
  <c r="P703" i="1"/>
  <c r="P704" i="1"/>
  <c r="AN714" i="1"/>
  <c r="X715" i="1"/>
  <c r="AR716" i="1"/>
  <c r="AR717" i="1"/>
  <c r="L724" i="1"/>
  <c r="L731" i="1" s="1"/>
  <c r="AV725" i="1"/>
  <c r="P727" i="1"/>
  <c r="H729" i="1"/>
  <c r="AV736" i="1"/>
  <c r="AV743" i="1" s="1"/>
  <c r="P736" i="1"/>
  <c r="P743" i="1" s="1"/>
  <c r="AR740" i="1"/>
  <c r="P750" i="1"/>
  <c r="AJ750" i="1"/>
  <c r="AV750" i="1"/>
  <c r="T750" i="1"/>
  <c r="BD750" i="1"/>
  <c r="AR773" i="1"/>
  <c r="AN774" i="1"/>
  <c r="T777" i="1"/>
  <c r="AF790" i="1"/>
  <c r="AV790" i="1"/>
  <c r="AZ790" i="1"/>
  <c r="H790" i="1"/>
  <c r="AF797" i="1"/>
  <c r="AV797" i="1"/>
  <c r="C803" i="1"/>
  <c r="AZ797" i="1"/>
  <c r="H797" i="1"/>
  <c r="AB694" i="1"/>
  <c r="X714" i="1"/>
  <c r="AB716" i="1"/>
  <c r="AB717" i="1"/>
  <c r="AF725" i="1"/>
  <c r="AV740" i="1"/>
  <c r="AN741" i="1"/>
  <c r="X748" i="1"/>
  <c r="X755" i="1" s="1"/>
  <c r="AE767" i="1"/>
  <c r="AF760" i="1"/>
  <c r="AV773" i="1"/>
  <c r="AR774" i="1"/>
  <c r="AR777" i="1"/>
  <c r="AE803" i="1"/>
  <c r="AF796" i="1"/>
  <c r="X730" i="1"/>
  <c r="AF740" i="1"/>
  <c r="BD741" i="1"/>
  <c r="AB751" i="1"/>
  <c r="AN773" i="1"/>
  <c r="L774" i="1"/>
  <c r="AR775" i="1"/>
  <c r="BD778" i="1"/>
  <c r="P796" i="1"/>
  <c r="P803" i="1" s="1"/>
  <c r="O803" i="1"/>
  <c r="L726" i="1"/>
  <c r="AB727" i="1"/>
  <c r="AF730" i="1"/>
  <c r="H736" i="1"/>
  <c r="H743" i="1" s="1"/>
  <c r="AF748" i="1"/>
  <c r="AF755" i="1" s="1"/>
  <c r="H750" i="1"/>
  <c r="P751" i="1"/>
  <c r="AB753" i="1"/>
  <c r="L775" i="1"/>
  <c r="L777" i="1"/>
  <c r="AR787" i="1"/>
  <c r="AR800" i="1"/>
  <c r="AB800" i="1"/>
  <c r="L800" i="1"/>
  <c r="AZ800" i="1"/>
  <c r="P728" i="1"/>
  <c r="P729" i="1"/>
  <c r="BD729" i="1"/>
  <c r="AN730" i="1"/>
  <c r="BD736" i="1"/>
  <c r="BD743" i="1" s="1"/>
  <c r="AZ740" i="1"/>
  <c r="AN748" i="1"/>
  <c r="AN755" i="1" s="1"/>
  <c r="X751" i="1"/>
  <c r="AJ753" i="1"/>
  <c r="AB772" i="1"/>
  <c r="AB779" i="1" s="1"/>
  <c r="H774" i="1"/>
  <c r="H778" i="1"/>
  <c r="AF778" i="1"/>
  <c r="AZ778" i="1"/>
  <c r="AE791" i="1"/>
  <c r="AV787" i="1"/>
  <c r="AF787" i="1"/>
  <c r="P787" i="1"/>
  <c r="AB787" i="1"/>
  <c r="BD787" i="1"/>
  <c r="AB790" i="1"/>
  <c r="AB799" i="1"/>
  <c r="AN736" i="1"/>
  <c r="T737" i="1"/>
  <c r="AJ737" i="1"/>
  <c r="H748" i="1"/>
  <c r="H755" i="1" s="1"/>
  <c r="AB750" i="1"/>
  <c r="AV752" i="1"/>
  <c r="L753" i="1"/>
  <c r="P762" i="1"/>
  <c r="BD766" i="1"/>
  <c r="AR772" i="1"/>
  <c r="AR779" i="1" s="1"/>
  <c r="H773" i="1"/>
  <c r="AB775" i="1"/>
  <c r="AR790" i="1"/>
  <c r="AR797" i="1"/>
  <c r="H800" i="1"/>
  <c r="X766" i="1"/>
  <c r="L772" i="1"/>
  <c r="L779" i="1" s="1"/>
  <c r="AF774" i="1"/>
  <c r="AF777" i="1"/>
  <c r="C791" i="1"/>
  <c r="AR785" i="1"/>
  <c r="AB785" i="1"/>
  <c r="L785" i="1"/>
  <c r="L790" i="1"/>
  <c r="L797" i="1"/>
  <c r="AV799" i="1"/>
  <c r="BD800" i="1"/>
  <c r="P740" i="1"/>
  <c r="X763" i="1"/>
  <c r="AR765" i="1"/>
  <c r="H766" i="1"/>
  <c r="AF773" i="1"/>
  <c r="P774" i="1"/>
  <c r="P777" i="1"/>
  <c r="H785" i="1"/>
  <c r="X788" i="1"/>
  <c r="AF799" i="1"/>
  <c r="AV802" i="1"/>
  <c r="AF802" i="1"/>
  <c r="P802" i="1"/>
  <c r="AF784" i="1"/>
  <c r="T789" i="1"/>
  <c r="AJ789" i="1"/>
  <c r="T796" i="1"/>
  <c r="T803" i="1" s="1"/>
  <c r="AJ796" i="1"/>
  <c r="AJ803" i="1" s="1"/>
  <c r="D611" i="1"/>
  <c r="BC610" i="1"/>
  <c r="AY610" i="1"/>
  <c r="AU610" i="1"/>
  <c r="AQ610" i="1"/>
  <c r="AM610" i="1"/>
  <c r="AI610" i="1"/>
  <c r="AE610" i="1"/>
  <c r="AA610" i="1"/>
  <c r="W610" i="1"/>
  <c r="S610" i="1"/>
  <c r="O610" i="1"/>
  <c r="K610" i="1"/>
  <c r="G610" i="1"/>
  <c r="C610" i="1"/>
  <c r="BC609" i="1"/>
  <c r="AY609" i="1"/>
  <c r="AU609" i="1"/>
  <c r="AQ609" i="1"/>
  <c r="AM609" i="1"/>
  <c r="AI609" i="1"/>
  <c r="AE609" i="1"/>
  <c r="AA609" i="1"/>
  <c r="W609" i="1"/>
  <c r="S609" i="1"/>
  <c r="O609" i="1"/>
  <c r="K609" i="1"/>
  <c r="G609" i="1"/>
  <c r="C609" i="1"/>
  <c r="BC608" i="1"/>
  <c r="AY608" i="1"/>
  <c r="AU608" i="1"/>
  <c r="AQ608" i="1"/>
  <c r="AM608" i="1"/>
  <c r="AI608" i="1"/>
  <c r="AE608" i="1"/>
  <c r="AA608" i="1"/>
  <c r="W608" i="1"/>
  <c r="S608" i="1"/>
  <c r="O608" i="1"/>
  <c r="K608" i="1"/>
  <c r="G608" i="1"/>
  <c r="C608" i="1"/>
  <c r="BC607" i="1"/>
  <c r="AY607" i="1"/>
  <c r="AU607" i="1"/>
  <c r="AQ607" i="1"/>
  <c r="AM607" i="1"/>
  <c r="AI607" i="1"/>
  <c r="AE607" i="1"/>
  <c r="AA607" i="1"/>
  <c r="W607" i="1"/>
  <c r="S607" i="1"/>
  <c r="O607" i="1"/>
  <c r="K607" i="1"/>
  <c r="G607" i="1"/>
  <c r="C607" i="1"/>
  <c r="BC606" i="1"/>
  <c r="AY606" i="1"/>
  <c r="AU606" i="1"/>
  <c r="AQ606" i="1"/>
  <c r="AM606" i="1"/>
  <c r="AI606" i="1"/>
  <c r="AE606" i="1"/>
  <c r="AA606" i="1"/>
  <c r="W606" i="1"/>
  <c r="S606" i="1"/>
  <c r="O606" i="1"/>
  <c r="K606" i="1"/>
  <c r="G606" i="1"/>
  <c r="C606" i="1"/>
  <c r="BC605" i="1"/>
  <c r="AY605" i="1"/>
  <c r="AU605" i="1"/>
  <c r="AQ605" i="1"/>
  <c r="AM605" i="1"/>
  <c r="AI605" i="1"/>
  <c r="AE605" i="1"/>
  <c r="AA605" i="1"/>
  <c r="W605" i="1"/>
  <c r="S605" i="1"/>
  <c r="O605" i="1"/>
  <c r="K605" i="1"/>
  <c r="G605" i="1"/>
  <c r="C605" i="1"/>
  <c r="BC604" i="1"/>
  <c r="AY604" i="1"/>
  <c r="AU604" i="1"/>
  <c r="AU611" i="1" s="1"/>
  <c r="AQ604" i="1"/>
  <c r="AM604" i="1"/>
  <c r="AI604" i="1"/>
  <c r="AE604" i="1"/>
  <c r="AE611" i="1" s="1"/>
  <c r="AA604" i="1"/>
  <c r="W604" i="1"/>
  <c r="S604" i="1"/>
  <c r="O604" i="1"/>
  <c r="O611" i="1" s="1"/>
  <c r="K604" i="1"/>
  <c r="G604" i="1"/>
  <c r="C604" i="1"/>
  <c r="D599" i="1"/>
  <c r="BC598" i="1"/>
  <c r="AY598" i="1"/>
  <c r="AU598" i="1"/>
  <c r="AQ598" i="1"/>
  <c r="AM598" i="1"/>
  <c r="AI598" i="1"/>
  <c r="AE598" i="1"/>
  <c r="AA598" i="1"/>
  <c r="W598" i="1"/>
  <c r="S598" i="1"/>
  <c r="O598" i="1"/>
  <c r="K598" i="1"/>
  <c r="G598" i="1"/>
  <c r="C598" i="1"/>
  <c r="BC597" i="1"/>
  <c r="AY597" i="1"/>
  <c r="AU597" i="1"/>
  <c r="AQ597" i="1"/>
  <c r="AM597" i="1"/>
  <c r="AI597" i="1"/>
  <c r="AE597" i="1"/>
  <c r="AA597" i="1"/>
  <c r="W597" i="1"/>
  <c r="S597" i="1"/>
  <c r="O597" i="1"/>
  <c r="K597" i="1"/>
  <c r="G597" i="1"/>
  <c r="C597" i="1"/>
  <c r="BC596" i="1"/>
  <c r="AY596" i="1"/>
  <c r="AU596" i="1"/>
  <c r="AQ596" i="1"/>
  <c r="AM596" i="1"/>
  <c r="AI596" i="1"/>
  <c r="AE596" i="1"/>
  <c r="AA596" i="1"/>
  <c r="W596" i="1"/>
  <c r="S596" i="1"/>
  <c r="O596" i="1"/>
  <c r="K596" i="1"/>
  <c r="G596" i="1"/>
  <c r="C596" i="1"/>
  <c r="BC595" i="1"/>
  <c r="AY595" i="1"/>
  <c r="AU595" i="1"/>
  <c r="AQ595" i="1"/>
  <c r="AM595" i="1"/>
  <c r="AI595" i="1"/>
  <c r="AE595" i="1"/>
  <c r="AA595" i="1"/>
  <c r="W595" i="1"/>
  <c r="S595" i="1"/>
  <c r="O595" i="1"/>
  <c r="K595" i="1"/>
  <c r="G595" i="1"/>
  <c r="C595" i="1"/>
  <c r="BC594" i="1"/>
  <c r="AY594" i="1"/>
  <c r="AU594" i="1"/>
  <c r="AQ594" i="1"/>
  <c r="AM594" i="1"/>
  <c r="AI594" i="1"/>
  <c r="AE594" i="1"/>
  <c r="AA594" i="1"/>
  <c r="W594" i="1"/>
  <c r="S594" i="1"/>
  <c r="O594" i="1"/>
  <c r="K594" i="1"/>
  <c r="G594" i="1"/>
  <c r="C594" i="1"/>
  <c r="BC593" i="1"/>
  <c r="AY593" i="1"/>
  <c r="AU593" i="1"/>
  <c r="AQ593" i="1"/>
  <c r="AM593" i="1"/>
  <c r="AI593" i="1"/>
  <c r="AE593" i="1"/>
  <c r="AA593" i="1"/>
  <c r="W593" i="1"/>
  <c r="S593" i="1"/>
  <c r="O593" i="1"/>
  <c r="K593" i="1"/>
  <c r="G593" i="1"/>
  <c r="C593" i="1"/>
  <c r="BC592" i="1"/>
  <c r="AY592" i="1"/>
  <c r="AU592" i="1"/>
  <c r="AU599" i="1" s="1"/>
  <c r="AQ592" i="1"/>
  <c r="AM592" i="1"/>
  <c r="AI592" i="1"/>
  <c r="AE592" i="1"/>
  <c r="AE599" i="1" s="1"/>
  <c r="AA592" i="1"/>
  <c r="W592" i="1"/>
  <c r="S592" i="1"/>
  <c r="O592" i="1"/>
  <c r="O599" i="1" s="1"/>
  <c r="K592" i="1"/>
  <c r="G592" i="1"/>
  <c r="C592" i="1"/>
  <c r="D587" i="1"/>
  <c r="BC586" i="1"/>
  <c r="AY586" i="1"/>
  <c r="AU586" i="1"/>
  <c r="AQ586" i="1"/>
  <c r="AM586" i="1"/>
  <c r="AI586" i="1"/>
  <c r="AE586" i="1"/>
  <c r="AA586" i="1"/>
  <c r="W586" i="1"/>
  <c r="S586" i="1"/>
  <c r="O586" i="1"/>
  <c r="K586" i="1"/>
  <c r="G586" i="1"/>
  <c r="C586" i="1"/>
  <c r="BC585" i="1"/>
  <c r="AY585" i="1"/>
  <c r="AU585" i="1"/>
  <c r="AQ585" i="1"/>
  <c r="AM585" i="1"/>
  <c r="AI585" i="1"/>
  <c r="AE585" i="1"/>
  <c r="AA585" i="1"/>
  <c r="W585" i="1"/>
  <c r="S585" i="1"/>
  <c r="O585" i="1"/>
  <c r="K585" i="1"/>
  <c r="G585" i="1"/>
  <c r="C585" i="1"/>
  <c r="BC584" i="1"/>
  <c r="AY584" i="1"/>
  <c r="AU584" i="1"/>
  <c r="AQ584" i="1"/>
  <c r="AM584" i="1"/>
  <c r="AI584" i="1"/>
  <c r="AE584" i="1"/>
  <c r="AA584" i="1"/>
  <c r="W584" i="1"/>
  <c r="S584" i="1"/>
  <c r="O584" i="1"/>
  <c r="K584" i="1"/>
  <c r="G584" i="1"/>
  <c r="C584" i="1"/>
  <c r="AJ584" i="1" s="1"/>
  <c r="BC583" i="1"/>
  <c r="AY583" i="1"/>
  <c r="AU583" i="1"/>
  <c r="AQ583" i="1"/>
  <c r="AM583" i="1"/>
  <c r="AI583" i="1"/>
  <c r="AE583" i="1"/>
  <c r="AA583" i="1"/>
  <c r="W583" i="1"/>
  <c r="S583" i="1"/>
  <c r="O583" i="1"/>
  <c r="K583" i="1"/>
  <c r="G583" i="1"/>
  <c r="C583" i="1"/>
  <c r="BC582" i="1"/>
  <c r="AY582" i="1"/>
  <c r="AU582" i="1"/>
  <c r="AQ582" i="1"/>
  <c r="AM582" i="1"/>
  <c r="AI582" i="1"/>
  <c r="AE582" i="1"/>
  <c r="AA582" i="1"/>
  <c r="W582" i="1"/>
  <c r="S582" i="1"/>
  <c r="O582" i="1"/>
  <c r="K582" i="1"/>
  <c r="G582" i="1"/>
  <c r="C582" i="1"/>
  <c r="BC581" i="1"/>
  <c r="AY581" i="1"/>
  <c r="AU581" i="1"/>
  <c r="AQ581" i="1"/>
  <c r="AM581" i="1"/>
  <c r="AI581" i="1"/>
  <c r="AE581" i="1"/>
  <c r="AA581" i="1"/>
  <c r="W581" i="1"/>
  <c r="S581" i="1"/>
  <c r="O581" i="1"/>
  <c r="K581" i="1"/>
  <c r="G581" i="1"/>
  <c r="C581" i="1"/>
  <c r="BC580" i="1"/>
  <c r="AY580" i="1"/>
  <c r="AU580" i="1"/>
  <c r="AU587" i="1" s="1"/>
  <c r="AQ580" i="1"/>
  <c r="AM580" i="1"/>
  <c r="AI580" i="1"/>
  <c r="AE580" i="1"/>
  <c r="AA580" i="1"/>
  <c r="W580" i="1"/>
  <c r="S580" i="1"/>
  <c r="O580" i="1"/>
  <c r="O587" i="1" s="1"/>
  <c r="K580" i="1"/>
  <c r="G580" i="1"/>
  <c r="C580" i="1"/>
  <c r="D575" i="1"/>
  <c r="BC574" i="1"/>
  <c r="AY574" i="1"/>
  <c r="AU574" i="1"/>
  <c r="AQ574" i="1"/>
  <c r="AM574" i="1"/>
  <c r="AI574" i="1"/>
  <c r="AE574" i="1"/>
  <c r="AA574" i="1"/>
  <c r="W574" i="1"/>
  <c r="S574" i="1"/>
  <c r="O574" i="1"/>
  <c r="K574" i="1"/>
  <c r="G574" i="1"/>
  <c r="C574" i="1"/>
  <c r="BC573" i="1"/>
  <c r="AY573" i="1"/>
  <c r="AU573" i="1"/>
  <c r="AQ573" i="1"/>
  <c r="AM573" i="1"/>
  <c r="AI573" i="1"/>
  <c r="AE573" i="1"/>
  <c r="AA573" i="1"/>
  <c r="W573" i="1"/>
  <c r="S573" i="1"/>
  <c r="O573" i="1"/>
  <c r="K573" i="1"/>
  <c r="G573" i="1"/>
  <c r="C573" i="1"/>
  <c r="BC572" i="1"/>
  <c r="AY572" i="1"/>
  <c r="AU572" i="1"/>
  <c r="AQ572" i="1"/>
  <c r="AM572" i="1"/>
  <c r="AI572" i="1"/>
  <c r="AE572" i="1"/>
  <c r="AA572" i="1"/>
  <c r="W572" i="1"/>
  <c r="S572" i="1"/>
  <c r="O572" i="1"/>
  <c r="K572" i="1"/>
  <c r="G572" i="1"/>
  <c r="C572" i="1"/>
  <c r="BC571" i="1"/>
  <c r="AY571" i="1"/>
  <c r="AU571" i="1"/>
  <c r="AQ571" i="1"/>
  <c r="AM571" i="1"/>
  <c r="AI571" i="1"/>
  <c r="AE571" i="1"/>
  <c r="AA571" i="1"/>
  <c r="W571" i="1"/>
  <c r="S571" i="1"/>
  <c r="O571" i="1"/>
  <c r="K571" i="1"/>
  <c r="G571" i="1"/>
  <c r="C571" i="1"/>
  <c r="BC570" i="1"/>
  <c r="AY570" i="1"/>
  <c r="AU570" i="1"/>
  <c r="AQ570" i="1"/>
  <c r="AM570" i="1"/>
  <c r="AI570" i="1"/>
  <c r="AE570" i="1"/>
  <c r="AA570" i="1"/>
  <c r="W570" i="1"/>
  <c r="S570" i="1"/>
  <c r="O570" i="1"/>
  <c r="K570" i="1"/>
  <c r="G570" i="1"/>
  <c r="C570" i="1"/>
  <c r="BC569" i="1"/>
  <c r="AY569" i="1"/>
  <c r="AU569" i="1"/>
  <c r="AQ569" i="1"/>
  <c r="AM569" i="1"/>
  <c r="AI569" i="1"/>
  <c r="AE569" i="1"/>
  <c r="AA569" i="1"/>
  <c r="W569" i="1"/>
  <c r="S569" i="1"/>
  <c r="O569" i="1"/>
  <c r="K569" i="1"/>
  <c r="G569" i="1"/>
  <c r="C569" i="1"/>
  <c r="BC568" i="1"/>
  <c r="AY568" i="1"/>
  <c r="AU568" i="1"/>
  <c r="AU575" i="1" s="1"/>
  <c r="AQ568" i="1"/>
  <c r="AM568" i="1"/>
  <c r="AI568" i="1"/>
  <c r="AE568" i="1"/>
  <c r="AA568" i="1"/>
  <c r="W568" i="1"/>
  <c r="S568" i="1"/>
  <c r="O568" i="1"/>
  <c r="O575" i="1" s="1"/>
  <c r="K568" i="1"/>
  <c r="G568" i="1"/>
  <c r="C568" i="1"/>
  <c r="D563" i="1"/>
  <c r="BC562" i="1"/>
  <c r="AY562" i="1"/>
  <c r="AU562" i="1"/>
  <c r="AQ562" i="1"/>
  <c r="AM562" i="1"/>
  <c r="AI562" i="1"/>
  <c r="AE562" i="1"/>
  <c r="AA562" i="1"/>
  <c r="W562" i="1"/>
  <c r="S562" i="1"/>
  <c r="O562" i="1"/>
  <c r="K562" i="1"/>
  <c r="G562" i="1"/>
  <c r="C562" i="1"/>
  <c r="BC561" i="1"/>
  <c r="AY561" i="1"/>
  <c r="AU561" i="1"/>
  <c r="AQ561" i="1"/>
  <c r="AM561" i="1"/>
  <c r="AI561" i="1"/>
  <c r="AE561" i="1"/>
  <c r="AA561" i="1"/>
  <c r="W561" i="1"/>
  <c r="S561" i="1"/>
  <c r="O561" i="1"/>
  <c r="K561" i="1"/>
  <c r="G561" i="1"/>
  <c r="C561" i="1"/>
  <c r="BC560" i="1"/>
  <c r="AY560" i="1"/>
  <c r="AU560" i="1"/>
  <c r="AQ560" i="1"/>
  <c r="AM560" i="1"/>
  <c r="AI560" i="1"/>
  <c r="AE560" i="1"/>
  <c r="AA560" i="1"/>
  <c r="W560" i="1"/>
  <c r="S560" i="1"/>
  <c r="O560" i="1"/>
  <c r="K560" i="1"/>
  <c r="G560" i="1"/>
  <c r="C560" i="1"/>
  <c r="BC559" i="1"/>
  <c r="AY559" i="1"/>
  <c r="AU559" i="1"/>
  <c r="AQ559" i="1"/>
  <c r="AM559" i="1"/>
  <c r="AI559" i="1"/>
  <c r="AE559" i="1"/>
  <c r="AA559" i="1"/>
  <c r="W559" i="1"/>
  <c r="S559" i="1"/>
  <c r="O559" i="1"/>
  <c r="K559" i="1"/>
  <c r="G559" i="1"/>
  <c r="C559" i="1"/>
  <c r="BC558" i="1"/>
  <c r="AY558" i="1"/>
  <c r="AU558" i="1"/>
  <c r="AQ558" i="1"/>
  <c r="AM558" i="1"/>
  <c r="AI558" i="1"/>
  <c r="AE558" i="1"/>
  <c r="AA558" i="1"/>
  <c r="W558" i="1"/>
  <c r="S558" i="1"/>
  <c r="O558" i="1"/>
  <c r="K558" i="1"/>
  <c r="G558" i="1"/>
  <c r="C558" i="1"/>
  <c r="BC557" i="1"/>
  <c r="AY557" i="1"/>
  <c r="AU557" i="1"/>
  <c r="AQ557" i="1"/>
  <c r="AM557" i="1"/>
  <c r="AI557" i="1"/>
  <c r="AE557" i="1"/>
  <c r="AA557" i="1"/>
  <c r="W557" i="1"/>
  <c r="S557" i="1"/>
  <c r="O557" i="1"/>
  <c r="K557" i="1"/>
  <c r="G557" i="1"/>
  <c r="C557" i="1"/>
  <c r="BC556" i="1"/>
  <c r="AY556" i="1"/>
  <c r="AU556" i="1"/>
  <c r="AU563" i="1" s="1"/>
  <c r="AQ556" i="1"/>
  <c r="AM556" i="1"/>
  <c r="AI556" i="1"/>
  <c r="AE556" i="1"/>
  <c r="AE563" i="1" s="1"/>
  <c r="AA556" i="1"/>
  <c r="W556" i="1"/>
  <c r="S556" i="1"/>
  <c r="O556" i="1"/>
  <c r="O563" i="1" s="1"/>
  <c r="K556" i="1"/>
  <c r="G556" i="1"/>
  <c r="C556" i="1"/>
  <c r="D551" i="1"/>
  <c r="BC550" i="1"/>
  <c r="AY550" i="1"/>
  <c r="AU550" i="1"/>
  <c r="AQ550" i="1"/>
  <c r="AM550" i="1"/>
  <c r="AI550" i="1"/>
  <c r="AE550" i="1"/>
  <c r="AA550" i="1"/>
  <c r="W550" i="1"/>
  <c r="S550" i="1"/>
  <c r="O550" i="1"/>
  <c r="K550" i="1"/>
  <c r="G550" i="1"/>
  <c r="C550" i="1"/>
  <c r="BC549" i="1"/>
  <c r="AY549" i="1"/>
  <c r="AU549" i="1"/>
  <c r="AQ549" i="1"/>
  <c r="AM549" i="1"/>
  <c r="AI549" i="1"/>
  <c r="AE549" i="1"/>
  <c r="AA549" i="1"/>
  <c r="W549" i="1"/>
  <c r="S549" i="1"/>
  <c r="O549" i="1"/>
  <c r="K549" i="1"/>
  <c r="G549" i="1"/>
  <c r="C549" i="1"/>
  <c r="BC548" i="1"/>
  <c r="AY548" i="1"/>
  <c r="AU548" i="1"/>
  <c r="AQ548" i="1"/>
  <c r="AM548" i="1"/>
  <c r="AI548" i="1"/>
  <c r="AE548" i="1"/>
  <c r="AA548" i="1"/>
  <c r="W548" i="1"/>
  <c r="S548" i="1"/>
  <c r="O548" i="1"/>
  <c r="K548" i="1"/>
  <c r="G548" i="1"/>
  <c r="C548" i="1"/>
  <c r="BC547" i="1"/>
  <c r="AY547" i="1"/>
  <c r="AU547" i="1"/>
  <c r="AQ547" i="1"/>
  <c r="AM547" i="1"/>
  <c r="AI547" i="1"/>
  <c r="AE547" i="1"/>
  <c r="AA547" i="1"/>
  <c r="W547" i="1"/>
  <c r="S547" i="1"/>
  <c r="O547" i="1"/>
  <c r="K547" i="1"/>
  <c r="G547" i="1"/>
  <c r="C547" i="1"/>
  <c r="BC546" i="1"/>
  <c r="AY546" i="1"/>
  <c r="AU546" i="1"/>
  <c r="AQ546" i="1"/>
  <c r="AM546" i="1"/>
  <c r="AI546" i="1"/>
  <c r="AE546" i="1"/>
  <c r="AA546" i="1"/>
  <c r="W546" i="1"/>
  <c r="S546" i="1"/>
  <c r="O546" i="1"/>
  <c r="K546" i="1"/>
  <c r="G546" i="1"/>
  <c r="C546" i="1"/>
  <c r="BC545" i="1"/>
  <c r="AY545" i="1"/>
  <c r="AU545" i="1"/>
  <c r="AQ545" i="1"/>
  <c r="AM545" i="1"/>
  <c r="AI545" i="1"/>
  <c r="AE545" i="1"/>
  <c r="AA545" i="1"/>
  <c r="W545" i="1"/>
  <c r="S545" i="1"/>
  <c r="O545" i="1"/>
  <c r="K545" i="1"/>
  <c r="G545" i="1"/>
  <c r="C545" i="1"/>
  <c r="BC544" i="1"/>
  <c r="AY544" i="1"/>
  <c r="AU544" i="1"/>
  <c r="AQ544" i="1"/>
  <c r="AM544" i="1"/>
  <c r="AI544" i="1"/>
  <c r="AE544" i="1"/>
  <c r="AE551" i="1" s="1"/>
  <c r="AA544" i="1"/>
  <c r="W544" i="1"/>
  <c r="S544" i="1"/>
  <c r="O544" i="1"/>
  <c r="O551" i="1" s="1"/>
  <c r="K544" i="1"/>
  <c r="G544" i="1"/>
  <c r="C544" i="1"/>
  <c r="D539" i="1"/>
  <c r="BC538" i="1"/>
  <c r="AY538" i="1"/>
  <c r="AU538" i="1"/>
  <c r="AQ538" i="1"/>
  <c r="AM538" i="1"/>
  <c r="AI538" i="1"/>
  <c r="AE538" i="1"/>
  <c r="AA538" i="1"/>
  <c r="W538" i="1"/>
  <c r="S538" i="1"/>
  <c r="O538" i="1"/>
  <c r="K538" i="1"/>
  <c r="G538" i="1"/>
  <c r="C538" i="1"/>
  <c r="BC537" i="1"/>
  <c r="AY537" i="1"/>
  <c r="AU537" i="1"/>
  <c r="AQ537" i="1"/>
  <c r="AM537" i="1"/>
  <c r="AI537" i="1"/>
  <c r="AE537" i="1"/>
  <c r="AA537" i="1"/>
  <c r="W537" i="1"/>
  <c r="S537" i="1"/>
  <c r="O537" i="1"/>
  <c r="K537" i="1"/>
  <c r="G537" i="1"/>
  <c r="C537" i="1"/>
  <c r="BC536" i="1"/>
  <c r="AY536" i="1"/>
  <c r="AU536" i="1"/>
  <c r="AQ536" i="1"/>
  <c r="AM536" i="1"/>
  <c r="AI536" i="1"/>
  <c r="AE536" i="1"/>
  <c r="AA536" i="1"/>
  <c r="W536" i="1"/>
  <c r="S536" i="1"/>
  <c r="O536" i="1"/>
  <c r="K536" i="1"/>
  <c r="G536" i="1"/>
  <c r="C536" i="1"/>
  <c r="BC535" i="1"/>
  <c r="AY535" i="1"/>
  <c r="AU535" i="1"/>
  <c r="AQ535" i="1"/>
  <c r="AM535" i="1"/>
  <c r="AI535" i="1"/>
  <c r="AE535" i="1"/>
  <c r="AA535" i="1"/>
  <c r="W535" i="1"/>
  <c r="S535" i="1"/>
  <c r="O535" i="1"/>
  <c r="K535" i="1"/>
  <c r="G535" i="1"/>
  <c r="C535" i="1"/>
  <c r="BC534" i="1"/>
  <c r="AY534" i="1"/>
  <c r="AU534" i="1"/>
  <c r="AQ534" i="1"/>
  <c r="AM534" i="1"/>
  <c r="AI534" i="1"/>
  <c r="AE534" i="1"/>
  <c r="AA534" i="1"/>
  <c r="W534" i="1"/>
  <c r="S534" i="1"/>
  <c r="O534" i="1"/>
  <c r="K534" i="1"/>
  <c r="G534" i="1"/>
  <c r="C534" i="1"/>
  <c r="BC533" i="1"/>
  <c r="AY533" i="1"/>
  <c r="AU533" i="1"/>
  <c r="AQ533" i="1"/>
  <c r="AM533" i="1"/>
  <c r="AI533" i="1"/>
  <c r="AE533" i="1"/>
  <c r="AA533" i="1"/>
  <c r="W533" i="1"/>
  <c r="S533" i="1"/>
  <c r="O533" i="1"/>
  <c r="K533" i="1"/>
  <c r="G533" i="1"/>
  <c r="C533" i="1"/>
  <c r="BC532" i="1"/>
  <c r="AY532" i="1"/>
  <c r="AU532" i="1"/>
  <c r="AQ532" i="1"/>
  <c r="AM532" i="1"/>
  <c r="AI532" i="1"/>
  <c r="AE532" i="1"/>
  <c r="AA532" i="1"/>
  <c r="W532" i="1"/>
  <c r="S532" i="1"/>
  <c r="O532" i="1"/>
  <c r="K532" i="1"/>
  <c r="G532" i="1"/>
  <c r="C532" i="1"/>
  <c r="D527" i="1"/>
  <c r="BC526" i="1"/>
  <c r="AY526" i="1"/>
  <c r="AU526" i="1"/>
  <c r="AQ526" i="1"/>
  <c r="AM526" i="1"/>
  <c r="AI526" i="1"/>
  <c r="AE526" i="1"/>
  <c r="AA526" i="1"/>
  <c r="W526" i="1"/>
  <c r="S526" i="1"/>
  <c r="O526" i="1"/>
  <c r="K526" i="1"/>
  <c r="G526" i="1"/>
  <c r="C526" i="1"/>
  <c r="BC525" i="1"/>
  <c r="AY525" i="1"/>
  <c r="AU525" i="1"/>
  <c r="AQ525" i="1"/>
  <c r="AM525" i="1"/>
  <c r="AI525" i="1"/>
  <c r="AE525" i="1"/>
  <c r="AA525" i="1"/>
  <c r="W525" i="1"/>
  <c r="S525" i="1"/>
  <c r="O525" i="1"/>
  <c r="K525" i="1"/>
  <c r="G525" i="1"/>
  <c r="C525" i="1"/>
  <c r="BC524" i="1"/>
  <c r="AY524" i="1"/>
  <c r="AU524" i="1"/>
  <c r="AQ524" i="1"/>
  <c r="AM524" i="1"/>
  <c r="AI524" i="1"/>
  <c r="AE524" i="1"/>
  <c r="AA524" i="1"/>
  <c r="W524" i="1"/>
  <c r="S524" i="1"/>
  <c r="O524" i="1"/>
  <c r="K524" i="1"/>
  <c r="G524" i="1"/>
  <c r="C524" i="1"/>
  <c r="BC523" i="1"/>
  <c r="AY523" i="1"/>
  <c r="AU523" i="1"/>
  <c r="AQ523" i="1"/>
  <c r="AM523" i="1"/>
  <c r="AI523" i="1"/>
  <c r="AE523" i="1"/>
  <c r="AA523" i="1"/>
  <c r="W523" i="1"/>
  <c r="S523" i="1"/>
  <c r="O523" i="1"/>
  <c r="K523" i="1"/>
  <c r="G523" i="1"/>
  <c r="C523" i="1"/>
  <c r="BC522" i="1"/>
  <c r="AY522" i="1"/>
  <c r="AU522" i="1"/>
  <c r="AQ522" i="1"/>
  <c r="AM522" i="1"/>
  <c r="AI522" i="1"/>
  <c r="AE522" i="1"/>
  <c r="AA522" i="1"/>
  <c r="W522" i="1"/>
  <c r="S522" i="1"/>
  <c r="O522" i="1"/>
  <c r="K522" i="1"/>
  <c r="G522" i="1"/>
  <c r="C522" i="1"/>
  <c r="BC521" i="1"/>
  <c r="AY521" i="1"/>
  <c r="AU521" i="1"/>
  <c r="AQ521" i="1"/>
  <c r="AM521" i="1"/>
  <c r="AI521" i="1"/>
  <c r="AE521" i="1"/>
  <c r="AA521" i="1"/>
  <c r="W521" i="1"/>
  <c r="S521" i="1"/>
  <c r="O521" i="1"/>
  <c r="K521" i="1"/>
  <c r="G521" i="1"/>
  <c r="C521" i="1"/>
  <c r="BC520" i="1"/>
  <c r="AY520" i="1"/>
  <c r="AU520" i="1"/>
  <c r="AQ520" i="1"/>
  <c r="AM520" i="1"/>
  <c r="AI520" i="1"/>
  <c r="AE520" i="1"/>
  <c r="AA520" i="1"/>
  <c r="W520" i="1"/>
  <c r="S520" i="1"/>
  <c r="O520" i="1"/>
  <c r="K520" i="1"/>
  <c r="G520" i="1"/>
  <c r="C520" i="1"/>
  <c r="D515" i="1"/>
  <c r="BC514" i="1"/>
  <c r="AY514" i="1"/>
  <c r="AU514" i="1"/>
  <c r="AQ514" i="1"/>
  <c r="AM514" i="1"/>
  <c r="AI514" i="1"/>
  <c r="AE514" i="1"/>
  <c r="AA514" i="1"/>
  <c r="W514" i="1"/>
  <c r="S514" i="1"/>
  <c r="O514" i="1"/>
  <c r="K514" i="1"/>
  <c r="G514" i="1"/>
  <c r="C514" i="1"/>
  <c r="BC513" i="1"/>
  <c r="AY513" i="1"/>
  <c r="AU513" i="1"/>
  <c r="AQ513" i="1"/>
  <c r="AM513" i="1"/>
  <c r="AI513" i="1"/>
  <c r="AE513" i="1"/>
  <c r="AA513" i="1"/>
  <c r="W513" i="1"/>
  <c r="S513" i="1"/>
  <c r="O513" i="1"/>
  <c r="K513" i="1"/>
  <c r="G513" i="1"/>
  <c r="C513" i="1"/>
  <c r="BC512" i="1"/>
  <c r="AY512" i="1"/>
  <c r="AU512" i="1"/>
  <c r="AQ512" i="1"/>
  <c r="AM512" i="1"/>
  <c r="AI512" i="1"/>
  <c r="AE512" i="1"/>
  <c r="AA512" i="1"/>
  <c r="W512" i="1"/>
  <c r="S512" i="1"/>
  <c r="O512" i="1"/>
  <c r="K512" i="1"/>
  <c r="G512" i="1"/>
  <c r="C512" i="1"/>
  <c r="BC511" i="1"/>
  <c r="AY511" i="1"/>
  <c r="AU511" i="1"/>
  <c r="AQ511" i="1"/>
  <c r="AM511" i="1"/>
  <c r="AI511" i="1"/>
  <c r="AE511" i="1"/>
  <c r="AA511" i="1"/>
  <c r="W511" i="1"/>
  <c r="S511" i="1"/>
  <c r="O511" i="1"/>
  <c r="K511" i="1"/>
  <c r="G511" i="1"/>
  <c r="C511" i="1"/>
  <c r="BC510" i="1"/>
  <c r="AY510" i="1"/>
  <c r="AU510" i="1"/>
  <c r="AQ510" i="1"/>
  <c r="AM510" i="1"/>
  <c r="AI510" i="1"/>
  <c r="AE510" i="1"/>
  <c r="AA510" i="1"/>
  <c r="W510" i="1"/>
  <c r="S510" i="1"/>
  <c r="O510" i="1"/>
  <c r="K510" i="1"/>
  <c r="G510" i="1"/>
  <c r="C510" i="1"/>
  <c r="BC509" i="1"/>
  <c r="AY509" i="1"/>
  <c r="AU509" i="1"/>
  <c r="AQ509" i="1"/>
  <c r="AM509" i="1"/>
  <c r="AI509" i="1"/>
  <c r="AE509" i="1"/>
  <c r="AA509" i="1"/>
  <c r="W509" i="1"/>
  <c r="S509" i="1"/>
  <c r="O509" i="1"/>
  <c r="K509" i="1"/>
  <c r="G509" i="1"/>
  <c r="C509" i="1"/>
  <c r="BC508" i="1"/>
  <c r="AY508" i="1"/>
  <c r="AU508" i="1"/>
  <c r="AU515" i="1" s="1"/>
  <c r="AQ508" i="1"/>
  <c r="AM508" i="1"/>
  <c r="AI508" i="1"/>
  <c r="AE508" i="1"/>
  <c r="AA508" i="1"/>
  <c r="W508" i="1"/>
  <c r="S508" i="1"/>
  <c r="O508" i="1"/>
  <c r="K508" i="1"/>
  <c r="G508" i="1"/>
  <c r="C508" i="1"/>
  <c r="D503" i="1"/>
  <c r="BC502" i="1"/>
  <c r="AY502" i="1"/>
  <c r="AU502" i="1"/>
  <c r="AQ502" i="1"/>
  <c r="AM502" i="1"/>
  <c r="AI502" i="1"/>
  <c r="AE502" i="1"/>
  <c r="AA502" i="1"/>
  <c r="W502" i="1"/>
  <c r="S502" i="1"/>
  <c r="O502" i="1"/>
  <c r="K502" i="1"/>
  <c r="G502" i="1"/>
  <c r="C502" i="1"/>
  <c r="BC501" i="1"/>
  <c r="AY501" i="1"/>
  <c r="AU501" i="1"/>
  <c r="AQ501" i="1"/>
  <c r="AM501" i="1"/>
  <c r="AI501" i="1"/>
  <c r="AE501" i="1"/>
  <c r="AA501" i="1"/>
  <c r="W501" i="1"/>
  <c r="S501" i="1"/>
  <c r="O501" i="1"/>
  <c r="K501" i="1"/>
  <c r="G501" i="1"/>
  <c r="C501" i="1"/>
  <c r="BC500" i="1"/>
  <c r="AY500" i="1"/>
  <c r="AU500" i="1"/>
  <c r="AQ500" i="1"/>
  <c r="AM500" i="1"/>
  <c r="AI500" i="1"/>
  <c r="AE500" i="1"/>
  <c r="AA500" i="1"/>
  <c r="W500" i="1"/>
  <c r="S500" i="1"/>
  <c r="O500" i="1"/>
  <c r="K500" i="1"/>
  <c r="G500" i="1"/>
  <c r="C500" i="1"/>
  <c r="BC499" i="1"/>
  <c r="AY499" i="1"/>
  <c r="AU499" i="1"/>
  <c r="AQ499" i="1"/>
  <c r="AM499" i="1"/>
  <c r="AI499" i="1"/>
  <c r="AE499" i="1"/>
  <c r="AA499" i="1"/>
  <c r="W499" i="1"/>
  <c r="S499" i="1"/>
  <c r="O499" i="1"/>
  <c r="K499" i="1"/>
  <c r="G499" i="1"/>
  <c r="C499" i="1"/>
  <c r="BC498" i="1"/>
  <c r="AY498" i="1"/>
  <c r="AU498" i="1"/>
  <c r="AQ498" i="1"/>
  <c r="AM498" i="1"/>
  <c r="AI498" i="1"/>
  <c r="AE498" i="1"/>
  <c r="AA498" i="1"/>
  <c r="W498" i="1"/>
  <c r="S498" i="1"/>
  <c r="O498" i="1"/>
  <c r="K498" i="1"/>
  <c r="G498" i="1"/>
  <c r="C498" i="1"/>
  <c r="BC497" i="1"/>
  <c r="AY497" i="1"/>
  <c r="AU497" i="1"/>
  <c r="AQ497" i="1"/>
  <c r="AM497" i="1"/>
  <c r="AI497" i="1"/>
  <c r="AE497" i="1"/>
  <c r="AA497" i="1"/>
  <c r="W497" i="1"/>
  <c r="S497" i="1"/>
  <c r="O497" i="1"/>
  <c r="K497" i="1"/>
  <c r="G497" i="1"/>
  <c r="C497" i="1"/>
  <c r="BC496" i="1"/>
  <c r="AY496" i="1"/>
  <c r="AU496" i="1"/>
  <c r="AQ496" i="1"/>
  <c r="AM496" i="1"/>
  <c r="AI496" i="1"/>
  <c r="AE496" i="1"/>
  <c r="AA496" i="1"/>
  <c r="W496" i="1"/>
  <c r="S496" i="1"/>
  <c r="O496" i="1"/>
  <c r="K496" i="1"/>
  <c r="G496" i="1"/>
  <c r="C496" i="1"/>
  <c r="D491" i="1"/>
  <c r="BC490" i="1"/>
  <c r="AY490" i="1"/>
  <c r="AU490" i="1"/>
  <c r="AQ490" i="1"/>
  <c r="AM490" i="1"/>
  <c r="AI490" i="1"/>
  <c r="AE490" i="1"/>
  <c r="AA490" i="1"/>
  <c r="W490" i="1"/>
  <c r="S490" i="1"/>
  <c r="O490" i="1"/>
  <c r="K490" i="1"/>
  <c r="G490" i="1"/>
  <c r="C490" i="1"/>
  <c r="BC489" i="1"/>
  <c r="AY489" i="1"/>
  <c r="AU489" i="1"/>
  <c r="AQ489" i="1"/>
  <c r="AM489" i="1"/>
  <c r="AI489" i="1"/>
  <c r="AE489" i="1"/>
  <c r="AA489" i="1"/>
  <c r="W489" i="1"/>
  <c r="S489" i="1"/>
  <c r="O489" i="1"/>
  <c r="K489" i="1"/>
  <c r="G489" i="1"/>
  <c r="C489" i="1"/>
  <c r="BC488" i="1"/>
  <c r="AY488" i="1"/>
  <c r="AU488" i="1"/>
  <c r="AQ488" i="1"/>
  <c r="AM488" i="1"/>
  <c r="AI488" i="1"/>
  <c r="AE488" i="1"/>
  <c r="AA488" i="1"/>
  <c r="W488" i="1"/>
  <c r="S488" i="1"/>
  <c r="O488" i="1"/>
  <c r="K488" i="1"/>
  <c r="G488" i="1"/>
  <c r="C488" i="1"/>
  <c r="BC487" i="1"/>
  <c r="AY487" i="1"/>
  <c r="AU487" i="1"/>
  <c r="AQ487" i="1"/>
  <c r="AM487" i="1"/>
  <c r="AI487" i="1"/>
  <c r="AE487" i="1"/>
  <c r="AA487" i="1"/>
  <c r="W487" i="1"/>
  <c r="S487" i="1"/>
  <c r="O487" i="1"/>
  <c r="K487" i="1"/>
  <c r="G487" i="1"/>
  <c r="C487" i="1"/>
  <c r="BC486" i="1"/>
  <c r="AY486" i="1"/>
  <c r="AU486" i="1"/>
  <c r="AQ486" i="1"/>
  <c r="AM486" i="1"/>
  <c r="AI486" i="1"/>
  <c r="AE486" i="1"/>
  <c r="AA486" i="1"/>
  <c r="W486" i="1"/>
  <c r="S486" i="1"/>
  <c r="O486" i="1"/>
  <c r="K486" i="1"/>
  <c r="G486" i="1"/>
  <c r="C486" i="1"/>
  <c r="BC485" i="1"/>
  <c r="AY485" i="1"/>
  <c r="AU485" i="1"/>
  <c r="AQ485" i="1"/>
  <c r="AM485" i="1"/>
  <c r="AI485" i="1"/>
  <c r="AE485" i="1"/>
  <c r="AA485" i="1"/>
  <c r="W485" i="1"/>
  <c r="S485" i="1"/>
  <c r="O485" i="1"/>
  <c r="K485" i="1"/>
  <c r="G485" i="1"/>
  <c r="C485" i="1"/>
  <c r="BC484" i="1"/>
  <c r="AY484" i="1"/>
  <c r="AU484" i="1"/>
  <c r="AQ484" i="1"/>
  <c r="AM484" i="1"/>
  <c r="AI484" i="1"/>
  <c r="AE484" i="1"/>
  <c r="AA484" i="1"/>
  <c r="W484" i="1"/>
  <c r="S484" i="1"/>
  <c r="O484" i="1"/>
  <c r="K484" i="1"/>
  <c r="G484" i="1"/>
  <c r="C484" i="1"/>
  <c r="D479" i="1"/>
  <c r="BC478" i="1"/>
  <c r="AY478" i="1"/>
  <c r="AU478" i="1"/>
  <c r="AQ478" i="1"/>
  <c r="AM478" i="1"/>
  <c r="AI478" i="1"/>
  <c r="AE478" i="1"/>
  <c r="AA478" i="1"/>
  <c r="W478" i="1"/>
  <c r="S478" i="1"/>
  <c r="O478" i="1"/>
  <c r="K478" i="1"/>
  <c r="G478" i="1"/>
  <c r="C478" i="1"/>
  <c r="BC477" i="1"/>
  <c r="AY477" i="1"/>
  <c r="AU477" i="1"/>
  <c r="AQ477" i="1"/>
  <c r="AM477" i="1"/>
  <c r="AI477" i="1"/>
  <c r="AE477" i="1"/>
  <c r="AA477" i="1"/>
  <c r="W477" i="1"/>
  <c r="S477" i="1"/>
  <c r="O477" i="1"/>
  <c r="K477" i="1"/>
  <c r="G477" i="1"/>
  <c r="C477" i="1"/>
  <c r="BC476" i="1"/>
  <c r="AY476" i="1"/>
  <c r="AU476" i="1"/>
  <c r="AQ476" i="1"/>
  <c r="AM476" i="1"/>
  <c r="AI476" i="1"/>
  <c r="AE476" i="1"/>
  <c r="AA476" i="1"/>
  <c r="W476" i="1"/>
  <c r="S476" i="1"/>
  <c r="O476" i="1"/>
  <c r="K476" i="1"/>
  <c r="G476" i="1"/>
  <c r="C476" i="1"/>
  <c r="BC475" i="1"/>
  <c r="AY475" i="1"/>
  <c r="AU475" i="1"/>
  <c r="AQ475" i="1"/>
  <c r="AM475" i="1"/>
  <c r="AI475" i="1"/>
  <c r="AE475" i="1"/>
  <c r="AA475" i="1"/>
  <c r="W475" i="1"/>
  <c r="S475" i="1"/>
  <c r="O475" i="1"/>
  <c r="K475" i="1"/>
  <c r="G475" i="1"/>
  <c r="C475" i="1"/>
  <c r="BC474" i="1"/>
  <c r="AY474" i="1"/>
  <c r="AU474" i="1"/>
  <c r="AQ474" i="1"/>
  <c r="AM474" i="1"/>
  <c r="AI474" i="1"/>
  <c r="AE474" i="1"/>
  <c r="AA474" i="1"/>
  <c r="W474" i="1"/>
  <c r="S474" i="1"/>
  <c r="O474" i="1"/>
  <c r="K474" i="1"/>
  <c r="G474" i="1"/>
  <c r="C474" i="1"/>
  <c r="BC473" i="1"/>
  <c r="AY473" i="1"/>
  <c r="AU473" i="1"/>
  <c r="AQ473" i="1"/>
  <c r="AM473" i="1"/>
  <c r="AI473" i="1"/>
  <c r="AE473" i="1"/>
  <c r="AA473" i="1"/>
  <c r="W473" i="1"/>
  <c r="S473" i="1"/>
  <c r="O473" i="1"/>
  <c r="K473" i="1"/>
  <c r="G473" i="1"/>
  <c r="C473" i="1"/>
  <c r="BC472" i="1"/>
  <c r="AY472" i="1"/>
  <c r="AU472" i="1"/>
  <c r="AQ472" i="1"/>
  <c r="AM472" i="1"/>
  <c r="AI472" i="1"/>
  <c r="AE472" i="1"/>
  <c r="AA472" i="1"/>
  <c r="W472" i="1"/>
  <c r="S472" i="1"/>
  <c r="O472" i="1"/>
  <c r="K472" i="1"/>
  <c r="G472" i="1"/>
  <c r="C472" i="1"/>
  <c r="D467" i="1"/>
  <c r="BC466" i="1"/>
  <c r="AY466" i="1"/>
  <c r="AU466" i="1"/>
  <c r="AQ466" i="1"/>
  <c r="AM466" i="1"/>
  <c r="AI466" i="1"/>
  <c r="AE466" i="1"/>
  <c r="AA466" i="1"/>
  <c r="W466" i="1"/>
  <c r="S466" i="1"/>
  <c r="O466" i="1"/>
  <c r="K466" i="1"/>
  <c r="G466" i="1"/>
  <c r="C466" i="1"/>
  <c r="BC465" i="1"/>
  <c r="AY465" i="1"/>
  <c r="AU465" i="1"/>
  <c r="AQ465" i="1"/>
  <c r="AM465" i="1"/>
  <c r="AI465" i="1"/>
  <c r="AE465" i="1"/>
  <c r="AA465" i="1"/>
  <c r="W465" i="1"/>
  <c r="S465" i="1"/>
  <c r="O465" i="1"/>
  <c r="K465" i="1"/>
  <c r="G465" i="1"/>
  <c r="C465" i="1"/>
  <c r="BC464" i="1"/>
  <c r="AY464" i="1"/>
  <c r="AU464" i="1"/>
  <c r="AQ464" i="1"/>
  <c r="AM464" i="1"/>
  <c r="AI464" i="1"/>
  <c r="AE464" i="1"/>
  <c r="AA464" i="1"/>
  <c r="W464" i="1"/>
  <c r="S464" i="1"/>
  <c r="O464" i="1"/>
  <c r="K464" i="1"/>
  <c r="G464" i="1"/>
  <c r="C464" i="1"/>
  <c r="BC463" i="1"/>
  <c r="AY463" i="1"/>
  <c r="AU463" i="1"/>
  <c r="AQ463" i="1"/>
  <c r="AM463" i="1"/>
  <c r="AI463" i="1"/>
  <c r="AE463" i="1"/>
  <c r="AA463" i="1"/>
  <c r="W463" i="1"/>
  <c r="S463" i="1"/>
  <c r="O463" i="1"/>
  <c r="K463" i="1"/>
  <c r="G463" i="1"/>
  <c r="C463" i="1"/>
  <c r="BC462" i="1"/>
  <c r="AY462" i="1"/>
  <c r="AU462" i="1"/>
  <c r="AQ462" i="1"/>
  <c r="AM462" i="1"/>
  <c r="AI462" i="1"/>
  <c r="AE462" i="1"/>
  <c r="AA462" i="1"/>
  <c r="W462" i="1"/>
  <c r="S462" i="1"/>
  <c r="O462" i="1"/>
  <c r="K462" i="1"/>
  <c r="G462" i="1"/>
  <c r="C462" i="1"/>
  <c r="BC461" i="1"/>
  <c r="AY461" i="1"/>
  <c r="AU461" i="1"/>
  <c r="AQ461" i="1"/>
  <c r="AM461" i="1"/>
  <c r="AI461" i="1"/>
  <c r="AE461" i="1"/>
  <c r="AA461" i="1"/>
  <c r="W461" i="1"/>
  <c r="S461" i="1"/>
  <c r="O461" i="1"/>
  <c r="K461" i="1"/>
  <c r="G461" i="1"/>
  <c r="C461" i="1"/>
  <c r="BC460" i="1"/>
  <c r="AY460" i="1"/>
  <c r="AU460" i="1"/>
  <c r="AU467" i="1" s="1"/>
  <c r="AQ460" i="1"/>
  <c r="AM460" i="1"/>
  <c r="AI460" i="1"/>
  <c r="AE460" i="1"/>
  <c r="AA460" i="1"/>
  <c r="W460" i="1"/>
  <c r="S460" i="1"/>
  <c r="O460" i="1"/>
  <c r="O467" i="1" s="1"/>
  <c r="K460" i="1"/>
  <c r="G460" i="1"/>
  <c r="C460" i="1"/>
  <c r="D455" i="1"/>
  <c r="BC454" i="1"/>
  <c r="AY454" i="1"/>
  <c r="AU454" i="1"/>
  <c r="AQ454" i="1"/>
  <c r="AM454" i="1"/>
  <c r="AI454" i="1"/>
  <c r="AE454" i="1"/>
  <c r="AA454" i="1"/>
  <c r="W454" i="1"/>
  <c r="S454" i="1"/>
  <c r="O454" i="1"/>
  <c r="K454" i="1"/>
  <c r="G454" i="1"/>
  <c r="C454" i="1"/>
  <c r="BC453" i="1"/>
  <c r="AY453" i="1"/>
  <c r="AU453" i="1"/>
  <c r="AQ453" i="1"/>
  <c r="AM453" i="1"/>
  <c r="AI453" i="1"/>
  <c r="AE453" i="1"/>
  <c r="AA453" i="1"/>
  <c r="W453" i="1"/>
  <c r="S453" i="1"/>
  <c r="O453" i="1"/>
  <c r="K453" i="1"/>
  <c r="G453" i="1"/>
  <c r="C453" i="1"/>
  <c r="BC452" i="1"/>
  <c r="AY452" i="1"/>
  <c r="AU452" i="1"/>
  <c r="AQ452" i="1"/>
  <c r="AM452" i="1"/>
  <c r="AI452" i="1"/>
  <c r="AE452" i="1"/>
  <c r="AA452" i="1"/>
  <c r="W452" i="1"/>
  <c r="S452" i="1"/>
  <c r="O452" i="1"/>
  <c r="K452" i="1"/>
  <c r="G452" i="1"/>
  <c r="C452" i="1"/>
  <c r="BC451" i="1"/>
  <c r="AY451" i="1"/>
  <c r="AU451" i="1"/>
  <c r="AQ451" i="1"/>
  <c r="AM451" i="1"/>
  <c r="AI451" i="1"/>
  <c r="AE451" i="1"/>
  <c r="AA451" i="1"/>
  <c r="W451" i="1"/>
  <c r="S451" i="1"/>
  <c r="O451" i="1"/>
  <c r="K451" i="1"/>
  <c r="G451" i="1"/>
  <c r="C451" i="1"/>
  <c r="BC450" i="1"/>
  <c r="AY450" i="1"/>
  <c r="AU450" i="1"/>
  <c r="AQ450" i="1"/>
  <c r="AM450" i="1"/>
  <c r="AI450" i="1"/>
  <c r="AE450" i="1"/>
  <c r="AA450" i="1"/>
  <c r="W450" i="1"/>
  <c r="S450" i="1"/>
  <c r="O450" i="1"/>
  <c r="K450" i="1"/>
  <c r="G450" i="1"/>
  <c r="C450" i="1"/>
  <c r="BC449" i="1"/>
  <c r="AY449" i="1"/>
  <c r="AU449" i="1"/>
  <c r="AQ449" i="1"/>
  <c r="AM449" i="1"/>
  <c r="AI449" i="1"/>
  <c r="AE449" i="1"/>
  <c r="AA449" i="1"/>
  <c r="W449" i="1"/>
  <c r="S449" i="1"/>
  <c r="O449" i="1"/>
  <c r="K449" i="1"/>
  <c r="G449" i="1"/>
  <c r="C449" i="1"/>
  <c r="BC448" i="1"/>
  <c r="AY448" i="1"/>
  <c r="AU448" i="1"/>
  <c r="AU455" i="1" s="1"/>
  <c r="AQ448" i="1"/>
  <c r="AM448" i="1"/>
  <c r="AI448" i="1"/>
  <c r="AE448" i="1"/>
  <c r="AA448" i="1"/>
  <c r="W448" i="1"/>
  <c r="S448" i="1"/>
  <c r="O448" i="1"/>
  <c r="O455" i="1" s="1"/>
  <c r="K448" i="1"/>
  <c r="G448" i="1"/>
  <c r="C448" i="1"/>
  <c r="D443" i="1"/>
  <c r="BC442" i="1"/>
  <c r="AY442" i="1"/>
  <c r="AU442" i="1"/>
  <c r="AQ442" i="1"/>
  <c r="AM442" i="1"/>
  <c r="AI442" i="1"/>
  <c r="AE442" i="1"/>
  <c r="AA442" i="1"/>
  <c r="W442" i="1"/>
  <c r="S442" i="1"/>
  <c r="O442" i="1"/>
  <c r="K442" i="1"/>
  <c r="G442" i="1"/>
  <c r="C442" i="1"/>
  <c r="BC441" i="1"/>
  <c r="AY441" i="1"/>
  <c r="AU441" i="1"/>
  <c r="AQ441" i="1"/>
  <c r="AM441" i="1"/>
  <c r="AI441" i="1"/>
  <c r="AE441" i="1"/>
  <c r="AA441" i="1"/>
  <c r="W441" i="1"/>
  <c r="S441" i="1"/>
  <c r="O441" i="1"/>
  <c r="K441" i="1"/>
  <c r="G441" i="1"/>
  <c r="C441" i="1"/>
  <c r="BC440" i="1"/>
  <c r="AY440" i="1"/>
  <c r="AU440" i="1"/>
  <c r="AQ440" i="1"/>
  <c r="AM440" i="1"/>
  <c r="AI440" i="1"/>
  <c r="AE440" i="1"/>
  <c r="AA440" i="1"/>
  <c r="W440" i="1"/>
  <c r="S440" i="1"/>
  <c r="O440" i="1"/>
  <c r="K440" i="1"/>
  <c r="G440" i="1"/>
  <c r="C440" i="1"/>
  <c r="BC439" i="1"/>
  <c r="AY439" i="1"/>
  <c r="AU439" i="1"/>
  <c r="AQ439" i="1"/>
  <c r="AM439" i="1"/>
  <c r="AI439" i="1"/>
  <c r="AE439" i="1"/>
  <c r="AA439" i="1"/>
  <c r="W439" i="1"/>
  <c r="S439" i="1"/>
  <c r="O439" i="1"/>
  <c r="K439" i="1"/>
  <c r="G439" i="1"/>
  <c r="C439" i="1"/>
  <c r="BC438" i="1"/>
  <c r="AY438" i="1"/>
  <c r="AU438" i="1"/>
  <c r="AQ438" i="1"/>
  <c r="AM438" i="1"/>
  <c r="AI438" i="1"/>
  <c r="AE438" i="1"/>
  <c r="AA438" i="1"/>
  <c r="W438" i="1"/>
  <c r="S438" i="1"/>
  <c r="O438" i="1"/>
  <c r="K438" i="1"/>
  <c r="G438" i="1"/>
  <c r="C438" i="1"/>
  <c r="BC437" i="1"/>
  <c r="AY437" i="1"/>
  <c r="AU437" i="1"/>
  <c r="AQ437" i="1"/>
  <c r="AM437" i="1"/>
  <c r="AI437" i="1"/>
  <c r="AE437" i="1"/>
  <c r="AA437" i="1"/>
  <c r="W437" i="1"/>
  <c r="S437" i="1"/>
  <c r="O437" i="1"/>
  <c r="K437" i="1"/>
  <c r="G437" i="1"/>
  <c r="C437" i="1"/>
  <c r="BC436" i="1"/>
  <c r="AY436" i="1"/>
  <c r="AU436" i="1"/>
  <c r="AQ436" i="1"/>
  <c r="AM436" i="1"/>
  <c r="AI436" i="1"/>
  <c r="AE436" i="1"/>
  <c r="AA436" i="1"/>
  <c r="W436" i="1"/>
  <c r="S436" i="1"/>
  <c r="O436" i="1"/>
  <c r="O443" i="1" s="1"/>
  <c r="K436" i="1"/>
  <c r="G436" i="1"/>
  <c r="C436" i="1"/>
  <c r="D431" i="1"/>
  <c r="BC430" i="1"/>
  <c r="AY430" i="1"/>
  <c r="AU430" i="1"/>
  <c r="AQ430" i="1"/>
  <c r="AM430" i="1"/>
  <c r="AI430" i="1"/>
  <c r="AE430" i="1"/>
  <c r="AA430" i="1"/>
  <c r="W430" i="1"/>
  <c r="S430" i="1"/>
  <c r="O430" i="1"/>
  <c r="K430" i="1"/>
  <c r="G430" i="1"/>
  <c r="C430" i="1"/>
  <c r="BC429" i="1"/>
  <c r="AY429" i="1"/>
  <c r="AU429" i="1"/>
  <c r="AQ429" i="1"/>
  <c r="AM429" i="1"/>
  <c r="AI429" i="1"/>
  <c r="AE429" i="1"/>
  <c r="AA429" i="1"/>
  <c r="W429" i="1"/>
  <c r="S429" i="1"/>
  <c r="O429" i="1"/>
  <c r="K429" i="1"/>
  <c r="G429" i="1"/>
  <c r="C429" i="1"/>
  <c r="BC428" i="1"/>
  <c r="AY428" i="1"/>
  <c r="AU428" i="1"/>
  <c r="AQ428" i="1"/>
  <c r="AM428" i="1"/>
  <c r="AI428" i="1"/>
  <c r="AE428" i="1"/>
  <c r="AA428" i="1"/>
  <c r="W428" i="1"/>
  <c r="S428" i="1"/>
  <c r="O428" i="1"/>
  <c r="K428" i="1"/>
  <c r="G428" i="1"/>
  <c r="C428" i="1"/>
  <c r="BC427" i="1"/>
  <c r="AY427" i="1"/>
  <c r="AU427" i="1"/>
  <c r="AQ427" i="1"/>
  <c r="AM427" i="1"/>
  <c r="AI427" i="1"/>
  <c r="AE427" i="1"/>
  <c r="AA427" i="1"/>
  <c r="W427" i="1"/>
  <c r="S427" i="1"/>
  <c r="O427" i="1"/>
  <c r="K427" i="1"/>
  <c r="G427" i="1"/>
  <c r="C427" i="1"/>
  <c r="BC426" i="1"/>
  <c r="AY426" i="1"/>
  <c r="AU426" i="1"/>
  <c r="AQ426" i="1"/>
  <c r="AM426" i="1"/>
  <c r="AI426" i="1"/>
  <c r="AE426" i="1"/>
  <c r="AA426" i="1"/>
  <c r="W426" i="1"/>
  <c r="S426" i="1"/>
  <c r="O426" i="1"/>
  <c r="K426" i="1"/>
  <c r="G426" i="1"/>
  <c r="C426" i="1"/>
  <c r="BC425" i="1"/>
  <c r="AY425" i="1"/>
  <c r="AU425" i="1"/>
  <c r="AQ425" i="1"/>
  <c r="AM425" i="1"/>
  <c r="AI425" i="1"/>
  <c r="AE425" i="1"/>
  <c r="AA425" i="1"/>
  <c r="W425" i="1"/>
  <c r="S425" i="1"/>
  <c r="O425" i="1"/>
  <c r="K425" i="1"/>
  <c r="G425" i="1"/>
  <c r="C425" i="1"/>
  <c r="BC424" i="1"/>
  <c r="AY424" i="1"/>
  <c r="AU424" i="1"/>
  <c r="AQ424" i="1"/>
  <c r="AM424" i="1"/>
  <c r="AI424" i="1"/>
  <c r="AE424" i="1"/>
  <c r="AE431" i="1" s="1"/>
  <c r="AA424" i="1"/>
  <c r="W424" i="1"/>
  <c r="S424" i="1"/>
  <c r="O424" i="1"/>
  <c r="O431" i="1" s="1"/>
  <c r="K424" i="1"/>
  <c r="G424" i="1"/>
  <c r="C424" i="1"/>
  <c r="D419" i="1"/>
  <c r="BC418" i="1"/>
  <c r="AY418" i="1"/>
  <c r="AU418" i="1"/>
  <c r="AQ418" i="1"/>
  <c r="AM418" i="1"/>
  <c r="AI418" i="1"/>
  <c r="AE418" i="1"/>
  <c r="AA418" i="1"/>
  <c r="W418" i="1"/>
  <c r="S418" i="1"/>
  <c r="O418" i="1"/>
  <c r="K418" i="1"/>
  <c r="G418" i="1"/>
  <c r="C418" i="1"/>
  <c r="BC417" i="1"/>
  <c r="AY417" i="1"/>
  <c r="AU417" i="1"/>
  <c r="AQ417" i="1"/>
  <c r="AM417" i="1"/>
  <c r="AI417" i="1"/>
  <c r="AE417" i="1"/>
  <c r="AA417" i="1"/>
  <c r="W417" i="1"/>
  <c r="S417" i="1"/>
  <c r="O417" i="1"/>
  <c r="K417" i="1"/>
  <c r="G417" i="1"/>
  <c r="C417" i="1"/>
  <c r="BC416" i="1"/>
  <c r="AY416" i="1"/>
  <c r="AU416" i="1"/>
  <c r="AQ416" i="1"/>
  <c r="AM416" i="1"/>
  <c r="AI416" i="1"/>
  <c r="AE416" i="1"/>
  <c r="AA416" i="1"/>
  <c r="W416" i="1"/>
  <c r="S416" i="1"/>
  <c r="O416" i="1"/>
  <c r="K416" i="1"/>
  <c r="G416" i="1"/>
  <c r="C416" i="1"/>
  <c r="BC415" i="1"/>
  <c r="AY415" i="1"/>
  <c r="AU415" i="1"/>
  <c r="AQ415" i="1"/>
  <c r="AM415" i="1"/>
  <c r="AI415" i="1"/>
  <c r="AE415" i="1"/>
  <c r="AA415" i="1"/>
  <c r="W415" i="1"/>
  <c r="S415" i="1"/>
  <c r="O415" i="1"/>
  <c r="K415" i="1"/>
  <c r="G415" i="1"/>
  <c r="C415" i="1"/>
  <c r="BC414" i="1"/>
  <c r="AY414" i="1"/>
  <c r="AU414" i="1"/>
  <c r="AQ414" i="1"/>
  <c r="AM414" i="1"/>
  <c r="AI414" i="1"/>
  <c r="AE414" i="1"/>
  <c r="AA414" i="1"/>
  <c r="W414" i="1"/>
  <c r="S414" i="1"/>
  <c r="O414" i="1"/>
  <c r="K414" i="1"/>
  <c r="G414" i="1"/>
  <c r="C414" i="1"/>
  <c r="BC413" i="1"/>
  <c r="AY413" i="1"/>
  <c r="AU413" i="1"/>
  <c r="AQ413" i="1"/>
  <c r="AM413" i="1"/>
  <c r="AI413" i="1"/>
  <c r="AE413" i="1"/>
  <c r="AA413" i="1"/>
  <c r="W413" i="1"/>
  <c r="S413" i="1"/>
  <c r="O413" i="1"/>
  <c r="K413" i="1"/>
  <c r="G413" i="1"/>
  <c r="C413" i="1"/>
  <c r="BC412" i="1"/>
  <c r="AY412" i="1"/>
  <c r="AU412" i="1"/>
  <c r="AU419" i="1" s="1"/>
  <c r="AQ412" i="1"/>
  <c r="AM412" i="1"/>
  <c r="AI412" i="1"/>
  <c r="AE412" i="1"/>
  <c r="AE419" i="1" s="1"/>
  <c r="AA412" i="1"/>
  <c r="W412" i="1"/>
  <c r="S412" i="1"/>
  <c r="O412" i="1"/>
  <c r="K412" i="1"/>
  <c r="G412" i="1"/>
  <c r="C412" i="1"/>
  <c r="D407" i="1"/>
  <c r="BC406" i="1"/>
  <c r="AY406" i="1"/>
  <c r="AU406" i="1"/>
  <c r="AQ406" i="1"/>
  <c r="AM406" i="1"/>
  <c r="AI406" i="1"/>
  <c r="AE406" i="1"/>
  <c r="AA406" i="1"/>
  <c r="W406" i="1"/>
  <c r="S406" i="1"/>
  <c r="O406" i="1"/>
  <c r="K406" i="1"/>
  <c r="G406" i="1"/>
  <c r="C406" i="1"/>
  <c r="BC405" i="1"/>
  <c r="AY405" i="1"/>
  <c r="AU405" i="1"/>
  <c r="AQ405" i="1"/>
  <c r="AM405" i="1"/>
  <c r="AI405" i="1"/>
  <c r="AE405" i="1"/>
  <c r="AA405" i="1"/>
  <c r="W405" i="1"/>
  <c r="S405" i="1"/>
  <c r="O405" i="1"/>
  <c r="K405" i="1"/>
  <c r="G405" i="1"/>
  <c r="C405" i="1"/>
  <c r="BC404" i="1"/>
  <c r="AY404" i="1"/>
  <c r="AU404" i="1"/>
  <c r="AQ404" i="1"/>
  <c r="AM404" i="1"/>
  <c r="AI404" i="1"/>
  <c r="AE404" i="1"/>
  <c r="AA404" i="1"/>
  <c r="W404" i="1"/>
  <c r="S404" i="1"/>
  <c r="O404" i="1"/>
  <c r="K404" i="1"/>
  <c r="G404" i="1"/>
  <c r="C404" i="1"/>
  <c r="BC403" i="1"/>
  <c r="AY403" i="1"/>
  <c r="AU403" i="1"/>
  <c r="AQ403" i="1"/>
  <c r="AM403" i="1"/>
  <c r="AI403" i="1"/>
  <c r="AE403" i="1"/>
  <c r="AA403" i="1"/>
  <c r="W403" i="1"/>
  <c r="S403" i="1"/>
  <c r="O403" i="1"/>
  <c r="K403" i="1"/>
  <c r="G403" i="1"/>
  <c r="C403" i="1"/>
  <c r="BC402" i="1"/>
  <c r="AY402" i="1"/>
  <c r="AU402" i="1"/>
  <c r="AQ402" i="1"/>
  <c r="AM402" i="1"/>
  <c r="AI402" i="1"/>
  <c r="AE402" i="1"/>
  <c r="AA402" i="1"/>
  <c r="W402" i="1"/>
  <c r="S402" i="1"/>
  <c r="O402" i="1"/>
  <c r="K402" i="1"/>
  <c r="G402" i="1"/>
  <c r="C402" i="1"/>
  <c r="BC401" i="1"/>
  <c r="AY401" i="1"/>
  <c r="AU401" i="1"/>
  <c r="AQ401" i="1"/>
  <c r="AM401" i="1"/>
  <c r="AI401" i="1"/>
  <c r="AE401" i="1"/>
  <c r="AA401" i="1"/>
  <c r="W401" i="1"/>
  <c r="S401" i="1"/>
  <c r="O401" i="1"/>
  <c r="K401" i="1"/>
  <c r="G401" i="1"/>
  <c r="C401" i="1"/>
  <c r="BC400" i="1"/>
  <c r="AY400" i="1"/>
  <c r="AU400" i="1"/>
  <c r="AQ400" i="1"/>
  <c r="AM400" i="1"/>
  <c r="AI400" i="1"/>
  <c r="AE400" i="1"/>
  <c r="AA400" i="1"/>
  <c r="W400" i="1"/>
  <c r="S400" i="1"/>
  <c r="O400" i="1"/>
  <c r="O407" i="1" s="1"/>
  <c r="K400" i="1"/>
  <c r="G400" i="1"/>
  <c r="C400" i="1"/>
  <c r="D395" i="1"/>
  <c r="BC394" i="1"/>
  <c r="AY394" i="1"/>
  <c r="AU394" i="1"/>
  <c r="AQ394" i="1"/>
  <c r="AM394" i="1"/>
  <c r="AI394" i="1"/>
  <c r="AE394" i="1"/>
  <c r="AA394" i="1"/>
  <c r="W394" i="1"/>
  <c r="S394" i="1"/>
  <c r="O394" i="1"/>
  <c r="K394" i="1"/>
  <c r="G394" i="1"/>
  <c r="C394" i="1"/>
  <c r="BC393" i="1"/>
  <c r="AY393" i="1"/>
  <c r="AU393" i="1"/>
  <c r="AQ393" i="1"/>
  <c r="AM393" i="1"/>
  <c r="AI393" i="1"/>
  <c r="AE393" i="1"/>
  <c r="AA393" i="1"/>
  <c r="W393" i="1"/>
  <c r="S393" i="1"/>
  <c r="O393" i="1"/>
  <c r="K393" i="1"/>
  <c r="G393" i="1"/>
  <c r="C393" i="1"/>
  <c r="BC392" i="1"/>
  <c r="AY392" i="1"/>
  <c r="AU392" i="1"/>
  <c r="AQ392" i="1"/>
  <c r="AM392" i="1"/>
  <c r="AI392" i="1"/>
  <c r="AE392" i="1"/>
  <c r="AA392" i="1"/>
  <c r="W392" i="1"/>
  <c r="S392" i="1"/>
  <c r="O392" i="1"/>
  <c r="K392" i="1"/>
  <c r="G392" i="1"/>
  <c r="C392" i="1"/>
  <c r="BC391" i="1"/>
  <c r="AY391" i="1"/>
  <c r="AU391" i="1"/>
  <c r="AQ391" i="1"/>
  <c r="AM391" i="1"/>
  <c r="AI391" i="1"/>
  <c r="AE391" i="1"/>
  <c r="AA391" i="1"/>
  <c r="W391" i="1"/>
  <c r="S391" i="1"/>
  <c r="O391" i="1"/>
  <c r="K391" i="1"/>
  <c r="G391" i="1"/>
  <c r="C391" i="1"/>
  <c r="BC390" i="1"/>
  <c r="AY390" i="1"/>
  <c r="AU390" i="1"/>
  <c r="AQ390" i="1"/>
  <c r="AM390" i="1"/>
  <c r="AI390" i="1"/>
  <c r="AE390" i="1"/>
  <c r="AA390" i="1"/>
  <c r="W390" i="1"/>
  <c r="S390" i="1"/>
  <c r="O390" i="1"/>
  <c r="K390" i="1"/>
  <c r="G390" i="1"/>
  <c r="C390" i="1"/>
  <c r="BC389" i="1"/>
  <c r="AY389" i="1"/>
  <c r="AU389" i="1"/>
  <c r="AQ389" i="1"/>
  <c r="AM389" i="1"/>
  <c r="AI389" i="1"/>
  <c r="AE389" i="1"/>
  <c r="AA389" i="1"/>
  <c r="W389" i="1"/>
  <c r="S389" i="1"/>
  <c r="O389" i="1"/>
  <c r="K389" i="1"/>
  <c r="G389" i="1"/>
  <c r="C389" i="1"/>
  <c r="BC388" i="1"/>
  <c r="AY388" i="1"/>
  <c r="AU388" i="1"/>
  <c r="AU395" i="1" s="1"/>
  <c r="AQ388" i="1"/>
  <c r="AM388" i="1"/>
  <c r="AI388" i="1"/>
  <c r="AE388" i="1"/>
  <c r="AA388" i="1"/>
  <c r="W388" i="1"/>
  <c r="S388" i="1"/>
  <c r="O388" i="1"/>
  <c r="K388" i="1"/>
  <c r="G388" i="1"/>
  <c r="C388" i="1"/>
  <c r="D383" i="1"/>
  <c r="BC382" i="1"/>
  <c r="AY382" i="1"/>
  <c r="AU382" i="1"/>
  <c r="AQ382" i="1"/>
  <c r="AM382" i="1"/>
  <c r="AI382" i="1"/>
  <c r="AE382" i="1"/>
  <c r="AA382" i="1"/>
  <c r="W382" i="1"/>
  <c r="S382" i="1"/>
  <c r="O382" i="1"/>
  <c r="K382" i="1"/>
  <c r="G382" i="1"/>
  <c r="C382" i="1"/>
  <c r="BC381" i="1"/>
  <c r="AY381" i="1"/>
  <c r="AU381" i="1"/>
  <c r="AQ381" i="1"/>
  <c r="AM381" i="1"/>
  <c r="AI381" i="1"/>
  <c r="AE381" i="1"/>
  <c r="AA381" i="1"/>
  <c r="W381" i="1"/>
  <c r="S381" i="1"/>
  <c r="O381" i="1"/>
  <c r="K381" i="1"/>
  <c r="G381" i="1"/>
  <c r="C381" i="1"/>
  <c r="BC380" i="1"/>
  <c r="AY380" i="1"/>
  <c r="AU380" i="1"/>
  <c r="AQ380" i="1"/>
  <c r="AM380" i="1"/>
  <c r="AI380" i="1"/>
  <c r="AE380" i="1"/>
  <c r="AA380" i="1"/>
  <c r="W380" i="1"/>
  <c r="S380" i="1"/>
  <c r="O380" i="1"/>
  <c r="K380" i="1"/>
  <c r="G380" i="1"/>
  <c r="C380" i="1"/>
  <c r="BC379" i="1"/>
  <c r="AY379" i="1"/>
  <c r="AU379" i="1"/>
  <c r="AQ379" i="1"/>
  <c r="AM379" i="1"/>
  <c r="AI379" i="1"/>
  <c r="AE379" i="1"/>
  <c r="AA379" i="1"/>
  <c r="W379" i="1"/>
  <c r="S379" i="1"/>
  <c r="O379" i="1"/>
  <c r="K379" i="1"/>
  <c r="G379" i="1"/>
  <c r="C379" i="1"/>
  <c r="BC378" i="1"/>
  <c r="AY378" i="1"/>
  <c r="AU378" i="1"/>
  <c r="AQ378" i="1"/>
  <c r="AM378" i="1"/>
  <c r="AI378" i="1"/>
  <c r="AE378" i="1"/>
  <c r="AA378" i="1"/>
  <c r="W378" i="1"/>
  <c r="S378" i="1"/>
  <c r="O378" i="1"/>
  <c r="K378" i="1"/>
  <c r="G378" i="1"/>
  <c r="C378" i="1"/>
  <c r="BC377" i="1"/>
  <c r="AY377" i="1"/>
  <c r="AU377" i="1"/>
  <c r="AQ377" i="1"/>
  <c r="AM377" i="1"/>
  <c r="AI377" i="1"/>
  <c r="AE377" i="1"/>
  <c r="AA377" i="1"/>
  <c r="W377" i="1"/>
  <c r="S377" i="1"/>
  <c r="O377" i="1"/>
  <c r="K377" i="1"/>
  <c r="G377" i="1"/>
  <c r="C377" i="1"/>
  <c r="BC376" i="1"/>
  <c r="AY376" i="1"/>
  <c r="AU376" i="1"/>
  <c r="AU383" i="1" s="1"/>
  <c r="AQ376" i="1"/>
  <c r="AM376" i="1"/>
  <c r="AI376" i="1"/>
  <c r="AE376" i="1"/>
  <c r="AA376" i="1"/>
  <c r="W376" i="1"/>
  <c r="S376" i="1"/>
  <c r="O376" i="1"/>
  <c r="O383" i="1" s="1"/>
  <c r="K376" i="1"/>
  <c r="G376" i="1"/>
  <c r="C376" i="1"/>
  <c r="D371" i="1"/>
  <c r="BC370" i="1"/>
  <c r="AY370" i="1"/>
  <c r="AU370" i="1"/>
  <c r="AQ370" i="1"/>
  <c r="AM370" i="1"/>
  <c r="AI370" i="1"/>
  <c r="AE370" i="1"/>
  <c r="AA370" i="1"/>
  <c r="W370" i="1"/>
  <c r="S370" i="1"/>
  <c r="O370" i="1"/>
  <c r="K370" i="1"/>
  <c r="G370" i="1"/>
  <c r="C370" i="1"/>
  <c r="BC369" i="1"/>
  <c r="AY369" i="1"/>
  <c r="AU369" i="1"/>
  <c r="AQ369" i="1"/>
  <c r="AM369" i="1"/>
  <c r="AI369" i="1"/>
  <c r="AE369" i="1"/>
  <c r="AA369" i="1"/>
  <c r="W369" i="1"/>
  <c r="S369" i="1"/>
  <c r="O369" i="1"/>
  <c r="K369" i="1"/>
  <c r="G369" i="1"/>
  <c r="C369" i="1"/>
  <c r="BC368" i="1"/>
  <c r="AY368" i="1"/>
  <c r="AU368" i="1"/>
  <c r="AQ368" i="1"/>
  <c r="AM368" i="1"/>
  <c r="AI368" i="1"/>
  <c r="AE368" i="1"/>
  <c r="AA368" i="1"/>
  <c r="W368" i="1"/>
  <c r="S368" i="1"/>
  <c r="O368" i="1"/>
  <c r="K368" i="1"/>
  <c r="G368" i="1"/>
  <c r="C368" i="1"/>
  <c r="BC367" i="1"/>
  <c r="AY367" i="1"/>
  <c r="AU367" i="1"/>
  <c r="AQ367" i="1"/>
  <c r="AM367" i="1"/>
  <c r="AI367" i="1"/>
  <c r="AE367" i="1"/>
  <c r="AA367" i="1"/>
  <c r="W367" i="1"/>
  <c r="S367" i="1"/>
  <c r="O367" i="1"/>
  <c r="K367" i="1"/>
  <c r="G367" i="1"/>
  <c r="C367" i="1"/>
  <c r="BC366" i="1"/>
  <c r="AY366" i="1"/>
  <c r="AU366" i="1"/>
  <c r="AQ366" i="1"/>
  <c r="AM366" i="1"/>
  <c r="AI366" i="1"/>
  <c r="AE366" i="1"/>
  <c r="AA366" i="1"/>
  <c r="W366" i="1"/>
  <c r="S366" i="1"/>
  <c r="O366" i="1"/>
  <c r="K366" i="1"/>
  <c r="G366" i="1"/>
  <c r="C366" i="1"/>
  <c r="BC365" i="1"/>
  <c r="AY365" i="1"/>
  <c r="AU365" i="1"/>
  <c r="AQ365" i="1"/>
  <c r="AM365" i="1"/>
  <c r="AI365" i="1"/>
  <c r="AE365" i="1"/>
  <c r="AA365" i="1"/>
  <c r="W365" i="1"/>
  <c r="S365" i="1"/>
  <c r="O365" i="1"/>
  <c r="K365" i="1"/>
  <c r="G365" i="1"/>
  <c r="C365" i="1"/>
  <c r="BC364" i="1"/>
  <c r="AY364" i="1"/>
  <c r="AU364" i="1"/>
  <c r="AU371" i="1" s="1"/>
  <c r="AQ364" i="1"/>
  <c r="AM364" i="1"/>
  <c r="AI364" i="1"/>
  <c r="AE364" i="1"/>
  <c r="AA364" i="1"/>
  <c r="W364" i="1"/>
  <c r="S364" i="1"/>
  <c r="O364" i="1"/>
  <c r="K364" i="1"/>
  <c r="G364" i="1"/>
  <c r="C364" i="1"/>
  <c r="D359" i="1"/>
  <c r="BC358" i="1"/>
  <c r="AY358" i="1"/>
  <c r="AU358" i="1"/>
  <c r="AQ358" i="1"/>
  <c r="AM358" i="1"/>
  <c r="AI358" i="1"/>
  <c r="AE358" i="1"/>
  <c r="AA358" i="1"/>
  <c r="W358" i="1"/>
  <c r="S358" i="1"/>
  <c r="O358" i="1"/>
  <c r="K358" i="1"/>
  <c r="G358" i="1"/>
  <c r="C358" i="1"/>
  <c r="BC357" i="1"/>
  <c r="AY357" i="1"/>
  <c r="AU357" i="1"/>
  <c r="AQ357" i="1"/>
  <c r="AM357" i="1"/>
  <c r="AI357" i="1"/>
  <c r="AE357" i="1"/>
  <c r="AA357" i="1"/>
  <c r="W357" i="1"/>
  <c r="S357" i="1"/>
  <c r="O357" i="1"/>
  <c r="K357" i="1"/>
  <c r="G357" i="1"/>
  <c r="C357" i="1"/>
  <c r="BC356" i="1"/>
  <c r="AY356" i="1"/>
  <c r="AU356" i="1"/>
  <c r="AQ356" i="1"/>
  <c r="AM356" i="1"/>
  <c r="AI356" i="1"/>
  <c r="AE356" i="1"/>
  <c r="AA356" i="1"/>
  <c r="W356" i="1"/>
  <c r="S356" i="1"/>
  <c r="O356" i="1"/>
  <c r="K356" i="1"/>
  <c r="G356" i="1"/>
  <c r="C356" i="1"/>
  <c r="BC355" i="1"/>
  <c r="AY355" i="1"/>
  <c r="AU355" i="1"/>
  <c r="AQ355" i="1"/>
  <c r="AM355" i="1"/>
  <c r="AI355" i="1"/>
  <c r="AE355" i="1"/>
  <c r="AA355" i="1"/>
  <c r="W355" i="1"/>
  <c r="S355" i="1"/>
  <c r="O355" i="1"/>
  <c r="K355" i="1"/>
  <c r="G355" i="1"/>
  <c r="C355" i="1"/>
  <c r="BC354" i="1"/>
  <c r="AY354" i="1"/>
  <c r="AU354" i="1"/>
  <c r="AQ354" i="1"/>
  <c r="AM354" i="1"/>
  <c r="AI354" i="1"/>
  <c r="AE354" i="1"/>
  <c r="AA354" i="1"/>
  <c r="W354" i="1"/>
  <c r="S354" i="1"/>
  <c r="O354" i="1"/>
  <c r="K354" i="1"/>
  <c r="G354" i="1"/>
  <c r="C354" i="1"/>
  <c r="BC353" i="1"/>
  <c r="AY353" i="1"/>
  <c r="AU353" i="1"/>
  <c r="AQ353" i="1"/>
  <c r="AM353" i="1"/>
  <c r="AI353" i="1"/>
  <c r="AE353" i="1"/>
  <c r="AA353" i="1"/>
  <c r="W353" i="1"/>
  <c r="S353" i="1"/>
  <c r="O353" i="1"/>
  <c r="K353" i="1"/>
  <c r="G353" i="1"/>
  <c r="C353" i="1"/>
  <c r="BC352" i="1"/>
  <c r="AY352" i="1"/>
  <c r="AU352" i="1"/>
  <c r="AU359" i="1" s="1"/>
  <c r="AQ352" i="1"/>
  <c r="AM352" i="1"/>
  <c r="AI352" i="1"/>
  <c r="AE352" i="1"/>
  <c r="AA352" i="1"/>
  <c r="W352" i="1"/>
  <c r="S352" i="1"/>
  <c r="O352" i="1"/>
  <c r="O359" i="1" s="1"/>
  <c r="K352" i="1"/>
  <c r="G352" i="1"/>
  <c r="C352" i="1"/>
  <c r="D347" i="1"/>
  <c r="BC346" i="1"/>
  <c r="AY346" i="1"/>
  <c r="AU346" i="1"/>
  <c r="AQ346" i="1"/>
  <c r="AM346" i="1"/>
  <c r="AI346" i="1"/>
  <c r="AE346" i="1"/>
  <c r="AA346" i="1"/>
  <c r="W346" i="1"/>
  <c r="S346" i="1"/>
  <c r="O346" i="1"/>
  <c r="K346" i="1"/>
  <c r="G346" i="1"/>
  <c r="C346" i="1"/>
  <c r="BC345" i="1"/>
  <c r="AY345" i="1"/>
  <c r="AU345" i="1"/>
  <c r="AQ345" i="1"/>
  <c r="AM345" i="1"/>
  <c r="AI345" i="1"/>
  <c r="AE345" i="1"/>
  <c r="AA345" i="1"/>
  <c r="W345" i="1"/>
  <c r="S345" i="1"/>
  <c r="O345" i="1"/>
  <c r="K345" i="1"/>
  <c r="G345" i="1"/>
  <c r="C345" i="1"/>
  <c r="BC344" i="1"/>
  <c r="AY344" i="1"/>
  <c r="AU344" i="1"/>
  <c r="AQ344" i="1"/>
  <c r="AM344" i="1"/>
  <c r="AI344" i="1"/>
  <c r="AE344" i="1"/>
  <c r="AA344" i="1"/>
  <c r="W344" i="1"/>
  <c r="S344" i="1"/>
  <c r="O344" i="1"/>
  <c r="K344" i="1"/>
  <c r="G344" i="1"/>
  <c r="C344" i="1"/>
  <c r="BC343" i="1"/>
  <c r="AY343" i="1"/>
  <c r="AU343" i="1"/>
  <c r="AQ343" i="1"/>
  <c r="AM343" i="1"/>
  <c r="AI343" i="1"/>
  <c r="AE343" i="1"/>
  <c r="AA343" i="1"/>
  <c r="W343" i="1"/>
  <c r="S343" i="1"/>
  <c r="O343" i="1"/>
  <c r="K343" i="1"/>
  <c r="G343" i="1"/>
  <c r="C343" i="1"/>
  <c r="BC342" i="1"/>
  <c r="AY342" i="1"/>
  <c r="AU342" i="1"/>
  <c r="AQ342" i="1"/>
  <c r="AM342" i="1"/>
  <c r="AI342" i="1"/>
  <c r="AE342" i="1"/>
  <c r="AA342" i="1"/>
  <c r="W342" i="1"/>
  <c r="S342" i="1"/>
  <c r="O342" i="1"/>
  <c r="K342" i="1"/>
  <c r="G342" i="1"/>
  <c r="C342" i="1"/>
  <c r="BC341" i="1"/>
  <c r="AY341" i="1"/>
  <c r="AU341" i="1"/>
  <c r="AQ341" i="1"/>
  <c r="AM341" i="1"/>
  <c r="AI341" i="1"/>
  <c r="AE341" i="1"/>
  <c r="AA341" i="1"/>
  <c r="W341" i="1"/>
  <c r="S341" i="1"/>
  <c r="O341" i="1"/>
  <c r="K341" i="1"/>
  <c r="G341" i="1"/>
  <c r="C341" i="1"/>
  <c r="BC340" i="1"/>
  <c r="AY340" i="1"/>
  <c r="AU340" i="1"/>
  <c r="AQ340" i="1"/>
  <c r="AM340" i="1"/>
  <c r="AI340" i="1"/>
  <c r="AE340" i="1"/>
  <c r="AA340" i="1"/>
  <c r="W340" i="1"/>
  <c r="S340" i="1"/>
  <c r="O340" i="1"/>
  <c r="O347" i="1" s="1"/>
  <c r="K340" i="1"/>
  <c r="G340" i="1"/>
  <c r="C340" i="1"/>
  <c r="D335" i="1"/>
  <c r="BC334" i="1"/>
  <c r="AY334" i="1"/>
  <c r="AU334" i="1"/>
  <c r="AQ334" i="1"/>
  <c r="AM334" i="1"/>
  <c r="AI334" i="1"/>
  <c r="AE334" i="1"/>
  <c r="AA334" i="1"/>
  <c r="W334" i="1"/>
  <c r="S334" i="1"/>
  <c r="O334" i="1"/>
  <c r="K334" i="1"/>
  <c r="G334" i="1"/>
  <c r="C334" i="1"/>
  <c r="BC333" i="1"/>
  <c r="AY333" i="1"/>
  <c r="AU333" i="1"/>
  <c r="AQ333" i="1"/>
  <c r="AM333" i="1"/>
  <c r="AI333" i="1"/>
  <c r="AE333" i="1"/>
  <c r="AA333" i="1"/>
  <c r="W333" i="1"/>
  <c r="S333" i="1"/>
  <c r="O333" i="1"/>
  <c r="K333" i="1"/>
  <c r="G333" i="1"/>
  <c r="C333" i="1"/>
  <c r="BC332" i="1"/>
  <c r="AY332" i="1"/>
  <c r="AU332" i="1"/>
  <c r="AQ332" i="1"/>
  <c r="AM332" i="1"/>
  <c r="AI332" i="1"/>
  <c r="AE332" i="1"/>
  <c r="AA332" i="1"/>
  <c r="W332" i="1"/>
  <c r="S332" i="1"/>
  <c r="O332" i="1"/>
  <c r="K332" i="1"/>
  <c r="G332" i="1"/>
  <c r="C332" i="1"/>
  <c r="BC331" i="1"/>
  <c r="AY331" i="1"/>
  <c r="AU331" i="1"/>
  <c r="AQ331" i="1"/>
  <c r="AM331" i="1"/>
  <c r="AI331" i="1"/>
  <c r="AE331" i="1"/>
  <c r="AA331" i="1"/>
  <c r="W331" i="1"/>
  <c r="S331" i="1"/>
  <c r="O331" i="1"/>
  <c r="K331" i="1"/>
  <c r="G331" i="1"/>
  <c r="C331" i="1"/>
  <c r="BC330" i="1"/>
  <c r="AY330" i="1"/>
  <c r="AU330" i="1"/>
  <c r="AQ330" i="1"/>
  <c r="AM330" i="1"/>
  <c r="AI330" i="1"/>
  <c r="AE330" i="1"/>
  <c r="AA330" i="1"/>
  <c r="W330" i="1"/>
  <c r="S330" i="1"/>
  <c r="O330" i="1"/>
  <c r="K330" i="1"/>
  <c r="G330" i="1"/>
  <c r="C330" i="1"/>
  <c r="BC329" i="1"/>
  <c r="AY329" i="1"/>
  <c r="AU329" i="1"/>
  <c r="AQ329" i="1"/>
  <c r="AM329" i="1"/>
  <c r="AI329" i="1"/>
  <c r="AE329" i="1"/>
  <c r="AA329" i="1"/>
  <c r="W329" i="1"/>
  <c r="S329" i="1"/>
  <c r="O329" i="1"/>
  <c r="K329" i="1"/>
  <c r="G329" i="1"/>
  <c r="C329" i="1"/>
  <c r="BC328" i="1"/>
  <c r="AY328" i="1"/>
  <c r="AU328" i="1"/>
  <c r="AU335" i="1" s="1"/>
  <c r="AQ328" i="1"/>
  <c r="AM328" i="1"/>
  <c r="AI328" i="1"/>
  <c r="AE328" i="1"/>
  <c r="AA328" i="1"/>
  <c r="W328" i="1"/>
  <c r="S328" i="1"/>
  <c r="O328" i="1"/>
  <c r="O335" i="1" s="1"/>
  <c r="K328" i="1"/>
  <c r="G328" i="1"/>
  <c r="C328" i="1"/>
  <c r="D323" i="1"/>
  <c r="BC322" i="1"/>
  <c r="AY322" i="1"/>
  <c r="AU322" i="1"/>
  <c r="AQ322" i="1"/>
  <c r="AM322" i="1"/>
  <c r="AI322" i="1"/>
  <c r="AE322" i="1"/>
  <c r="AA322" i="1"/>
  <c r="W322" i="1"/>
  <c r="S322" i="1"/>
  <c r="O322" i="1"/>
  <c r="K322" i="1"/>
  <c r="G322" i="1"/>
  <c r="C322" i="1"/>
  <c r="BC321" i="1"/>
  <c r="AY321" i="1"/>
  <c r="AU321" i="1"/>
  <c r="AQ321" i="1"/>
  <c r="AM321" i="1"/>
  <c r="AI321" i="1"/>
  <c r="AE321" i="1"/>
  <c r="AA321" i="1"/>
  <c r="W321" i="1"/>
  <c r="S321" i="1"/>
  <c r="O321" i="1"/>
  <c r="K321" i="1"/>
  <c r="G321" i="1"/>
  <c r="C321" i="1"/>
  <c r="BC320" i="1"/>
  <c r="AY320" i="1"/>
  <c r="AU320" i="1"/>
  <c r="AQ320" i="1"/>
  <c r="AM320" i="1"/>
  <c r="AI320" i="1"/>
  <c r="AE320" i="1"/>
  <c r="AA320" i="1"/>
  <c r="W320" i="1"/>
  <c r="S320" i="1"/>
  <c r="O320" i="1"/>
  <c r="K320" i="1"/>
  <c r="G320" i="1"/>
  <c r="C320" i="1"/>
  <c r="BC319" i="1"/>
  <c r="AY319" i="1"/>
  <c r="AU319" i="1"/>
  <c r="AQ319" i="1"/>
  <c r="AM319" i="1"/>
  <c r="AI319" i="1"/>
  <c r="AE319" i="1"/>
  <c r="AA319" i="1"/>
  <c r="W319" i="1"/>
  <c r="S319" i="1"/>
  <c r="O319" i="1"/>
  <c r="K319" i="1"/>
  <c r="G319" i="1"/>
  <c r="C319" i="1"/>
  <c r="BC318" i="1"/>
  <c r="AY318" i="1"/>
  <c r="AU318" i="1"/>
  <c r="AQ318" i="1"/>
  <c r="AM318" i="1"/>
  <c r="AI318" i="1"/>
  <c r="AE318" i="1"/>
  <c r="AA318" i="1"/>
  <c r="W318" i="1"/>
  <c r="S318" i="1"/>
  <c r="O318" i="1"/>
  <c r="K318" i="1"/>
  <c r="G318" i="1"/>
  <c r="C318" i="1"/>
  <c r="BC317" i="1"/>
  <c r="AY317" i="1"/>
  <c r="AU317" i="1"/>
  <c r="AQ317" i="1"/>
  <c r="AM317" i="1"/>
  <c r="AI317" i="1"/>
  <c r="AE317" i="1"/>
  <c r="AA317" i="1"/>
  <c r="W317" i="1"/>
  <c r="S317" i="1"/>
  <c r="O317" i="1"/>
  <c r="K317" i="1"/>
  <c r="G317" i="1"/>
  <c r="C317" i="1"/>
  <c r="BC316" i="1"/>
  <c r="AY316" i="1"/>
  <c r="AU316" i="1"/>
  <c r="AU323" i="1" s="1"/>
  <c r="AQ316" i="1"/>
  <c r="AM316" i="1"/>
  <c r="AI316" i="1"/>
  <c r="AE316" i="1"/>
  <c r="AA316" i="1"/>
  <c r="W316" i="1"/>
  <c r="S316" i="1"/>
  <c r="O316" i="1"/>
  <c r="K316" i="1"/>
  <c r="G316" i="1"/>
  <c r="C316" i="1"/>
  <c r="D311" i="1"/>
  <c r="BC310" i="1"/>
  <c r="AY310" i="1"/>
  <c r="AU310" i="1"/>
  <c r="AQ310" i="1"/>
  <c r="AM310" i="1"/>
  <c r="AI310" i="1"/>
  <c r="AE310" i="1"/>
  <c r="AA310" i="1"/>
  <c r="W310" i="1"/>
  <c r="S310" i="1"/>
  <c r="O310" i="1"/>
  <c r="K310" i="1"/>
  <c r="G310" i="1"/>
  <c r="C310" i="1"/>
  <c r="BC309" i="1"/>
  <c r="AY309" i="1"/>
  <c r="AU309" i="1"/>
  <c r="AQ309" i="1"/>
  <c r="AM309" i="1"/>
  <c r="AI309" i="1"/>
  <c r="AE309" i="1"/>
  <c r="AA309" i="1"/>
  <c r="W309" i="1"/>
  <c r="S309" i="1"/>
  <c r="O309" i="1"/>
  <c r="K309" i="1"/>
  <c r="G309" i="1"/>
  <c r="C309" i="1"/>
  <c r="BC308" i="1"/>
  <c r="AY308" i="1"/>
  <c r="AU308" i="1"/>
  <c r="AQ308" i="1"/>
  <c r="AM308" i="1"/>
  <c r="AI308" i="1"/>
  <c r="AE308" i="1"/>
  <c r="AA308" i="1"/>
  <c r="W308" i="1"/>
  <c r="S308" i="1"/>
  <c r="O308" i="1"/>
  <c r="K308" i="1"/>
  <c r="G308" i="1"/>
  <c r="C308" i="1"/>
  <c r="BC307" i="1"/>
  <c r="AY307" i="1"/>
  <c r="AU307" i="1"/>
  <c r="AQ307" i="1"/>
  <c r="AM307" i="1"/>
  <c r="AI307" i="1"/>
  <c r="AE307" i="1"/>
  <c r="AA307" i="1"/>
  <c r="W307" i="1"/>
  <c r="S307" i="1"/>
  <c r="O307" i="1"/>
  <c r="K307" i="1"/>
  <c r="G307" i="1"/>
  <c r="C307" i="1"/>
  <c r="BC306" i="1"/>
  <c r="AY306" i="1"/>
  <c r="AU306" i="1"/>
  <c r="AQ306" i="1"/>
  <c r="AM306" i="1"/>
  <c r="AI306" i="1"/>
  <c r="AE306" i="1"/>
  <c r="AA306" i="1"/>
  <c r="W306" i="1"/>
  <c r="S306" i="1"/>
  <c r="O306" i="1"/>
  <c r="K306" i="1"/>
  <c r="G306" i="1"/>
  <c r="C306" i="1"/>
  <c r="BC305" i="1"/>
  <c r="AY305" i="1"/>
  <c r="AU305" i="1"/>
  <c r="AQ305" i="1"/>
  <c r="AM305" i="1"/>
  <c r="AI305" i="1"/>
  <c r="AE305" i="1"/>
  <c r="AA305" i="1"/>
  <c r="W305" i="1"/>
  <c r="S305" i="1"/>
  <c r="O305" i="1"/>
  <c r="K305" i="1"/>
  <c r="G305" i="1"/>
  <c r="C305" i="1"/>
  <c r="BC304" i="1"/>
  <c r="AY304" i="1"/>
  <c r="AU304" i="1"/>
  <c r="AU311" i="1" s="1"/>
  <c r="AQ304" i="1"/>
  <c r="AM304" i="1"/>
  <c r="AI304" i="1"/>
  <c r="AE304" i="1"/>
  <c r="AE311" i="1" s="1"/>
  <c r="AA304" i="1"/>
  <c r="W304" i="1"/>
  <c r="S304" i="1"/>
  <c r="O304" i="1"/>
  <c r="O311" i="1" s="1"/>
  <c r="K304" i="1"/>
  <c r="G304" i="1"/>
  <c r="C304" i="1"/>
  <c r="D299" i="1"/>
  <c r="BC298" i="1"/>
  <c r="AY298" i="1"/>
  <c r="AU298" i="1"/>
  <c r="AQ298" i="1"/>
  <c r="AM298" i="1"/>
  <c r="AI298" i="1"/>
  <c r="AE298" i="1"/>
  <c r="AA298" i="1"/>
  <c r="W298" i="1"/>
  <c r="S298" i="1"/>
  <c r="O298" i="1"/>
  <c r="K298" i="1"/>
  <c r="G298" i="1"/>
  <c r="C298" i="1"/>
  <c r="BC297" i="1"/>
  <c r="AY297" i="1"/>
  <c r="AU297" i="1"/>
  <c r="AQ297" i="1"/>
  <c r="AM297" i="1"/>
  <c r="AI297" i="1"/>
  <c r="AE297" i="1"/>
  <c r="AA297" i="1"/>
  <c r="W297" i="1"/>
  <c r="S297" i="1"/>
  <c r="O297" i="1"/>
  <c r="K297" i="1"/>
  <c r="G297" i="1"/>
  <c r="C297" i="1"/>
  <c r="BC296" i="1"/>
  <c r="AY296" i="1"/>
  <c r="AU296" i="1"/>
  <c r="AQ296" i="1"/>
  <c r="AM296" i="1"/>
  <c r="AI296" i="1"/>
  <c r="AE296" i="1"/>
  <c r="AA296" i="1"/>
  <c r="W296" i="1"/>
  <c r="S296" i="1"/>
  <c r="O296" i="1"/>
  <c r="K296" i="1"/>
  <c r="G296" i="1"/>
  <c r="C296" i="1"/>
  <c r="BC295" i="1"/>
  <c r="AY295" i="1"/>
  <c r="AU295" i="1"/>
  <c r="AQ295" i="1"/>
  <c r="AM295" i="1"/>
  <c r="AI295" i="1"/>
  <c r="AE295" i="1"/>
  <c r="AA295" i="1"/>
  <c r="W295" i="1"/>
  <c r="S295" i="1"/>
  <c r="O295" i="1"/>
  <c r="K295" i="1"/>
  <c r="G295" i="1"/>
  <c r="C295" i="1"/>
  <c r="BC294" i="1"/>
  <c r="AY294" i="1"/>
  <c r="AU294" i="1"/>
  <c r="AQ294" i="1"/>
  <c r="AM294" i="1"/>
  <c r="AI294" i="1"/>
  <c r="AE294" i="1"/>
  <c r="AA294" i="1"/>
  <c r="W294" i="1"/>
  <c r="S294" i="1"/>
  <c r="O294" i="1"/>
  <c r="K294" i="1"/>
  <c r="G294" i="1"/>
  <c r="C294" i="1"/>
  <c r="BC293" i="1"/>
  <c r="AY293" i="1"/>
  <c r="AU293" i="1"/>
  <c r="AQ293" i="1"/>
  <c r="AM293" i="1"/>
  <c r="AI293" i="1"/>
  <c r="AE293" i="1"/>
  <c r="AA293" i="1"/>
  <c r="W293" i="1"/>
  <c r="S293" i="1"/>
  <c r="O293" i="1"/>
  <c r="K293" i="1"/>
  <c r="G293" i="1"/>
  <c r="C293" i="1"/>
  <c r="BC292" i="1"/>
  <c r="AY292" i="1"/>
  <c r="AU292" i="1"/>
  <c r="AQ292" i="1"/>
  <c r="AM292" i="1"/>
  <c r="AI292" i="1"/>
  <c r="AE292" i="1"/>
  <c r="AA292" i="1"/>
  <c r="W292" i="1"/>
  <c r="S292" i="1"/>
  <c r="O292" i="1"/>
  <c r="O299" i="1" s="1"/>
  <c r="K292" i="1"/>
  <c r="G292" i="1"/>
  <c r="C292" i="1"/>
  <c r="D287" i="1"/>
  <c r="BC286" i="1"/>
  <c r="AY286" i="1"/>
  <c r="AU286" i="1"/>
  <c r="AQ286" i="1"/>
  <c r="AM286" i="1"/>
  <c r="AI286" i="1"/>
  <c r="AE286" i="1"/>
  <c r="AA286" i="1"/>
  <c r="W286" i="1"/>
  <c r="S286" i="1"/>
  <c r="O286" i="1"/>
  <c r="K286" i="1"/>
  <c r="G286" i="1"/>
  <c r="C286" i="1"/>
  <c r="BC285" i="1"/>
  <c r="AY285" i="1"/>
  <c r="AU285" i="1"/>
  <c r="AQ285" i="1"/>
  <c r="AM285" i="1"/>
  <c r="AI285" i="1"/>
  <c r="AE285" i="1"/>
  <c r="AA285" i="1"/>
  <c r="W285" i="1"/>
  <c r="S285" i="1"/>
  <c r="O285" i="1"/>
  <c r="K285" i="1"/>
  <c r="G285" i="1"/>
  <c r="C285" i="1"/>
  <c r="BC284" i="1"/>
  <c r="AY284" i="1"/>
  <c r="AU284" i="1"/>
  <c r="AQ284" i="1"/>
  <c r="AM284" i="1"/>
  <c r="AI284" i="1"/>
  <c r="AE284" i="1"/>
  <c r="AA284" i="1"/>
  <c r="W284" i="1"/>
  <c r="S284" i="1"/>
  <c r="O284" i="1"/>
  <c r="K284" i="1"/>
  <c r="G284" i="1"/>
  <c r="C284" i="1"/>
  <c r="BC283" i="1"/>
  <c r="AY283" i="1"/>
  <c r="AU283" i="1"/>
  <c r="AQ283" i="1"/>
  <c r="AM283" i="1"/>
  <c r="AI283" i="1"/>
  <c r="AE283" i="1"/>
  <c r="AA283" i="1"/>
  <c r="W283" i="1"/>
  <c r="S283" i="1"/>
  <c r="O283" i="1"/>
  <c r="K283" i="1"/>
  <c r="G283" i="1"/>
  <c r="C283" i="1"/>
  <c r="BC282" i="1"/>
  <c r="AY282" i="1"/>
  <c r="AU282" i="1"/>
  <c r="AQ282" i="1"/>
  <c r="AM282" i="1"/>
  <c r="AI282" i="1"/>
  <c r="AE282" i="1"/>
  <c r="AA282" i="1"/>
  <c r="W282" i="1"/>
  <c r="S282" i="1"/>
  <c r="O282" i="1"/>
  <c r="K282" i="1"/>
  <c r="G282" i="1"/>
  <c r="C282" i="1"/>
  <c r="BC281" i="1"/>
  <c r="AY281" i="1"/>
  <c r="AU281" i="1"/>
  <c r="AQ281" i="1"/>
  <c r="AM281" i="1"/>
  <c r="AI281" i="1"/>
  <c r="AE281" i="1"/>
  <c r="AA281" i="1"/>
  <c r="W281" i="1"/>
  <c r="S281" i="1"/>
  <c r="O281" i="1"/>
  <c r="K281" i="1"/>
  <c r="G281" i="1"/>
  <c r="C281" i="1"/>
  <c r="BC280" i="1"/>
  <c r="AY280" i="1"/>
  <c r="AU280" i="1"/>
  <c r="AQ280" i="1"/>
  <c r="AM280" i="1"/>
  <c r="AI280" i="1"/>
  <c r="AE280" i="1"/>
  <c r="AA280" i="1"/>
  <c r="W280" i="1"/>
  <c r="S280" i="1"/>
  <c r="O280" i="1"/>
  <c r="K280" i="1"/>
  <c r="G280" i="1"/>
  <c r="C280" i="1"/>
  <c r="D275" i="1"/>
  <c r="BC274" i="1"/>
  <c r="AY274" i="1"/>
  <c r="AU274" i="1"/>
  <c r="AQ274" i="1"/>
  <c r="AM274" i="1"/>
  <c r="AI274" i="1"/>
  <c r="AE274" i="1"/>
  <c r="AA274" i="1"/>
  <c r="W274" i="1"/>
  <c r="S274" i="1"/>
  <c r="O274" i="1"/>
  <c r="K274" i="1"/>
  <c r="G274" i="1"/>
  <c r="C274" i="1"/>
  <c r="BC273" i="1"/>
  <c r="AY273" i="1"/>
  <c r="AU273" i="1"/>
  <c r="AQ273" i="1"/>
  <c r="AM273" i="1"/>
  <c r="AI273" i="1"/>
  <c r="AE273" i="1"/>
  <c r="AA273" i="1"/>
  <c r="W273" i="1"/>
  <c r="S273" i="1"/>
  <c r="O273" i="1"/>
  <c r="K273" i="1"/>
  <c r="G273" i="1"/>
  <c r="C273" i="1"/>
  <c r="BC272" i="1"/>
  <c r="AY272" i="1"/>
  <c r="AU272" i="1"/>
  <c r="AQ272" i="1"/>
  <c r="AM272" i="1"/>
  <c r="AI272" i="1"/>
  <c r="AE272" i="1"/>
  <c r="AA272" i="1"/>
  <c r="W272" i="1"/>
  <c r="S272" i="1"/>
  <c r="O272" i="1"/>
  <c r="K272" i="1"/>
  <c r="G272" i="1"/>
  <c r="C272" i="1"/>
  <c r="BC271" i="1"/>
  <c r="AY271" i="1"/>
  <c r="AU271" i="1"/>
  <c r="AQ271" i="1"/>
  <c r="AM271" i="1"/>
  <c r="AI271" i="1"/>
  <c r="AE271" i="1"/>
  <c r="AA271" i="1"/>
  <c r="W271" i="1"/>
  <c r="S271" i="1"/>
  <c r="O271" i="1"/>
  <c r="K271" i="1"/>
  <c r="G271" i="1"/>
  <c r="C271" i="1"/>
  <c r="BC270" i="1"/>
  <c r="AY270" i="1"/>
  <c r="AU270" i="1"/>
  <c r="AQ270" i="1"/>
  <c r="AM270" i="1"/>
  <c r="AI270" i="1"/>
  <c r="AE270" i="1"/>
  <c r="AA270" i="1"/>
  <c r="W270" i="1"/>
  <c r="S270" i="1"/>
  <c r="O270" i="1"/>
  <c r="K270" i="1"/>
  <c r="G270" i="1"/>
  <c r="C270" i="1"/>
  <c r="BC269" i="1"/>
  <c r="AY269" i="1"/>
  <c r="AU269" i="1"/>
  <c r="AQ269" i="1"/>
  <c r="AM269" i="1"/>
  <c r="AI269" i="1"/>
  <c r="AE269" i="1"/>
  <c r="AA269" i="1"/>
  <c r="W269" i="1"/>
  <c r="S269" i="1"/>
  <c r="O269" i="1"/>
  <c r="K269" i="1"/>
  <c r="G269" i="1"/>
  <c r="C269" i="1"/>
  <c r="BC268" i="1"/>
  <c r="AY268" i="1"/>
  <c r="AU268" i="1"/>
  <c r="AU275" i="1" s="1"/>
  <c r="AQ268" i="1"/>
  <c r="AM268" i="1"/>
  <c r="AI268" i="1"/>
  <c r="AE268" i="1"/>
  <c r="AA268" i="1"/>
  <c r="W268" i="1"/>
  <c r="S268" i="1"/>
  <c r="O268" i="1"/>
  <c r="K268" i="1"/>
  <c r="G268" i="1"/>
  <c r="C268" i="1"/>
  <c r="D263" i="1"/>
  <c r="BC262" i="1"/>
  <c r="AY262" i="1"/>
  <c r="AU262" i="1"/>
  <c r="AQ262" i="1"/>
  <c r="AM262" i="1"/>
  <c r="AI262" i="1"/>
  <c r="AE262" i="1"/>
  <c r="AA262" i="1"/>
  <c r="W262" i="1"/>
  <c r="S262" i="1"/>
  <c r="O262" i="1"/>
  <c r="K262" i="1"/>
  <c r="G262" i="1"/>
  <c r="C262" i="1"/>
  <c r="BC261" i="1"/>
  <c r="AY261" i="1"/>
  <c r="AU261" i="1"/>
  <c r="AQ261" i="1"/>
  <c r="AM261" i="1"/>
  <c r="AI261" i="1"/>
  <c r="AE261" i="1"/>
  <c r="AA261" i="1"/>
  <c r="W261" i="1"/>
  <c r="S261" i="1"/>
  <c r="O261" i="1"/>
  <c r="K261" i="1"/>
  <c r="G261" i="1"/>
  <c r="C261" i="1"/>
  <c r="BC260" i="1"/>
  <c r="AY260" i="1"/>
  <c r="AU260" i="1"/>
  <c r="AQ260" i="1"/>
  <c r="AM260" i="1"/>
  <c r="AI260" i="1"/>
  <c r="AE260" i="1"/>
  <c r="AA260" i="1"/>
  <c r="W260" i="1"/>
  <c r="S260" i="1"/>
  <c r="O260" i="1"/>
  <c r="K260" i="1"/>
  <c r="G260" i="1"/>
  <c r="C260" i="1"/>
  <c r="BC259" i="1"/>
  <c r="AY259" i="1"/>
  <c r="AU259" i="1"/>
  <c r="AQ259" i="1"/>
  <c r="AM259" i="1"/>
  <c r="AI259" i="1"/>
  <c r="AE259" i="1"/>
  <c r="AA259" i="1"/>
  <c r="W259" i="1"/>
  <c r="S259" i="1"/>
  <c r="O259" i="1"/>
  <c r="K259" i="1"/>
  <c r="G259" i="1"/>
  <c r="C259" i="1"/>
  <c r="BC258" i="1"/>
  <c r="AY258" i="1"/>
  <c r="AU258" i="1"/>
  <c r="AQ258" i="1"/>
  <c r="AM258" i="1"/>
  <c r="AI258" i="1"/>
  <c r="AE258" i="1"/>
  <c r="AA258" i="1"/>
  <c r="W258" i="1"/>
  <c r="S258" i="1"/>
  <c r="O258" i="1"/>
  <c r="K258" i="1"/>
  <c r="G258" i="1"/>
  <c r="C258" i="1"/>
  <c r="BC257" i="1"/>
  <c r="AY257" i="1"/>
  <c r="AU257" i="1"/>
  <c r="AQ257" i="1"/>
  <c r="AM257" i="1"/>
  <c r="AI257" i="1"/>
  <c r="AE257" i="1"/>
  <c r="AA257" i="1"/>
  <c r="W257" i="1"/>
  <c r="S257" i="1"/>
  <c r="O257" i="1"/>
  <c r="K257" i="1"/>
  <c r="G257" i="1"/>
  <c r="C257" i="1"/>
  <c r="BC256" i="1"/>
  <c r="AY256" i="1"/>
  <c r="AU256" i="1"/>
  <c r="AU263" i="1" s="1"/>
  <c r="AQ256" i="1"/>
  <c r="AM256" i="1"/>
  <c r="AI256" i="1"/>
  <c r="AE256" i="1"/>
  <c r="AA256" i="1"/>
  <c r="W256" i="1"/>
  <c r="S256" i="1"/>
  <c r="O256" i="1"/>
  <c r="K256" i="1"/>
  <c r="G256" i="1"/>
  <c r="C256" i="1"/>
  <c r="D251" i="1"/>
  <c r="BC250" i="1"/>
  <c r="AY250" i="1"/>
  <c r="AU250" i="1"/>
  <c r="AQ250" i="1"/>
  <c r="AM250" i="1"/>
  <c r="AI250" i="1"/>
  <c r="AE250" i="1"/>
  <c r="AA250" i="1"/>
  <c r="W250" i="1"/>
  <c r="S250" i="1"/>
  <c r="O250" i="1"/>
  <c r="K250" i="1"/>
  <c r="G250" i="1"/>
  <c r="C250" i="1"/>
  <c r="BC249" i="1"/>
  <c r="AY249" i="1"/>
  <c r="AU249" i="1"/>
  <c r="AQ249" i="1"/>
  <c r="AM249" i="1"/>
  <c r="AI249" i="1"/>
  <c r="AE249" i="1"/>
  <c r="AA249" i="1"/>
  <c r="W249" i="1"/>
  <c r="S249" i="1"/>
  <c r="O249" i="1"/>
  <c r="K249" i="1"/>
  <c r="G249" i="1"/>
  <c r="C249" i="1"/>
  <c r="BC248" i="1"/>
  <c r="AY248" i="1"/>
  <c r="AU248" i="1"/>
  <c r="AQ248" i="1"/>
  <c r="AM248" i="1"/>
  <c r="AI248" i="1"/>
  <c r="AE248" i="1"/>
  <c r="AA248" i="1"/>
  <c r="W248" i="1"/>
  <c r="S248" i="1"/>
  <c r="O248" i="1"/>
  <c r="K248" i="1"/>
  <c r="G248" i="1"/>
  <c r="C248" i="1"/>
  <c r="BC247" i="1"/>
  <c r="AY247" i="1"/>
  <c r="AU247" i="1"/>
  <c r="AQ247" i="1"/>
  <c r="AM247" i="1"/>
  <c r="AI247" i="1"/>
  <c r="AE247" i="1"/>
  <c r="AA247" i="1"/>
  <c r="W247" i="1"/>
  <c r="S247" i="1"/>
  <c r="O247" i="1"/>
  <c r="K247" i="1"/>
  <c r="G247" i="1"/>
  <c r="C247" i="1"/>
  <c r="BC246" i="1"/>
  <c r="AY246" i="1"/>
  <c r="AU246" i="1"/>
  <c r="AQ246" i="1"/>
  <c r="AM246" i="1"/>
  <c r="AI246" i="1"/>
  <c r="AE246" i="1"/>
  <c r="AA246" i="1"/>
  <c r="W246" i="1"/>
  <c r="S246" i="1"/>
  <c r="O246" i="1"/>
  <c r="K246" i="1"/>
  <c r="G246" i="1"/>
  <c r="C246" i="1"/>
  <c r="BC245" i="1"/>
  <c r="AY245" i="1"/>
  <c r="AU245" i="1"/>
  <c r="AQ245" i="1"/>
  <c r="AM245" i="1"/>
  <c r="AI245" i="1"/>
  <c r="AE245" i="1"/>
  <c r="AA245" i="1"/>
  <c r="W245" i="1"/>
  <c r="S245" i="1"/>
  <c r="O245" i="1"/>
  <c r="K245" i="1"/>
  <c r="G245" i="1"/>
  <c r="C245" i="1"/>
  <c r="BC244" i="1"/>
  <c r="AY244" i="1"/>
  <c r="AU244" i="1"/>
  <c r="AQ244" i="1"/>
  <c r="AM244" i="1"/>
  <c r="AI244" i="1"/>
  <c r="AE244" i="1"/>
  <c r="AA244" i="1"/>
  <c r="W244" i="1"/>
  <c r="S244" i="1"/>
  <c r="O244" i="1"/>
  <c r="K244" i="1"/>
  <c r="G244" i="1"/>
  <c r="C244" i="1"/>
  <c r="D239" i="1"/>
  <c r="BC238" i="1"/>
  <c r="AY238" i="1"/>
  <c r="AU238" i="1"/>
  <c r="AQ238" i="1"/>
  <c r="AM238" i="1"/>
  <c r="AI238" i="1"/>
  <c r="AE238" i="1"/>
  <c r="AA238" i="1"/>
  <c r="W238" i="1"/>
  <c r="S238" i="1"/>
  <c r="O238" i="1"/>
  <c r="K238" i="1"/>
  <c r="G238" i="1"/>
  <c r="C238" i="1"/>
  <c r="BC237" i="1"/>
  <c r="AY237" i="1"/>
  <c r="AU237" i="1"/>
  <c r="AQ237" i="1"/>
  <c r="AM237" i="1"/>
  <c r="AI237" i="1"/>
  <c r="AE237" i="1"/>
  <c r="AA237" i="1"/>
  <c r="W237" i="1"/>
  <c r="S237" i="1"/>
  <c r="O237" i="1"/>
  <c r="K237" i="1"/>
  <c r="G237" i="1"/>
  <c r="C237" i="1"/>
  <c r="BC236" i="1"/>
  <c r="AY236" i="1"/>
  <c r="AU236" i="1"/>
  <c r="AQ236" i="1"/>
  <c r="AM236" i="1"/>
  <c r="AI236" i="1"/>
  <c r="AE236" i="1"/>
  <c r="AA236" i="1"/>
  <c r="W236" i="1"/>
  <c r="S236" i="1"/>
  <c r="O236" i="1"/>
  <c r="K236" i="1"/>
  <c r="G236" i="1"/>
  <c r="C236" i="1"/>
  <c r="BC235" i="1"/>
  <c r="AY235" i="1"/>
  <c r="AU235" i="1"/>
  <c r="AQ235" i="1"/>
  <c r="AM235" i="1"/>
  <c r="AI235" i="1"/>
  <c r="AE235" i="1"/>
  <c r="AA235" i="1"/>
  <c r="W235" i="1"/>
  <c r="S235" i="1"/>
  <c r="O235" i="1"/>
  <c r="K235" i="1"/>
  <c r="G235" i="1"/>
  <c r="C235" i="1"/>
  <c r="BC234" i="1"/>
  <c r="AY234" i="1"/>
  <c r="AU234" i="1"/>
  <c r="AQ234" i="1"/>
  <c r="AM234" i="1"/>
  <c r="AI234" i="1"/>
  <c r="AE234" i="1"/>
  <c r="AA234" i="1"/>
  <c r="W234" i="1"/>
  <c r="S234" i="1"/>
  <c r="O234" i="1"/>
  <c r="K234" i="1"/>
  <c r="G234" i="1"/>
  <c r="C234" i="1"/>
  <c r="BC233" i="1"/>
  <c r="AY233" i="1"/>
  <c r="AU233" i="1"/>
  <c r="AQ233" i="1"/>
  <c r="AM233" i="1"/>
  <c r="AI233" i="1"/>
  <c r="AE233" i="1"/>
  <c r="AA233" i="1"/>
  <c r="W233" i="1"/>
  <c r="S233" i="1"/>
  <c r="O233" i="1"/>
  <c r="K233" i="1"/>
  <c r="G233" i="1"/>
  <c r="C233" i="1"/>
  <c r="BC232" i="1"/>
  <c r="AY232" i="1"/>
  <c r="AU232" i="1"/>
  <c r="AQ232" i="1"/>
  <c r="AM232" i="1"/>
  <c r="AI232" i="1"/>
  <c r="AE232" i="1"/>
  <c r="AA232" i="1"/>
  <c r="W232" i="1"/>
  <c r="S232" i="1"/>
  <c r="O232" i="1"/>
  <c r="K232" i="1"/>
  <c r="G232" i="1"/>
  <c r="C232" i="1"/>
  <c r="D227" i="1"/>
  <c r="BC226" i="1"/>
  <c r="AY226" i="1"/>
  <c r="AU226" i="1"/>
  <c r="AQ226" i="1"/>
  <c r="AM226" i="1"/>
  <c r="AI226" i="1"/>
  <c r="AE226" i="1"/>
  <c r="AA226" i="1"/>
  <c r="W226" i="1"/>
  <c r="S226" i="1"/>
  <c r="O226" i="1"/>
  <c r="K226" i="1"/>
  <c r="G226" i="1"/>
  <c r="C226" i="1"/>
  <c r="BC225" i="1"/>
  <c r="AY225" i="1"/>
  <c r="AU225" i="1"/>
  <c r="AQ225" i="1"/>
  <c r="AM225" i="1"/>
  <c r="AI225" i="1"/>
  <c r="AE225" i="1"/>
  <c r="AA225" i="1"/>
  <c r="W225" i="1"/>
  <c r="S225" i="1"/>
  <c r="O225" i="1"/>
  <c r="K225" i="1"/>
  <c r="G225" i="1"/>
  <c r="C225" i="1"/>
  <c r="BC224" i="1"/>
  <c r="AY224" i="1"/>
  <c r="AU224" i="1"/>
  <c r="AQ224" i="1"/>
  <c r="AM224" i="1"/>
  <c r="AI224" i="1"/>
  <c r="AE224" i="1"/>
  <c r="AA224" i="1"/>
  <c r="W224" i="1"/>
  <c r="S224" i="1"/>
  <c r="O224" i="1"/>
  <c r="K224" i="1"/>
  <c r="G224" i="1"/>
  <c r="C224" i="1"/>
  <c r="BC223" i="1"/>
  <c r="AY223" i="1"/>
  <c r="AU223" i="1"/>
  <c r="AQ223" i="1"/>
  <c r="AM223" i="1"/>
  <c r="AI223" i="1"/>
  <c r="AE223" i="1"/>
  <c r="AA223" i="1"/>
  <c r="W223" i="1"/>
  <c r="S223" i="1"/>
  <c r="O223" i="1"/>
  <c r="K223" i="1"/>
  <c r="G223" i="1"/>
  <c r="C223" i="1"/>
  <c r="BC222" i="1"/>
  <c r="AY222" i="1"/>
  <c r="AU222" i="1"/>
  <c r="AQ222" i="1"/>
  <c r="AM222" i="1"/>
  <c r="AI222" i="1"/>
  <c r="AE222" i="1"/>
  <c r="AA222" i="1"/>
  <c r="W222" i="1"/>
  <c r="S222" i="1"/>
  <c r="O222" i="1"/>
  <c r="K222" i="1"/>
  <c r="G222" i="1"/>
  <c r="C222" i="1"/>
  <c r="BC221" i="1"/>
  <c r="AY221" i="1"/>
  <c r="AU221" i="1"/>
  <c r="AQ221" i="1"/>
  <c r="AM221" i="1"/>
  <c r="AI221" i="1"/>
  <c r="AE221" i="1"/>
  <c r="AA221" i="1"/>
  <c r="W221" i="1"/>
  <c r="S221" i="1"/>
  <c r="O221" i="1"/>
  <c r="K221" i="1"/>
  <c r="G221" i="1"/>
  <c r="C221" i="1"/>
  <c r="BC220" i="1"/>
  <c r="AY220" i="1"/>
  <c r="AU220" i="1"/>
  <c r="AQ220" i="1"/>
  <c r="AM220" i="1"/>
  <c r="AI220" i="1"/>
  <c r="AE220" i="1"/>
  <c r="AA220" i="1"/>
  <c r="W220" i="1"/>
  <c r="S220" i="1"/>
  <c r="O220" i="1"/>
  <c r="K220" i="1"/>
  <c r="G220" i="1"/>
  <c r="C220" i="1"/>
  <c r="D215" i="1"/>
  <c r="BC214" i="1"/>
  <c r="AY214" i="1"/>
  <c r="AU214" i="1"/>
  <c r="AQ214" i="1"/>
  <c r="AM214" i="1"/>
  <c r="AI214" i="1"/>
  <c r="AE214" i="1"/>
  <c r="AA214" i="1"/>
  <c r="W214" i="1"/>
  <c r="S214" i="1"/>
  <c r="O214" i="1"/>
  <c r="K214" i="1"/>
  <c r="G214" i="1"/>
  <c r="C214" i="1"/>
  <c r="BC213" i="1"/>
  <c r="AY213" i="1"/>
  <c r="AU213" i="1"/>
  <c r="AQ213" i="1"/>
  <c r="AM213" i="1"/>
  <c r="AI213" i="1"/>
  <c r="AE213" i="1"/>
  <c r="AA213" i="1"/>
  <c r="W213" i="1"/>
  <c r="S213" i="1"/>
  <c r="O213" i="1"/>
  <c r="K213" i="1"/>
  <c r="G213" i="1"/>
  <c r="C213" i="1"/>
  <c r="BC212" i="1"/>
  <c r="AY212" i="1"/>
  <c r="AU212" i="1"/>
  <c r="AQ212" i="1"/>
  <c r="AM212" i="1"/>
  <c r="AI212" i="1"/>
  <c r="AE212" i="1"/>
  <c r="AA212" i="1"/>
  <c r="W212" i="1"/>
  <c r="S212" i="1"/>
  <c r="O212" i="1"/>
  <c r="K212" i="1"/>
  <c r="G212" i="1"/>
  <c r="C212" i="1"/>
  <c r="BC211" i="1"/>
  <c r="AY211" i="1"/>
  <c r="AU211" i="1"/>
  <c r="AQ211" i="1"/>
  <c r="AM211" i="1"/>
  <c r="AI211" i="1"/>
  <c r="AE211" i="1"/>
  <c r="AA211" i="1"/>
  <c r="W211" i="1"/>
  <c r="S211" i="1"/>
  <c r="O211" i="1"/>
  <c r="K211" i="1"/>
  <c r="G211" i="1"/>
  <c r="C211" i="1"/>
  <c r="BC210" i="1"/>
  <c r="AY210" i="1"/>
  <c r="AU210" i="1"/>
  <c r="AQ210" i="1"/>
  <c r="AM210" i="1"/>
  <c r="AI210" i="1"/>
  <c r="AE210" i="1"/>
  <c r="AA210" i="1"/>
  <c r="W210" i="1"/>
  <c r="S210" i="1"/>
  <c r="O210" i="1"/>
  <c r="K210" i="1"/>
  <c r="G210" i="1"/>
  <c r="C210" i="1"/>
  <c r="BC209" i="1"/>
  <c r="AY209" i="1"/>
  <c r="AU209" i="1"/>
  <c r="AQ209" i="1"/>
  <c r="AM209" i="1"/>
  <c r="AI209" i="1"/>
  <c r="AE209" i="1"/>
  <c r="AA209" i="1"/>
  <c r="W209" i="1"/>
  <c r="S209" i="1"/>
  <c r="O209" i="1"/>
  <c r="K209" i="1"/>
  <c r="G209" i="1"/>
  <c r="C209" i="1"/>
  <c r="BC208" i="1"/>
  <c r="AY208" i="1"/>
  <c r="AU208" i="1"/>
  <c r="AU215" i="1" s="1"/>
  <c r="AQ208" i="1"/>
  <c r="AM208" i="1"/>
  <c r="AI208" i="1"/>
  <c r="AE208" i="1"/>
  <c r="AA208" i="1"/>
  <c r="W208" i="1"/>
  <c r="S208" i="1"/>
  <c r="O208" i="1"/>
  <c r="O215" i="1" s="1"/>
  <c r="K208" i="1"/>
  <c r="G208" i="1"/>
  <c r="C208" i="1"/>
  <c r="D203" i="1"/>
  <c r="BC202" i="1"/>
  <c r="AY202" i="1"/>
  <c r="AU202" i="1"/>
  <c r="AQ202" i="1"/>
  <c r="AM202" i="1"/>
  <c r="AI202" i="1"/>
  <c r="AE202" i="1"/>
  <c r="AA202" i="1"/>
  <c r="W202" i="1"/>
  <c r="S202" i="1"/>
  <c r="O202" i="1"/>
  <c r="K202" i="1"/>
  <c r="G202" i="1"/>
  <c r="C202" i="1"/>
  <c r="BC201" i="1"/>
  <c r="AY201" i="1"/>
  <c r="AU201" i="1"/>
  <c r="AQ201" i="1"/>
  <c r="AM201" i="1"/>
  <c r="AI201" i="1"/>
  <c r="AE201" i="1"/>
  <c r="AA201" i="1"/>
  <c r="W201" i="1"/>
  <c r="S201" i="1"/>
  <c r="O201" i="1"/>
  <c r="K201" i="1"/>
  <c r="G201" i="1"/>
  <c r="C201" i="1"/>
  <c r="BC200" i="1"/>
  <c r="AY200" i="1"/>
  <c r="AU200" i="1"/>
  <c r="AQ200" i="1"/>
  <c r="AM200" i="1"/>
  <c r="AI200" i="1"/>
  <c r="AE200" i="1"/>
  <c r="AA200" i="1"/>
  <c r="W200" i="1"/>
  <c r="S200" i="1"/>
  <c r="O200" i="1"/>
  <c r="K200" i="1"/>
  <c r="G200" i="1"/>
  <c r="C200" i="1"/>
  <c r="BC199" i="1"/>
  <c r="AY199" i="1"/>
  <c r="AU199" i="1"/>
  <c r="AQ199" i="1"/>
  <c r="AM199" i="1"/>
  <c r="AI199" i="1"/>
  <c r="AE199" i="1"/>
  <c r="AA199" i="1"/>
  <c r="W199" i="1"/>
  <c r="S199" i="1"/>
  <c r="O199" i="1"/>
  <c r="K199" i="1"/>
  <c r="G199" i="1"/>
  <c r="C199" i="1"/>
  <c r="BC198" i="1"/>
  <c r="AY198" i="1"/>
  <c r="AU198" i="1"/>
  <c r="AQ198" i="1"/>
  <c r="AM198" i="1"/>
  <c r="AI198" i="1"/>
  <c r="AE198" i="1"/>
  <c r="AA198" i="1"/>
  <c r="W198" i="1"/>
  <c r="S198" i="1"/>
  <c r="O198" i="1"/>
  <c r="K198" i="1"/>
  <c r="G198" i="1"/>
  <c r="C198" i="1"/>
  <c r="BC197" i="1"/>
  <c r="AY197" i="1"/>
  <c r="AU197" i="1"/>
  <c r="AQ197" i="1"/>
  <c r="AM197" i="1"/>
  <c r="AI197" i="1"/>
  <c r="AE197" i="1"/>
  <c r="AA197" i="1"/>
  <c r="W197" i="1"/>
  <c r="S197" i="1"/>
  <c r="O197" i="1"/>
  <c r="K197" i="1"/>
  <c r="G197" i="1"/>
  <c r="C197" i="1"/>
  <c r="BC196" i="1"/>
  <c r="AY196" i="1"/>
  <c r="AU196" i="1"/>
  <c r="AU203" i="1" s="1"/>
  <c r="AQ196" i="1"/>
  <c r="AM196" i="1"/>
  <c r="AI196" i="1"/>
  <c r="AE196" i="1"/>
  <c r="AA196" i="1"/>
  <c r="W196" i="1"/>
  <c r="S196" i="1"/>
  <c r="O196" i="1"/>
  <c r="K196" i="1"/>
  <c r="G196" i="1"/>
  <c r="C196" i="1"/>
  <c r="D191" i="1"/>
  <c r="BC190" i="1"/>
  <c r="AY190" i="1"/>
  <c r="AU190" i="1"/>
  <c r="AQ190" i="1"/>
  <c r="AM190" i="1"/>
  <c r="AI190" i="1"/>
  <c r="AE190" i="1"/>
  <c r="AA190" i="1"/>
  <c r="W190" i="1"/>
  <c r="S190" i="1"/>
  <c r="O190" i="1"/>
  <c r="K190" i="1"/>
  <c r="G190" i="1"/>
  <c r="C190" i="1"/>
  <c r="BC189" i="1"/>
  <c r="AY189" i="1"/>
  <c r="AU189" i="1"/>
  <c r="AQ189" i="1"/>
  <c r="AM189" i="1"/>
  <c r="AI189" i="1"/>
  <c r="AE189" i="1"/>
  <c r="AA189" i="1"/>
  <c r="W189" i="1"/>
  <c r="S189" i="1"/>
  <c r="O189" i="1"/>
  <c r="K189" i="1"/>
  <c r="G189" i="1"/>
  <c r="C189" i="1"/>
  <c r="BC188" i="1"/>
  <c r="AY188" i="1"/>
  <c r="AU188" i="1"/>
  <c r="AQ188" i="1"/>
  <c r="AM188" i="1"/>
  <c r="AI188" i="1"/>
  <c r="AE188" i="1"/>
  <c r="AA188" i="1"/>
  <c r="W188" i="1"/>
  <c r="S188" i="1"/>
  <c r="O188" i="1"/>
  <c r="K188" i="1"/>
  <c r="G188" i="1"/>
  <c r="C188" i="1"/>
  <c r="BC187" i="1"/>
  <c r="AY187" i="1"/>
  <c r="AU187" i="1"/>
  <c r="AQ187" i="1"/>
  <c r="AM187" i="1"/>
  <c r="AI187" i="1"/>
  <c r="AE187" i="1"/>
  <c r="AA187" i="1"/>
  <c r="W187" i="1"/>
  <c r="S187" i="1"/>
  <c r="O187" i="1"/>
  <c r="K187" i="1"/>
  <c r="G187" i="1"/>
  <c r="C187" i="1"/>
  <c r="BC186" i="1"/>
  <c r="AY186" i="1"/>
  <c r="AU186" i="1"/>
  <c r="AQ186" i="1"/>
  <c r="AM186" i="1"/>
  <c r="AI186" i="1"/>
  <c r="AE186" i="1"/>
  <c r="AA186" i="1"/>
  <c r="W186" i="1"/>
  <c r="S186" i="1"/>
  <c r="O186" i="1"/>
  <c r="K186" i="1"/>
  <c r="G186" i="1"/>
  <c r="C186" i="1"/>
  <c r="BC185" i="1"/>
  <c r="AY185" i="1"/>
  <c r="AU185" i="1"/>
  <c r="AQ185" i="1"/>
  <c r="AM185" i="1"/>
  <c r="AI185" i="1"/>
  <c r="AE185" i="1"/>
  <c r="AA185" i="1"/>
  <c r="W185" i="1"/>
  <c r="S185" i="1"/>
  <c r="O185" i="1"/>
  <c r="K185" i="1"/>
  <c r="G185" i="1"/>
  <c r="C185" i="1"/>
  <c r="BC184" i="1"/>
  <c r="AY184" i="1"/>
  <c r="AU184" i="1"/>
  <c r="AQ184" i="1"/>
  <c r="AM184" i="1"/>
  <c r="AI184" i="1"/>
  <c r="AE184" i="1"/>
  <c r="AA184" i="1"/>
  <c r="W184" i="1"/>
  <c r="S184" i="1"/>
  <c r="O184" i="1"/>
  <c r="K184" i="1"/>
  <c r="G184" i="1"/>
  <c r="C184" i="1"/>
  <c r="D179" i="1"/>
  <c r="BC178" i="1"/>
  <c r="AY178" i="1"/>
  <c r="AU178" i="1"/>
  <c r="AQ178" i="1"/>
  <c r="AM178" i="1"/>
  <c r="AI178" i="1"/>
  <c r="AE178" i="1"/>
  <c r="AA178" i="1"/>
  <c r="W178" i="1"/>
  <c r="S178" i="1"/>
  <c r="O178" i="1"/>
  <c r="K178" i="1"/>
  <c r="G178" i="1"/>
  <c r="C178" i="1"/>
  <c r="BC177" i="1"/>
  <c r="AY177" i="1"/>
  <c r="AU177" i="1"/>
  <c r="AQ177" i="1"/>
  <c r="AM177" i="1"/>
  <c r="AI177" i="1"/>
  <c r="AE177" i="1"/>
  <c r="AA177" i="1"/>
  <c r="W177" i="1"/>
  <c r="S177" i="1"/>
  <c r="O177" i="1"/>
  <c r="K177" i="1"/>
  <c r="G177" i="1"/>
  <c r="C177" i="1"/>
  <c r="BC176" i="1"/>
  <c r="AY176" i="1"/>
  <c r="AU176" i="1"/>
  <c r="AQ176" i="1"/>
  <c r="AM176" i="1"/>
  <c r="AI176" i="1"/>
  <c r="AE176" i="1"/>
  <c r="AA176" i="1"/>
  <c r="W176" i="1"/>
  <c r="S176" i="1"/>
  <c r="O176" i="1"/>
  <c r="K176" i="1"/>
  <c r="G176" i="1"/>
  <c r="C176" i="1"/>
  <c r="BC175" i="1"/>
  <c r="AY175" i="1"/>
  <c r="AU175" i="1"/>
  <c r="AQ175" i="1"/>
  <c r="AM175" i="1"/>
  <c r="AI175" i="1"/>
  <c r="AE175" i="1"/>
  <c r="AA175" i="1"/>
  <c r="W175" i="1"/>
  <c r="S175" i="1"/>
  <c r="O175" i="1"/>
  <c r="K175" i="1"/>
  <c r="G175" i="1"/>
  <c r="C175" i="1"/>
  <c r="BC174" i="1"/>
  <c r="AY174" i="1"/>
  <c r="AU174" i="1"/>
  <c r="AQ174" i="1"/>
  <c r="AM174" i="1"/>
  <c r="AI174" i="1"/>
  <c r="AE174" i="1"/>
  <c r="AA174" i="1"/>
  <c r="W174" i="1"/>
  <c r="S174" i="1"/>
  <c r="O174" i="1"/>
  <c r="K174" i="1"/>
  <c r="G174" i="1"/>
  <c r="C174" i="1"/>
  <c r="BC173" i="1"/>
  <c r="AY173" i="1"/>
  <c r="AU173" i="1"/>
  <c r="AQ173" i="1"/>
  <c r="AM173" i="1"/>
  <c r="AI173" i="1"/>
  <c r="AE173" i="1"/>
  <c r="AA173" i="1"/>
  <c r="W173" i="1"/>
  <c r="S173" i="1"/>
  <c r="O173" i="1"/>
  <c r="K173" i="1"/>
  <c r="G173" i="1"/>
  <c r="C173" i="1"/>
  <c r="BC172" i="1"/>
  <c r="AY172" i="1"/>
  <c r="AU172" i="1"/>
  <c r="AQ172" i="1"/>
  <c r="AM172" i="1"/>
  <c r="AI172" i="1"/>
  <c r="AE172" i="1"/>
  <c r="AA172" i="1"/>
  <c r="W172" i="1"/>
  <c r="S172" i="1"/>
  <c r="O172" i="1"/>
  <c r="O179" i="1" s="1"/>
  <c r="K172" i="1"/>
  <c r="G172" i="1"/>
  <c r="C172" i="1"/>
  <c r="D167" i="1"/>
  <c r="BC166" i="1"/>
  <c r="AY166" i="1"/>
  <c r="AU166" i="1"/>
  <c r="AQ166" i="1"/>
  <c r="AM166" i="1"/>
  <c r="AI166" i="1"/>
  <c r="AE166" i="1"/>
  <c r="AA166" i="1"/>
  <c r="W166" i="1"/>
  <c r="S166" i="1"/>
  <c r="O166" i="1"/>
  <c r="K166" i="1"/>
  <c r="G166" i="1"/>
  <c r="C166" i="1"/>
  <c r="BC165" i="1"/>
  <c r="AY165" i="1"/>
  <c r="AU165" i="1"/>
  <c r="AQ165" i="1"/>
  <c r="AM165" i="1"/>
  <c r="AI165" i="1"/>
  <c r="AE165" i="1"/>
  <c r="AA165" i="1"/>
  <c r="W165" i="1"/>
  <c r="S165" i="1"/>
  <c r="O165" i="1"/>
  <c r="K165" i="1"/>
  <c r="G165" i="1"/>
  <c r="C165" i="1"/>
  <c r="BC164" i="1"/>
  <c r="AY164" i="1"/>
  <c r="AU164" i="1"/>
  <c r="AQ164" i="1"/>
  <c r="AM164" i="1"/>
  <c r="AI164" i="1"/>
  <c r="AE164" i="1"/>
  <c r="AA164" i="1"/>
  <c r="W164" i="1"/>
  <c r="S164" i="1"/>
  <c r="O164" i="1"/>
  <c r="K164" i="1"/>
  <c r="G164" i="1"/>
  <c r="C164" i="1"/>
  <c r="BC163" i="1"/>
  <c r="AY163" i="1"/>
  <c r="AU163" i="1"/>
  <c r="AQ163" i="1"/>
  <c r="AM163" i="1"/>
  <c r="AI163" i="1"/>
  <c r="AE163" i="1"/>
  <c r="AA163" i="1"/>
  <c r="W163" i="1"/>
  <c r="S163" i="1"/>
  <c r="O163" i="1"/>
  <c r="K163" i="1"/>
  <c r="G163" i="1"/>
  <c r="C163" i="1"/>
  <c r="BC162" i="1"/>
  <c r="AY162" i="1"/>
  <c r="AU162" i="1"/>
  <c r="AQ162" i="1"/>
  <c r="AM162" i="1"/>
  <c r="AI162" i="1"/>
  <c r="AE162" i="1"/>
  <c r="AA162" i="1"/>
  <c r="W162" i="1"/>
  <c r="S162" i="1"/>
  <c r="O162" i="1"/>
  <c r="K162" i="1"/>
  <c r="G162" i="1"/>
  <c r="C162" i="1"/>
  <c r="BC161" i="1"/>
  <c r="AY161" i="1"/>
  <c r="AU161" i="1"/>
  <c r="AQ161" i="1"/>
  <c r="AM161" i="1"/>
  <c r="AI161" i="1"/>
  <c r="AE161" i="1"/>
  <c r="AA161" i="1"/>
  <c r="W161" i="1"/>
  <c r="S161" i="1"/>
  <c r="O161" i="1"/>
  <c r="K161" i="1"/>
  <c r="G161" i="1"/>
  <c r="C161" i="1"/>
  <c r="BC160" i="1"/>
  <c r="AY160" i="1"/>
  <c r="AU160" i="1"/>
  <c r="AQ160" i="1"/>
  <c r="AM160" i="1"/>
  <c r="AI160" i="1"/>
  <c r="AE160" i="1"/>
  <c r="AA160" i="1"/>
  <c r="W160" i="1"/>
  <c r="S160" i="1"/>
  <c r="O160" i="1"/>
  <c r="O167" i="1" s="1"/>
  <c r="K160" i="1"/>
  <c r="G160" i="1"/>
  <c r="C160" i="1"/>
  <c r="D155" i="1"/>
  <c r="BC154" i="1"/>
  <c r="AY154" i="1"/>
  <c r="AU154" i="1"/>
  <c r="AQ154" i="1"/>
  <c r="AM154" i="1"/>
  <c r="AI154" i="1"/>
  <c r="AE154" i="1"/>
  <c r="AA154" i="1"/>
  <c r="W154" i="1"/>
  <c r="S154" i="1"/>
  <c r="O154" i="1"/>
  <c r="K154" i="1"/>
  <c r="G154" i="1"/>
  <c r="C154" i="1"/>
  <c r="BC153" i="1"/>
  <c r="AY153" i="1"/>
  <c r="AU153" i="1"/>
  <c r="AQ153" i="1"/>
  <c r="AM153" i="1"/>
  <c r="AI153" i="1"/>
  <c r="AE153" i="1"/>
  <c r="AA153" i="1"/>
  <c r="W153" i="1"/>
  <c r="S153" i="1"/>
  <c r="O153" i="1"/>
  <c r="K153" i="1"/>
  <c r="G153" i="1"/>
  <c r="C153" i="1"/>
  <c r="BC152" i="1"/>
  <c r="AY152" i="1"/>
  <c r="AU152" i="1"/>
  <c r="AQ152" i="1"/>
  <c r="AM152" i="1"/>
  <c r="AI152" i="1"/>
  <c r="AE152" i="1"/>
  <c r="AA152" i="1"/>
  <c r="W152" i="1"/>
  <c r="S152" i="1"/>
  <c r="O152" i="1"/>
  <c r="K152" i="1"/>
  <c r="G152" i="1"/>
  <c r="C152" i="1"/>
  <c r="BC151" i="1"/>
  <c r="AY151" i="1"/>
  <c r="AU151" i="1"/>
  <c r="AQ151" i="1"/>
  <c r="AM151" i="1"/>
  <c r="AI151" i="1"/>
  <c r="AE151" i="1"/>
  <c r="AA151" i="1"/>
  <c r="W151" i="1"/>
  <c r="S151" i="1"/>
  <c r="O151" i="1"/>
  <c r="K151" i="1"/>
  <c r="G151" i="1"/>
  <c r="C151" i="1"/>
  <c r="BC150" i="1"/>
  <c r="AY150" i="1"/>
  <c r="AU150" i="1"/>
  <c r="AQ150" i="1"/>
  <c r="AM150" i="1"/>
  <c r="AI150" i="1"/>
  <c r="AE150" i="1"/>
  <c r="AA150" i="1"/>
  <c r="W150" i="1"/>
  <c r="S150" i="1"/>
  <c r="O150" i="1"/>
  <c r="K150" i="1"/>
  <c r="G150" i="1"/>
  <c r="C150" i="1"/>
  <c r="BC149" i="1"/>
  <c r="AY149" i="1"/>
  <c r="AU149" i="1"/>
  <c r="AQ149" i="1"/>
  <c r="AM149" i="1"/>
  <c r="AI149" i="1"/>
  <c r="AE149" i="1"/>
  <c r="AA149" i="1"/>
  <c r="W149" i="1"/>
  <c r="S149" i="1"/>
  <c r="O149" i="1"/>
  <c r="K149" i="1"/>
  <c r="G149" i="1"/>
  <c r="C149" i="1"/>
  <c r="BC148" i="1"/>
  <c r="AY148" i="1"/>
  <c r="AU148" i="1"/>
  <c r="AQ148" i="1"/>
  <c r="AM148" i="1"/>
  <c r="AI148" i="1"/>
  <c r="AE148" i="1"/>
  <c r="AA148" i="1"/>
  <c r="W148" i="1"/>
  <c r="S148" i="1"/>
  <c r="O148" i="1"/>
  <c r="O155" i="1" s="1"/>
  <c r="K148" i="1"/>
  <c r="G148" i="1"/>
  <c r="C148" i="1"/>
  <c r="D143" i="1"/>
  <c r="BC142" i="1"/>
  <c r="AY142" i="1"/>
  <c r="AU142" i="1"/>
  <c r="AQ142" i="1"/>
  <c r="AM142" i="1"/>
  <c r="AI142" i="1"/>
  <c r="AE142" i="1"/>
  <c r="AA142" i="1"/>
  <c r="W142" i="1"/>
  <c r="S142" i="1"/>
  <c r="O142" i="1"/>
  <c r="K142" i="1"/>
  <c r="G142" i="1"/>
  <c r="C142" i="1"/>
  <c r="BC141" i="1"/>
  <c r="AY141" i="1"/>
  <c r="AU141" i="1"/>
  <c r="AQ141" i="1"/>
  <c r="AM141" i="1"/>
  <c r="AI141" i="1"/>
  <c r="AE141" i="1"/>
  <c r="AA141" i="1"/>
  <c r="W141" i="1"/>
  <c r="S141" i="1"/>
  <c r="O141" i="1"/>
  <c r="K141" i="1"/>
  <c r="G141" i="1"/>
  <c r="C141" i="1"/>
  <c r="BC140" i="1"/>
  <c r="AY140" i="1"/>
  <c r="AU140" i="1"/>
  <c r="AQ140" i="1"/>
  <c r="AM140" i="1"/>
  <c r="AI140" i="1"/>
  <c r="AE140" i="1"/>
  <c r="AA140" i="1"/>
  <c r="W140" i="1"/>
  <c r="S140" i="1"/>
  <c r="O140" i="1"/>
  <c r="K140" i="1"/>
  <c r="G140" i="1"/>
  <c r="C140" i="1"/>
  <c r="BC139" i="1"/>
  <c r="AY139" i="1"/>
  <c r="AU139" i="1"/>
  <c r="AQ139" i="1"/>
  <c r="AM139" i="1"/>
  <c r="AI139" i="1"/>
  <c r="AE139" i="1"/>
  <c r="AA139" i="1"/>
  <c r="W139" i="1"/>
  <c r="S139" i="1"/>
  <c r="O139" i="1"/>
  <c r="K139" i="1"/>
  <c r="G139" i="1"/>
  <c r="C139" i="1"/>
  <c r="BC138" i="1"/>
  <c r="AY138" i="1"/>
  <c r="AU138" i="1"/>
  <c r="AQ138" i="1"/>
  <c r="AM138" i="1"/>
  <c r="AI138" i="1"/>
  <c r="AE138" i="1"/>
  <c r="AA138" i="1"/>
  <c r="W138" i="1"/>
  <c r="S138" i="1"/>
  <c r="O138" i="1"/>
  <c r="K138" i="1"/>
  <c r="G138" i="1"/>
  <c r="C138" i="1"/>
  <c r="BC137" i="1"/>
  <c r="AY137" i="1"/>
  <c r="AU137" i="1"/>
  <c r="AQ137" i="1"/>
  <c r="AM137" i="1"/>
  <c r="AI137" i="1"/>
  <c r="AE137" i="1"/>
  <c r="AA137" i="1"/>
  <c r="W137" i="1"/>
  <c r="S137" i="1"/>
  <c r="O137" i="1"/>
  <c r="K137" i="1"/>
  <c r="G137" i="1"/>
  <c r="C137" i="1"/>
  <c r="BC136" i="1"/>
  <c r="AY136" i="1"/>
  <c r="AU136" i="1"/>
  <c r="AQ136" i="1"/>
  <c r="AM136" i="1"/>
  <c r="AI136" i="1"/>
  <c r="AE136" i="1"/>
  <c r="AA136" i="1"/>
  <c r="W136" i="1"/>
  <c r="S136" i="1"/>
  <c r="O136" i="1"/>
  <c r="K136" i="1"/>
  <c r="G136" i="1"/>
  <c r="C136" i="1"/>
  <c r="D131" i="1"/>
  <c r="BC130" i="1"/>
  <c r="AY130" i="1"/>
  <c r="AU130" i="1"/>
  <c r="AQ130" i="1"/>
  <c r="AM130" i="1"/>
  <c r="AI130" i="1"/>
  <c r="AE130" i="1"/>
  <c r="AA130" i="1"/>
  <c r="W130" i="1"/>
  <c r="S130" i="1"/>
  <c r="O130" i="1"/>
  <c r="K130" i="1"/>
  <c r="G130" i="1"/>
  <c r="C130" i="1"/>
  <c r="BC129" i="1"/>
  <c r="AY129" i="1"/>
  <c r="AU129" i="1"/>
  <c r="AQ129" i="1"/>
  <c r="AM129" i="1"/>
  <c r="AI129" i="1"/>
  <c r="AE129" i="1"/>
  <c r="AA129" i="1"/>
  <c r="W129" i="1"/>
  <c r="S129" i="1"/>
  <c r="O129" i="1"/>
  <c r="K129" i="1"/>
  <c r="G129" i="1"/>
  <c r="C129" i="1"/>
  <c r="BC128" i="1"/>
  <c r="AY128" i="1"/>
  <c r="AU128" i="1"/>
  <c r="AQ128" i="1"/>
  <c r="AM128" i="1"/>
  <c r="AI128" i="1"/>
  <c r="AE128" i="1"/>
  <c r="AA128" i="1"/>
  <c r="W128" i="1"/>
  <c r="S128" i="1"/>
  <c r="O128" i="1"/>
  <c r="K128" i="1"/>
  <c r="G128" i="1"/>
  <c r="C128" i="1"/>
  <c r="BC127" i="1"/>
  <c r="AY127" i="1"/>
  <c r="AU127" i="1"/>
  <c r="AQ127" i="1"/>
  <c r="AM127" i="1"/>
  <c r="AI127" i="1"/>
  <c r="AE127" i="1"/>
  <c r="AA127" i="1"/>
  <c r="W127" i="1"/>
  <c r="S127" i="1"/>
  <c r="O127" i="1"/>
  <c r="K127" i="1"/>
  <c r="G127" i="1"/>
  <c r="C127" i="1"/>
  <c r="BC126" i="1"/>
  <c r="AY126" i="1"/>
  <c r="AU126" i="1"/>
  <c r="AQ126" i="1"/>
  <c r="AM126" i="1"/>
  <c r="AI126" i="1"/>
  <c r="AE126" i="1"/>
  <c r="AA126" i="1"/>
  <c r="W126" i="1"/>
  <c r="S126" i="1"/>
  <c r="O126" i="1"/>
  <c r="K126" i="1"/>
  <c r="G126" i="1"/>
  <c r="C126" i="1"/>
  <c r="BC125" i="1"/>
  <c r="AY125" i="1"/>
  <c r="AU125" i="1"/>
  <c r="AQ125" i="1"/>
  <c r="AM125" i="1"/>
  <c r="AI125" i="1"/>
  <c r="AE125" i="1"/>
  <c r="AA125" i="1"/>
  <c r="W125" i="1"/>
  <c r="S125" i="1"/>
  <c r="O125" i="1"/>
  <c r="K125" i="1"/>
  <c r="G125" i="1"/>
  <c r="C125" i="1"/>
  <c r="BC124" i="1"/>
  <c r="AY124" i="1"/>
  <c r="AU124" i="1"/>
  <c r="AQ124" i="1"/>
  <c r="AM124" i="1"/>
  <c r="AI124" i="1"/>
  <c r="AE124" i="1"/>
  <c r="AA124" i="1"/>
  <c r="W124" i="1"/>
  <c r="S124" i="1"/>
  <c r="O124" i="1"/>
  <c r="K124" i="1"/>
  <c r="G124" i="1"/>
  <c r="C124" i="1"/>
  <c r="D119" i="1"/>
  <c r="BC118" i="1"/>
  <c r="AY118" i="1"/>
  <c r="AU118" i="1"/>
  <c r="AQ118" i="1"/>
  <c r="AM118" i="1"/>
  <c r="AI118" i="1"/>
  <c r="AE118" i="1"/>
  <c r="AA118" i="1"/>
  <c r="W118" i="1"/>
  <c r="S118" i="1"/>
  <c r="O118" i="1"/>
  <c r="K118" i="1"/>
  <c r="G118" i="1"/>
  <c r="C118" i="1"/>
  <c r="BC117" i="1"/>
  <c r="AY117" i="1"/>
  <c r="AU117" i="1"/>
  <c r="AQ117" i="1"/>
  <c r="AM117" i="1"/>
  <c r="AI117" i="1"/>
  <c r="AE117" i="1"/>
  <c r="AA117" i="1"/>
  <c r="W117" i="1"/>
  <c r="S117" i="1"/>
  <c r="O117" i="1"/>
  <c r="K117" i="1"/>
  <c r="G117" i="1"/>
  <c r="C117" i="1"/>
  <c r="BC116" i="1"/>
  <c r="AY116" i="1"/>
  <c r="AU116" i="1"/>
  <c r="AQ116" i="1"/>
  <c r="AM116" i="1"/>
  <c r="AI116" i="1"/>
  <c r="AE116" i="1"/>
  <c r="AA116" i="1"/>
  <c r="W116" i="1"/>
  <c r="S116" i="1"/>
  <c r="O116" i="1"/>
  <c r="K116" i="1"/>
  <c r="G116" i="1"/>
  <c r="C116" i="1"/>
  <c r="BC115" i="1"/>
  <c r="AY115" i="1"/>
  <c r="AU115" i="1"/>
  <c r="AQ115" i="1"/>
  <c r="AM115" i="1"/>
  <c r="AI115" i="1"/>
  <c r="AE115" i="1"/>
  <c r="AA115" i="1"/>
  <c r="W115" i="1"/>
  <c r="S115" i="1"/>
  <c r="O115" i="1"/>
  <c r="K115" i="1"/>
  <c r="G115" i="1"/>
  <c r="C115" i="1"/>
  <c r="BC114" i="1"/>
  <c r="AY114" i="1"/>
  <c r="AU114" i="1"/>
  <c r="AQ114" i="1"/>
  <c r="AM114" i="1"/>
  <c r="AI114" i="1"/>
  <c r="AE114" i="1"/>
  <c r="AA114" i="1"/>
  <c r="W114" i="1"/>
  <c r="S114" i="1"/>
  <c r="O114" i="1"/>
  <c r="K114" i="1"/>
  <c r="G114" i="1"/>
  <c r="C114" i="1"/>
  <c r="BC113" i="1"/>
  <c r="AY113" i="1"/>
  <c r="AU113" i="1"/>
  <c r="AQ113" i="1"/>
  <c r="AM113" i="1"/>
  <c r="AI113" i="1"/>
  <c r="AE113" i="1"/>
  <c r="AA113" i="1"/>
  <c r="W113" i="1"/>
  <c r="S113" i="1"/>
  <c r="O113" i="1"/>
  <c r="K113" i="1"/>
  <c r="G113" i="1"/>
  <c r="C113" i="1"/>
  <c r="BC112" i="1"/>
  <c r="AY112" i="1"/>
  <c r="AU112" i="1"/>
  <c r="AU119" i="1" s="1"/>
  <c r="AQ112" i="1"/>
  <c r="AM112" i="1"/>
  <c r="AI112" i="1"/>
  <c r="AE112" i="1"/>
  <c r="AA112" i="1"/>
  <c r="W112" i="1"/>
  <c r="S112" i="1"/>
  <c r="O112" i="1"/>
  <c r="O119" i="1" s="1"/>
  <c r="K112" i="1"/>
  <c r="G112" i="1"/>
  <c r="C112" i="1"/>
  <c r="D107" i="1"/>
  <c r="BC106" i="1"/>
  <c r="AY106" i="1"/>
  <c r="AU106" i="1"/>
  <c r="AQ106" i="1"/>
  <c r="AM106" i="1"/>
  <c r="AI106" i="1"/>
  <c r="AE106" i="1"/>
  <c r="AA106" i="1"/>
  <c r="W106" i="1"/>
  <c r="S106" i="1"/>
  <c r="O106" i="1"/>
  <c r="K106" i="1"/>
  <c r="G106" i="1"/>
  <c r="C106" i="1"/>
  <c r="BC105" i="1"/>
  <c r="AY105" i="1"/>
  <c r="AU105" i="1"/>
  <c r="AQ105" i="1"/>
  <c r="AM105" i="1"/>
  <c r="AI105" i="1"/>
  <c r="AE105" i="1"/>
  <c r="AA105" i="1"/>
  <c r="W105" i="1"/>
  <c r="S105" i="1"/>
  <c r="O105" i="1"/>
  <c r="K105" i="1"/>
  <c r="G105" i="1"/>
  <c r="C105" i="1"/>
  <c r="BC104" i="1"/>
  <c r="AY104" i="1"/>
  <c r="AU104" i="1"/>
  <c r="AQ104" i="1"/>
  <c r="AM104" i="1"/>
  <c r="AI104" i="1"/>
  <c r="AE104" i="1"/>
  <c r="AA104" i="1"/>
  <c r="W104" i="1"/>
  <c r="S104" i="1"/>
  <c r="O104" i="1"/>
  <c r="K104" i="1"/>
  <c r="G104" i="1"/>
  <c r="C104" i="1"/>
  <c r="BC103" i="1"/>
  <c r="AY103" i="1"/>
  <c r="AU103" i="1"/>
  <c r="AQ103" i="1"/>
  <c r="AM103" i="1"/>
  <c r="AI103" i="1"/>
  <c r="AE103" i="1"/>
  <c r="AA103" i="1"/>
  <c r="W103" i="1"/>
  <c r="S103" i="1"/>
  <c r="O103" i="1"/>
  <c r="K103" i="1"/>
  <c r="G103" i="1"/>
  <c r="C103" i="1"/>
  <c r="BC102" i="1"/>
  <c r="AY102" i="1"/>
  <c r="AU102" i="1"/>
  <c r="AQ102" i="1"/>
  <c r="AM102" i="1"/>
  <c r="AI102" i="1"/>
  <c r="AE102" i="1"/>
  <c r="AA102" i="1"/>
  <c r="W102" i="1"/>
  <c r="S102" i="1"/>
  <c r="O102" i="1"/>
  <c r="K102" i="1"/>
  <c r="G102" i="1"/>
  <c r="C102" i="1"/>
  <c r="BC101" i="1"/>
  <c r="AY101" i="1"/>
  <c r="AU101" i="1"/>
  <c r="AQ101" i="1"/>
  <c r="AM101" i="1"/>
  <c r="AI101" i="1"/>
  <c r="AE101" i="1"/>
  <c r="AA101" i="1"/>
  <c r="W101" i="1"/>
  <c r="S101" i="1"/>
  <c r="O101" i="1"/>
  <c r="K101" i="1"/>
  <c r="G101" i="1"/>
  <c r="C101" i="1"/>
  <c r="BC100" i="1"/>
  <c r="AY100" i="1"/>
  <c r="AU100" i="1"/>
  <c r="AU107" i="1" s="1"/>
  <c r="AQ100" i="1"/>
  <c r="AM100" i="1"/>
  <c r="AI100" i="1"/>
  <c r="AE100" i="1"/>
  <c r="AA100" i="1"/>
  <c r="W100" i="1"/>
  <c r="S100" i="1"/>
  <c r="O100" i="1"/>
  <c r="O107" i="1" s="1"/>
  <c r="K100" i="1"/>
  <c r="G100" i="1"/>
  <c r="C100" i="1"/>
  <c r="AF803" i="1" l="1"/>
  <c r="AB803" i="1"/>
  <c r="AN743" i="1"/>
  <c r="H767" i="1"/>
  <c r="AN198" i="1"/>
  <c r="X594" i="1"/>
  <c r="H803" i="1"/>
  <c r="AN803" i="1"/>
  <c r="BD561" i="1"/>
  <c r="AV572" i="1"/>
  <c r="AN767" i="1"/>
  <c r="L707" i="1"/>
  <c r="AN719" i="1"/>
  <c r="AV695" i="1"/>
  <c r="AZ743" i="1"/>
  <c r="AZ731" i="1"/>
  <c r="AZ755" i="1"/>
  <c r="AR791" i="1"/>
  <c r="AR743" i="1"/>
  <c r="AN779" i="1"/>
  <c r="AF767" i="1"/>
  <c r="AN417" i="1"/>
  <c r="AR707" i="1"/>
  <c r="BD695" i="1"/>
  <c r="AF719" i="1"/>
  <c r="T499" i="1"/>
  <c r="AZ547" i="1"/>
  <c r="AZ593" i="1"/>
  <c r="AJ558" i="1"/>
  <c r="H719" i="1"/>
  <c r="AB594" i="1"/>
  <c r="AN605" i="1"/>
  <c r="AF608" i="1"/>
  <c r="H609" i="1"/>
  <c r="AN609" i="1"/>
  <c r="X695" i="1"/>
  <c r="AF511" i="1"/>
  <c r="AB606" i="1"/>
  <c r="H607" i="1"/>
  <c r="AB610" i="1"/>
  <c r="X509" i="1"/>
  <c r="BD509" i="1"/>
  <c r="X513" i="1"/>
  <c r="AR548" i="1"/>
  <c r="AV597" i="1"/>
  <c r="BD671" i="1"/>
  <c r="X499" i="1"/>
  <c r="AR556" i="1"/>
  <c r="AR563" i="1" s="1"/>
  <c r="AJ583" i="1"/>
  <c r="T124" i="1"/>
  <c r="T131" i="1" s="1"/>
  <c r="T128" i="1"/>
  <c r="AZ400" i="1"/>
  <c r="AZ407" i="1" s="1"/>
  <c r="AZ402" i="1"/>
  <c r="AB449" i="1"/>
  <c r="T452" i="1"/>
  <c r="X466" i="1"/>
  <c r="BD466" i="1"/>
  <c r="AN546" i="1"/>
  <c r="AF586" i="1"/>
  <c r="AV592" i="1"/>
  <c r="AV599" i="1" s="1"/>
  <c r="AB595" i="1"/>
  <c r="AV671" i="1"/>
  <c r="L512" i="1"/>
  <c r="AR512" i="1"/>
  <c r="AZ580" i="1"/>
  <c r="AZ587" i="1" s="1"/>
  <c r="AV605" i="1"/>
  <c r="X606" i="1"/>
  <c r="BD606" i="1"/>
  <c r="P609" i="1"/>
  <c r="AV609" i="1"/>
  <c r="H583" i="1"/>
  <c r="AB274" i="1"/>
  <c r="L532" i="1"/>
  <c r="L539" i="1" s="1"/>
  <c r="BD582" i="1"/>
  <c r="AV593" i="1"/>
  <c r="BD635" i="1"/>
  <c r="AV560" i="1"/>
  <c r="H586" i="1"/>
  <c r="AN595" i="1"/>
  <c r="X659" i="1"/>
  <c r="X520" i="1"/>
  <c r="X527" i="1" s="1"/>
  <c r="AJ581" i="1"/>
  <c r="X607" i="1"/>
  <c r="P610" i="1"/>
  <c r="AV610" i="1"/>
  <c r="X623" i="1"/>
  <c r="AZ521" i="1"/>
  <c r="AF561" i="1"/>
  <c r="AV571" i="1"/>
  <c r="AV604" i="1"/>
  <c r="AV611" i="1" s="1"/>
  <c r="BD659" i="1"/>
  <c r="AB623" i="1"/>
  <c r="AJ538" i="1"/>
  <c r="H497" i="1"/>
  <c r="AR474" i="1"/>
  <c r="X496" i="1"/>
  <c r="X503" i="1" s="1"/>
  <c r="L497" i="1"/>
  <c r="X596" i="1"/>
  <c r="AB197" i="1"/>
  <c r="AB247" i="1"/>
  <c r="AB389" i="1"/>
  <c r="L413" i="1"/>
  <c r="L414" i="1"/>
  <c r="AR414" i="1"/>
  <c r="BD448" i="1"/>
  <c r="BD455" i="1" s="1"/>
  <c r="L460" i="1"/>
  <c r="L467" i="1" s="1"/>
  <c r="AR460" i="1"/>
  <c r="AR467" i="1" s="1"/>
  <c r="L464" i="1"/>
  <c r="AR464" i="1"/>
  <c r="T465" i="1"/>
  <c r="AZ486" i="1"/>
  <c r="T488" i="1"/>
  <c r="AB489" i="1"/>
  <c r="P497" i="1"/>
  <c r="BD498" i="1"/>
  <c r="T525" i="1"/>
  <c r="AB545" i="1"/>
  <c r="AN586" i="1"/>
  <c r="BD594" i="1"/>
  <c r="AF595" i="1"/>
  <c r="X605" i="1"/>
  <c r="AF606" i="1"/>
  <c r="X609" i="1"/>
  <c r="BD609" i="1"/>
  <c r="AF610" i="1"/>
  <c r="AJ497" i="1"/>
  <c r="AJ562" i="1"/>
  <c r="AN520" i="1"/>
  <c r="AN527" i="1" s="1"/>
  <c r="AV391" i="1"/>
  <c r="P418" i="1"/>
  <c r="X461" i="1"/>
  <c r="X484" i="1"/>
  <c r="X491" i="1" s="1"/>
  <c r="AV487" i="1"/>
  <c r="BD488" i="1"/>
  <c r="T497" i="1"/>
  <c r="AZ497" i="1"/>
  <c r="AN513" i="1"/>
  <c r="AF522" i="1"/>
  <c r="BD550" i="1"/>
  <c r="T558" i="1"/>
  <c r="AV583" i="1"/>
  <c r="AR586" i="1"/>
  <c r="X593" i="1"/>
  <c r="T604" i="1"/>
  <c r="T611" i="1" s="1"/>
  <c r="AZ604" i="1"/>
  <c r="AZ611" i="1" s="1"/>
  <c r="AZ606" i="1"/>
  <c r="T608" i="1"/>
  <c r="AZ608" i="1"/>
  <c r="AF524" i="1"/>
  <c r="AN604" i="1"/>
  <c r="AV488" i="1"/>
  <c r="AR497" i="1"/>
  <c r="AB537" i="1"/>
  <c r="AN499" i="1"/>
  <c r="AR522" i="1"/>
  <c r="X558" i="1"/>
  <c r="AV586" i="1"/>
  <c r="X604" i="1"/>
  <c r="BD604" i="1"/>
  <c r="BD611" i="1" s="1"/>
  <c r="H604" i="1"/>
  <c r="P488" i="1"/>
  <c r="AN524" i="1"/>
  <c r="AR558" i="1"/>
  <c r="AJ561" i="1"/>
  <c r="X460" i="1"/>
  <c r="X467" i="1" s="1"/>
  <c r="BD464" i="1"/>
  <c r="AF484" i="1"/>
  <c r="AF491" i="1" s="1"/>
  <c r="AB562" i="1"/>
  <c r="X586" i="1"/>
  <c r="AZ594" i="1"/>
  <c r="L598" i="1"/>
  <c r="AB604" i="1"/>
  <c r="AB611" i="1" s="1"/>
  <c r="T605" i="1"/>
  <c r="AB608" i="1"/>
  <c r="AB609" i="1"/>
  <c r="H358" i="1"/>
  <c r="AB102" i="1"/>
  <c r="AF308" i="1"/>
  <c r="AF381" i="1"/>
  <c r="H441" i="1"/>
  <c r="X449" i="1"/>
  <c r="P452" i="1"/>
  <c r="AV452" i="1"/>
  <c r="AB496" i="1"/>
  <c r="AB503" i="1" s="1"/>
  <c r="AB501" i="1"/>
  <c r="AV509" i="1"/>
  <c r="AR513" i="1"/>
  <c r="AB522" i="1"/>
  <c r="AR525" i="1"/>
  <c r="X536" i="1"/>
  <c r="X560" i="1"/>
  <c r="H523" i="1"/>
  <c r="AR162" i="1"/>
  <c r="X366" i="1"/>
  <c r="T418" i="1"/>
  <c r="T437" i="1"/>
  <c r="AZ437" i="1"/>
  <c r="AZ439" i="1"/>
  <c r="H449" i="1"/>
  <c r="AN449" i="1"/>
  <c r="P450" i="1"/>
  <c r="AF452" i="1"/>
  <c r="T464" i="1"/>
  <c r="AZ464" i="1"/>
  <c r="H472" i="1"/>
  <c r="H479" i="1" s="1"/>
  <c r="AN472" i="1"/>
  <c r="P473" i="1"/>
  <c r="AV477" i="1"/>
  <c r="P496" i="1"/>
  <c r="AR496" i="1"/>
  <c r="AV497" i="1"/>
  <c r="AF499" i="1"/>
  <c r="AF509" i="1"/>
  <c r="H510" i="1"/>
  <c r="AV511" i="1"/>
  <c r="H520" i="1"/>
  <c r="H527" i="1" s="1"/>
  <c r="P523" i="1"/>
  <c r="AV557" i="1"/>
  <c r="H473" i="1"/>
  <c r="AN440" i="1"/>
  <c r="AN496" i="1"/>
  <c r="AN503" i="1" s="1"/>
  <c r="X418" i="1"/>
  <c r="AV440" i="1"/>
  <c r="AR449" i="1"/>
  <c r="AR472" i="1"/>
  <c r="AR479" i="1" s="1"/>
  <c r="AJ475" i="1"/>
  <c r="T477" i="1"/>
  <c r="AZ499" i="1"/>
  <c r="L521" i="1"/>
  <c r="AR521" i="1"/>
  <c r="P522" i="1"/>
  <c r="BD535" i="1"/>
  <c r="AB549" i="1"/>
  <c r="P561" i="1"/>
  <c r="X112" i="1"/>
  <c r="X119" i="1" s="1"/>
  <c r="X116" i="1"/>
  <c r="BD116" i="1"/>
  <c r="AR412" i="1"/>
  <c r="AR419" i="1" s="1"/>
  <c r="T417" i="1"/>
  <c r="AB418" i="1"/>
  <c r="AZ436" i="1"/>
  <c r="AZ443" i="1" s="1"/>
  <c r="L438" i="1"/>
  <c r="AR439" i="1"/>
  <c r="T440" i="1"/>
  <c r="BD450" i="1"/>
  <c r="AN452" i="1"/>
  <c r="AB460" i="1"/>
  <c r="BD477" i="1"/>
  <c r="L485" i="1"/>
  <c r="AJ488" i="1"/>
  <c r="L500" i="1"/>
  <c r="H509" i="1"/>
  <c r="X511" i="1"/>
  <c r="AF512" i="1"/>
  <c r="P520" i="1"/>
  <c r="X548" i="1"/>
  <c r="H450" i="1"/>
  <c r="H463" i="1"/>
  <c r="AJ472" i="1"/>
  <c r="AJ479" i="1" s="1"/>
  <c r="AR473" i="1"/>
  <c r="X414" i="1"/>
  <c r="L449" i="1"/>
  <c r="X106" i="1"/>
  <c r="BD106" i="1"/>
  <c r="T138" i="1"/>
  <c r="AZ138" i="1"/>
  <c r="L140" i="1"/>
  <c r="AF149" i="1"/>
  <c r="L329" i="1"/>
  <c r="X340" i="1"/>
  <c r="X347" i="1" s="1"/>
  <c r="BD344" i="1"/>
  <c r="X367" i="1"/>
  <c r="AV389" i="1"/>
  <c r="X413" i="1"/>
  <c r="AF414" i="1"/>
  <c r="AZ424" i="1"/>
  <c r="AZ431" i="1" s="1"/>
  <c r="P439" i="1"/>
  <c r="X440" i="1"/>
  <c r="T449" i="1"/>
  <c r="AZ449" i="1"/>
  <c r="AR452" i="1"/>
  <c r="AB454" i="1"/>
  <c r="T472" i="1"/>
  <c r="T479" i="1" s="1"/>
  <c r="H488" i="1"/>
  <c r="BD496" i="1"/>
  <c r="BD503" i="1" s="1"/>
  <c r="AB497" i="1"/>
  <c r="AF502" i="1"/>
  <c r="AR509" i="1"/>
  <c r="AR520" i="1"/>
  <c r="AV534" i="1"/>
  <c r="L549" i="1"/>
  <c r="H475" i="1"/>
  <c r="AN475" i="1"/>
  <c r="X485" i="1"/>
  <c r="BD485" i="1"/>
  <c r="H498" i="1"/>
  <c r="AJ510" i="1"/>
  <c r="T520" i="1"/>
  <c r="T527" i="1" s="1"/>
  <c r="AF129" i="1"/>
  <c r="X316" i="1"/>
  <c r="X323" i="1" s="1"/>
  <c r="X389" i="1"/>
  <c r="X403" i="1"/>
  <c r="T412" i="1"/>
  <c r="T419" i="1" s="1"/>
  <c r="AB436" i="1"/>
  <c r="AB443" i="1" s="1"/>
  <c r="AR438" i="1"/>
  <c r="AF441" i="1"/>
  <c r="L448" i="1"/>
  <c r="L455" i="1" s="1"/>
  <c r="P449" i="1"/>
  <c r="AB451" i="1"/>
  <c r="L453" i="1"/>
  <c r="AR453" i="1"/>
  <c r="T460" i="1"/>
  <c r="T467" i="1" s="1"/>
  <c r="AB461" i="1"/>
  <c r="AN463" i="1"/>
  <c r="P464" i="1"/>
  <c r="L475" i="1"/>
  <c r="AB478" i="1"/>
  <c r="L488" i="1"/>
  <c r="AR488" i="1"/>
  <c r="AN497" i="1"/>
  <c r="AN510" i="1"/>
  <c r="AR511" i="1"/>
  <c r="P512" i="1"/>
  <c r="AV513" i="1"/>
  <c r="AB525" i="1"/>
  <c r="T392" i="1"/>
  <c r="X438" i="1"/>
  <c r="AZ442" i="1"/>
  <c r="AF450" i="1"/>
  <c r="H461" i="1"/>
  <c r="AZ463" i="1"/>
  <c r="H438" i="1"/>
  <c r="P392" i="1"/>
  <c r="BD520" i="1"/>
  <c r="BD527" i="1" s="1"/>
  <c r="L525" i="1"/>
  <c r="AF223" i="1"/>
  <c r="AB259" i="1"/>
  <c r="AB352" i="1"/>
  <c r="AB355" i="1"/>
  <c r="L379" i="1"/>
  <c r="AR380" i="1"/>
  <c r="AN389" i="1"/>
  <c r="X391" i="1"/>
  <c r="L394" i="1"/>
  <c r="L412" i="1"/>
  <c r="L419" i="1" s="1"/>
  <c r="BD424" i="1"/>
  <c r="BD431" i="1" s="1"/>
  <c r="AF425" i="1"/>
  <c r="L436" i="1"/>
  <c r="L443" i="1" s="1"/>
  <c r="AB438" i="1"/>
  <c r="X442" i="1"/>
  <c r="AB448" i="1"/>
  <c r="AB455" i="1" s="1"/>
  <c r="AJ460" i="1"/>
  <c r="AJ467" i="1" s="1"/>
  <c r="L461" i="1"/>
  <c r="AR461" i="1"/>
  <c r="BD463" i="1"/>
  <c r="X474" i="1"/>
  <c r="AZ474" i="1"/>
  <c r="AB475" i="1"/>
  <c r="L477" i="1"/>
  <c r="AN477" i="1"/>
  <c r="AR478" i="1"/>
  <c r="AN484" i="1"/>
  <c r="AB488" i="1"/>
  <c r="H496" i="1"/>
  <c r="H503" i="1" s="1"/>
  <c r="AF496" i="1"/>
  <c r="X510" i="1"/>
  <c r="BD510" i="1"/>
  <c r="AJ520" i="1"/>
  <c r="AJ527" i="1" s="1"/>
  <c r="AJ521" i="1"/>
  <c r="P525" i="1"/>
  <c r="H448" i="1"/>
  <c r="H455" i="1" s="1"/>
  <c r="L405" i="1"/>
  <c r="L463" i="1"/>
  <c r="AV475" i="1"/>
  <c r="AF485" i="1"/>
  <c r="AE491" i="1"/>
  <c r="L510" i="1"/>
  <c r="AR510" i="1"/>
  <c r="AZ392" i="1"/>
  <c r="T438" i="1"/>
  <c r="AZ438" i="1"/>
  <c r="T453" i="1"/>
  <c r="AZ453" i="1"/>
  <c r="P463" i="1"/>
  <c r="AV463" i="1"/>
  <c r="T475" i="1"/>
  <c r="AZ475" i="1"/>
  <c r="H484" i="1"/>
  <c r="H491" i="1" s="1"/>
  <c r="AZ490" i="1"/>
  <c r="P510" i="1"/>
  <c r="AB520" i="1"/>
  <c r="AF523" i="1"/>
  <c r="AJ525" i="1"/>
  <c r="AR175" i="1"/>
  <c r="X392" i="1"/>
  <c r="AN394" i="1"/>
  <c r="AZ405" i="1"/>
  <c r="AN436" i="1"/>
  <c r="AN443" i="1" s="1"/>
  <c r="L441" i="1"/>
  <c r="AN461" i="1"/>
  <c r="T463" i="1"/>
  <c r="T500" i="1"/>
  <c r="P502" i="1"/>
  <c r="AF520" i="1"/>
  <c r="AJ522" i="1"/>
  <c r="AF113" i="1"/>
  <c r="L124" i="1"/>
  <c r="L131" i="1" s="1"/>
  <c r="AR124" i="1"/>
  <c r="AR131" i="1" s="1"/>
  <c r="AB126" i="1"/>
  <c r="AZ148" i="1"/>
  <c r="AZ155" i="1" s="1"/>
  <c r="AB149" i="1"/>
  <c r="T150" i="1"/>
  <c r="AB153" i="1"/>
  <c r="X162" i="1"/>
  <c r="T196" i="1"/>
  <c r="T203" i="1" s="1"/>
  <c r="AB245" i="1"/>
  <c r="P307" i="1"/>
  <c r="AR389" i="1"/>
  <c r="AB391" i="1"/>
  <c r="BD391" i="1"/>
  <c r="P413" i="1"/>
  <c r="AF438" i="1"/>
  <c r="P440" i="1"/>
  <c r="AR440" i="1"/>
  <c r="AN450" i="1"/>
  <c r="H460" i="1"/>
  <c r="H467" i="1" s="1"/>
  <c r="AN460" i="1"/>
  <c r="P461" i="1"/>
  <c r="AV461" i="1"/>
  <c r="AR484" i="1"/>
  <c r="AR491" i="1" s="1"/>
  <c r="P485" i="1"/>
  <c r="AF488" i="1"/>
  <c r="L496" i="1"/>
  <c r="L503" i="1" s="1"/>
  <c r="X501" i="1"/>
  <c r="AB510" i="1"/>
  <c r="L520" i="1"/>
  <c r="L527" i="1" s="1"/>
  <c r="AN521" i="1"/>
  <c r="AR523" i="1"/>
  <c r="AJ415" i="1"/>
  <c r="AF429" i="1"/>
  <c r="AJ429" i="1"/>
  <c r="H400" i="1"/>
  <c r="H407" i="1" s="1"/>
  <c r="AN415" i="1"/>
  <c r="P436" i="1"/>
  <c r="P443" i="1" s="1"/>
  <c r="P329" i="1"/>
  <c r="P356" i="1"/>
  <c r="H382" i="1"/>
  <c r="L388" i="1"/>
  <c r="L395" i="1" s="1"/>
  <c r="AR388" i="1"/>
  <c r="AR395" i="1" s="1"/>
  <c r="X412" i="1"/>
  <c r="X419" i="1" s="1"/>
  <c r="AJ414" i="1"/>
  <c r="L429" i="1"/>
  <c r="AR429" i="1"/>
  <c r="AZ440" i="1"/>
  <c r="AZ441" i="1"/>
  <c r="AB442" i="1"/>
  <c r="BD442" i="1"/>
  <c r="X452" i="1"/>
  <c r="P163" i="1"/>
  <c r="H222" i="1"/>
  <c r="AN222" i="1"/>
  <c r="L259" i="1"/>
  <c r="BD293" i="1"/>
  <c r="AZ306" i="1"/>
  <c r="AF317" i="1"/>
  <c r="AB330" i="1"/>
  <c r="AZ379" i="1"/>
  <c r="P388" i="1"/>
  <c r="P395" i="1" s="1"/>
  <c r="AR394" i="1"/>
  <c r="AV400" i="1"/>
  <c r="AV407" i="1" s="1"/>
  <c r="BD405" i="1"/>
  <c r="AU407" i="1"/>
  <c r="H414" i="1"/>
  <c r="AN414" i="1"/>
  <c r="BD416" i="1"/>
  <c r="AF418" i="1"/>
  <c r="AJ418" i="1"/>
  <c r="H424" i="1"/>
  <c r="H431" i="1" s="1"/>
  <c r="AN424" i="1"/>
  <c r="AV425" i="1"/>
  <c r="P429" i="1"/>
  <c r="AV429" i="1"/>
  <c r="BD430" i="1"/>
  <c r="X436" i="1"/>
  <c r="X443" i="1" s="1"/>
  <c r="BD436" i="1"/>
  <c r="BD443" i="1" s="1"/>
  <c r="BD438" i="1"/>
  <c r="BD441" i="1"/>
  <c r="AF442" i="1"/>
  <c r="AB452" i="1"/>
  <c r="AF475" i="1"/>
  <c r="H477" i="1"/>
  <c r="AJ477" i="1"/>
  <c r="H388" i="1"/>
  <c r="H395" i="1" s="1"/>
  <c r="H415" i="1"/>
  <c r="H425" i="1"/>
  <c r="H429" i="1"/>
  <c r="AZ196" i="1"/>
  <c r="AZ203" i="1" s="1"/>
  <c r="AV209" i="1"/>
  <c r="BD233" i="1"/>
  <c r="BD248" i="1"/>
  <c r="T269" i="1"/>
  <c r="P286" i="1"/>
  <c r="BD329" i="1"/>
  <c r="P340" i="1"/>
  <c r="P347" i="1" s="1"/>
  <c r="P382" i="1"/>
  <c r="AV382" i="1"/>
  <c r="T388" i="1"/>
  <c r="T395" i="1" s="1"/>
  <c r="AV393" i="1"/>
  <c r="T394" i="1"/>
  <c r="AZ415" i="1"/>
  <c r="AZ427" i="1"/>
  <c r="T429" i="1"/>
  <c r="AZ429" i="1"/>
  <c r="AF440" i="1"/>
  <c r="BD462" i="1"/>
  <c r="X476" i="1"/>
  <c r="AJ356" i="1"/>
  <c r="AF270" i="1"/>
  <c r="AF274" i="1"/>
  <c r="L284" i="1"/>
  <c r="X292" i="1"/>
  <c r="X299" i="1" s="1"/>
  <c r="AF293" i="1"/>
  <c r="X296" i="1"/>
  <c r="BD296" i="1"/>
  <c r="P330" i="1"/>
  <c r="AF343" i="1"/>
  <c r="AN367" i="1"/>
  <c r="T382" i="1"/>
  <c r="AZ382" i="1"/>
  <c r="X388" i="1"/>
  <c r="X395" i="1" s="1"/>
  <c r="AR392" i="1"/>
  <c r="AZ393" i="1"/>
  <c r="X394" i="1"/>
  <c r="BD400" i="1"/>
  <c r="BD407" i="1" s="1"/>
  <c r="AN413" i="1"/>
  <c r="P414" i="1"/>
  <c r="AV414" i="1"/>
  <c r="X415" i="1"/>
  <c r="BD415" i="1"/>
  <c r="X425" i="1"/>
  <c r="BD425" i="1"/>
  <c r="X429" i="1"/>
  <c r="AJ438" i="1"/>
  <c r="H440" i="1"/>
  <c r="AJ440" i="1"/>
  <c r="AR448" i="1"/>
  <c r="AR455" i="1" s="1"/>
  <c r="AZ450" i="1"/>
  <c r="H452" i="1"/>
  <c r="BD452" i="1"/>
  <c r="BD460" i="1"/>
  <c r="BD467" i="1" s="1"/>
  <c r="X463" i="1"/>
  <c r="AF463" i="1"/>
  <c r="H465" i="1"/>
  <c r="AV473" i="1"/>
  <c r="H474" i="1"/>
  <c r="P477" i="1"/>
  <c r="AR477" i="1"/>
  <c r="AN388" i="1"/>
  <c r="AN400" i="1"/>
  <c r="AN429" i="1"/>
  <c r="T200" i="1"/>
  <c r="P209" i="1"/>
  <c r="BD333" i="1"/>
  <c r="AZ388" i="1"/>
  <c r="AZ395" i="1" s="1"/>
  <c r="P178" i="1"/>
  <c r="AV189" i="1"/>
  <c r="X196" i="1"/>
  <c r="X203" i="1" s="1"/>
  <c r="AZ162" i="1"/>
  <c r="AF177" i="1"/>
  <c r="T185" i="1"/>
  <c r="AZ185" i="1"/>
  <c r="AZ187" i="1"/>
  <c r="T189" i="1"/>
  <c r="AN201" i="1"/>
  <c r="X209" i="1"/>
  <c r="AF233" i="1"/>
  <c r="L270" i="1"/>
  <c r="AF329" i="1"/>
  <c r="AF333" i="1"/>
  <c r="AF356" i="1"/>
  <c r="L367" i="1"/>
  <c r="AR367" i="1"/>
  <c r="AF379" i="1"/>
  <c r="AV392" i="1"/>
  <c r="X393" i="1"/>
  <c r="BD394" i="1"/>
  <c r="AJ405" i="1"/>
  <c r="AR413" i="1"/>
  <c r="T414" i="1"/>
  <c r="AV418" i="1"/>
  <c r="AN438" i="1"/>
  <c r="L439" i="1"/>
  <c r="AN439" i="1"/>
  <c r="L440" i="1"/>
  <c r="AJ441" i="1"/>
  <c r="AJ449" i="1"/>
  <c r="L452" i="1"/>
  <c r="AJ452" i="1"/>
  <c r="C467" i="1"/>
  <c r="AF461" i="1"/>
  <c r="AF462" i="1"/>
  <c r="AJ463" i="1"/>
  <c r="AJ464" i="1"/>
  <c r="AN465" i="1"/>
  <c r="L474" i="1"/>
  <c r="P475" i="1"/>
  <c r="AR475" i="1"/>
  <c r="T478" i="1"/>
  <c r="AF400" i="1"/>
  <c r="H377" i="1"/>
  <c r="AF424" i="1"/>
  <c r="AF431" i="1" s="1"/>
  <c r="AV225" i="1"/>
  <c r="X274" i="1"/>
  <c r="AR428" i="1"/>
  <c r="AZ186" i="1"/>
  <c r="AJ196" i="1"/>
  <c r="AJ203" i="1" s="1"/>
  <c r="H247" i="1"/>
  <c r="T258" i="1"/>
  <c r="H293" i="1"/>
  <c r="AB320" i="1"/>
  <c r="L321" i="1"/>
  <c r="AR321" i="1"/>
  <c r="AB354" i="1"/>
  <c r="L355" i="1"/>
  <c r="AR355" i="1"/>
  <c r="L370" i="1"/>
  <c r="P381" i="1"/>
  <c r="AV381" i="1"/>
  <c r="AV390" i="1"/>
  <c r="H391" i="1"/>
  <c r="AB392" i="1"/>
  <c r="AR400" i="1"/>
  <c r="AR407" i="1" s="1"/>
  <c r="AF412" i="1"/>
  <c r="AF419" i="1" s="1"/>
  <c r="AV413" i="1"/>
  <c r="P424" i="1"/>
  <c r="P431" i="1" s="1"/>
  <c r="BD426" i="1"/>
  <c r="AN164" i="1"/>
  <c r="AR184" i="1"/>
  <c r="AR221" i="1"/>
  <c r="AR225" i="1"/>
  <c r="H173" i="1"/>
  <c r="P198" i="1"/>
  <c r="AV202" i="1"/>
  <c r="AV221" i="1"/>
  <c r="P225" i="1"/>
  <c r="AJ293" i="1"/>
  <c r="AN370" i="1"/>
  <c r="L153" i="1"/>
  <c r="L163" i="1"/>
  <c r="L197" i="1"/>
  <c r="AZ140" i="1"/>
  <c r="AB141" i="1"/>
  <c r="P153" i="1"/>
  <c r="L162" i="1"/>
  <c r="AR163" i="1"/>
  <c r="P173" i="1"/>
  <c r="AU179" i="1"/>
  <c r="X174" i="1"/>
  <c r="BD174" i="1"/>
  <c r="L177" i="1"/>
  <c r="T178" i="1"/>
  <c r="AZ178" i="1"/>
  <c r="AN196" i="1"/>
  <c r="AN203" i="1" s="1"/>
  <c r="P197" i="1"/>
  <c r="T238" i="1"/>
  <c r="AZ238" i="1"/>
  <c r="AR247" i="1"/>
  <c r="X258" i="1"/>
  <c r="BD258" i="1"/>
  <c r="AF259" i="1"/>
  <c r="L274" i="1"/>
  <c r="AR274" i="1"/>
  <c r="AN283" i="1"/>
  <c r="AZ308" i="1"/>
  <c r="P321" i="1"/>
  <c r="AV329" i="1"/>
  <c r="AJ329" i="1"/>
  <c r="P355" i="1"/>
  <c r="AV355" i="1"/>
  <c r="BD377" i="1"/>
  <c r="H379" i="1"/>
  <c r="P380" i="1"/>
  <c r="T381" i="1"/>
  <c r="AF388" i="1"/>
  <c r="H389" i="1"/>
  <c r="L391" i="1"/>
  <c r="AN391" i="1"/>
  <c r="H392" i="1"/>
  <c r="AF392" i="1"/>
  <c r="BD392" i="1"/>
  <c r="AB393" i="1"/>
  <c r="AZ401" i="1"/>
  <c r="AB402" i="1"/>
  <c r="BD402" i="1"/>
  <c r="H413" i="1"/>
  <c r="AB413" i="1"/>
  <c r="AZ414" i="1"/>
  <c r="AB416" i="1"/>
  <c r="H418" i="1"/>
  <c r="BD418" i="1"/>
  <c r="L425" i="1"/>
  <c r="AJ425" i="1"/>
  <c r="AV427" i="1"/>
  <c r="AB429" i="1"/>
  <c r="AJ164" i="1"/>
  <c r="H188" i="1"/>
  <c r="H308" i="1"/>
  <c r="H355" i="1"/>
  <c r="H380" i="1"/>
  <c r="AJ406" i="1"/>
  <c r="AR153" i="1"/>
  <c r="H196" i="1"/>
  <c r="H203" i="1" s="1"/>
  <c r="AV101" i="1"/>
  <c r="P116" i="1"/>
  <c r="AV116" i="1"/>
  <c r="BD140" i="1"/>
  <c r="AF141" i="1"/>
  <c r="L148" i="1"/>
  <c r="L155" i="1" s="1"/>
  <c r="AR148" i="1"/>
  <c r="AR155" i="1" s="1"/>
  <c r="AZ151" i="1"/>
  <c r="L152" i="1"/>
  <c r="AR152" i="1"/>
  <c r="AB154" i="1"/>
  <c r="AV163" i="1"/>
  <c r="AF165" i="1"/>
  <c r="AB174" i="1"/>
  <c r="AR200" i="1"/>
  <c r="AN209" i="1"/>
  <c r="P210" i="1"/>
  <c r="AV210" i="1"/>
  <c r="AV214" i="1"/>
  <c r="T220" i="1"/>
  <c r="T227" i="1" s="1"/>
  <c r="AB221" i="1"/>
  <c r="AZ226" i="1"/>
  <c r="BD245" i="1"/>
  <c r="P247" i="1"/>
  <c r="AV247" i="1"/>
  <c r="P274" i="1"/>
  <c r="AV274" i="1"/>
  <c r="AV307" i="1"/>
  <c r="X308" i="1"/>
  <c r="AN329" i="1"/>
  <c r="L353" i="1"/>
  <c r="T355" i="1"/>
  <c r="AB367" i="1"/>
  <c r="AZ370" i="1"/>
  <c r="T376" i="1"/>
  <c r="T383" i="1" s="1"/>
  <c r="AR378" i="1"/>
  <c r="BD381" i="1"/>
  <c r="AF382" i="1"/>
  <c r="AJ388" i="1"/>
  <c r="AJ395" i="1" s="1"/>
  <c r="AR391" i="1"/>
  <c r="L392" i="1"/>
  <c r="AJ392" i="1"/>
  <c r="AN393" i="1"/>
  <c r="AJ394" i="1"/>
  <c r="O395" i="1"/>
  <c r="X400" i="1"/>
  <c r="X407" i="1" s="1"/>
  <c r="AN405" i="1"/>
  <c r="P412" i="1"/>
  <c r="P419" i="1" s="1"/>
  <c r="AF413" i="1"/>
  <c r="BD413" i="1"/>
  <c r="BD414" i="1"/>
  <c r="X424" i="1"/>
  <c r="X431" i="1" s="1"/>
  <c r="P425" i="1"/>
  <c r="AN425" i="1"/>
  <c r="H430" i="1"/>
  <c r="H174" i="1"/>
  <c r="H164" i="1"/>
  <c r="L225" i="1"/>
  <c r="H294" i="1"/>
  <c r="H401" i="1"/>
  <c r="P202" i="1"/>
  <c r="AN355" i="1"/>
  <c r="AN380" i="1"/>
  <c r="AZ391" i="1"/>
  <c r="AN163" i="1"/>
  <c r="AZ258" i="1"/>
  <c r="AZ114" i="1"/>
  <c r="T116" i="1"/>
  <c r="X126" i="1"/>
  <c r="AF127" i="1"/>
  <c r="BD130" i="1"/>
  <c r="AR138" i="1"/>
  <c r="AB140" i="1"/>
  <c r="BD153" i="1"/>
  <c r="X197" i="1"/>
  <c r="BD197" i="1"/>
  <c r="AF198" i="1"/>
  <c r="P200" i="1"/>
  <c r="BD201" i="1"/>
  <c r="AF202" i="1"/>
  <c r="AZ208" i="1"/>
  <c r="AZ215" i="1" s="1"/>
  <c r="L209" i="1"/>
  <c r="AR209" i="1"/>
  <c r="AV223" i="1"/>
  <c r="AF225" i="1"/>
  <c r="AF262" i="1"/>
  <c r="L268" i="1"/>
  <c r="L275" i="1" s="1"/>
  <c r="T293" i="1"/>
  <c r="AZ293" i="1"/>
  <c r="T307" i="1"/>
  <c r="AZ307" i="1"/>
  <c r="BD309" i="1"/>
  <c r="AZ330" i="1"/>
  <c r="AB331" i="1"/>
  <c r="AZ340" i="1"/>
  <c r="AZ347" i="1" s="1"/>
  <c r="AR342" i="1"/>
  <c r="X355" i="1"/>
  <c r="BD355" i="1"/>
  <c r="AB356" i="1"/>
  <c r="AV369" i="1"/>
  <c r="X370" i="1"/>
  <c r="L390" i="1"/>
  <c r="P391" i="1"/>
  <c r="AN392" i="1"/>
  <c r="AB400" i="1"/>
  <c r="AB407" i="1" s="1"/>
  <c r="AR402" i="1"/>
  <c r="P405" i="1"/>
  <c r="AR405" i="1"/>
  <c r="AV415" i="1"/>
  <c r="AF415" i="1"/>
  <c r="L418" i="1"/>
  <c r="T425" i="1"/>
  <c r="AR425" i="1"/>
  <c r="AN366" i="1"/>
  <c r="H250" i="1"/>
  <c r="BD103" i="1"/>
  <c r="AR127" i="1"/>
  <c r="AB353" i="1"/>
  <c r="AF173" i="1"/>
  <c r="L380" i="1"/>
  <c r="AJ353" i="1"/>
  <c r="T140" i="1"/>
  <c r="AJ378" i="1"/>
  <c r="BD190" i="1"/>
  <c r="AB104" i="1"/>
  <c r="AF118" i="1"/>
  <c r="H138" i="1"/>
  <c r="X140" i="1"/>
  <c r="P142" i="1"/>
  <c r="H148" i="1"/>
  <c r="H155" i="1" s="1"/>
  <c r="AN148" i="1"/>
  <c r="BD150" i="1"/>
  <c r="H152" i="1"/>
  <c r="BD154" i="1"/>
  <c r="X380" i="1"/>
  <c r="AJ258" i="1"/>
  <c r="X273" i="1"/>
  <c r="X344" i="1"/>
  <c r="AZ364" i="1"/>
  <c r="AZ371" i="1" s="1"/>
  <c r="AR379" i="1"/>
  <c r="BD380" i="1"/>
  <c r="P104" i="1"/>
  <c r="P127" i="1"/>
  <c r="BD148" i="1"/>
  <c r="BD155" i="1" s="1"/>
  <c r="AV177" i="1"/>
  <c r="X199" i="1"/>
  <c r="AZ210" i="1"/>
  <c r="AE263" i="1"/>
  <c r="AN258" i="1"/>
  <c r="T260" i="1"/>
  <c r="AV262" i="1"/>
  <c r="H268" i="1"/>
  <c r="H275" i="1" s="1"/>
  <c r="AV270" i="1"/>
  <c r="AN115" i="1"/>
  <c r="P126" i="1"/>
  <c r="BD127" i="1"/>
  <c r="AZ141" i="1"/>
  <c r="AN153" i="1"/>
  <c r="T160" i="1"/>
  <c r="T167" i="1" s="1"/>
  <c r="AB173" i="1"/>
  <c r="AB184" i="1"/>
  <c r="AF188" i="1"/>
  <c r="P201" i="1"/>
  <c r="AV201" i="1"/>
  <c r="AN213" i="1"/>
  <c r="X221" i="1"/>
  <c r="AF222" i="1"/>
  <c r="AV248" i="1"/>
  <c r="AB250" i="1"/>
  <c r="AN261" i="1"/>
  <c r="AR268" i="1"/>
  <c r="X270" i="1"/>
  <c r="BD274" i="1"/>
  <c r="AZ283" i="1"/>
  <c r="X285" i="1"/>
  <c r="P293" i="1"/>
  <c r="T308" i="1"/>
  <c r="AV308" i="1"/>
  <c r="AJ316" i="1"/>
  <c r="AJ323" i="1" s="1"/>
  <c r="X319" i="1"/>
  <c r="AN321" i="1"/>
  <c r="L322" i="1"/>
  <c r="T329" i="1"/>
  <c r="H343" i="1"/>
  <c r="X353" i="1"/>
  <c r="AZ353" i="1"/>
  <c r="AJ355" i="1"/>
  <c r="L356" i="1"/>
  <c r="H367" i="1"/>
  <c r="AR369" i="1"/>
  <c r="T370" i="1"/>
  <c r="AV370" i="1"/>
  <c r="AR376" i="1"/>
  <c r="AR383" i="1" s="1"/>
  <c r="AB378" i="1"/>
  <c r="X379" i="1"/>
  <c r="L381" i="1"/>
  <c r="AR381" i="1"/>
  <c r="L382" i="1"/>
  <c r="AR382" i="1"/>
  <c r="AB201" i="1"/>
  <c r="AR222" i="1"/>
  <c r="AN250" i="1"/>
  <c r="H260" i="1"/>
  <c r="AN260" i="1"/>
  <c r="H270" i="1"/>
  <c r="BD282" i="1"/>
  <c r="BD292" i="1"/>
  <c r="BD299" i="1" s="1"/>
  <c r="X307" i="1"/>
  <c r="L320" i="1"/>
  <c r="BD322" i="1"/>
  <c r="L331" i="1"/>
  <c r="AB344" i="1"/>
  <c r="H353" i="1"/>
  <c r="T356" i="1"/>
  <c r="L366" i="1"/>
  <c r="AJ379" i="1"/>
  <c r="AV380" i="1"/>
  <c r="X381" i="1"/>
  <c r="X382" i="1"/>
  <c r="BD382" i="1"/>
  <c r="AV105" i="1"/>
  <c r="P124" i="1"/>
  <c r="P131" i="1" s="1"/>
  <c r="AV124" i="1"/>
  <c r="AV131" i="1" s="1"/>
  <c r="AF150" i="1"/>
  <c r="L161" i="1"/>
  <c r="AR161" i="1"/>
  <c r="L173" i="1"/>
  <c r="T174" i="1"/>
  <c r="AZ174" i="1"/>
  <c r="AV188" i="1"/>
  <c r="AF190" i="1"/>
  <c r="H197" i="1"/>
  <c r="AF197" i="1"/>
  <c r="AV199" i="1"/>
  <c r="BD200" i="1"/>
  <c r="AF201" i="1"/>
  <c r="T209" i="1"/>
  <c r="AZ209" i="1"/>
  <c r="P222" i="1"/>
  <c r="AV222" i="1"/>
  <c r="P226" i="1"/>
  <c r="AV226" i="1"/>
  <c r="AF234" i="1"/>
  <c r="L245" i="1"/>
  <c r="X247" i="1"/>
  <c r="AF248" i="1"/>
  <c r="L250" i="1"/>
  <c r="AR250" i="1"/>
  <c r="AJ259" i="1"/>
  <c r="L260" i="1"/>
  <c r="AR260" i="1"/>
  <c r="AB268" i="1"/>
  <c r="H274" i="1"/>
  <c r="AN274" i="1"/>
  <c r="BD308" i="1"/>
  <c r="AV310" i="1"/>
  <c r="AF318" i="1"/>
  <c r="AF330" i="1"/>
  <c r="AF344" i="1"/>
  <c r="AN345" i="1"/>
  <c r="P366" i="1"/>
  <c r="AB369" i="1"/>
  <c r="BD370" i="1"/>
  <c r="L378" i="1"/>
  <c r="AB380" i="1"/>
  <c r="AZ320" i="1"/>
  <c r="AJ364" i="1"/>
  <c r="AJ371" i="1" s="1"/>
  <c r="AF380" i="1"/>
  <c r="H140" i="1"/>
  <c r="X148" i="1"/>
  <c r="X155" i="1" s="1"/>
  <c r="X152" i="1"/>
  <c r="AN197" i="1"/>
  <c r="AZ260" i="1"/>
  <c r="P250" i="1"/>
  <c r="AV268" i="1"/>
  <c r="AV275" i="1" s="1"/>
  <c r="AN353" i="1"/>
  <c r="BD138" i="1"/>
  <c r="X222" i="1"/>
  <c r="H258" i="1"/>
  <c r="P270" i="1"/>
  <c r="AZ295" i="1"/>
  <c r="P297" i="1"/>
  <c r="H307" i="1"/>
  <c r="BD310" i="1"/>
  <c r="X320" i="1"/>
  <c r="AV322" i="1"/>
  <c r="AJ322" i="1"/>
  <c r="X332" i="1"/>
  <c r="BD332" i="1"/>
  <c r="AN340" i="1"/>
  <c r="P353" i="1"/>
  <c r="AR353" i="1"/>
  <c r="AJ376" i="1"/>
  <c r="AJ383" i="1" s="1"/>
  <c r="T378" i="1"/>
  <c r="AV378" i="1"/>
  <c r="AJ381" i="1"/>
  <c r="AJ382" i="1"/>
  <c r="AZ100" i="1"/>
  <c r="AZ107" i="1" s="1"/>
  <c r="H116" i="1"/>
  <c r="AR126" i="1"/>
  <c r="AB138" i="1"/>
  <c r="H139" i="1"/>
  <c r="AR140" i="1"/>
  <c r="AV141" i="1"/>
  <c r="X142" i="1"/>
  <c r="AB148" i="1"/>
  <c r="AB155" i="1" s="1"/>
  <c r="AR149" i="1"/>
  <c r="X153" i="1"/>
  <c r="X161" i="1"/>
  <c r="AN165" i="1"/>
  <c r="P166" i="1"/>
  <c r="AV166" i="1"/>
  <c r="X173" i="1"/>
  <c r="AB188" i="1"/>
  <c r="AR196" i="1"/>
  <c r="AR197" i="1"/>
  <c r="AZ198" i="1"/>
  <c r="AB199" i="1"/>
  <c r="AR201" i="1"/>
  <c r="AZ223" i="1"/>
  <c r="T225" i="1"/>
  <c r="BD250" i="1"/>
  <c r="L258" i="1"/>
  <c r="T259" i="1"/>
  <c r="AN268" i="1"/>
  <c r="AN275" i="1" s="1"/>
  <c r="P269" i="1"/>
  <c r="AV269" i="1"/>
  <c r="T274" i="1"/>
  <c r="L293" i="1"/>
  <c r="AN293" i="1"/>
  <c r="X295" i="1"/>
  <c r="AB305" i="1"/>
  <c r="AN307" i="1"/>
  <c r="P308" i="1"/>
  <c r="AB317" i="1"/>
  <c r="H322" i="1"/>
  <c r="AN322" i="1"/>
  <c r="AR329" i="1"/>
  <c r="AV333" i="1"/>
  <c r="AR340" i="1"/>
  <c r="AR347" i="1" s="1"/>
  <c r="T353" i="1"/>
  <c r="BD367" i="1"/>
  <c r="AN376" i="1"/>
  <c r="H381" i="1"/>
  <c r="AN381" i="1"/>
  <c r="AN382" i="1"/>
  <c r="L309" i="1"/>
  <c r="P309" i="1"/>
  <c r="AF307" i="1"/>
  <c r="AJ307" i="1"/>
  <c r="AN309" i="1"/>
  <c r="AR309" i="1"/>
  <c r="BD307" i="1"/>
  <c r="T309" i="1"/>
  <c r="L307" i="1"/>
  <c r="X310" i="1"/>
  <c r="AV309" i="1"/>
  <c r="AZ309" i="1"/>
  <c r="P306" i="1"/>
  <c r="AV306" i="1"/>
  <c r="AN310" i="1"/>
  <c r="X280" i="1"/>
  <c r="X287" i="1" s="1"/>
  <c r="P284" i="1"/>
  <c r="AN296" i="1"/>
  <c r="AJ268" i="1"/>
  <c r="AJ275" i="1" s="1"/>
  <c r="L269" i="1"/>
  <c r="AR269" i="1"/>
  <c r="X272" i="1"/>
  <c r="X284" i="1"/>
  <c r="AR294" i="1"/>
  <c r="AN295" i="1"/>
  <c r="X297" i="1"/>
  <c r="AJ285" i="1"/>
  <c r="AB284" i="1"/>
  <c r="AF284" i="1"/>
  <c r="H285" i="1"/>
  <c r="AN285" i="1"/>
  <c r="T268" i="1"/>
  <c r="T275" i="1" s="1"/>
  <c r="AR280" i="1"/>
  <c r="AR287" i="1" s="1"/>
  <c r="AB282" i="1"/>
  <c r="H284" i="1"/>
  <c r="AJ284" i="1"/>
  <c r="L285" i="1"/>
  <c r="AB296" i="1"/>
  <c r="X268" i="1"/>
  <c r="X275" i="1" s="1"/>
  <c r="AZ268" i="1"/>
  <c r="AZ275" i="1" s="1"/>
  <c r="AB269" i="1"/>
  <c r="AN270" i="1"/>
  <c r="AB270" i="1"/>
  <c r="BD270" i="1"/>
  <c r="P273" i="1"/>
  <c r="P280" i="1"/>
  <c r="P287" i="1" s="1"/>
  <c r="AN284" i="1"/>
  <c r="AF296" i="1"/>
  <c r="BD268" i="1"/>
  <c r="BD275" i="1" s="1"/>
  <c r="AZ273" i="1"/>
  <c r="AZ280" i="1"/>
  <c r="AZ287" i="1" s="1"/>
  <c r="AR284" i="1"/>
  <c r="BD280" i="1"/>
  <c r="BD287" i="1" s="1"/>
  <c r="AV284" i="1"/>
  <c r="H296" i="1"/>
  <c r="AV297" i="1"/>
  <c r="BD298" i="1"/>
  <c r="H269" i="1"/>
  <c r="AN269" i="1"/>
  <c r="AJ274" i="1"/>
  <c r="T284" i="1"/>
  <c r="AZ284" i="1"/>
  <c r="T286" i="1"/>
  <c r="AJ286" i="1"/>
  <c r="L296" i="1"/>
  <c r="AR296" i="1"/>
  <c r="AF128" i="1"/>
  <c r="AJ129" i="1"/>
  <c r="BD149" i="1"/>
  <c r="AN176" i="1"/>
  <c r="P139" i="1"/>
  <c r="AV139" i="1"/>
  <c r="L149" i="1"/>
  <c r="AV128" i="1"/>
  <c r="X129" i="1"/>
  <c r="AN137" i="1"/>
  <c r="P149" i="1"/>
  <c r="AJ178" i="1"/>
  <c r="AJ189" i="1"/>
  <c r="AF210" i="1"/>
  <c r="X213" i="1"/>
  <c r="T262" i="1"/>
  <c r="AZ117" i="1"/>
  <c r="AV127" i="1"/>
  <c r="AZ128" i="1"/>
  <c r="BD129" i="1"/>
  <c r="X139" i="1"/>
  <c r="BD139" i="1"/>
  <c r="P141" i="1"/>
  <c r="AV148" i="1"/>
  <c r="AV155" i="1" s="1"/>
  <c r="AU155" i="1"/>
  <c r="X151" i="1"/>
  <c r="BD151" i="1"/>
  <c r="H178" i="1"/>
  <c r="AN189" i="1"/>
  <c r="AB213" i="1"/>
  <c r="AN244" i="1"/>
  <c r="AZ246" i="1"/>
  <c r="AV126" i="1"/>
  <c r="X130" i="1"/>
  <c r="AJ130" i="1"/>
  <c r="X149" i="1"/>
  <c r="AV149" i="1"/>
  <c r="AJ152" i="1"/>
  <c r="H153" i="1"/>
  <c r="AJ153" i="1"/>
  <c r="AZ161" i="1"/>
  <c r="AB175" i="1"/>
  <c r="AF176" i="1"/>
  <c r="L178" i="1"/>
  <c r="T190" i="1"/>
  <c r="AV190" i="1"/>
  <c r="H129" i="1"/>
  <c r="H176" i="1"/>
  <c r="H213" i="1"/>
  <c r="AJ128" i="1"/>
  <c r="L129" i="1"/>
  <c r="AB142" i="1"/>
  <c r="H151" i="1"/>
  <c r="AN151" i="1"/>
  <c r="X244" i="1"/>
  <c r="X251" i="1" s="1"/>
  <c r="BD249" i="1"/>
  <c r="H117" i="1"/>
  <c r="AN117" i="1"/>
  <c r="H127" i="1"/>
  <c r="L139" i="1"/>
  <c r="AR139" i="1"/>
  <c r="X166" i="1"/>
  <c r="AR190" i="1"/>
  <c r="AN190" i="1"/>
  <c r="P190" i="1"/>
  <c r="C263" i="1"/>
  <c r="AJ256" i="1"/>
  <c r="AJ263" i="1" s="1"/>
  <c r="AF178" i="1"/>
  <c r="BD184" i="1"/>
  <c r="BD191" i="1" s="1"/>
  <c r="H190" i="1"/>
  <c r="AZ213" i="1"/>
  <c r="AZ160" i="1"/>
  <c r="AZ167" i="1" s="1"/>
  <c r="BD161" i="1"/>
  <c r="AB163" i="1"/>
  <c r="H166" i="1"/>
  <c r="AN166" i="1"/>
  <c r="X176" i="1"/>
  <c r="AZ176" i="1"/>
  <c r="X178" i="1"/>
  <c r="X184" i="1"/>
  <c r="X191" i="1" s="1"/>
  <c r="BD185" i="1"/>
  <c r="AE191" i="1"/>
  <c r="X189" i="1"/>
  <c r="X190" i="1"/>
  <c r="AZ202" i="1"/>
  <c r="H226" i="1"/>
  <c r="AN226" i="1"/>
  <c r="X238" i="1"/>
  <c r="AV261" i="1"/>
  <c r="AB117" i="1"/>
  <c r="H124" i="1"/>
  <c r="H131" i="1" s="1"/>
  <c r="AN124" i="1"/>
  <c r="T126" i="1"/>
  <c r="X127" i="1"/>
  <c r="BD136" i="1"/>
  <c r="BD143" i="1" s="1"/>
  <c r="T139" i="1"/>
  <c r="AZ139" i="1"/>
  <c r="BD141" i="1"/>
  <c r="AJ148" i="1"/>
  <c r="AJ155" i="1" s="1"/>
  <c r="H149" i="1"/>
  <c r="AB151" i="1"/>
  <c r="AF153" i="1"/>
  <c r="H154" i="1"/>
  <c r="AJ163" i="1"/>
  <c r="L166" i="1"/>
  <c r="AR166" i="1"/>
  <c r="AN173" i="1"/>
  <c r="X175" i="1"/>
  <c r="AB178" i="1"/>
  <c r="AZ184" i="1"/>
  <c r="AZ191" i="1" s="1"/>
  <c r="AB185" i="1"/>
  <c r="AR199" i="1"/>
  <c r="AV200" i="1"/>
  <c r="X201" i="1"/>
  <c r="X202" i="1"/>
  <c r="BD202" i="1"/>
  <c r="AF209" i="1"/>
  <c r="L210" i="1"/>
  <c r="AN210" i="1"/>
  <c r="X214" i="1"/>
  <c r="T222" i="1"/>
  <c r="BD223" i="1"/>
  <c r="AJ225" i="1"/>
  <c r="L226" i="1"/>
  <c r="AR226" i="1"/>
  <c r="AB238" i="1"/>
  <c r="T247" i="1"/>
  <c r="AZ247" i="1"/>
  <c r="AF250" i="1"/>
  <c r="P258" i="1"/>
  <c r="AR258" i="1"/>
  <c r="P259" i="1"/>
  <c r="P260" i="1"/>
  <c r="AV260" i="1"/>
  <c r="X261" i="1"/>
  <c r="BD262" i="1"/>
  <c r="AJ190" i="1"/>
  <c r="AJ202" i="1"/>
  <c r="H208" i="1"/>
  <c r="H215" i="1" s="1"/>
  <c r="AN208" i="1"/>
  <c r="AF212" i="1"/>
  <c r="X226" i="1"/>
  <c r="BD226" i="1"/>
  <c r="L244" i="1"/>
  <c r="L251" i="1" s="1"/>
  <c r="AR244" i="1"/>
  <c r="AR251" i="1" s="1"/>
  <c r="X246" i="1"/>
  <c r="BD246" i="1"/>
  <c r="AJ262" i="1"/>
  <c r="BD100" i="1"/>
  <c r="BD107" i="1" s="1"/>
  <c r="AV104" i="1"/>
  <c r="X105" i="1"/>
  <c r="BD105" i="1"/>
  <c r="AJ116" i="1"/>
  <c r="AF125" i="1"/>
  <c r="AJ126" i="1"/>
  <c r="L128" i="1"/>
  <c r="AR129" i="1"/>
  <c r="AJ138" i="1"/>
  <c r="AJ140" i="1"/>
  <c r="AV142" i="1"/>
  <c r="T148" i="1"/>
  <c r="T155" i="1" s="1"/>
  <c r="AN149" i="1"/>
  <c r="H150" i="1"/>
  <c r="AR151" i="1"/>
  <c r="P152" i="1"/>
  <c r="T153" i="1"/>
  <c r="AV153" i="1"/>
  <c r="L160" i="1"/>
  <c r="L167" i="1" s="1"/>
  <c r="P161" i="1"/>
  <c r="T163" i="1"/>
  <c r="T164" i="1"/>
  <c r="AB166" i="1"/>
  <c r="BD166" i="1"/>
  <c r="AZ173" i="1"/>
  <c r="BD173" i="1"/>
  <c r="AF174" i="1"/>
  <c r="L176" i="1"/>
  <c r="AR178" i="1"/>
  <c r="L184" i="1"/>
  <c r="L191" i="1" s="1"/>
  <c r="X188" i="1"/>
  <c r="X198" i="1"/>
  <c r="BD198" i="1"/>
  <c r="AB200" i="1"/>
  <c r="H201" i="1"/>
  <c r="BD210" i="1"/>
  <c r="AE215" i="1"/>
  <c r="AZ214" i="1"/>
  <c r="BD220" i="1"/>
  <c r="BD227" i="1" s="1"/>
  <c r="AB222" i="1"/>
  <c r="L223" i="1"/>
  <c r="AN223" i="1"/>
  <c r="P224" i="1"/>
  <c r="X225" i="1"/>
  <c r="AZ225" i="1"/>
  <c r="AF232" i="1"/>
  <c r="AB246" i="1"/>
  <c r="AJ247" i="1"/>
  <c r="P249" i="1"/>
  <c r="AV249" i="1"/>
  <c r="AV250" i="1"/>
  <c r="AB258" i="1"/>
  <c r="AF260" i="1"/>
  <c r="L262" i="1"/>
  <c r="AN262" i="1"/>
  <c r="L126" i="1"/>
  <c r="AN126" i="1"/>
  <c r="L127" i="1"/>
  <c r="AN127" i="1"/>
  <c r="P128" i="1"/>
  <c r="AR128" i="1"/>
  <c r="T129" i="1"/>
  <c r="AV129" i="1"/>
  <c r="AN139" i="1"/>
  <c r="AN140" i="1"/>
  <c r="AV151" i="1"/>
  <c r="AZ152" i="1"/>
  <c r="AZ153" i="1"/>
  <c r="T161" i="1"/>
  <c r="AV161" i="1"/>
  <c r="X163" i="1"/>
  <c r="X164" i="1"/>
  <c r="AF166" i="1"/>
  <c r="AE179" i="1"/>
  <c r="AN174" i="1"/>
  <c r="AR177" i="1"/>
  <c r="AV178" i="1"/>
  <c r="AV185" i="1"/>
  <c r="AR189" i="1"/>
  <c r="C203" i="1"/>
  <c r="AB198" i="1"/>
  <c r="L201" i="1"/>
  <c r="L202" i="1"/>
  <c r="T211" i="1"/>
  <c r="AB220" i="1"/>
  <c r="P223" i="1"/>
  <c r="AZ224" i="1"/>
  <c r="AF226" i="1"/>
  <c r="AV238" i="1"/>
  <c r="T244" i="1"/>
  <c r="T251" i="1" s="1"/>
  <c r="P248" i="1"/>
  <c r="AR248" i="1"/>
  <c r="T249" i="1"/>
  <c r="X250" i="1"/>
  <c r="T256" i="1"/>
  <c r="T263" i="1" s="1"/>
  <c r="BD260" i="1"/>
  <c r="P262" i="1"/>
  <c r="AR262" i="1"/>
  <c r="AJ102" i="1"/>
  <c r="AR103" i="1"/>
  <c r="L114" i="1"/>
  <c r="AB100" i="1"/>
  <c r="L102" i="1"/>
  <c r="AN102" i="1"/>
  <c r="AB105" i="1"/>
  <c r="AN113" i="1"/>
  <c r="P114" i="1"/>
  <c r="H118" i="1"/>
  <c r="AN118" i="1"/>
  <c r="P102" i="1"/>
  <c r="AR102" i="1"/>
  <c r="AF105" i="1"/>
  <c r="H112" i="1"/>
  <c r="AN112" i="1"/>
  <c r="P113" i="1"/>
  <c r="AR113" i="1"/>
  <c r="H114" i="1"/>
  <c r="AN114" i="1"/>
  <c r="H102" i="1"/>
  <c r="AJ100" i="1"/>
  <c r="AJ107" i="1" s="1"/>
  <c r="T102" i="1"/>
  <c r="X114" i="1"/>
  <c r="AV118" i="1"/>
  <c r="AZ102" i="1"/>
  <c r="AR104" i="1"/>
  <c r="P106" i="1"/>
  <c r="AV106" i="1"/>
  <c r="X113" i="1"/>
  <c r="AZ113" i="1"/>
  <c r="AJ115" i="1"/>
  <c r="AN116" i="1"/>
  <c r="T118" i="1"/>
  <c r="L103" i="1"/>
  <c r="H113" i="1"/>
  <c r="AR114" i="1"/>
  <c r="AZ105" i="1"/>
  <c r="T113" i="1"/>
  <c r="AV113" i="1"/>
  <c r="BD114" i="1"/>
  <c r="P118" i="1"/>
  <c r="X102" i="1"/>
  <c r="AB103" i="1"/>
  <c r="BD102" i="1"/>
  <c r="X118" i="1"/>
  <c r="X671" i="1"/>
  <c r="H731" i="1"/>
  <c r="AN659" i="1"/>
  <c r="AF779" i="1"/>
  <c r="X707" i="1"/>
  <c r="AF791" i="1"/>
  <c r="H647" i="1"/>
  <c r="AF683" i="1"/>
  <c r="AN647" i="1"/>
  <c r="BD647" i="1"/>
  <c r="AN731" i="1"/>
  <c r="AZ779" i="1"/>
  <c r="H608" i="1"/>
  <c r="AN608" i="1"/>
  <c r="L608" i="1"/>
  <c r="AR608" i="1"/>
  <c r="P608" i="1"/>
  <c r="AV608" i="1"/>
  <c r="AR607" i="1"/>
  <c r="AN606" i="1"/>
  <c r="L606" i="1"/>
  <c r="AR606" i="1"/>
  <c r="H606" i="1"/>
  <c r="L605" i="1"/>
  <c r="AJ604" i="1"/>
  <c r="AJ611" i="1" s="1"/>
  <c r="L607" i="1"/>
  <c r="AF607" i="1"/>
  <c r="L610" i="1"/>
  <c r="AR610" i="1"/>
  <c r="AJ607" i="1"/>
  <c r="L604" i="1"/>
  <c r="L611" i="1" s="1"/>
  <c r="AR604" i="1"/>
  <c r="AR611" i="1" s="1"/>
  <c r="P605" i="1"/>
  <c r="P606" i="1"/>
  <c r="AV606" i="1"/>
  <c r="P607" i="1"/>
  <c r="AJ608" i="1"/>
  <c r="T610" i="1"/>
  <c r="AZ610" i="1"/>
  <c r="BD607" i="1"/>
  <c r="AR605" i="1"/>
  <c r="T607" i="1"/>
  <c r="AN607" i="1"/>
  <c r="X610" i="1"/>
  <c r="BD610" i="1"/>
  <c r="AB605" i="1"/>
  <c r="BD605" i="1"/>
  <c r="AB607" i="1"/>
  <c r="AV607" i="1"/>
  <c r="AJ610" i="1"/>
  <c r="H605" i="1"/>
  <c r="AF605" i="1"/>
  <c r="AZ607" i="1"/>
  <c r="X608" i="1"/>
  <c r="BD608" i="1"/>
  <c r="AF609" i="1"/>
  <c r="H610" i="1"/>
  <c r="AN610" i="1"/>
  <c r="AF594" i="1"/>
  <c r="AB593" i="1"/>
  <c r="X592" i="1"/>
  <c r="X599" i="1" s="1"/>
  <c r="AZ592" i="1"/>
  <c r="AZ599" i="1" s="1"/>
  <c r="AB592" i="1"/>
  <c r="AB599" i="1" s="1"/>
  <c r="AB596" i="1"/>
  <c r="AB598" i="1"/>
  <c r="C599" i="1"/>
  <c r="BD592" i="1"/>
  <c r="BD599" i="1" s="1"/>
  <c r="H592" i="1"/>
  <c r="AR595" i="1"/>
  <c r="P598" i="1"/>
  <c r="AN592" i="1"/>
  <c r="AN599" i="1" s="1"/>
  <c r="L593" i="1"/>
  <c r="H594" i="1"/>
  <c r="AN594" i="1"/>
  <c r="P595" i="1"/>
  <c r="AV595" i="1"/>
  <c r="T596" i="1"/>
  <c r="AR596" i="1"/>
  <c r="P597" i="1"/>
  <c r="T598" i="1"/>
  <c r="AR598" i="1"/>
  <c r="AF596" i="1"/>
  <c r="H598" i="1"/>
  <c r="AJ596" i="1"/>
  <c r="AJ598" i="1"/>
  <c r="AF592" i="1"/>
  <c r="AF599" i="1" s="1"/>
  <c r="AJ592" i="1"/>
  <c r="AJ599" i="1" s="1"/>
  <c r="H593" i="1"/>
  <c r="L595" i="1"/>
  <c r="AN596" i="1"/>
  <c r="P592" i="1"/>
  <c r="P599" i="1" s="1"/>
  <c r="AR592" i="1"/>
  <c r="AN593" i="1"/>
  <c r="L594" i="1"/>
  <c r="AR594" i="1"/>
  <c r="AV596" i="1"/>
  <c r="T597" i="1"/>
  <c r="AZ597" i="1"/>
  <c r="X598" i="1"/>
  <c r="AV598" i="1"/>
  <c r="BD598" i="1"/>
  <c r="BD596" i="1"/>
  <c r="AF598" i="1"/>
  <c r="H596" i="1"/>
  <c r="AJ597" i="1"/>
  <c r="BD593" i="1"/>
  <c r="L596" i="1"/>
  <c r="AN598" i="1"/>
  <c r="L592" i="1"/>
  <c r="L599" i="1" s="1"/>
  <c r="AF593" i="1"/>
  <c r="P596" i="1"/>
  <c r="T592" i="1"/>
  <c r="T599" i="1" s="1"/>
  <c r="P593" i="1"/>
  <c r="AR593" i="1"/>
  <c r="P594" i="1"/>
  <c r="AV594" i="1"/>
  <c r="AZ596" i="1"/>
  <c r="AZ598" i="1"/>
  <c r="AJ609" i="1"/>
  <c r="AZ609" i="1"/>
  <c r="AJ605" i="1"/>
  <c r="AZ605" i="1"/>
  <c r="L609" i="1"/>
  <c r="AR609" i="1"/>
  <c r="C611" i="1"/>
  <c r="T609" i="1"/>
  <c r="P604" i="1"/>
  <c r="P611" i="1" s="1"/>
  <c r="AF604" i="1"/>
  <c r="AF611" i="1" s="1"/>
  <c r="T606" i="1"/>
  <c r="AJ606" i="1"/>
  <c r="AJ594" i="1"/>
  <c r="T595" i="1"/>
  <c r="AJ595" i="1"/>
  <c r="AZ595" i="1"/>
  <c r="H597" i="1"/>
  <c r="X597" i="1"/>
  <c r="AN597" i="1"/>
  <c r="BD597" i="1"/>
  <c r="T594" i="1"/>
  <c r="AJ593" i="1"/>
  <c r="X595" i="1"/>
  <c r="BD595" i="1"/>
  <c r="L597" i="1"/>
  <c r="T593" i="1"/>
  <c r="H595" i="1"/>
  <c r="AB597" i="1"/>
  <c r="AR597" i="1"/>
  <c r="AF597" i="1"/>
  <c r="AE587" i="1"/>
  <c r="AF583" i="1"/>
  <c r="AN582" i="1"/>
  <c r="L582" i="1"/>
  <c r="AR582" i="1"/>
  <c r="P582" i="1"/>
  <c r="AV582" i="1"/>
  <c r="T582" i="1"/>
  <c r="AE575" i="1"/>
  <c r="AF582" i="1"/>
  <c r="AZ583" i="1"/>
  <c r="AB584" i="1"/>
  <c r="H582" i="1"/>
  <c r="AJ582" i="1"/>
  <c r="AB583" i="1"/>
  <c r="BD583" i="1"/>
  <c r="AF584" i="1"/>
  <c r="AR581" i="1"/>
  <c r="L584" i="1"/>
  <c r="P583" i="1"/>
  <c r="P584" i="1"/>
  <c r="AR584" i="1"/>
  <c r="AB582" i="1"/>
  <c r="T584" i="1"/>
  <c r="AZ582" i="1"/>
  <c r="BD581" i="1"/>
  <c r="T583" i="1"/>
  <c r="AZ584" i="1"/>
  <c r="AB585" i="1"/>
  <c r="BD572" i="1"/>
  <c r="L571" i="1"/>
  <c r="P572" i="1"/>
  <c r="AR572" i="1"/>
  <c r="AJ568" i="1"/>
  <c r="AJ575" i="1" s="1"/>
  <c r="H572" i="1"/>
  <c r="AN572" i="1"/>
  <c r="T572" i="1"/>
  <c r="AB568" i="1"/>
  <c r="AB575" i="1" s="1"/>
  <c r="X572" i="1"/>
  <c r="AF572" i="1"/>
  <c r="H568" i="1"/>
  <c r="H575" i="1" s="1"/>
  <c r="AJ572" i="1"/>
  <c r="L572" i="1"/>
  <c r="AB572" i="1"/>
  <c r="AZ572" i="1"/>
  <c r="AZ104" i="1"/>
  <c r="AF187" i="1"/>
  <c r="X235" i="1"/>
  <c r="BD235" i="1"/>
  <c r="AJ235" i="1"/>
  <c r="H235" i="1"/>
  <c r="P352" i="1"/>
  <c r="P359" i="1" s="1"/>
  <c r="AR352" i="1"/>
  <c r="AR359" i="1" s="1"/>
  <c r="T352" i="1"/>
  <c r="T359" i="1" s="1"/>
  <c r="AV352" i="1"/>
  <c r="AV359" i="1" s="1"/>
  <c r="L115" i="1"/>
  <c r="AF117" i="1"/>
  <c r="H130" i="1"/>
  <c r="L137" i="1"/>
  <c r="H187" i="1"/>
  <c r="AN212" i="1"/>
  <c r="T292" i="1"/>
  <c r="T299" i="1" s="1"/>
  <c r="H292" i="1"/>
  <c r="P292" i="1"/>
  <c r="P299" i="1" s="1"/>
  <c r="AJ537" i="1"/>
  <c r="AN100" i="1"/>
  <c r="H105" i="1"/>
  <c r="L130" i="1"/>
  <c r="H141" i="1"/>
  <c r="AN235" i="1"/>
  <c r="X104" i="1"/>
  <c r="P105" i="1"/>
  <c r="AE119" i="1"/>
  <c r="AR116" i="1"/>
  <c r="AZ116" i="1"/>
  <c r="AR117" i="1"/>
  <c r="BD128" i="1"/>
  <c r="X154" i="1"/>
  <c r="AV154" i="1"/>
  <c r="X100" i="1"/>
  <c r="X107" i="1" s="1"/>
  <c r="AF102" i="1"/>
  <c r="AR105" i="1"/>
  <c r="C119" i="1"/>
  <c r="L113" i="1"/>
  <c r="AJ113" i="1"/>
  <c r="AF114" i="1"/>
  <c r="AF116" i="1"/>
  <c r="X117" i="1"/>
  <c r="AV117" i="1"/>
  <c r="AJ124" i="1"/>
  <c r="AJ131" i="1" s="1"/>
  <c r="AZ130" i="1"/>
  <c r="AF137" i="1"/>
  <c r="L138" i="1"/>
  <c r="X141" i="1"/>
  <c r="P148" i="1"/>
  <c r="P155" i="1" s="1"/>
  <c r="AE155" i="1"/>
  <c r="AF151" i="1"/>
  <c r="AZ154" i="1"/>
  <c r="AR160" i="1"/>
  <c r="AR167" i="1" s="1"/>
  <c r="L165" i="1"/>
  <c r="AZ199" i="1"/>
  <c r="AF199" i="1"/>
  <c r="L199" i="1"/>
  <c r="AF213" i="1"/>
  <c r="AJ214" i="1"/>
  <c r="AV272" i="1"/>
  <c r="AZ292" i="1"/>
  <c r="AZ299" i="1" s="1"/>
  <c r="H332" i="1"/>
  <c r="AJ137" i="1"/>
  <c r="AZ188" i="1"/>
  <c r="AN188" i="1"/>
  <c r="AJ346" i="1"/>
  <c r="AR346" i="1"/>
  <c r="AF104" i="1"/>
  <c r="BD188" i="1"/>
  <c r="AJ104" i="1"/>
  <c r="AR118" i="1"/>
  <c r="AZ142" i="1"/>
  <c r="AF142" i="1"/>
  <c r="H142" i="1"/>
  <c r="X318" i="1"/>
  <c r="AB318" i="1"/>
  <c r="AN104" i="1"/>
  <c r="AR137" i="1"/>
  <c r="AN187" i="1"/>
  <c r="C239" i="1"/>
  <c r="AJ234" i="1"/>
  <c r="T234" i="1"/>
  <c r="H245" i="1"/>
  <c r="AF245" i="1"/>
  <c r="AV246" i="1"/>
  <c r="L246" i="1"/>
  <c r="AR246" i="1"/>
  <c r="AV256" i="1"/>
  <c r="AV263" i="1" s="1"/>
  <c r="AZ272" i="1"/>
  <c r="BD272" i="1"/>
  <c r="L272" i="1"/>
  <c r="H318" i="1"/>
  <c r="AV520" i="1"/>
  <c r="AV527" i="1" s="1"/>
  <c r="AU527" i="1"/>
  <c r="L100" i="1"/>
  <c r="L107" i="1" s="1"/>
  <c r="AR100" i="1"/>
  <c r="AR107" i="1" s="1"/>
  <c r="AV102" i="1"/>
  <c r="L105" i="1"/>
  <c r="BD112" i="1"/>
  <c r="BD119" i="1" s="1"/>
  <c r="BD113" i="1"/>
  <c r="AV114" i="1"/>
  <c r="L117" i="1"/>
  <c r="BD118" i="1"/>
  <c r="X124" i="1"/>
  <c r="X131" i="1" s="1"/>
  <c r="AZ124" i="1"/>
  <c r="AZ131" i="1" s="1"/>
  <c r="X128" i="1"/>
  <c r="L141" i="1"/>
  <c r="AN142" i="1"/>
  <c r="AV150" i="1"/>
  <c r="P154" i="1"/>
  <c r="AN154" i="1"/>
  <c r="AF160" i="1"/>
  <c r="AE167" i="1"/>
  <c r="BD224" i="1"/>
  <c r="H233" i="1"/>
  <c r="AJ245" i="1"/>
  <c r="H246" i="1"/>
  <c r="H272" i="1"/>
  <c r="AB332" i="1"/>
  <c r="H344" i="1"/>
  <c r="AR212" i="1"/>
  <c r="H212" i="1"/>
  <c r="P212" i="1"/>
  <c r="H104" i="1"/>
  <c r="AF352" i="1"/>
  <c r="AR115" i="1"/>
  <c r="AJ187" i="1"/>
  <c r="H100" i="1"/>
  <c r="H107" i="1" s="1"/>
  <c r="AJ117" i="1"/>
  <c r="AZ118" i="1"/>
  <c r="P137" i="1"/>
  <c r="AJ141" i="1"/>
  <c r="AZ175" i="1"/>
  <c r="AV175" i="1"/>
  <c r="BD175" i="1"/>
  <c r="L175" i="1"/>
  <c r="AF175" i="1"/>
  <c r="L187" i="1"/>
  <c r="AN211" i="1"/>
  <c r="AN318" i="1"/>
  <c r="BD334" i="1"/>
  <c r="AF334" i="1"/>
  <c r="L334" i="1"/>
  <c r="P334" i="1"/>
  <c r="AJ344" i="1"/>
  <c r="L352" i="1"/>
  <c r="L359" i="1" s="1"/>
  <c r="T104" i="1"/>
  <c r="T106" i="1"/>
  <c r="AJ106" i="1"/>
  <c r="AB114" i="1"/>
  <c r="X115" i="1"/>
  <c r="BD115" i="1"/>
  <c r="P117" i="1"/>
  <c r="AJ118" i="1"/>
  <c r="AB124" i="1"/>
  <c r="AB131" i="1" s="1"/>
  <c r="BD124" i="1"/>
  <c r="BD131" i="1" s="1"/>
  <c r="AZ137" i="1"/>
  <c r="AV138" i="1"/>
  <c r="AR141" i="1"/>
  <c r="AR142" i="1"/>
  <c r="X150" i="1"/>
  <c r="AZ150" i="1"/>
  <c r="T154" i="1"/>
  <c r="AR154" i="1"/>
  <c r="AJ160" i="1"/>
  <c r="AZ165" i="1"/>
  <c r="T165" i="1"/>
  <c r="AJ165" i="1"/>
  <c r="H184" i="1"/>
  <c r="H191" i="1" s="1"/>
  <c r="AJ184" i="1"/>
  <c r="AJ191" i="1" s="1"/>
  <c r="X212" i="1"/>
  <c r="BD213" i="1"/>
  <c r="AZ221" i="1"/>
  <c r="P221" i="1"/>
  <c r="H232" i="1"/>
  <c r="H239" i="1" s="1"/>
  <c r="AJ232" i="1"/>
  <c r="AJ239" i="1" s="1"/>
  <c r="T235" i="1"/>
  <c r="AN245" i="1"/>
  <c r="AN272" i="1"/>
  <c r="H333" i="1"/>
  <c r="AR334" i="1"/>
  <c r="AF402" i="1"/>
  <c r="AV403" i="1"/>
  <c r="AF403" i="1"/>
  <c r="L403" i="1"/>
  <c r="AN403" i="1"/>
  <c r="P403" i="1"/>
  <c r="AR403" i="1"/>
  <c r="BD104" i="1"/>
  <c r="BD117" i="1"/>
  <c r="H137" i="1"/>
  <c r="L104" i="1"/>
  <c r="T100" i="1"/>
  <c r="T107" i="1" s="1"/>
  <c r="AN105" i="1"/>
  <c r="T117" i="1"/>
  <c r="BD137" i="1"/>
  <c r="AN175" i="1"/>
  <c r="BD212" i="1"/>
  <c r="AR214" i="1"/>
  <c r="BD214" i="1"/>
  <c r="AF214" i="1"/>
  <c r="T224" i="1"/>
  <c r="AV224" i="1"/>
  <c r="AF224" i="1"/>
  <c r="AJ332" i="1"/>
  <c r="AZ332" i="1"/>
  <c r="L332" i="1"/>
  <c r="AR332" i="1"/>
  <c r="AN332" i="1"/>
  <c r="AZ368" i="1"/>
  <c r="T368" i="1"/>
  <c r="AB161" i="1"/>
  <c r="P165" i="1"/>
  <c r="AR165" i="1"/>
  <c r="H175" i="1"/>
  <c r="AF185" i="1"/>
  <c r="H186" i="1"/>
  <c r="AN186" i="1"/>
  <c r="P187" i="1"/>
  <c r="AR187" i="1"/>
  <c r="L188" i="1"/>
  <c r="H199" i="1"/>
  <c r="AJ213" i="1"/>
  <c r="H221" i="1"/>
  <c r="AF221" i="1"/>
  <c r="L232" i="1"/>
  <c r="L239" i="1" s="1"/>
  <c r="AN232" i="1"/>
  <c r="P233" i="1"/>
  <c r="AR235" i="1"/>
  <c r="BD238" i="1"/>
  <c r="H238" i="1"/>
  <c r="AR272" i="1"/>
  <c r="AJ292" i="1"/>
  <c r="AJ299" i="1" s="1"/>
  <c r="AE335" i="1"/>
  <c r="AF328" i="1"/>
  <c r="AV334" i="1"/>
  <c r="AN377" i="1"/>
  <c r="P377" i="1"/>
  <c r="AV377" i="1"/>
  <c r="X377" i="1"/>
  <c r="AF377" i="1"/>
  <c r="AZ454" i="1"/>
  <c r="AF454" i="1"/>
  <c r="BD454" i="1"/>
  <c r="AZ126" i="1"/>
  <c r="AN129" i="1"/>
  <c r="P130" i="1"/>
  <c r="AN130" i="1"/>
  <c r="T137" i="1"/>
  <c r="P138" i="1"/>
  <c r="AB139" i="1"/>
  <c r="AN141" i="1"/>
  <c r="BD142" i="1"/>
  <c r="L150" i="1"/>
  <c r="AJ150" i="1"/>
  <c r="AN152" i="1"/>
  <c r="AF152" i="1"/>
  <c r="BD152" i="1"/>
  <c r="AF154" i="1"/>
  <c r="H161" i="1"/>
  <c r="AF161" i="1"/>
  <c r="BD162" i="1"/>
  <c r="AZ163" i="1"/>
  <c r="AV165" i="1"/>
  <c r="AJ174" i="1"/>
  <c r="H185" i="1"/>
  <c r="AJ185" i="1"/>
  <c r="P188" i="1"/>
  <c r="AJ198" i="1"/>
  <c r="X210" i="1"/>
  <c r="AV211" i="1"/>
  <c r="T212" i="1"/>
  <c r="L213" i="1"/>
  <c r="P214" i="1"/>
  <c r="AJ220" i="1"/>
  <c r="AJ227" i="1" s="1"/>
  <c r="L221" i="1"/>
  <c r="X223" i="1"/>
  <c r="X224" i="1"/>
  <c r="AV233" i="1"/>
  <c r="AV234" i="1"/>
  <c r="L292" i="1"/>
  <c r="L299" i="1" s="1"/>
  <c r="AF305" i="1"/>
  <c r="T305" i="1"/>
  <c r="AJ328" i="1"/>
  <c r="AJ335" i="1" s="1"/>
  <c r="L328" i="1"/>
  <c r="L335" i="1" s="1"/>
  <c r="AV328" i="1"/>
  <c r="AV335" i="1" s="1"/>
  <c r="T334" i="1"/>
  <c r="H364" i="1"/>
  <c r="H371" i="1" s="1"/>
  <c r="AJ377" i="1"/>
  <c r="C383" i="1"/>
  <c r="AN451" i="1"/>
  <c r="H451" i="1"/>
  <c r="BD126" i="1"/>
  <c r="AB129" i="1"/>
  <c r="T130" i="1"/>
  <c r="AR130" i="1"/>
  <c r="X137" i="1"/>
  <c r="AF139" i="1"/>
  <c r="P150" i="1"/>
  <c r="AN150" i="1"/>
  <c r="L151" i="1"/>
  <c r="AJ154" i="1"/>
  <c r="AJ161" i="1"/>
  <c r="BD163" i="1"/>
  <c r="AZ177" i="1"/>
  <c r="P177" i="1"/>
  <c r="AB177" i="1"/>
  <c r="P199" i="1"/>
  <c r="L200" i="1"/>
  <c r="AJ200" i="1"/>
  <c r="X211" i="1"/>
  <c r="AR213" i="1"/>
  <c r="T214" i="1"/>
  <c r="H220" i="1"/>
  <c r="H227" i="1" s="1"/>
  <c r="AN220" i="1"/>
  <c r="AN221" i="1"/>
  <c r="X233" i="1"/>
  <c r="AZ234" i="1"/>
  <c r="AZ235" i="1"/>
  <c r="L238" i="1"/>
  <c r="AN238" i="1"/>
  <c r="AJ282" i="1"/>
  <c r="AZ297" i="1"/>
  <c r="AJ305" i="1"/>
  <c r="L357" i="1"/>
  <c r="T357" i="1"/>
  <c r="AJ357" i="1"/>
  <c r="C131" i="1"/>
  <c r="H126" i="1"/>
  <c r="AF126" i="1"/>
  <c r="AZ127" i="1"/>
  <c r="AB127" i="1"/>
  <c r="AB137" i="1"/>
  <c r="AJ139" i="1"/>
  <c r="T141" i="1"/>
  <c r="L142" i="1"/>
  <c r="AF148" i="1"/>
  <c r="AZ149" i="1"/>
  <c r="AR150" i="1"/>
  <c r="P151" i="1"/>
  <c r="L154" i="1"/>
  <c r="AN161" i="1"/>
  <c r="AJ162" i="1"/>
  <c r="H163" i="1"/>
  <c r="AF163" i="1"/>
  <c r="AZ164" i="1"/>
  <c r="BD165" i="1"/>
  <c r="AR174" i="1"/>
  <c r="AJ176" i="1"/>
  <c r="H177" i="1"/>
  <c r="BD177" i="1"/>
  <c r="AR198" i="1"/>
  <c r="AN200" i="1"/>
  <c r="H210" i="1"/>
  <c r="AV212" i="1"/>
  <c r="AV213" i="1"/>
  <c r="H223" i="1"/>
  <c r="X234" i="1"/>
  <c r="BD234" i="1"/>
  <c r="AB235" i="1"/>
  <c r="P238" i="1"/>
  <c r="AR238" i="1"/>
  <c r="AB244" i="1"/>
  <c r="AB251" i="1" s="1"/>
  <c r="H244" i="1"/>
  <c r="H251" i="1" s="1"/>
  <c r="BD244" i="1"/>
  <c r="BD251" i="1" s="1"/>
  <c r="AB272" i="1"/>
  <c r="H282" i="1"/>
  <c r="AN282" i="1"/>
  <c r="AV292" i="1"/>
  <c r="AB297" i="1"/>
  <c r="BD297" i="1"/>
  <c r="AR328" i="1"/>
  <c r="AR335" i="1" s="1"/>
  <c r="AB333" i="1"/>
  <c r="AZ333" i="1"/>
  <c r="AB334" i="1"/>
  <c r="X345" i="1"/>
  <c r="AZ352" i="1"/>
  <c r="AZ359" i="1" s="1"/>
  <c r="L377" i="1"/>
  <c r="H165" i="1"/>
  <c r="AZ166" i="1"/>
  <c r="P175" i="1"/>
  <c r="AB176" i="1"/>
  <c r="BD176" i="1"/>
  <c r="X177" i="1"/>
  <c r="AN178" i="1"/>
  <c r="X185" i="1"/>
  <c r="BD187" i="1"/>
  <c r="AR188" i="1"/>
  <c r="L189" i="1"/>
  <c r="AZ190" i="1"/>
  <c r="L196" i="1"/>
  <c r="L203" i="1" s="1"/>
  <c r="AV197" i="1"/>
  <c r="T198" i="1"/>
  <c r="AV198" i="1"/>
  <c r="AN199" i="1"/>
  <c r="H200" i="1"/>
  <c r="AF200" i="1"/>
  <c r="AZ201" i="1"/>
  <c r="H209" i="1"/>
  <c r="AJ209" i="1"/>
  <c r="AB210" i="1"/>
  <c r="AR211" i="1"/>
  <c r="AJ212" i="1"/>
  <c r="AN214" i="1"/>
  <c r="X220" i="1"/>
  <c r="X227" i="1" s="1"/>
  <c r="AZ220" i="1"/>
  <c r="AZ227" i="1" s="1"/>
  <c r="L222" i="1"/>
  <c r="AJ222" i="1"/>
  <c r="AB223" i="1"/>
  <c r="AB232" i="1"/>
  <c r="BD232" i="1"/>
  <c r="BD239" i="1" s="1"/>
  <c r="AR234" i="1"/>
  <c r="P235" i="1"/>
  <c r="AJ244" i="1"/>
  <c r="AJ251" i="1" s="1"/>
  <c r="AZ245" i="1"/>
  <c r="T246" i="1"/>
  <c r="L247" i="1"/>
  <c r="AN247" i="1"/>
  <c r="L248" i="1"/>
  <c r="AJ260" i="1"/>
  <c r="H261" i="1"/>
  <c r="H262" i="1"/>
  <c r="AZ262" i="1"/>
  <c r="AJ269" i="1"/>
  <c r="AR297" i="1"/>
  <c r="X305" i="1"/>
  <c r="AZ305" i="1"/>
  <c r="BD318" i="1"/>
  <c r="H320" i="1"/>
  <c r="AF322" i="1"/>
  <c r="AV332" i="1"/>
  <c r="H340" i="1"/>
  <c r="AJ366" i="1"/>
  <c r="AZ369" i="1"/>
  <c r="L369" i="1"/>
  <c r="AB377" i="1"/>
  <c r="T403" i="1"/>
  <c r="H417" i="1"/>
  <c r="H426" i="1"/>
  <c r="X451" i="1"/>
  <c r="AU503" i="1"/>
  <c r="AV496" i="1"/>
  <c r="AV503" i="1" s="1"/>
  <c r="AB526" i="1"/>
  <c r="X165" i="1"/>
  <c r="L174" i="1"/>
  <c r="P176" i="1"/>
  <c r="AR176" i="1"/>
  <c r="BD178" i="1"/>
  <c r="AN184" i="1"/>
  <c r="AN191" i="1" s="1"/>
  <c r="L185" i="1"/>
  <c r="AN185" i="1"/>
  <c r="T187" i="1"/>
  <c r="AV187" i="1"/>
  <c r="AB196" i="1"/>
  <c r="AB203" i="1" s="1"/>
  <c r="BD196" i="1"/>
  <c r="BD203" i="1" s="1"/>
  <c r="H198" i="1"/>
  <c r="X200" i="1"/>
  <c r="T202" i="1"/>
  <c r="AJ211" i="1"/>
  <c r="P213" i="1"/>
  <c r="H214" i="1"/>
  <c r="L220" i="1"/>
  <c r="L227" i="1" s="1"/>
  <c r="BD221" i="1"/>
  <c r="AZ222" i="1"/>
  <c r="AJ224" i="1"/>
  <c r="AB225" i="1"/>
  <c r="P232" i="1"/>
  <c r="P239" i="1" s="1"/>
  <c r="AR232" i="1"/>
  <c r="AR239" i="1" s="1"/>
  <c r="AN233" i="1"/>
  <c r="H234" i="1"/>
  <c r="P245" i="1"/>
  <c r="BD247" i="1"/>
  <c r="AB248" i="1"/>
  <c r="AZ250" i="1"/>
  <c r="AF258" i="1"/>
  <c r="X260" i="1"/>
  <c r="X262" i="1"/>
  <c r="X269" i="1"/>
  <c r="AZ269" i="1"/>
  <c r="AV271" i="1"/>
  <c r="BD273" i="1"/>
  <c r="AB280" i="1"/>
  <c r="L282" i="1"/>
  <c r="AR282" i="1"/>
  <c r="AV286" i="1"/>
  <c r="AJ296" i="1"/>
  <c r="H297" i="1"/>
  <c r="AF297" i="1"/>
  <c r="P305" i="1"/>
  <c r="AN305" i="1"/>
  <c r="AR318" i="1"/>
  <c r="X321" i="1"/>
  <c r="L330" i="1"/>
  <c r="P332" i="1"/>
  <c r="AJ333" i="1"/>
  <c r="BD340" i="1"/>
  <c r="BD347" i="1" s="1"/>
  <c r="AR343" i="1"/>
  <c r="AZ346" i="1"/>
  <c r="AF389" i="1"/>
  <c r="P389" i="1"/>
  <c r="C407" i="1"/>
  <c r="X426" i="1"/>
  <c r="AF498" i="1"/>
  <c r="BD164" i="1"/>
  <c r="AR173" i="1"/>
  <c r="T176" i="1"/>
  <c r="AV176" i="1"/>
  <c r="AN177" i="1"/>
  <c r="T184" i="1"/>
  <c r="T191" i="1" s="1"/>
  <c r="P185" i="1"/>
  <c r="AR185" i="1"/>
  <c r="X187" i="1"/>
  <c r="AZ197" i="1"/>
  <c r="L198" i="1"/>
  <c r="BD199" i="1"/>
  <c r="AZ200" i="1"/>
  <c r="BD209" i="1"/>
  <c r="AR210" i="1"/>
  <c r="L211" i="1"/>
  <c r="AZ212" i="1"/>
  <c r="T213" i="1"/>
  <c r="AR220" i="1"/>
  <c r="BD222" i="1"/>
  <c r="AR223" i="1"/>
  <c r="L224" i="1"/>
  <c r="AB226" i="1"/>
  <c r="T232" i="1"/>
  <c r="T239" i="1" s="1"/>
  <c r="AV232" i="1"/>
  <c r="AV239" i="1" s="1"/>
  <c r="L234" i="1"/>
  <c r="AJ237" i="1"/>
  <c r="AF238" i="1"/>
  <c r="AZ244" i="1"/>
  <c r="AZ251" i="1" s="1"/>
  <c r="T245" i="1"/>
  <c r="AR245" i="1"/>
  <c r="AJ246" i="1"/>
  <c r="AF247" i="1"/>
  <c r="AR259" i="1"/>
  <c r="AZ259" i="1"/>
  <c r="AB260" i="1"/>
  <c r="BD269" i="1"/>
  <c r="AF272" i="1"/>
  <c r="AB273" i="1"/>
  <c r="P282" i="1"/>
  <c r="AV282" i="1"/>
  <c r="AR305" i="1"/>
  <c r="AV318" i="1"/>
  <c r="AB321" i="1"/>
  <c r="L333" i="1"/>
  <c r="AN333" i="1"/>
  <c r="AB340" i="1"/>
  <c r="AB347" i="1" s="1"/>
  <c r="L342" i="1"/>
  <c r="AV344" i="1"/>
  <c r="X346" i="1"/>
  <c r="X369" i="1"/>
  <c r="AU443" i="1"/>
  <c r="AV436" i="1"/>
  <c r="AV443" i="1" s="1"/>
  <c r="AZ498" i="1"/>
  <c r="AN498" i="1"/>
  <c r="X498" i="1"/>
  <c r="AV498" i="1"/>
  <c r="AB570" i="1"/>
  <c r="AN570" i="1"/>
  <c r="X232" i="1"/>
  <c r="X239" i="1" s="1"/>
  <c r="AZ232" i="1"/>
  <c r="AZ239" i="1" s="1"/>
  <c r="P234" i="1"/>
  <c r="AN234" i="1"/>
  <c r="L235" i="1"/>
  <c r="AJ238" i="1"/>
  <c r="X245" i="1"/>
  <c r="AV245" i="1"/>
  <c r="AN246" i="1"/>
  <c r="AJ261" i="1"/>
  <c r="AB262" i="1"/>
  <c r="AZ270" i="1"/>
  <c r="AR270" i="1"/>
  <c r="AJ280" i="1"/>
  <c r="AJ287" i="1" s="1"/>
  <c r="AN297" i="1"/>
  <c r="X317" i="1"/>
  <c r="AZ317" i="1"/>
  <c r="AZ318" i="1"/>
  <c r="AZ321" i="1"/>
  <c r="AV321" i="1"/>
  <c r="H321" i="1"/>
  <c r="AZ331" i="1"/>
  <c r="P333" i="1"/>
  <c r="AF340" i="1"/>
  <c r="AZ344" i="1"/>
  <c r="AZ345" i="1"/>
  <c r="AB346" i="1"/>
  <c r="AB357" i="1"/>
  <c r="AN358" i="1"/>
  <c r="AB364" i="1"/>
  <c r="AB371" i="1" s="1"/>
  <c r="AF366" i="1"/>
  <c r="X368" i="1"/>
  <c r="BD417" i="1"/>
  <c r="AJ417" i="1"/>
  <c r="X454" i="1"/>
  <c r="T280" i="1"/>
  <c r="T287" i="1" s="1"/>
  <c r="AF282" i="1"/>
  <c r="BD284" i="1"/>
  <c r="BD285" i="1"/>
  <c r="X286" i="1"/>
  <c r="AN292" i="1"/>
  <c r="X293" i="1"/>
  <c r="AB293" i="1"/>
  <c r="X294" i="1"/>
  <c r="AZ296" i="1"/>
  <c r="T297" i="1"/>
  <c r="L306" i="1"/>
  <c r="H309" i="1"/>
  <c r="AJ309" i="1"/>
  <c r="T316" i="1"/>
  <c r="T323" i="1" s="1"/>
  <c r="T317" i="1"/>
  <c r="AV317" i="1"/>
  <c r="T320" i="1"/>
  <c r="AV320" i="1"/>
  <c r="BD321" i="1"/>
  <c r="AB322" i="1"/>
  <c r="AZ322" i="1"/>
  <c r="P328" i="1"/>
  <c r="P335" i="1" s="1"/>
  <c r="H329" i="1"/>
  <c r="X333" i="1"/>
  <c r="AJ334" i="1"/>
  <c r="T340" i="1"/>
  <c r="T347" i="1" s="1"/>
  <c r="X343" i="1"/>
  <c r="T346" i="1"/>
  <c r="AV346" i="1"/>
  <c r="AF355" i="1"/>
  <c r="AZ356" i="1"/>
  <c r="AB366" i="1"/>
  <c r="BD366" i="1"/>
  <c r="AV368" i="1"/>
  <c r="P370" i="1"/>
  <c r="AR370" i="1"/>
  <c r="H376" i="1"/>
  <c r="H383" i="1" s="1"/>
  <c r="AZ377" i="1"/>
  <c r="AJ390" i="1"/>
  <c r="P393" i="1"/>
  <c r="P400" i="1"/>
  <c r="P407" i="1" s="1"/>
  <c r="T402" i="1"/>
  <c r="AB415" i="1"/>
  <c r="AZ426" i="1"/>
  <c r="BD451" i="1"/>
  <c r="AB498" i="1"/>
  <c r="AJ502" i="1"/>
  <c r="H571" i="1"/>
  <c r="AR574" i="1"/>
  <c r="AJ580" i="1"/>
  <c r="AJ587" i="1" s="1"/>
  <c r="AZ274" i="1"/>
  <c r="H280" i="1"/>
  <c r="T282" i="1"/>
  <c r="AZ282" i="1"/>
  <c r="AN286" i="1"/>
  <c r="AB292" i="1"/>
  <c r="AR293" i="1"/>
  <c r="P296" i="1"/>
  <c r="L297" i="1"/>
  <c r="BD305" i="1"/>
  <c r="AF306" i="1"/>
  <c r="X309" i="1"/>
  <c r="L318" i="1"/>
  <c r="AJ320" i="1"/>
  <c r="P322" i="1"/>
  <c r="AR322" i="1"/>
  <c r="H328" i="1"/>
  <c r="H335" i="1" s="1"/>
  <c r="AJ330" i="1"/>
  <c r="AR331" i="1"/>
  <c r="L340" i="1"/>
  <c r="L347" i="1" s="1"/>
  <c r="X341" i="1"/>
  <c r="L344" i="1"/>
  <c r="AN344" i="1"/>
  <c r="AN346" i="1"/>
  <c r="L364" i="1"/>
  <c r="L371" i="1" s="1"/>
  <c r="AN364" i="1"/>
  <c r="AR366" i="1"/>
  <c r="AJ370" i="1"/>
  <c r="AV376" i="1"/>
  <c r="AV383" i="1" s="1"/>
  <c r="AR377" i="1"/>
  <c r="AF393" i="1"/>
  <c r="BD393" i="1"/>
  <c r="H402" i="1"/>
  <c r="AN426" i="1"/>
  <c r="AN454" i="1"/>
  <c r="AF466" i="1"/>
  <c r="X486" i="1"/>
  <c r="AB511" i="1"/>
  <c r="BD511" i="1"/>
  <c r="AZ513" i="1"/>
  <c r="BD513" i="1"/>
  <c r="P513" i="1"/>
  <c r="L513" i="1"/>
  <c r="H526" i="1"/>
  <c r="AB580" i="1"/>
  <c r="AB587" i="1" s="1"/>
  <c r="L280" i="1"/>
  <c r="L287" i="1" s="1"/>
  <c r="AN280" i="1"/>
  <c r="X282" i="1"/>
  <c r="AF292" i="1"/>
  <c r="AF299" i="1" s="1"/>
  <c r="T296" i="1"/>
  <c r="AJ297" i="1"/>
  <c r="AZ304" i="1"/>
  <c r="L305" i="1"/>
  <c r="AJ308" i="1"/>
  <c r="AB309" i="1"/>
  <c r="P318" i="1"/>
  <c r="AJ318" i="1"/>
  <c r="AN320" i="1"/>
  <c r="T322" i="1"/>
  <c r="BD328" i="1"/>
  <c r="BD335" i="1" s="1"/>
  <c r="X329" i="1"/>
  <c r="AF332" i="1"/>
  <c r="AZ334" i="1"/>
  <c r="AJ340" i="1"/>
  <c r="AJ347" i="1" s="1"/>
  <c r="P344" i="1"/>
  <c r="AR344" i="1"/>
  <c r="AV353" i="1"/>
  <c r="AZ355" i="1"/>
  <c r="AR356" i="1"/>
  <c r="AR364" i="1"/>
  <c r="AR371" i="1" s="1"/>
  <c r="T366" i="1"/>
  <c r="T377" i="1"/>
  <c r="L389" i="1"/>
  <c r="BD389" i="1"/>
  <c r="H393" i="1"/>
  <c r="L402" i="1"/>
  <c r="AZ403" i="1"/>
  <c r="P426" i="1"/>
  <c r="AR426" i="1"/>
  <c r="AF430" i="1"/>
  <c r="AF437" i="1"/>
  <c r="AJ437" i="1"/>
  <c r="P437" i="1"/>
  <c r="AN441" i="1"/>
  <c r="X441" i="1"/>
  <c r="C443" i="1"/>
  <c r="AR454" i="1"/>
  <c r="H462" i="1"/>
  <c r="AN462" i="1"/>
  <c r="AV489" i="1"/>
  <c r="H489" i="1"/>
  <c r="AB502" i="1"/>
  <c r="BD502" i="1"/>
  <c r="P509" i="1"/>
  <c r="L509" i="1"/>
  <c r="AB509" i="1"/>
  <c r="H511" i="1"/>
  <c r="H513" i="1"/>
  <c r="AN316" i="1"/>
  <c r="T318" i="1"/>
  <c r="AR320" i="1"/>
  <c r="AF321" i="1"/>
  <c r="X322" i="1"/>
  <c r="AB329" i="1"/>
  <c r="AZ329" i="1"/>
  <c r="T330" i="1"/>
  <c r="AR330" i="1"/>
  <c r="T333" i="1"/>
  <c r="AR333" i="1"/>
  <c r="AV343" i="1"/>
  <c r="T344" i="1"/>
  <c r="AJ352" i="1"/>
  <c r="AJ359" i="1" s="1"/>
  <c r="AZ357" i="1"/>
  <c r="AR368" i="1"/>
  <c r="AF376" i="1"/>
  <c r="L376" i="1"/>
  <c r="L383" i="1" s="1"/>
  <c r="AB376" i="1"/>
  <c r="AB383" i="1" s="1"/>
  <c r="AZ376" i="1"/>
  <c r="AZ383" i="1" s="1"/>
  <c r="AJ389" i="1"/>
  <c r="AZ417" i="1"/>
  <c r="T426" i="1"/>
  <c r="AV426" i="1"/>
  <c r="AZ451" i="1"/>
  <c r="AV454" i="1"/>
  <c r="AR487" i="1"/>
  <c r="AF487" i="1"/>
  <c r="H487" i="1"/>
  <c r="P487" i="1"/>
  <c r="AN487" i="1"/>
  <c r="AJ571" i="1"/>
  <c r="H366" i="1"/>
  <c r="AZ367" i="1"/>
  <c r="P369" i="1"/>
  <c r="AN369" i="1"/>
  <c r="H370" i="1"/>
  <c r="BD376" i="1"/>
  <c r="BD383" i="1" s="1"/>
  <c r="P378" i="1"/>
  <c r="AZ380" i="1"/>
  <c r="AB382" i="1"/>
  <c r="AB388" i="1"/>
  <c r="BD388" i="1"/>
  <c r="BD395" i="1" s="1"/>
  <c r="T389" i="1"/>
  <c r="T393" i="1"/>
  <c r="AR393" i="1"/>
  <c r="L400" i="1"/>
  <c r="L407" i="1" s="1"/>
  <c r="X401" i="1"/>
  <c r="AJ403" i="1"/>
  <c r="BD403" i="1"/>
  <c r="H405" i="1"/>
  <c r="AF405" i="1"/>
  <c r="AZ413" i="1"/>
  <c r="AB414" i="1"/>
  <c r="AZ418" i="1"/>
  <c r="AB425" i="1"/>
  <c r="AZ425" i="1"/>
  <c r="T430" i="1"/>
  <c r="H439" i="1"/>
  <c r="BD439" i="1"/>
  <c r="AV441" i="1"/>
  <c r="AV451" i="1"/>
  <c r="X462" i="1"/>
  <c r="AZ466" i="1"/>
  <c r="AJ473" i="1"/>
  <c r="AZ485" i="1"/>
  <c r="AR485" i="1"/>
  <c r="H485" i="1"/>
  <c r="AB485" i="1"/>
  <c r="AV485" i="1"/>
  <c r="T487" i="1"/>
  <c r="T502" i="1"/>
  <c r="BD524" i="1"/>
  <c r="AJ524" i="1"/>
  <c r="P524" i="1"/>
  <c r="AZ524" i="1"/>
  <c r="AF538" i="1"/>
  <c r="H549" i="1"/>
  <c r="AJ549" i="1"/>
  <c r="AB571" i="1"/>
  <c r="BD571" i="1"/>
  <c r="X580" i="1"/>
  <c r="X587" i="1" s="1"/>
  <c r="X581" i="1"/>
  <c r="T364" i="1"/>
  <c r="T371" i="1" s="1"/>
  <c r="AV364" i="1"/>
  <c r="AV371" i="1" s="1"/>
  <c r="AV366" i="1"/>
  <c r="H368" i="1"/>
  <c r="H369" i="1"/>
  <c r="AB370" i="1"/>
  <c r="AN379" i="1"/>
  <c r="AZ381" i="1"/>
  <c r="P390" i="1"/>
  <c r="AF391" i="1"/>
  <c r="AJ393" i="1"/>
  <c r="L401" i="1"/>
  <c r="AR401" i="1"/>
  <c r="AJ402" i="1"/>
  <c r="H403" i="1"/>
  <c r="AB403" i="1"/>
  <c r="T405" i="1"/>
  <c r="L415" i="1"/>
  <c r="T416" i="1"/>
  <c r="AN418" i="1"/>
  <c r="AF426" i="1"/>
  <c r="AF427" i="1"/>
  <c r="AJ430" i="1"/>
  <c r="AV439" i="1"/>
  <c r="P441" i="1"/>
  <c r="AJ451" i="1"/>
  <c r="AJ453" i="1"/>
  <c r="H454" i="1"/>
  <c r="X472" i="1"/>
  <c r="X479" i="1" s="1"/>
  <c r="BD473" i="1"/>
  <c r="AB474" i="1"/>
  <c r="AN485" i="1"/>
  <c r="L502" i="1"/>
  <c r="AN502" i="1"/>
  <c r="L511" i="1"/>
  <c r="AJ512" i="1"/>
  <c r="AB513" i="1"/>
  <c r="T524" i="1"/>
  <c r="AB560" i="1"/>
  <c r="P571" i="1"/>
  <c r="L580" i="1"/>
  <c r="L587" i="1" s="1"/>
  <c r="L581" i="1"/>
  <c r="AB586" i="1"/>
  <c r="X364" i="1"/>
  <c r="X371" i="1" s="1"/>
  <c r="AZ366" i="1"/>
  <c r="AF369" i="1"/>
  <c r="BD369" i="1"/>
  <c r="AF370" i="1"/>
  <c r="AB381" i="1"/>
  <c r="AZ389" i="1"/>
  <c r="L393" i="1"/>
  <c r="H394" i="1"/>
  <c r="AV401" i="1"/>
  <c r="P402" i="1"/>
  <c r="AN402" i="1"/>
  <c r="X404" i="1"/>
  <c r="AV405" i="1"/>
  <c r="AZ412" i="1"/>
  <c r="AZ419" i="1" s="1"/>
  <c r="P415" i="1"/>
  <c r="AR418" i="1"/>
  <c r="L426" i="1"/>
  <c r="AJ426" i="1"/>
  <c r="AB439" i="1"/>
  <c r="T441" i="1"/>
  <c r="AV448" i="1"/>
  <c r="AV455" i="1" s="1"/>
  <c r="AN448" i="1"/>
  <c r="X448" i="1"/>
  <c r="X455" i="1" s="1"/>
  <c r="L454" i="1"/>
  <c r="P462" i="1"/>
  <c r="AR462" i="1"/>
  <c r="AR466" i="1"/>
  <c r="AZ472" i="1"/>
  <c r="AZ479" i="1" s="1"/>
  <c r="L472" i="1"/>
  <c r="L479" i="1" s="1"/>
  <c r="AB472" i="1"/>
  <c r="AB473" i="1"/>
  <c r="AR502" i="1"/>
  <c r="AN509" i="1"/>
  <c r="P511" i="1"/>
  <c r="AN511" i="1"/>
  <c r="H512" i="1"/>
  <c r="AN512" i="1"/>
  <c r="AF513" i="1"/>
  <c r="T571" i="1"/>
  <c r="AR580" i="1"/>
  <c r="AR587" i="1" s="1"/>
  <c r="P581" i="1"/>
  <c r="BD586" i="1"/>
  <c r="AB405" i="1"/>
  <c r="T415" i="1"/>
  <c r="AR415" i="1"/>
  <c r="P430" i="1"/>
  <c r="AF439" i="1"/>
  <c r="P454" i="1"/>
  <c r="T462" i="1"/>
  <c r="AV462" i="1"/>
  <c r="T466" i="1"/>
  <c r="AV466" i="1"/>
  <c r="AF473" i="1"/>
  <c r="T486" i="1"/>
  <c r="AV486" i="1"/>
  <c r="P498" i="1"/>
  <c r="AV502" i="1"/>
  <c r="T511" i="1"/>
  <c r="AZ523" i="1"/>
  <c r="AV523" i="1"/>
  <c r="BD523" i="1"/>
  <c r="AR549" i="1"/>
  <c r="AF549" i="1"/>
  <c r="X571" i="1"/>
  <c r="AZ571" i="1"/>
  <c r="T580" i="1"/>
  <c r="T587" i="1" s="1"/>
  <c r="AB426" i="1"/>
  <c r="H436" i="1"/>
  <c r="AJ436" i="1"/>
  <c r="AJ443" i="1" s="1"/>
  <c r="AF451" i="1"/>
  <c r="BD461" i="1"/>
  <c r="AB462" i="1"/>
  <c r="AZ462" i="1"/>
  <c r="AF464" i="1"/>
  <c r="AB466" i="1"/>
  <c r="L473" i="1"/>
  <c r="AN473" i="1"/>
  <c r="X475" i="1"/>
  <c r="P478" i="1"/>
  <c r="AZ484" i="1"/>
  <c r="AZ491" i="1" s="1"/>
  <c r="BD484" i="1"/>
  <c r="AB486" i="1"/>
  <c r="BD486" i="1"/>
  <c r="X487" i="1"/>
  <c r="AN488" i="1"/>
  <c r="L498" i="1"/>
  <c r="AR499" i="1"/>
  <c r="X502" i="1"/>
  <c r="AZ509" i="1"/>
  <c r="T510" i="1"/>
  <c r="AZ520" i="1"/>
  <c r="AZ527" i="1" s="1"/>
  <c r="X521" i="1"/>
  <c r="X522" i="1"/>
  <c r="L523" i="1"/>
  <c r="AN523" i="1"/>
  <c r="H561" i="1"/>
  <c r="AF569" i="1"/>
  <c r="H570" i="1"/>
  <c r="AF571" i="1"/>
  <c r="X582" i="1"/>
  <c r="AZ586" i="1"/>
  <c r="AB427" i="1"/>
  <c r="BD427" i="1"/>
  <c r="BD429" i="1"/>
  <c r="AZ430" i="1"/>
  <c r="AR436" i="1"/>
  <c r="AR443" i="1" s="1"/>
  <c r="AB440" i="1"/>
  <c r="BD440" i="1"/>
  <c r="AR441" i="1"/>
  <c r="BD449" i="1"/>
  <c r="X450" i="1"/>
  <c r="L451" i="1"/>
  <c r="AZ452" i="1"/>
  <c r="AV453" i="1"/>
  <c r="AZ460" i="1"/>
  <c r="AZ467" i="1" s="1"/>
  <c r="AR463" i="1"/>
  <c r="H466" i="1"/>
  <c r="X477" i="1"/>
  <c r="AZ477" i="1"/>
  <c r="AV478" i="1"/>
  <c r="AJ484" i="1"/>
  <c r="AJ491" i="1" s="1"/>
  <c r="H486" i="1"/>
  <c r="AJ486" i="1"/>
  <c r="AZ487" i="1"/>
  <c r="H502" i="1"/>
  <c r="AJ509" i="1"/>
  <c r="AZ511" i="1"/>
  <c r="T512" i="1"/>
  <c r="AV512" i="1"/>
  <c r="AV522" i="1"/>
  <c r="P537" i="1"/>
  <c r="T556" i="1"/>
  <c r="T563" i="1" s="1"/>
  <c r="AN571" i="1"/>
  <c r="AN580" i="1"/>
  <c r="L586" i="1"/>
  <c r="AJ586" i="1"/>
  <c r="AV450" i="1"/>
  <c r="P451" i="1"/>
  <c r="AJ462" i="1"/>
  <c r="L466" i="1"/>
  <c r="AJ466" i="1"/>
  <c r="T473" i="1"/>
  <c r="L486" i="1"/>
  <c r="AN486" i="1"/>
  <c r="BD487" i="1"/>
  <c r="AZ502" i="1"/>
  <c r="AV510" i="1"/>
  <c r="X512" i="1"/>
  <c r="AZ512" i="1"/>
  <c r="X523" i="1"/>
  <c r="AB534" i="1"/>
  <c r="L536" i="1"/>
  <c r="AV570" i="1"/>
  <c r="AR571" i="1"/>
  <c r="BD574" i="1"/>
  <c r="P586" i="1"/>
  <c r="T436" i="1"/>
  <c r="T443" i="1" s="1"/>
  <c r="X439" i="1"/>
  <c r="AB441" i="1"/>
  <c r="T451" i="1"/>
  <c r="AR451" i="1"/>
  <c r="AB453" i="1"/>
  <c r="AZ461" i="1"/>
  <c r="L462" i="1"/>
  <c r="AB463" i="1"/>
  <c r="P466" i="1"/>
  <c r="AN466" i="1"/>
  <c r="BD472" i="1"/>
  <c r="BD479" i="1" s="1"/>
  <c r="X473" i="1"/>
  <c r="AZ473" i="1"/>
  <c r="BD475" i="1"/>
  <c r="AF477" i="1"/>
  <c r="P486" i="1"/>
  <c r="AR486" i="1"/>
  <c r="AJ487" i="1"/>
  <c r="X488" i="1"/>
  <c r="AZ488" i="1"/>
  <c r="BD497" i="1"/>
  <c r="AR498" i="1"/>
  <c r="L499" i="1"/>
  <c r="AF500" i="1"/>
  <c r="T509" i="1"/>
  <c r="AZ510" i="1"/>
  <c r="AJ511" i="1"/>
  <c r="AB512" i="1"/>
  <c r="BD512" i="1"/>
  <c r="H522" i="1"/>
  <c r="AB523" i="1"/>
  <c r="X537" i="1"/>
  <c r="BD549" i="1"/>
  <c r="AR557" i="1"/>
  <c r="AN561" i="1"/>
  <c r="T586" i="1"/>
  <c r="T561" i="1"/>
  <c r="AZ560" i="1"/>
  <c r="AF557" i="1"/>
  <c r="BD557" i="1"/>
  <c r="AZ557" i="1"/>
  <c r="C563" i="1"/>
  <c r="L557" i="1"/>
  <c r="AJ557" i="1"/>
  <c r="P557" i="1"/>
  <c r="AN557" i="1"/>
  <c r="T557" i="1"/>
  <c r="H557" i="1"/>
  <c r="AB557" i="1"/>
  <c r="AN558" i="1"/>
  <c r="P560" i="1"/>
  <c r="AR560" i="1"/>
  <c r="AZ561" i="1"/>
  <c r="AB556" i="1"/>
  <c r="AB563" i="1" s="1"/>
  <c r="H556" i="1"/>
  <c r="H563" i="1" s="1"/>
  <c r="AF560" i="1"/>
  <c r="BD560" i="1"/>
  <c r="L562" i="1"/>
  <c r="AF556" i="1"/>
  <c r="AF563" i="1" s="1"/>
  <c r="H560" i="1"/>
  <c r="P562" i="1"/>
  <c r="AR562" i="1"/>
  <c r="AV556" i="1"/>
  <c r="AV563" i="1" s="1"/>
  <c r="AZ556" i="1"/>
  <c r="L556" i="1"/>
  <c r="L563" i="1" s="1"/>
  <c r="X557" i="1"/>
  <c r="L558" i="1"/>
  <c r="L560" i="1"/>
  <c r="AN560" i="1"/>
  <c r="AB561" i="1"/>
  <c r="T562" i="1"/>
  <c r="AV562" i="1"/>
  <c r="AJ556" i="1"/>
  <c r="AJ563" i="1" s="1"/>
  <c r="BD556" i="1"/>
  <c r="BD563" i="1" s="1"/>
  <c r="P556" i="1"/>
  <c r="P563" i="1" s="1"/>
  <c r="AN556" i="1"/>
  <c r="X556" i="1"/>
  <c r="X563" i="1" s="1"/>
  <c r="AN550" i="1"/>
  <c r="T550" i="1"/>
  <c r="AZ549" i="1"/>
  <c r="P549" i="1"/>
  <c r="AN549" i="1"/>
  <c r="T549" i="1"/>
  <c r="AV549" i="1"/>
  <c r="L547" i="1"/>
  <c r="T546" i="1"/>
  <c r="AZ545" i="1"/>
  <c r="AN548" i="1"/>
  <c r="BD545" i="1"/>
  <c r="X550" i="1"/>
  <c r="H550" i="1"/>
  <c r="L545" i="1"/>
  <c r="AV550" i="1"/>
  <c r="P545" i="1"/>
  <c r="AR545" i="1"/>
  <c r="AJ546" i="1"/>
  <c r="X549" i="1"/>
  <c r="L550" i="1"/>
  <c r="AF550" i="1"/>
  <c r="AZ550" i="1"/>
  <c r="AF545" i="1"/>
  <c r="AB550" i="1"/>
  <c r="AN545" i="1"/>
  <c r="BD546" i="1"/>
  <c r="AJ548" i="1"/>
  <c r="AJ550" i="1"/>
  <c r="AR550" i="1"/>
  <c r="H545" i="1"/>
  <c r="X545" i="1"/>
  <c r="AV545" i="1"/>
  <c r="P546" i="1"/>
  <c r="P550" i="1"/>
  <c r="H538" i="1"/>
  <c r="AV538" i="1"/>
  <c r="L538" i="1"/>
  <c r="AR538" i="1"/>
  <c r="AN538" i="1"/>
  <c r="P538" i="1"/>
  <c r="AR537" i="1"/>
  <c r="AR536" i="1"/>
  <c r="H535" i="1"/>
  <c r="AV535" i="1"/>
  <c r="AF535" i="1"/>
  <c r="AZ535" i="1"/>
  <c r="X535" i="1"/>
  <c r="AB535" i="1"/>
  <c r="L535" i="1"/>
  <c r="AR535" i="1"/>
  <c r="T535" i="1"/>
  <c r="AN535" i="1"/>
  <c r="AN534" i="1"/>
  <c r="L534" i="1"/>
  <c r="BD534" i="1"/>
  <c r="AJ534" i="1"/>
  <c r="AR534" i="1"/>
  <c r="P534" i="1"/>
  <c r="H534" i="1"/>
  <c r="AZ536" i="1"/>
  <c r="AZ533" i="1"/>
  <c r="T532" i="1"/>
  <c r="T539" i="1" s="1"/>
  <c r="P533" i="1"/>
  <c r="X534" i="1"/>
  <c r="AZ534" i="1"/>
  <c r="P535" i="1"/>
  <c r="AB538" i="1"/>
  <c r="BD538" i="1"/>
  <c r="X532" i="1"/>
  <c r="X539" i="1" s="1"/>
  <c r="AJ533" i="1"/>
  <c r="BD533" i="1"/>
  <c r="C539" i="1"/>
  <c r="BD532" i="1"/>
  <c r="BD539" i="1" s="1"/>
  <c r="T533" i="1"/>
  <c r="AN533" i="1"/>
  <c r="AF534" i="1"/>
  <c r="AJ536" i="1"/>
  <c r="AB532" i="1"/>
  <c r="AB539" i="1" s="1"/>
  <c r="H532" i="1"/>
  <c r="H539" i="1" s="1"/>
  <c r="X533" i="1"/>
  <c r="AR533" i="1"/>
  <c r="AJ532" i="1"/>
  <c r="AJ539" i="1" s="1"/>
  <c r="H533" i="1"/>
  <c r="AV533" i="1"/>
  <c r="AN532" i="1"/>
  <c r="AN539" i="1" s="1"/>
  <c r="AB533" i="1"/>
  <c r="AR532" i="1"/>
  <c r="AR539" i="1" s="1"/>
  <c r="L533" i="1"/>
  <c r="AF533" i="1"/>
  <c r="T534" i="1"/>
  <c r="AJ535" i="1"/>
  <c r="AB536" i="1"/>
  <c r="AV537" i="1"/>
  <c r="X538" i="1"/>
  <c r="AZ538" i="1"/>
  <c r="AE107" i="1"/>
  <c r="AF100" i="1"/>
  <c r="AJ112" i="1"/>
  <c r="AJ119" i="1" s="1"/>
  <c r="AZ112" i="1"/>
  <c r="AZ119" i="1" s="1"/>
  <c r="AJ172" i="1"/>
  <c r="AJ179" i="1" s="1"/>
  <c r="P172" i="1"/>
  <c r="P179" i="1" s="1"/>
  <c r="C179" i="1"/>
  <c r="X186" i="1"/>
  <c r="AE203" i="1"/>
  <c r="AF196" i="1"/>
  <c r="AR237" i="1"/>
  <c r="AB237" i="1"/>
  <c r="L237" i="1"/>
  <c r="H237" i="1"/>
  <c r="AN237" i="1"/>
  <c r="BD257" i="1"/>
  <c r="AN257" i="1"/>
  <c r="X257" i="1"/>
  <c r="H257" i="1"/>
  <c r="AV257" i="1"/>
  <c r="AF257" i="1"/>
  <c r="P257" i="1"/>
  <c r="AF271" i="1"/>
  <c r="AR281" i="1"/>
  <c r="AB281" i="1"/>
  <c r="L281" i="1"/>
  <c r="BD281" i="1"/>
  <c r="C287" i="1"/>
  <c r="AF281" i="1"/>
  <c r="AV281" i="1"/>
  <c r="H281" i="1"/>
  <c r="AZ281" i="1"/>
  <c r="AV319" i="1"/>
  <c r="AF319" i="1"/>
  <c r="P319" i="1"/>
  <c r="T319" i="1"/>
  <c r="AJ319" i="1"/>
  <c r="L319" i="1"/>
  <c r="AB319" i="1"/>
  <c r="AR319" i="1"/>
  <c r="BD319" i="1"/>
  <c r="T101" i="1"/>
  <c r="AJ101" i="1"/>
  <c r="AZ101" i="1"/>
  <c r="AB106" i="1"/>
  <c r="AV115" i="1"/>
  <c r="P125" i="1"/>
  <c r="AZ125" i="1"/>
  <c r="X136" i="1"/>
  <c r="X143" i="1" s="1"/>
  <c r="AV162" i="1"/>
  <c r="AF162" i="1"/>
  <c r="P162" i="1"/>
  <c r="C167" i="1"/>
  <c r="H172" i="1"/>
  <c r="H179" i="1" s="1"/>
  <c r="BD236" i="1"/>
  <c r="AJ236" i="1"/>
  <c r="AZ236" i="1"/>
  <c r="H236" i="1"/>
  <c r="AB257" i="1"/>
  <c r="H271" i="1"/>
  <c r="AJ271" i="1"/>
  <c r="AR283" i="1"/>
  <c r="AB283" i="1"/>
  <c r="L283" i="1"/>
  <c r="P283" i="1"/>
  <c r="AV283" i="1"/>
  <c r="AU299" i="1"/>
  <c r="AV296" i="1"/>
  <c r="T298" i="1"/>
  <c r="AJ298" i="1"/>
  <c r="AF298" i="1"/>
  <c r="C299" i="1"/>
  <c r="P316" i="1"/>
  <c r="P323" i="1" s="1"/>
  <c r="O323" i="1"/>
  <c r="H319" i="1"/>
  <c r="AV354" i="1"/>
  <c r="T559" i="1"/>
  <c r="AZ559" i="1"/>
  <c r="AR559" i="1"/>
  <c r="AF559" i="1"/>
  <c r="AJ559" i="1"/>
  <c r="L559" i="1"/>
  <c r="AB559" i="1"/>
  <c r="AJ125" i="1"/>
  <c r="BD125" i="1"/>
  <c r="O131" i="1"/>
  <c r="H136" i="1"/>
  <c r="H143" i="1" s="1"/>
  <c r="AR136" i="1"/>
  <c r="AR143" i="1" s="1"/>
  <c r="AN138" i="1"/>
  <c r="C143" i="1"/>
  <c r="BD160" i="1"/>
  <c r="BD167" i="1" s="1"/>
  <c r="AN160" i="1"/>
  <c r="X160" i="1"/>
  <c r="X167" i="1" s="1"/>
  <c r="H160" i="1"/>
  <c r="H162" i="1"/>
  <c r="AB162" i="1"/>
  <c r="L172" i="1"/>
  <c r="L179" i="1" s="1"/>
  <c r="AN172" i="1"/>
  <c r="AN179" i="1" s="1"/>
  <c r="O191" i="1"/>
  <c r="AE227" i="1"/>
  <c r="AF220" i="1"/>
  <c r="AZ257" i="1"/>
  <c r="AJ281" i="1"/>
  <c r="H283" i="1"/>
  <c r="AF283" i="1"/>
  <c r="BD283" i="1"/>
  <c r="O287" i="1"/>
  <c r="H298" i="1"/>
  <c r="AB304" i="1"/>
  <c r="AB311" i="1" s="1"/>
  <c r="BD304" i="1"/>
  <c r="BD311" i="1" s="1"/>
  <c r="AV341" i="1"/>
  <c r="AR365" i="1"/>
  <c r="AB365" i="1"/>
  <c r="L365" i="1"/>
  <c r="AV365" i="1"/>
  <c r="H365" i="1"/>
  <c r="T365" i="1"/>
  <c r="BD365" i="1"/>
  <c r="AJ365" i="1"/>
  <c r="P365" i="1"/>
  <c r="AZ365" i="1"/>
  <c r="AF365" i="1"/>
  <c r="H101" i="1"/>
  <c r="X101" i="1"/>
  <c r="AN101" i="1"/>
  <c r="BD101" i="1"/>
  <c r="P103" i="1"/>
  <c r="AF103" i="1"/>
  <c r="AV103" i="1"/>
  <c r="L106" i="1"/>
  <c r="AF106" i="1"/>
  <c r="AZ106" i="1"/>
  <c r="H115" i="1"/>
  <c r="AF115" i="1"/>
  <c r="AZ115" i="1"/>
  <c r="T125" i="1"/>
  <c r="AN125" i="1"/>
  <c r="P129" i="1"/>
  <c r="AZ129" i="1"/>
  <c r="AV130" i="1"/>
  <c r="AB136" i="1"/>
  <c r="AV136" i="1"/>
  <c r="AV143" i="1" s="1"/>
  <c r="AU143" i="1"/>
  <c r="X138" i="1"/>
  <c r="AV140" i="1"/>
  <c r="AF140" i="1"/>
  <c r="P140" i="1"/>
  <c r="AB160" i="1"/>
  <c r="AB167" i="1" s="1"/>
  <c r="C191" i="1"/>
  <c r="AV184" i="1"/>
  <c r="AF184" i="1"/>
  <c r="P184" i="1"/>
  <c r="AZ189" i="1"/>
  <c r="H189" i="1"/>
  <c r="BD189" i="1"/>
  <c r="AZ211" i="1"/>
  <c r="H211" i="1"/>
  <c r="BD211" i="1"/>
  <c r="AN236" i="1"/>
  <c r="P237" i="1"/>
  <c r="P256" i="1"/>
  <c r="L257" i="1"/>
  <c r="AJ283" i="1"/>
  <c r="AV295" i="1"/>
  <c r="AF295" i="1"/>
  <c r="P295" i="1"/>
  <c r="BD295" i="1"/>
  <c r="T295" i="1"/>
  <c r="AJ295" i="1"/>
  <c r="L295" i="1"/>
  <c r="AB295" i="1"/>
  <c r="AR295" i="1"/>
  <c r="H295" i="1"/>
  <c r="AE299" i="1"/>
  <c r="P310" i="1"/>
  <c r="AN319" i="1"/>
  <c r="AN365" i="1"/>
  <c r="P472" i="1"/>
  <c r="P479" i="1" s="1"/>
  <c r="O479" i="1"/>
  <c r="AR514" i="1"/>
  <c r="P514" i="1"/>
  <c r="AJ514" i="1"/>
  <c r="AV514" i="1"/>
  <c r="AF514" i="1"/>
  <c r="T112" i="1"/>
  <c r="T119" i="1" s="1"/>
  <c r="AN136" i="1"/>
  <c r="AF172" i="1"/>
  <c r="AV186" i="1"/>
  <c r="AF186" i="1"/>
  <c r="P186" i="1"/>
  <c r="AR186" i="1"/>
  <c r="AB186" i="1"/>
  <c r="L186" i="1"/>
  <c r="C215" i="1"/>
  <c r="AV208" i="1"/>
  <c r="AV215" i="1" s="1"/>
  <c r="AF208" i="1"/>
  <c r="P208" i="1"/>
  <c r="P215" i="1" s="1"/>
  <c r="AR208" i="1"/>
  <c r="AR215" i="1" s="1"/>
  <c r="AB208" i="1"/>
  <c r="AB215" i="1" s="1"/>
  <c r="L208" i="1"/>
  <c r="L215" i="1" s="1"/>
  <c r="X208" i="1"/>
  <c r="X215" i="1" s="1"/>
  <c r="BD237" i="1"/>
  <c r="AB112" i="1"/>
  <c r="AB119" i="1" s="1"/>
  <c r="AR112" i="1"/>
  <c r="L136" i="1"/>
  <c r="L143" i="1" s="1"/>
  <c r="BD186" i="1"/>
  <c r="AJ208" i="1"/>
  <c r="AJ215" i="1" s="1"/>
  <c r="AJ257" i="1"/>
  <c r="P281" i="1"/>
  <c r="AN281" i="1"/>
  <c r="L101" i="1"/>
  <c r="AR101" i="1"/>
  <c r="T103" i="1"/>
  <c r="AZ103" i="1"/>
  <c r="C107" i="1"/>
  <c r="P115" i="1"/>
  <c r="H125" i="1"/>
  <c r="AR125" i="1"/>
  <c r="O143" i="1"/>
  <c r="P136" i="1"/>
  <c r="P143" i="1" s="1"/>
  <c r="AZ136" i="1"/>
  <c r="AZ143" i="1" s="1"/>
  <c r="AV172" i="1"/>
  <c r="AV173" i="1"/>
  <c r="T236" i="1"/>
  <c r="AV236" i="1"/>
  <c r="AV237" i="1"/>
  <c r="AE251" i="1"/>
  <c r="AF244" i="1"/>
  <c r="X271" i="1"/>
  <c r="O275" i="1"/>
  <c r="AN273" i="1"/>
  <c r="T273" i="1"/>
  <c r="AJ273" i="1"/>
  <c r="T281" i="1"/>
  <c r="AU287" i="1"/>
  <c r="AR298" i="1"/>
  <c r="H304" i="1"/>
  <c r="C347" i="1"/>
  <c r="AJ341" i="1"/>
  <c r="AZ341" i="1"/>
  <c r="P341" i="1"/>
  <c r="AF341" i="1"/>
  <c r="T341" i="1"/>
  <c r="AN341" i="1"/>
  <c r="BD341" i="1"/>
  <c r="H341" i="1"/>
  <c r="P112" i="1"/>
  <c r="P119" i="1" s="1"/>
  <c r="AF112" i="1"/>
  <c r="AV112" i="1"/>
  <c r="AV119" i="1" s="1"/>
  <c r="AB125" i="1"/>
  <c r="AJ136" i="1"/>
  <c r="AJ143" i="1" s="1"/>
  <c r="AF138" i="1"/>
  <c r="AN162" i="1"/>
  <c r="AV164" i="1"/>
  <c r="AF164" i="1"/>
  <c r="P164" i="1"/>
  <c r="AR164" i="1"/>
  <c r="AB164" i="1"/>
  <c r="L164" i="1"/>
  <c r="AB172" i="1"/>
  <c r="T186" i="1"/>
  <c r="O203" i="1"/>
  <c r="T208" i="1"/>
  <c r="T215" i="1" s="1"/>
  <c r="AF235" i="1"/>
  <c r="AE239" i="1"/>
  <c r="X237" i="1"/>
  <c r="AZ237" i="1"/>
  <c r="C251" i="1"/>
  <c r="AZ249" i="1"/>
  <c r="AF249" i="1"/>
  <c r="AB256" i="1"/>
  <c r="T257" i="1"/>
  <c r="AZ261" i="1"/>
  <c r="AZ271" i="1"/>
  <c r="H273" i="1"/>
  <c r="T283" i="1"/>
  <c r="AV285" i="1"/>
  <c r="AF285" i="1"/>
  <c r="P285" i="1"/>
  <c r="AZ285" i="1"/>
  <c r="T285" i="1"/>
  <c r="T331" i="1"/>
  <c r="L112" i="1"/>
  <c r="L119" i="1" s="1"/>
  <c r="AE131" i="1"/>
  <c r="AF124" i="1"/>
  <c r="X125" i="1"/>
  <c r="AF136" i="1"/>
  <c r="T172" i="1"/>
  <c r="T179" i="1" s="1"/>
  <c r="AJ186" i="1"/>
  <c r="BD208" i="1"/>
  <c r="BD215" i="1" s="1"/>
  <c r="T237" i="1"/>
  <c r="C311" i="1"/>
  <c r="AV304" i="1"/>
  <c r="AV311" i="1" s="1"/>
  <c r="AF304" i="1"/>
  <c r="AF311" i="1" s="1"/>
  <c r="P304" i="1"/>
  <c r="P311" i="1" s="1"/>
  <c r="AN304" i="1"/>
  <c r="AN311" i="1" s="1"/>
  <c r="T304" i="1"/>
  <c r="T311" i="1" s="1"/>
  <c r="X304" i="1"/>
  <c r="X311" i="1" s="1"/>
  <c r="AJ304" i="1"/>
  <c r="AJ311" i="1" s="1"/>
  <c r="T354" i="1"/>
  <c r="AZ354" i="1"/>
  <c r="AR354" i="1"/>
  <c r="AJ354" i="1"/>
  <c r="L354" i="1"/>
  <c r="AB101" i="1"/>
  <c r="AJ103" i="1"/>
  <c r="P101" i="1"/>
  <c r="AF101" i="1"/>
  <c r="H103" i="1"/>
  <c r="X103" i="1"/>
  <c r="AN103" i="1"/>
  <c r="AR106" i="1"/>
  <c r="T115" i="1"/>
  <c r="L125" i="1"/>
  <c r="AV125" i="1"/>
  <c r="AU131" i="1"/>
  <c r="T136" i="1"/>
  <c r="T143" i="1" s="1"/>
  <c r="AE143" i="1"/>
  <c r="T162" i="1"/>
  <c r="AZ172" i="1"/>
  <c r="AZ179" i="1" s="1"/>
  <c r="AV220" i="1"/>
  <c r="AV227" i="1" s="1"/>
  <c r="AU227" i="1"/>
  <c r="X236" i="1"/>
  <c r="AZ256" i="1"/>
  <c r="AZ263" i="1" s="1"/>
  <c r="AF256" i="1"/>
  <c r="AR257" i="1"/>
  <c r="AR261" i="1"/>
  <c r="AB261" i="1"/>
  <c r="L261" i="1"/>
  <c r="BD261" i="1"/>
  <c r="T261" i="1"/>
  <c r="P261" i="1"/>
  <c r="AF261" i="1"/>
  <c r="BD271" i="1"/>
  <c r="X281" i="1"/>
  <c r="X283" i="1"/>
  <c r="AB298" i="1"/>
  <c r="AR310" i="1"/>
  <c r="AB310" i="1"/>
  <c r="L310" i="1"/>
  <c r="AZ310" i="1"/>
  <c r="T310" i="1"/>
  <c r="AZ319" i="1"/>
  <c r="AF236" i="1"/>
  <c r="O239" i="1"/>
  <c r="T248" i="1"/>
  <c r="AJ248" i="1"/>
  <c r="AZ248" i="1"/>
  <c r="X249" i="1"/>
  <c r="L271" i="1"/>
  <c r="AF273" i="1"/>
  <c r="AZ286" i="1"/>
  <c r="AF286" i="1"/>
  <c r="AB286" i="1"/>
  <c r="AN294" i="1"/>
  <c r="L298" i="1"/>
  <c r="C323" i="1"/>
  <c r="AZ316" i="1"/>
  <c r="AZ323" i="1" s="1"/>
  <c r="AB316" i="1"/>
  <c r="H331" i="1"/>
  <c r="AB341" i="1"/>
  <c r="T342" i="1"/>
  <c r="AV345" i="1"/>
  <c r="AF345" i="1"/>
  <c r="P345" i="1"/>
  <c r="H345" i="1"/>
  <c r="AJ345" i="1"/>
  <c r="BD345" i="1"/>
  <c r="L345" i="1"/>
  <c r="AB345" i="1"/>
  <c r="H354" i="1"/>
  <c r="AF354" i="1"/>
  <c r="BD354" i="1"/>
  <c r="AJ358" i="1"/>
  <c r="BD358" i="1"/>
  <c r="AV404" i="1"/>
  <c r="AF404" i="1"/>
  <c r="P404" i="1"/>
  <c r="T404" i="1"/>
  <c r="AJ404" i="1"/>
  <c r="AN404" i="1"/>
  <c r="L404" i="1"/>
  <c r="AB404" i="1"/>
  <c r="AZ404" i="1"/>
  <c r="BD428" i="1"/>
  <c r="AN428" i="1"/>
  <c r="X428" i="1"/>
  <c r="H428" i="1"/>
  <c r="AZ428" i="1"/>
  <c r="P428" i="1"/>
  <c r="AV428" i="1"/>
  <c r="L428" i="1"/>
  <c r="AB428" i="1"/>
  <c r="AJ428" i="1"/>
  <c r="AF428" i="1"/>
  <c r="AF436" i="1"/>
  <c r="AF443" i="1" s="1"/>
  <c r="AE443" i="1"/>
  <c r="AV476" i="1"/>
  <c r="AF476" i="1"/>
  <c r="P476" i="1"/>
  <c r="AZ476" i="1"/>
  <c r="L476" i="1"/>
  <c r="AB476" i="1"/>
  <c r="AN476" i="1"/>
  <c r="T476" i="1"/>
  <c r="BD476" i="1"/>
  <c r="AJ476" i="1"/>
  <c r="AR476" i="1"/>
  <c r="AR501" i="1"/>
  <c r="AF510" i="1"/>
  <c r="AE515" i="1"/>
  <c r="T544" i="1"/>
  <c r="T551" i="1" s="1"/>
  <c r="AZ544" i="1"/>
  <c r="L544" i="1"/>
  <c r="L551" i="1" s="1"/>
  <c r="C551" i="1"/>
  <c r="AF544" i="1"/>
  <c r="AF551" i="1" s="1"/>
  <c r="AB544" i="1"/>
  <c r="AB551" i="1" s="1"/>
  <c r="AR544" i="1"/>
  <c r="AR551" i="1" s="1"/>
  <c r="AV573" i="1"/>
  <c r="AF573" i="1"/>
  <c r="P573" i="1"/>
  <c r="AZ573" i="1"/>
  <c r="L573" i="1"/>
  <c r="AJ573" i="1"/>
  <c r="P100" i="1"/>
  <c r="P107" i="1" s="1"/>
  <c r="T105" i="1"/>
  <c r="AJ105" i="1"/>
  <c r="AN106" i="1"/>
  <c r="AB113" i="1"/>
  <c r="AB115" i="1"/>
  <c r="L116" i="1"/>
  <c r="AB116" i="1"/>
  <c r="L118" i="1"/>
  <c r="AB118" i="1"/>
  <c r="T127" i="1"/>
  <c r="AJ127" i="1"/>
  <c r="AN128" i="1"/>
  <c r="AV137" i="1"/>
  <c r="T151" i="1"/>
  <c r="AJ151" i="1"/>
  <c r="C155" i="1"/>
  <c r="AB165" i="1"/>
  <c r="BD172" i="1"/>
  <c r="BD179" i="1" s="1"/>
  <c r="P174" i="1"/>
  <c r="AB187" i="1"/>
  <c r="AB189" i="1"/>
  <c r="L190" i="1"/>
  <c r="AB190" i="1"/>
  <c r="P196" i="1"/>
  <c r="T201" i="1"/>
  <c r="AJ201" i="1"/>
  <c r="AN202" i="1"/>
  <c r="AB209" i="1"/>
  <c r="AB211" i="1"/>
  <c r="L212" i="1"/>
  <c r="AB212" i="1"/>
  <c r="L214" i="1"/>
  <c r="AB214" i="1"/>
  <c r="T223" i="1"/>
  <c r="AJ223" i="1"/>
  <c r="AN224" i="1"/>
  <c r="C227" i="1"/>
  <c r="L233" i="1"/>
  <c r="AB233" i="1"/>
  <c r="AR233" i="1"/>
  <c r="AV235" i="1"/>
  <c r="AU251" i="1"/>
  <c r="AV244" i="1"/>
  <c r="AV251" i="1" s="1"/>
  <c r="AB249" i="1"/>
  <c r="L256" i="1"/>
  <c r="L263" i="1" s="1"/>
  <c r="BD259" i="1"/>
  <c r="P271" i="1"/>
  <c r="P298" i="1"/>
  <c r="L304" i="1"/>
  <c r="X306" i="1"/>
  <c r="AR308" i="1"/>
  <c r="AB308" i="1"/>
  <c r="L308" i="1"/>
  <c r="AN308" i="1"/>
  <c r="BD316" i="1"/>
  <c r="BD323" i="1" s="1"/>
  <c r="X342" i="1"/>
  <c r="BD404" i="1"/>
  <c r="AR427" i="1"/>
  <c r="T427" i="1"/>
  <c r="C431" i="1"/>
  <c r="AJ427" i="1"/>
  <c r="AR442" i="1"/>
  <c r="T442" i="1"/>
  <c r="AJ442" i="1"/>
  <c r="C479" i="1"/>
  <c r="T526" i="1"/>
  <c r="AZ526" i="1"/>
  <c r="L526" i="1"/>
  <c r="AJ526" i="1"/>
  <c r="AR526" i="1"/>
  <c r="AN526" i="1"/>
  <c r="AF526" i="1"/>
  <c r="AJ544" i="1"/>
  <c r="AJ551" i="1" s="1"/>
  <c r="T585" i="1"/>
  <c r="AZ585" i="1"/>
  <c r="L585" i="1"/>
  <c r="AJ585" i="1"/>
  <c r="AR585" i="1"/>
  <c r="X585" i="1"/>
  <c r="AN585" i="1"/>
  <c r="T149" i="1"/>
  <c r="AJ149" i="1"/>
  <c r="T152" i="1"/>
  <c r="T173" i="1"/>
  <c r="AJ173" i="1"/>
  <c r="T175" i="1"/>
  <c r="AJ175" i="1"/>
  <c r="T177" i="1"/>
  <c r="AJ177" i="1"/>
  <c r="AF189" i="1"/>
  <c r="T197" i="1"/>
  <c r="AJ197" i="1"/>
  <c r="T199" i="1"/>
  <c r="AJ199" i="1"/>
  <c r="AR202" i="1"/>
  <c r="AF211" i="1"/>
  <c r="O227" i="1"/>
  <c r="P220" i="1"/>
  <c r="P227" i="1" s="1"/>
  <c r="T221" i="1"/>
  <c r="AJ221" i="1"/>
  <c r="AR224" i="1"/>
  <c r="P236" i="1"/>
  <c r="H248" i="1"/>
  <c r="X248" i="1"/>
  <c r="AN248" i="1"/>
  <c r="O263" i="1"/>
  <c r="BD256" i="1"/>
  <c r="BD263" i="1" s="1"/>
  <c r="H259" i="1"/>
  <c r="X259" i="1"/>
  <c r="AN259" i="1"/>
  <c r="T271" i="1"/>
  <c r="L273" i="1"/>
  <c r="AR285" i="1"/>
  <c r="T294" i="1"/>
  <c r="AB306" i="1"/>
  <c r="L316" i="1"/>
  <c r="L323" i="1" s="1"/>
  <c r="L317" i="1"/>
  <c r="AR317" i="1"/>
  <c r="AJ317" i="1"/>
  <c r="BD317" i="1"/>
  <c r="L341" i="1"/>
  <c r="AB342" i="1"/>
  <c r="T343" i="1"/>
  <c r="AJ343" i="1"/>
  <c r="AN343" i="1"/>
  <c r="L343" i="1"/>
  <c r="AB343" i="1"/>
  <c r="AZ343" i="1"/>
  <c r="T358" i="1"/>
  <c r="AB368" i="1"/>
  <c r="H404" i="1"/>
  <c r="H476" i="1"/>
  <c r="AN508" i="1"/>
  <c r="AN515" i="1" s="1"/>
  <c r="T508" i="1"/>
  <c r="T515" i="1" s="1"/>
  <c r="C515" i="1"/>
  <c r="BD508" i="1"/>
  <c r="BD515" i="1" s="1"/>
  <c r="AJ508" i="1"/>
  <c r="P354" i="1"/>
  <c r="AV484" i="1"/>
  <c r="AV491" i="1" s="1"/>
  <c r="AU491" i="1"/>
  <c r="AB128" i="1"/>
  <c r="AB130" i="1"/>
  <c r="AV152" i="1"/>
  <c r="AU167" i="1"/>
  <c r="AR172" i="1"/>
  <c r="AR179" i="1" s="1"/>
  <c r="AU191" i="1"/>
  <c r="P189" i="1"/>
  <c r="AB202" i="1"/>
  <c r="P211" i="1"/>
  <c r="AB224" i="1"/>
  <c r="BD225" i="1"/>
  <c r="H249" i="1"/>
  <c r="AJ249" i="1"/>
  <c r="AN256" i="1"/>
  <c r="AN263" i="1" s="1"/>
  <c r="AB271" i="1"/>
  <c r="AB285" i="1"/>
  <c r="AJ294" i="1"/>
  <c r="L294" i="1"/>
  <c r="AB294" i="1"/>
  <c r="AZ294" i="1"/>
  <c r="AV298" i="1"/>
  <c r="T306" i="1"/>
  <c r="AJ306" i="1"/>
  <c r="BD306" i="1"/>
  <c r="H310" i="1"/>
  <c r="AV331" i="1"/>
  <c r="AJ342" i="1"/>
  <c r="AZ358" i="1"/>
  <c r="L358" i="1"/>
  <c r="AB358" i="1"/>
  <c r="X358" i="1"/>
  <c r="AR358" i="1"/>
  <c r="AV388" i="1"/>
  <c r="AV395" i="1" s="1"/>
  <c r="L416" i="1"/>
  <c r="H416" i="1"/>
  <c r="AR416" i="1"/>
  <c r="AJ416" i="1"/>
  <c r="AF449" i="1"/>
  <c r="AE455" i="1"/>
  <c r="BD489" i="1"/>
  <c r="T489" i="1"/>
  <c r="AJ489" i="1"/>
  <c r="P489" i="1"/>
  <c r="X489" i="1"/>
  <c r="AN489" i="1"/>
  <c r="AN501" i="1"/>
  <c r="BD501" i="1"/>
  <c r="AJ501" i="1"/>
  <c r="L501" i="1"/>
  <c r="AV100" i="1"/>
  <c r="AV107" i="1" s="1"/>
  <c r="H106" i="1"/>
  <c r="T114" i="1"/>
  <c r="AJ114" i="1"/>
  <c r="H128" i="1"/>
  <c r="AF130" i="1"/>
  <c r="T142" i="1"/>
  <c r="AJ142" i="1"/>
  <c r="AB150" i="1"/>
  <c r="AB152" i="1"/>
  <c r="P160" i="1"/>
  <c r="P167" i="1" s="1"/>
  <c r="AV160" i="1"/>
  <c r="T166" i="1"/>
  <c r="AJ166" i="1"/>
  <c r="X172" i="1"/>
  <c r="X179" i="1" s="1"/>
  <c r="AV174" i="1"/>
  <c r="T188" i="1"/>
  <c r="AJ188" i="1"/>
  <c r="AV196" i="1"/>
  <c r="AV203" i="1" s="1"/>
  <c r="H202" i="1"/>
  <c r="T210" i="1"/>
  <c r="AJ210" i="1"/>
  <c r="H224" i="1"/>
  <c r="T233" i="1"/>
  <c r="AJ233" i="1"/>
  <c r="AZ233" i="1"/>
  <c r="AR236" i="1"/>
  <c r="AF237" i="1"/>
  <c r="AU239" i="1"/>
  <c r="O251" i="1"/>
  <c r="P244" i="1"/>
  <c r="L249" i="1"/>
  <c r="AN249" i="1"/>
  <c r="AR256" i="1"/>
  <c r="AV259" i="1"/>
  <c r="AE275" i="1"/>
  <c r="AF269" i="1"/>
  <c r="P272" i="1"/>
  <c r="AV273" i="1"/>
  <c r="AR286" i="1"/>
  <c r="AF294" i="1"/>
  <c r="BD294" i="1"/>
  <c r="AZ298" i="1"/>
  <c r="H306" i="1"/>
  <c r="AR316" i="1"/>
  <c r="AR323" i="1" s="1"/>
  <c r="P317" i="1"/>
  <c r="AR341" i="1"/>
  <c r="AN342" i="1"/>
  <c r="T345" i="1"/>
  <c r="AR345" i="1"/>
  <c r="AE371" i="1"/>
  <c r="AF364" i="1"/>
  <c r="X365" i="1"/>
  <c r="AR404" i="1"/>
  <c r="AZ406" i="1"/>
  <c r="P406" i="1"/>
  <c r="AV406" i="1"/>
  <c r="H406" i="1"/>
  <c r="X406" i="1"/>
  <c r="AN406" i="1"/>
  <c r="T406" i="1"/>
  <c r="AF406" i="1"/>
  <c r="BD406" i="1"/>
  <c r="T428" i="1"/>
  <c r="AF489" i="1"/>
  <c r="AV490" i="1"/>
  <c r="AR490" i="1"/>
  <c r="T490" i="1"/>
  <c r="L490" i="1"/>
  <c r="AF490" i="1"/>
  <c r="C491" i="1"/>
  <c r="AN225" i="1"/>
  <c r="T226" i="1"/>
  <c r="AJ226" i="1"/>
  <c r="AB234" i="1"/>
  <c r="AB236" i="1"/>
  <c r="P246" i="1"/>
  <c r="AF246" i="1"/>
  <c r="T250" i="1"/>
  <c r="AJ250" i="1"/>
  <c r="X256" i="1"/>
  <c r="X263" i="1" s="1"/>
  <c r="AV258" i="1"/>
  <c r="P268" i="1"/>
  <c r="AF268" i="1"/>
  <c r="T272" i="1"/>
  <c r="AJ272" i="1"/>
  <c r="AV280" i="1"/>
  <c r="H286" i="1"/>
  <c r="AV293" i="1"/>
  <c r="AV305" i="1"/>
  <c r="AB307" i="1"/>
  <c r="X328" i="1"/>
  <c r="X335" i="1" s="1"/>
  <c r="T332" i="1"/>
  <c r="BD343" i="1"/>
  <c r="AN357" i="1"/>
  <c r="AV358" i="1"/>
  <c r="P364" i="1"/>
  <c r="P371" i="1" s="1"/>
  <c r="O371" i="1"/>
  <c r="L368" i="1"/>
  <c r="AE383" i="1"/>
  <c r="BD378" i="1"/>
  <c r="AN378" i="1"/>
  <c r="X378" i="1"/>
  <c r="H378" i="1"/>
  <c r="AZ378" i="1"/>
  <c r="AF378" i="1"/>
  <c r="AB390" i="1"/>
  <c r="O419" i="1"/>
  <c r="L442" i="1"/>
  <c r="P484" i="1"/>
  <c r="P491" i="1" s="1"/>
  <c r="O491" i="1"/>
  <c r="L489" i="1"/>
  <c r="AJ490" i="1"/>
  <c r="AR508" i="1"/>
  <c r="T270" i="1"/>
  <c r="AJ270" i="1"/>
  <c r="AN271" i="1"/>
  <c r="L286" i="1"/>
  <c r="AR292" i="1"/>
  <c r="AN298" i="1"/>
  <c r="AN306" i="1"/>
  <c r="AF310" i="1"/>
  <c r="AJ331" i="1"/>
  <c r="AU347" i="1"/>
  <c r="AV340" i="1"/>
  <c r="AV347" i="1" s="1"/>
  <c r="AF346" i="1"/>
  <c r="AF353" i="1"/>
  <c r="AE359" i="1"/>
  <c r="X354" i="1"/>
  <c r="AR357" i="1"/>
  <c r="AF358" i="1"/>
  <c r="AN368" i="1"/>
  <c r="C395" i="1"/>
  <c r="AR390" i="1"/>
  <c r="T390" i="1"/>
  <c r="AZ390" i="1"/>
  <c r="L427" i="1"/>
  <c r="AU479" i="1"/>
  <c r="AV472" i="1"/>
  <c r="AV479" i="1" s="1"/>
  <c r="P508" i="1"/>
  <c r="P515" i="1" s="1"/>
  <c r="O515" i="1"/>
  <c r="H225" i="1"/>
  <c r="L236" i="1"/>
  <c r="AR249" i="1"/>
  <c r="H256" i="1"/>
  <c r="H263" i="1" s="1"/>
  <c r="C275" i="1"/>
  <c r="AR271" i="1"/>
  <c r="AR273" i="1"/>
  <c r="AE287" i="1"/>
  <c r="AF280" i="1"/>
  <c r="AF287" i="1" s="1"/>
  <c r="BD286" i="1"/>
  <c r="P294" i="1"/>
  <c r="X298" i="1"/>
  <c r="AR304" i="1"/>
  <c r="AR311" i="1" s="1"/>
  <c r="AR306" i="1"/>
  <c r="AJ310" i="1"/>
  <c r="AE323" i="1"/>
  <c r="AF316" i="1"/>
  <c r="AN317" i="1"/>
  <c r="C335" i="1"/>
  <c r="T328" i="1"/>
  <c r="T335" i="1" s="1"/>
  <c r="AZ328" i="1"/>
  <c r="AZ335" i="1" s="1"/>
  <c r="AB328" i="1"/>
  <c r="AB335" i="1" s="1"/>
  <c r="BD330" i="1"/>
  <c r="AN330" i="1"/>
  <c r="X330" i="1"/>
  <c r="H330" i="1"/>
  <c r="AV330" i="1"/>
  <c r="AN331" i="1"/>
  <c r="AV342" i="1"/>
  <c r="P343" i="1"/>
  <c r="H346" i="1"/>
  <c r="C359" i="1"/>
  <c r="BD352" i="1"/>
  <c r="BD359" i="1" s="1"/>
  <c r="AN352" i="1"/>
  <c r="AN359" i="1" s="1"/>
  <c r="X352" i="1"/>
  <c r="X359" i="1" s="1"/>
  <c r="H352" i="1"/>
  <c r="H359" i="1" s="1"/>
  <c r="AV357" i="1"/>
  <c r="P358" i="1"/>
  <c r="P376" i="1"/>
  <c r="P383" i="1" s="1"/>
  <c r="AF390" i="1"/>
  <c r="AB394" i="1"/>
  <c r="BD401" i="1"/>
  <c r="AN401" i="1"/>
  <c r="T401" i="1"/>
  <c r="AB401" i="1"/>
  <c r="AR406" i="1"/>
  <c r="AN416" i="1"/>
  <c r="AV526" i="1"/>
  <c r="X544" i="1"/>
  <c r="X551" i="1" s="1"/>
  <c r="H342" i="1"/>
  <c r="AZ342" i="1"/>
  <c r="L346" i="1"/>
  <c r="BD356" i="1"/>
  <c r="AN356" i="1"/>
  <c r="X356" i="1"/>
  <c r="H356" i="1"/>
  <c r="H357" i="1"/>
  <c r="AF368" i="1"/>
  <c r="BD368" i="1"/>
  <c r="AE395" i="1"/>
  <c r="AF401" i="1"/>
  <c r="AB406" i="1"/>
  <c r="AB412" i="1"/>
  <c r="AB419" i="1" s="1"/>
  <c r="AV412" i="1"/>
  <c r="AV419" i="1" s="1"/>
  <c r="AV417" i="1"/>
  <c r="AF417" i="1"/>
  <c r="P417" i="1"/>
  <c r="AR417" i="1"/>
  <c r="AB417" i="1"/>
  <c r="L417" i="1"/>
  <c r="X417" i="1"/>
  <c r="AR430" i="1"/>
  <c r="AB430" i="1"/>
  <c r="L430" i="1"/>
  <c r="AN430" i="1"/>
  <c r="AR437" i="1"/>
  <c r="AB437" i="1"/>
  <c r="L437" i="1"/>
  <c r="BD437" i="1"/>
  <c r="AN437" i="1"/>
  <c r="X437" i="1"/>
  <c r="H437" i="1"/>
  <c r="AV437" i="1"/>
  <c r="AR465" i="1"/>
  <c r="AB465" i="1"/>
  <c r="L465" i="1"/>
  <c r="AJ465" i="1"/>
  <c r="AZ465" i="1"/>
  <c r="P465" i="1"/>
  <c r="AF465" i="1"/>
  <c r="X465" i="1"/>
  <c r="AV465" i="1"/>
  <c r="AR489" i="1"/>
  <c r="P499" i="1"/>
  <c r="O503" i="1"/>
  <c r="BD500" i="1"/>
  <c r="AN500" i="1"/>
  <c r="X500" i="1"/>
  <c r="H500" i="1"/>
  <c r="AZ500" i="1"/>
  <c r="AB500" i="1"/>
  <c r="H501" i="1"/>
  <c r="AB514" i="1"/>
  <c r="AZ514" i="1"/>
  <c r="AV559" i="1"/>
  <c r="BD569" i="1"/>
  <c r="AN569" i="1"/>
  <c r="X569" i="1"/>
  <c r="H569" i="1"/>
  <c r="AZ569" i="1"/>
  <c r="AJ569" i="1"/>
  <c r="H585" i="1"/>
  <c r="H305" i="1"/>
  <c r="H317" i="1"/>
  <c r="AF331" i="1"/>
  <c r="BD331" i="1"/>
  <c r="AE347" i="1"/>
  <c r="BD342" i="1"/>
  <c r="P346" i="1"/>
  <c r="AF357" i="1"/>
  <c r="BD357" i="1"/>
  <c r="C371" i="1"/>
  <c r="P367" i="1"/>
  <c r="AF367" i="1"/>
  <c r="AV367" i="1"/>
  <c r="AJ368" i="1"/>
  <c r="X376" i="1"/>
  <c r="X383" i="1" s="1"/>
  <c r="AB379" i="1"/>
  <c r="X390" i="1"/>
  <c r="L406" i="1"/>
  <c r="H412" i="1"/>
  <c r="H419" i="1" s="1"/>
  <c r="C419" i="1"/>
  <c r="AU431" i="1"/>
  <c r="AV424" i="1"/>
  <c r="AV431" i="1" s="1"/>
  <c r="X430" i="1"/>
  <c r="X453" i="1"/>
  <c r="AF472" i="1"/>
  <c r="AE479" i="1"/>
  <c r="AZ478" i="1"/>
  <c r="P490" i="1"/>
  <c r="AJ500" i="1"/>
  <c r="BD514" i="1"/>
  <c r="AU551" i="1"/>
  <c r="AV544" i="1"/>
  <c r="AV551" i="1" s="1"/>
  <c r="C575" i="1"/>
  <c r="AV568" i="1"/>
  <c r="AV575" i="1" s="1"/>
  <c r="X568" i="1"/>
  <c r="BD568" i="1"/>
  <c r="BD575" i="1" s="1"/>
  <c r="P568" i="1"/>
  <c r="P575" i="1" s="1"/>
  <c r="AF568" i="1"/>
  <c r="AN568" i="1"/>
  <c r="AN575" i="1" s="1"/>
  <c r="T568" i="1"/>
  <c r="T575" i="1" s="1"/>
  <c r="AV294" i="1"/>
  <c r="AR307" i="1"/>
  <c r="H316" i="1"/>
  <c r="H323" i="1" s="1"/>
  <c r="AV316" i="1"/>
  <c r="AV323" i="1" s="1"/>
  <c r="AF320" i="1"/>
  <c r="BD320" i="1"/>
  <c r="AN328" i="1"/>
  <c r="P331" i="1"/>
  <c r="H334" i="1"/>
  <c r="X334" i="1"/>
  <c r="AN334" i="1"/>
  <c r="P342" i="1"/>
  <c r="BD353" i="1"/>
  <c r="AN354" i="1"/>
  <c r="AV356" i="1"/>
  <c r="P357" i="1"/>
  <c r="T367" i="1"/>
  <c r="AJ367" i="1"/>
  <c r="BD379" i="1"/>
  <c r="H390" i="1"/>
  <c r="AE407" i="1"/>
  <c r="AJ412" i="1"/>
  <c r="AJ419" i="1" s="1"/>
  <c r="X416" i="1"/>
  <c r="X427" i="1"/>
  <c r="AV430" i="1"/>
  <c r="AV442" i="1"/>
  <c r="AF453" i="1"/>
  <c r="BD453" i="1"/>
  <c r="BD465" i="1"/>
  <c r="BD478" i="1"/>
  <c r="AN478" i="1"/>
  <c r="X478" i="1"/>
  <c r="H478" i="1"/>
  <c r="AJ478" i="1"/>
  <c r="L478" i="1"/>
  <c r="AZ489" i="1"/>
  <c r="X490" i="1"/>
  <c r="P500" i="1"/>
  <c r="AR500" i="1"/>
  <c r="H508" i="1"/>
  <c r="H515" i="1" s="1"/>
  <c r="H514" i="1"/>
  <c r="X526" i="1"/>
  <c r="AF309" i="1"/>
  <c r="P320" i="1"/>
  <c r="T321" i="1"/>
  <c r="AJ321" i="1"/>
  <c r="X331" i="1"/>
  <c r="AF342" i="1"/>
  <c r="BD346" i="1"/>
  <c r="X357" i="1"/>
  <c r="BD364" i="1"/>
  <c r="BD371" i="1" s="1"/>
  <c r="P368" i="1"/>
  <c r="T369" i="1"/>
  <c r="AJ369" i="1"/>
  <c r="P379" i="1"/>
  <c r="T380" i="1"/>
  <c r="AJ380" i="1"/>
  <c r="AN390" i="1"/>
  <c r="T391" i="1"/>
  <c r="AJ391" i="1"/>
  <c r="AV394" i="1"/>
  <c r="P401" i="1"/>
  <c r="AJ401" i="1"/>
  <c r="X402" i="1"/>
  <c r="AN412" i="1"/>
  <c r="T413" i="1"/>
  <c r="AJ413" i="1"/>
  <c r="AV416" i="1"/>
  <c r="P427" i="1"/>
  <c r="P442" i="1"/>
  <c r="P448" i="1"/>
  <c r="P455" i="1" s="1"/>
  <c r="AF448" i="1"/>
  <c r="T454" i="1"/>
  <c r="AJ454" i="1"/>
  <c r="AE467" i="1"/>
  <c r="AF460" i="1"/>
  <c r="X464" i="1"/>
  <c r="AJ474" i="1"/>
  <c r="AB484" i="1"/>
  <c r="AB491" i="1" s="1"/>
  <c r="AN490" i="1"/>
  <c r="BD499" i="1"/>
  <c r="AV499" i="1"/>
  <c r="AV500" i="1"/>
  <c r="P501" i="1"/>
  <c r="BD573" i="1"/>
  <c r="T379" i="1"/>
  <c r="AF394" i="1"/>
  <c r="AZ394" i="1"/>
  <c r="T400" i="1"/>
  <c r="T407" i="1" s="1"/>
  <c r="AJ400" i="1"/>
  <c r="AJ407" i="1" s="1"/>
  <c r="AV402" i="1"/>
  <c r="AF416" i="1"/>
  <c r="AZ416" i="1"/>
  <c r="P453" i="1"/>
  <c r="AB464" i="1"/>
  <c r="T474" i="1"/>
  <c r="BD474" i="1"/>
  <c r="T501" i="1"/>
  <c r="X508" i="1"/>
  <c r="X515" i="1" s="1"/>
  <c r="BD547" i="1"/>
  <c r="AN547" i="1"/>
  <c r="X547" i="1"/>
  <c r="H547" i="1"/>
  <c r="AR547" i="1"/>
  <c r="T547" i="1"/>
  <c r="AJ547" i="1"/>
  <c r="C455" i="1"/>
  <c r="T448" i="1"/>
  <c r="T455" i="1" s="1"/>
  <c r="AJ448" i="1"/>
  <c r="AJ455" i="1" s="1"/>
  <c r="AZ448" i="1"/>
  <c r="AZ455" i="1" s="1"/>
  <c r="AV474" i="1"/>
  <c r="AF474" i="1"/>
  <c r="P474" i="1"/>
  <c r="AN474" i="1"/>
  <c r="AE503" i="1"/>
  <c r="AF497" i="1"/>
  <c r="AB508" i="1"/>
  <c r="AN514" i="1"/>
  <c r="O527" i="1"/>
  <c r="P559" i="1"/>
  <c r="T570" i="1"/>
  <c r="AZ570" i="1"/>
  <c r="L570" i="1"/>
  <c r="AJ570" i="1"/>
  <c r="AR570" i="1"/>
  <c r="X570" i="1"/>
  <c r="D6" i="10" s="1"/>
  <c r="AV379" i="1"/>
  <c r="P394" i="1"/>
  <c r="P416" i="1"/>
  <c r="L424" i="1"/>
  <c r="L431" i="1" s="1"/>
  <c r="AB424" i="1"/>
  <c r="AB431" i="1" s="1"/>
  <c r="AR424" i="1"/>
  <c r="AR431" i="1" s="1"/>
  <c r="H427" i="1"/>
  <c r="P438" i="1"/>
  <c r="T439" i="1"/>
  <c r="AJ439" i="1"/>
  <c r="AN442" i="1"/>
  <c r="AV449" i="1"/>
  <c r="L450" i="1"/>
  <c r="AB450" i="1"/>
  <c r="AR450" i="1"/>
  <c r="H453" i="1"/>
  <c r="P460" i="1"/>
  <c r="P467" i="1" s="1"/>
  <c r="T461" i="1"/>
  <c r="AJ461" i="1"/>
  <c r="AN464" i="1"/>
  <c r="AF478" i="1"/>
  <c r="H499" i="1"/>
  <c r="L508" i="1"/>
  <c r="L515" i="1" s="1"/>
  <c r="C527" i="1"/>
  <c r="AV532" i="1"/>
  <c r="AV539" i="1" s="1"/>
  <c r="AU539" i="1"/>
  <c r="P547" i="1"/>
  <c r="AZ574" i="1"/>
  <c r="L574" i="1"/>
  <c r="AB574" i="1"/>
  <c r="T574" i="1"/>
  <c r="AJ574" i="1"/>
  <c r="AF574" i="1"/>
  <c r="AV464" i="1"/>
  <c r="T485" i="1"/>
  <c r="AJ485" i="1"/>
  <c r="H490" i="1"/>
  <c r="AB490" i="1"/>
  <c r="C503" i="1"/>
  <c r="T496" i="1"/>
  <c r="T503" i="1" s="1"/>
  <c r="AJ496" i="1"/>
  <c r="AJ503" i="1" s="1"/>
  <c r="AZ496" i="1"/>
  <c r="AZ503" i="1" s="1"/>
  <c r="AJ499" i="1"/>
  <c r="AF501" i="1"/>
  <c r="AZ501" i="1"/>
  <c r="AV508" i="1"/>
  <c r="AV515" i="1" s="1"/>
  <c r="T513" i="1"/>
  <c r="AJ513" i="1"/>
  <c r="T514" i="1"/>
  <c r="AV524" i="1"/>
  <c r="X524" i="1"/>
  <c r="H524" i="1"/>
  <c r="AB524" i="1"/>
  <c r="AB547" i="1"/>
  <c r="T569" i="1"/>
  <c r="AN573" i="1"/>
  <c r="AV585" i="1"/>
  <c r="BD390" i="1"/>
  <c r="X405" i="1"/>
  <c r="BD412" i="1"/>
  <c r="BD419" i="1" s="1"/>
  <c r="T424" i="1"/>
  <c r="T431" i="1" s="1"/>
  <c r="AJ424" i="1"/>
  <c r="AJ431" i="1" s="1"/>
  <c r="AN427" i="1"/>
  <c r="AV438" i="1"/>
  <c r="H442" i="1"/>
  <c r="T450" i="1"/>
  <c r="AJ450" i="1"/>
  <c r="AN453" i="1"/>
  <c r="AV460" i="1"/>
  <c r="AV467" i="1" s="1"/>
  <c r="H464" i="1"/>
  <c r="T484" i="1"/>
  <c r="T491" i="1" s="1"/>
  <c r="T498" i="1"/>
  <c r="AJ498" i="1"/>
  <c r="AZ508" i="1"/>
  <c r="AF547" i="1"/>
  <c r="T548" i="1"/>
  <c r="AZ548" i="1"/>
  <c r="L548" i="1"/>
  <c r="AB548" i="1"/>
  <c r="AB477" i="1"/>
  <c r="AF486" i="1"/>
  <c r="L487" i="1"/>
  <c r="AB487" i="1"/>
  <c r="BD490" i="1"/>
  <c r="AB499" i="1"/>
  <c r="AF508" i="1"/>
  <c r="L514" i="1"/>
  <c r="T521" i="1"/>
  <c r="T536" i="1"/>
  <c r="P544" i="1"/>
  <c r="P551" i="1" s="1"/>
  <c r="AV546" i="1"/>
  <c r="X546" i="1"/>
  <c r="AZ546" i="1"/>
  <c r="AF546" i="1"/>
  <c r="H546" i="1"/>
  <c r="AB546" i="1"/>
  <c r="H559" i="1"/>
  <c r="L569" i="1"/>
  <c r="X574" i="1"/>
  <c r="AV574" i="1"/>
  <c r="BD559" i="1"/>
  <c r="P569" i="1"/>
  <c r="AR569" i="1"/>
  <c r="AB573" i="1"/>
  <c r="L484" i="1"/>
  <c r="X497" i="1"/>
  <c r="AV501" i="1"/>
  <c r="X514" i="1"/>
  <c r="AV521" i="1"/>
  <c r="AF521" i="1"/>
  <c r="P521" i="1"/>
  <c r="T522" i="1"/>
  <c r="AZ522" i="1"/>
  <c r="L522" i="1"/>
  <c r="AE527" i="1"/>
  <c r="AV536" i="1"/>
  <c r="AF536" i="1"/>
  <c r="P536" i="1"/>
  <c r="T537" i="1"/>
  <c r="AZ537" i="1"/>
  <c r="L537" i="1"/>
  <c r="AF537" i="1"/>
  <c r="H548" i="1"/>
  <c r="AZ568" i="1"/>
  <c r="AZ575" i="1" s="1"/>
  <c r="H574" i="1"/>
  <c r="BD522" i="1"/>
  <c r="AV525" i="1"/>
  <c r="BD526" i="1"/>
  <c r="AN536" i="1"/>
  <c r="H537" i="1"/>
  <c r="H544" i="1"/>
  <c r="H551" i="1" s="1"/>
  <c r="AV548" i="1"/>
  <c r="AB558" i="1"/>
  <c r="BD562" i="1"/>
  <c r="AN562" i="1"/>
  <c r="X562" i="1"/>
  <c r="H562" i="1"/>
  <c r="AF562" i="1"/>
  <c r="AZ562" i="1"/>
  <c r="BD570" i="1"/>
  <c r="AR573" i="1"/>
  <c r="P574" i="1"/>
  <c r="BD585" i="1"/>
  <c r="AF548" i="1"/>
  <c r="AV558" i="1"/>
  <c r="AF558" i="1"/>
  <c r="P558" i="1"/>
  <c r="AZ558" i="1"/>
  <c r="X559" i="1"/>
  <c r="AV569" i="1"/>
  <c r="T573" i="1"/>
  <c r="AN574" i="1"/>
  <c r="T581" i="1"/>
  <c r="AZ581" i="1"/>
  <c r="AB581" i="1"/>
  <c r="AV581" i="1"/>
  <c r="AB521" i="1"/>
  <c r="BD525" i="1"/>
  <c r="AN525" i="1"/>
  <c r="X525" i="1"/>
  <c r="H525" i="1"/>
  <c r="AF525" i="1"/>
  <c r="AZ525" i="1"/>
  <c r="AZ532" i="1"/>
  <c r="BD537" i="1"/>
  <c r="BD544" i="1"/>
  <c r="BD551" i="1" s="1"/>
  <c r="AV547" i="1"/>
  <c r="BD548" i="1"/>
  <c r="AV561" i="1"/>
  <c r="X561" i="1"/>
  <c r="AB569" i="1"/>
  <c r="H581" i="1"/>
  <c r="AF581" i="1"/>
  <c r="AF570" i="1"/>
  <c r="AV580" i="1"/>
  <c r="AV587" i="1" s="1"/>
  <c r="AF580" i="1"/>
  <c r="P580" i="1"/>
  <c r="P587" i="1" s="1"/>
  <c r="C587" i="1"/>
  <c r="AN583" i="1"/>
  <c r="BD584" i="1"/>
  <c r="AN584" i="1"/>
  <c r="X584" i="1"/>
  <c r="AV584" i="1"/>
  <c r="AF585" i="1"/>
  <c r="H521" i="1"/>
  <c r="AR524" i="1"/>
  <c r="P526" i="1"/>
  <c r="AE539" i="1"/>
  <c r="AF532" i="1"/>
  <c r="AF539" i="1" s="1"/>
  <c r="H536" i="1"/>
  <c r="AR546" i="1"/>
  <c r="P548" i="1"/>
  <c r="H558" i="1"/>
  <c r="AR561" i="1"/>
  <c r="AR568" i="1"/>
  <c r="AR575" i="1" s="1"/>
  <c r="P570" i="1"/>
  <c r="X573" i="1"/>
  <c r="H580" i="1"/>
  <c r="H587" i="1" s="1"/>
  <c r="X583" i="1"/>
  <c r="AR583" i="1"/>
  <c r="H584" i="1"/>
  <c r="P585" i="1"/>
  <c r="BD521" i="1"/>
  <c r="AN522" i="1"/>
  <c r="L524" i="1"/>
  <c r="O539" i="1"/>
  <c r="P532" i="1"/>
  <c r="P539" i="1" s="1"/>
  <c r="BD536" i="1"/>
  <c r="AN537" i="1"/>
  <c r="AN544" i="1"/>
  <c r="L546" i="1"/>
  <c r="BD558" i="1"/>
  <c r="AN559" i="1"/>
  <c r="L561" i="1"/>
  <c r="L568" i="1"/>
  <c r="L575" i="1" s="1"/>
  <c r="H573" i="1"/>
  <c r="BD580" i="1"/>
  <c r="BD587" i="1" s="1"/>
  <c r="AN581" i="1"/>
  <c r="L583" i="1"/>
  <c r="T523" i="1"/>
  <c r="AJ523" i="1"/>
  <c r="T538" i="1"/>
  <c r="T545" i="1"/>
  <c r="AJ545" i="1"/>
  <c r="T560" i="1"/>
  <c r="AJ560" i="1"/>
  <c r="D3" i="10" l="1"/>
  <c r="D9" i="10"/>
  <c r="X611" i="1"/>
  <c r="AN491" i="1"/>
  <c r="P503" i="1"/>
  <c r="AB467" i="1"/>
  <c r="AF503" i="1"/>
  <c r="AN467" i="1"/>
  <c r="AB527" i="1"/>
  <c r="AB275" i="1"/>
  <c r="AR527" i="1"/>
  <c r="AN455" i="1"/>
  <c r="AN395" i="1"/>
  <c r="AR227" i="1"/>
  <c r="AF155" i="1"/>
  <c r="AF407" i="1"/>
  <c r="AB359" i="1"/>
  <c r="AB395" i="1"/>
  <c r="AF383" i="1"/>
  <c r="AF395" i="1"/>
  <c r="AF179" i="1"/>
  <c r="AN167" i="1"/>
  <c r="AF347" i="1"/>
  <c r="AN383" i="1"/>
  <c r="AR203" i="1"/>
  <c r="H299" i="1"/>
  <c r="AF203" i="1"/>
  <c r="AB323" i="1"/>
  <c r="AF119" i="1"/>
  <c r="AN155" i="1"/>
  <c r="AR275" i="1"/>
  <c r="AN287" i="1"/>
  <c r="AN131" i="1"/>
  <c r="AN215" i="1"/>
  <c r="AJ167" i="1"/>
  <c r="AN119" i="1"/>
  <c r="AB239" i="1"/>
  <c r="AV167" i="1"/>
  <c r="AF215" i="1"/>
  <c r="AB143" i="1"/>
  <c r="AF227" i="1"/>
  <c r="AR119" i="1"/>
  <c r="H119" i="1"/>
  <c r="AN611" i="1"/>
  <c r="H611" i="1"/>
  <c r="AR599" i="1"/>
  <c r="H599" i="1"/>
  <c r="AN587" i="1"/>
  <c r="AF587" i="1"/>
  <c r="AF575" i="1"/>
  <c r="X575" i="1"/>
  <c r="C6" i="10" s="1"/>
  <c r="AF371" i="1"/>
  <c r="AN227" i="1"/>
  <c r="AZ311" i="1"/>
  <c r="AB107" i="1"/>
  <c r="AF335" i="1"/>
  <c r="P263" i="1"/>
  <c r="AZ515" i="1"/>
  <c r="P251" i="1"/>
  <c r="BD491" i="1"/>
  <c r="AB179" i="1"/>
  <c r="AN347" i="1"/>
  <c r="AF251" i="1"/>
  <c r="H347" i="1"/>
  <c r="AN407" i="1"/>
  <c r="AN143" i="1"/>
  <c r="AN479" i="1"/>
  <c r="H443" i="1"/>
  <c r="AN251" i="1"/>
  <c r="AB479" i="1"/>
  <c r="AN299" i="1"/>
  <c r="AB263" i="1"/>
  <c r="AF167" i="1"/>
  <c r="AB191" i="1"/>
  <c r="AN323" i="1"/>
  <c r="AF275" i="1"/>
  <c r="AN107" i="1"/>
  <c r="P275" i="1"/>
  <c r="AN371" i="1"/>
  <c r="AN419" i="1"/>
  <c r="AV299" i="1"/>
  <c r="AB299" i="1"/>
  <c r="L311" i="1"/>
  <c r="AR191" i="1"/>
  <c r="AN239" i="1"/>
  <c r="AF239" i="1"/>
  <c r="AF359" i="1"/>
  <c r="AR299" i="1"/>
  <c r="AB227" i="1"/>
  <c r="P203" i="1"/>
  <c r="AR503" i="1"/>
  <c r="H311" i="1"/>
  <c r="AB287" i="1"/>
  <c r="AN563" i="1"/>
  <c r="AZ563" i="1"/>
  <c r="AN551" i="1"/>
  <c r="AZ551" i="1"/>
  <c r="AZ539" i="1"/>
  <c r="AV287" i="1"/>
  <c r="AF263" i="1"/>
  <c r="AF455" i="1"/>
  <c r="AF479" i="1"/>
  <c r="AJ515" i="1"/>
  <c r="P191" i="1"/>
  <c r="P527" i="1"/>
  <c r="AN431" i="1"/>
  <c r="AB515" i="1"/>
  <c r="AF143" i="1"/>
  <c r="AF191" i="1"/>
  <c r="AV179" i="1"/>
  <c r="AF527" i="1"/>
  <c r="AF515" i="1"/>
  <c r="AN335" i="1"/>
  <c r="L491" i="1"/>
  <c r="AV191" i="1"/>
  <c r="AR515" i="1"/>
  <c r="AF131" i="1"/>
  <c r="AF107" i="1"/>
  <c r="AF467" i="1"/>
  <c r="AR263" i="1"/>
  <c r="H167" i="1"/>
  <c r="AF323" i="1"/>
  <c r="H287" i="1"/>
  <c r="C13" i="10" l="1"/>
  <c r="C3" i="10"/>
  <c r="C9" i="10"/>
  <c r="M95" i="1"/>
  <c r="BA83" i="1" l="1"/>
  <c r="AS83" i="1"/>
  <c r="AC23" i="1" l="1"/>
  <c r="AS59" i="1" l="1"/>
  <c r="AO59" i="1"/>
  <c r="AC59" i="1"/>
  <c r="AC47" i="1"/>
  <c r="AS11" i="1"/>
  <c r="AC11" i="1"/>
  <c r="M11" i="1"/>
  <c r="D95" i="1" l="1"/>
  <c r="BC94" i="1"/>
  <c r="AY94" i="1"/>
  <c r="AU94" i="1"/>
  <c r="AQ94" i="1"/>
  <c r="AM94" i="1"/>
  <c r="AI94" i="1"/>
  <c r="AE94" i="1"/>
  <c r="AA94" i="1"/>
  <c r="W94" i="1"/>
  <c r="S94" i="1"/>
  <c r="O94" i="1"/>
  <c r="K94" i="1"/>
  <c r="G94" i="1"/>
  <c r="C94" i="1"/>
  <c r="BC93" i="1"/>
  <c r="AY93" i="1"/>
  <c r="AU93" i="1"/>
  <c r="AQ93" i="1"/>
  <c r="AM93" i="1"/>
  <c r="AI93" i="1"/>
  <c r="AE93" i="1"/>
  <c r="AF93" i="1" s="1"/>
  <c r="AA93" i="1"/>
  <c r="W93" i="1"/>
  <c r="S93" i="1"/>
  <c r="O93" i="1"/>
  <c r="K93" i="1"/>
  <c r="G93" i="1"/>
  <c r="C93" i="1"/>
  <c r="BC92" i="1"/>
  <c r="AY92" i="1"/>
  <c r="AU92" i="1"/>
  <c r="AQ92" i="1"/>
  <c r="AM92" i="1"/>
  <c r="AI92" i="1"/>
  <c r="AE92" i="1"/>
  <c r="AA92" i="1"/>
  <c r="W92" i="1"/>
  <c r="S92" i="1"/>
  <c r="O92" i="1"/>
  <c r="K92" i="1"/>
  <c r="G92" i="1"/>
  <c r="C92" i="1"/>
  <c r="BC91" i="1"/>
  <c r="AY91" i="1"/>
  <c r="AU91" i="1"/>
  <c r="AQ91" i="1"/>
  <c r="AM91" i="1"/>
  <c r="AI91" i="1"/>
  <c r="AE91" i="1"/>
  <c r="AA91" i="1"/>
  <c r="W91" i="1"/>
  <c r="S91" i="1"/>
  <c r="O91" i="1"/>
  <c r="K91" i="1"/>
  <c r="G91" i="1"/>
  <c r="C91" i="1"/>
  <c r="BC90" i="1"/>
  <c r="AY90" i="1"/>
  <c r="AU90" i="1"/>
  <c r="AQ90" i="1"/>
  <c r="AM90" i="1"/>
  <c r="AI90" i="1"/>
  <c r="AE90" i="1"/>
  <c r="AA90" i="1"/>
  <c r="W90" i="1"/>
  <c r="S90" i="1"/>
  <c r="O90" i="1"/>
  <c r="K90" i="1"/>
  <c r="G90" i="1"/>
  <c r="C90" i="1"/>
  <c r="BC89" i="1"/>
  <c r="AY89" i="1"/>
  <c r="AU89" i="1"/>
  <c r="AQ89" i="1"/>
  <c r="AM89" i="1"/>
  <c r="AI89" i="1"/>
  <c r="AE89" i="1"/>
  <c r="AA89" i="1"/>
  <c r="W89" i="1"/>
  <c r="S89" i="1"/>
  <c r="O89" i="1"/>
  <c r="K89" i="1"/>
  <c r="G89" i="1"/>
  <c r="C89" i="1"/>
  <c r="BC88" i="1"/>
  <c r="AY88" i="1"/>
  <c r="AU88" i="1"/>
  <c r="AU95" i="1" s="1"/>
  <c r="AQ88" i="1"/>
  <c r="AM88" i="1"/>
  <c r="AI88" i="1"/>
  <c r="AE88" i="1"/>
  <c r="AE95" i="1" s="1"/>
  <c r="AA88" i="1"/>
  <c r="W88" i="1"/>
  <c r="S88" i="1"/>
  <c r="O88" i="1"/>
  <c r="K88" i="1"/>
  <c r="G88" i="1"/>
  <c r="C88" i="1"/>
  <c r="D83" i="1"/>
  <c r="BC82" i="1"/>
  <c r="AY82" i="1"/>
  <c r="AU82" i="1"/>
  <c r="AQ82" i="1"/>
  <c r="AM82" i="1"/>
  <c r="AI82" i="1"/>
  <c r="AE82" i="1"/>
  <c r="AA82" i="1"/>
  <c r="W82" i="1"/>
  <c r="S82" i="1"/>
  <c r="O82" i="1"/>
  <c r="K82" i="1"/>
  <c r="G82" i="1"/>
  <c r="C82" i="1"/>
  <c r="BC81" i="1"/>
  <c r="AY81" i="1"/>
  <c r="AU81" i="1"/>
  <c r="AQ81" i="1"/>
  <c r="AM81" i="1"/>
  <c r="AI81" i="1"/>
  <c r="AE81" i="1"/>
  <c r="AA81" i="1"/>
  <c r="W81" i="1"/>
  <c r="S81" i="1"/>
  <c r="O81" i="1"/>
  <c r="K81" i="1"/>
  <c r="G81" i="1"/>
  <c r="C81" i="1"/>
  <c r="BC80" i="1"/>
  <c r="AY80" i="1"/>
  <c r="AU80" i="1"/>
  <c r="AQ80" i="1"/>
  <c r="AM80" i="1"/>
  <c r="AI80" i="1"/>
  <c r="AE80" i="1"/>
  <c r="AA80" i="1"/>
  <c r="W80" i="1"/>
  <c r="S80" i="1"/>
  <c r="O80" i="1"/>
  <c r="K80" i="1"/>
  <c r="G80" i="1"/>
  <c r="C80" i="1"/>
  <c r="BC79" i="1"/>
  <c r="AY79" i="1"/>
  <c r="AU79" i="1"/>
  <c r="AQ79" i="1"/>
  <c r="AM79" i="1"/>
  <c r="AI79" i="1"/>
  <c r="AE79" i="1"/>
  <c r="AA79" i="1"/>
  <c r="W79" i="1"/>
  <c r="S79" i="1"/>
  <c r="O79" i="1"/>
  <c r="K79" i="1"/>
  <c r="G79" i="1"/>
  <c r="C79" i="1"/>
  <c r="BC78" i="1"/>
  <c r="AY78" i="1"/>
  <c r="AU78" i="1"/>
  <c r="AQ78" i="1"/>
  <c r="AM78" i="1"/>
  <c r="AI78" i="1"/>
  <c r="AE78" i="1"/>
  <c r="AA78" i="1"/>
  <c r="W78" i="1"/>
  <c r="S78" i="1"/>
  <c r="O78" i="1"/>
  <c r="K78" i="1"/>
  <c r="L78" i="1" s="1"/>
  <c r="G78" i="1"/>
  <c r="C78" i="1"/>
  <c r="BC77" i="1"/>
  <c r="AY77" i="1"/>
  <c r="AU77" i="1"/>
  <c r="AQ77" i="1"/>
  <c r="AM77" i="1"/>
  <c r="AI77" i="1"/>
  <c r="AE77" i="1"/>
  <c r="AA77" i="1"/>
  <c r="W77" i="1"/>
  <c r="S77" i="1"/>
  <c r="O77" i="1"/>
  <c r="K77" i="1"/>
  <c r="G77" i="1"/>
  <c r="C77" i="1"/>
  <c r="BC76" i="1"/>
  <c r="AY76" i="1"/>
  <c r="AU76" i="1"/>
  <c r="AQ76" i="1"/>
  <c r="AM76" i="1"/>
  <c r="AI76" i="1"/>
  <c r="AE76" i="1"/>
  <c r="AE83" i="1" s="1"/>
  <c r="AA76" i="1"/>
  <c r="W76" i="1"/>
  <c r="S76" i="1"/>
  <c r="O76" i="1"/>
  <c r="K76" i="1"/>
  <c r="G76" i="1"/>
  <c r="C76" i="1"/>
  <c r="D71" i="1"/>
  <c r="BC70" i="1"/>
  <c r="AY70" i="1"/>
  <c r="AU70" i="1"/>
  <c r="AQ70" i="1"/>
  <c r="AM70" i="1"/>
  <c r="AI70" i="1"/>
  <c r="AE70" i="1"/>
  <c r="AF70" i="1" s="1"/>
  <c r="AA70" i="1"/>
  <c r="W70" i="1"/>
  <c r="S70" i="1"/>
  <c r="O70" i="1"/>
  <c r="K70" i="1"/>
  <c r="G70" i="1"/>
  <c r="C70" i="1"/>
  <c r="BC69" i="1"/>
  <c r="AY69" i="1"/>
  <c r="AU69" i="1"/>
  <c r="AQ69" i="1"/>
  <c r="AM69" i="1"/>
  <c r="AI69" i="1"/>
  <c r="AE69" i="1"/>
  <c r="AA69" i="1"/>
  <c r="W69" i="1"/>
  <c r="S69" i="1"/>
  <c r="O69" i="1"/>
  <c r="K69" i="1"/>
  <c r="G69" i="1"/>
  <c r="C69" i="1"/>
  <c r="BC68" i="1"/>
  <c r="AY68" i="1"/>
  <c r="AU68" i="1"/>
  <c r="AQ68" i="1"/>
  <c r="AM68" i="1"/>
  <c r="AI68" i="1"/>
  <c r="AE68" i="1"/>
  <c r="AA68" i="1"/>
  <c r="W68" i="1"/>
  <c r="S68" i="1"/>
  <c r="O68" i="1"/>
  <c r="P68" i="1" s="1"/>
  <c r="K68" i="1"/>
  <c r="G68" i="1"/>
  <c r="C68" i="1"/>
  <c r="BC67" i="1"/>
  <c r="AY67" i="1"/>
  <c r="AU67" i="1"/>
  <c r="AQ67" i="1"/>
  <c r="AM67" i="1"/>
  <c r="AI67" i="1"/>
  <c r="AE67" i="1"/>
  <c r="AA67" i="1"/>
  <c r="W67" i="1"/>
  <c r="S67" i="1"/>
  <c r="O67" i="1"/>
  <c r="K67" i="1"/>
  <c r="G67" i="1"/>
  <c r="C67" i="1"/>
  <c r="BC66" i="1"/>
  <c r="AY66" i="1"/>
  <c r="AU66" i="1"/>
  <c r="AQ66" i="1"/>
  <c r="AM66" i="1"/>
  <c r="AI66" i="1"/>
  <c r="AE66" i="1"/>
  <c r="AA66" i="1"/>
  <c r="W66" i="1"/>
  <c r="S66" i="1"/>
  <c r="O66" i="1"/>
  <c r="K66" i="1"/>
  <c r="G66" i="1"/>
  <c r="C66" i="1"/>
  <c r="BC65" i="1"/>
  <c r="AY65" i="1"/>
  <c r="AU65" i="1"/>
  <c r="AQ65" i="1"/>
  <c r="AM65" i="1"/>
  <c r="AI65" i="1"/>
  <c r="AE65" i="1"/>
  <c r="AA65" i="1"/>
  <c r="W65" i="1"/>
  <c r="S65" i="1"/>
  <c r="O65" i="1"/>
  <c r="K65" i="1"/>
  <c r="G65" i="1"/>
  <c r="C65" i="1"/>
  <c r="BC64" i="1"/>
  <c r="AY64" i="1"/>
  <c r="AU64" i="1"/>
  <c r="AQ64" i="1"/>
  <c r="AM64" i="1"/>
  <c r="AI64" i="1"/>
  <c r="AE64" i="1"/>
  <c r="AA64" i="1"/>
  <c r="W64" i="1"/>
  <c r="S64" i="1"/>
  <c r="O64" i="1"/>
  <c r="O71" i="1" s="1"/>
  <c r="K64" i="1"/>
  <c r="G64" i="1"/>
  <c r="C64" i="1"/>
  <c r="D59" i="1"/>
  <c r="BC58" i="1"/>
  <c r="AY58" i="1"/>
  <c r="AU58" i="1"/>
  <c r="AQ58" i="1"/>
  <c r="AM58" i="1"/>
  <c r="AI58" i="1"/>
  <c r="AE58" i="1"/>
  <c r="AA58" i="1"/>
  <c r="W58" i="1"/>
  <c r="S58" i="1"/>
  <c r="O58" i="1"/>
  <c r="K58" i="1"/>
  <c r="G58" i="1"/>
  <c r="C58" i="1"/>
  <c r="BC57" i="1"/>
  <c r="AY57" i="1"/>
  <c r="AU57" i="1"/>
  <c r="AQ57" i="1"/>
  <c r="AM57" i="1"/>
  <c r="AI57" i="1"/>
  <c r="AE57" i="1"/>
  <c r="AA57" i="1"/>
  <c r="W57" i="1"/>
  <c r="S57" i="1"/>
  <c r="O57" i="1"/>
  <c r="K57" i="1"/>
  <c r="G57" i="1"/>
  <c r="C57" i="1"/>
  <c r="BC56" i="1"/>
  <c r="AY56" i="1"/>
  <c r="AU56" i="1"/>
  <c r="AQ56" i="1"/>
  <c r="AM56" i="1"/>
  <c r="AI56" i="1"/>
  <c r="AE56" i="1"/>
  <c r="AA56" i="1"/>
  <c r="W56" i="1"/>
  <c r="S56" i="1"/>
  <c r="O56" i="1"/>
  <c r="K56" i="1"/>
  <c r="G56" i="1"/>
  <c r="C56" i="1"/>
  <c r="BC55" i="1"/>
  <c r="AY55" i="1"/>
  <c r="AU55" i="1"/>
  <c r="AQ55" i="1"/>
  <c r="AM55" i="1"/>
  <c r="AI55" i="1"/>
  <c r="AE55" i="1"/>
  <c r="AA55" i="1"/>
  <c r="W55" i="1"/>
  <c r="S55" i="1"/>
  <c r="O55" i="1"/>
  <c r="K55" i="1"/>
  <c r="G55" i="1"/>
  <c r="C55" i="1"/>
  <c r="BC54" i="1"/>
  <c r="AY54" i="1"/>
  <c r="AU54" i="1"/>
  <c r="AQ54" i="1"/>
  <c r="AM54" i="1"/>
  <c r="AI54" i="1"/>
  <c r="AE54" i="1"/>
  <c r="AA54" i="1"/>
  <c r="W54" i="1"/>
  <c r="S54" i="1"/>
  <c r="O54" i="1"/>
  <c r="K54" i="1"/>
  <c r="G54" i="1"/>
  <c r="C54" i="1"/>
  <c r="BC53" i="1"/>
  <c r="AY53" i="1"/>
  <c r="AU53" i="1"/>
  <c r="AQ53" i="1"/>
  <c r="AM53" i="1"/>
  <c r="AI53" i="1"/>
  <c r="AE53" i="1"/>
  <c r="AA53" i="1"/>
  <c r="W53" i="1"/>
  <c r="S53" i="1"/>
  <c r="O53" i="1"/>
  <c r="K53" i="1"/>
  <c r="G53" i="1"/>
  <c r="C53" i="1"/>
  <c r="BC52" i="1"/>
  <c r="AY52" i="1"/>
  <c r="AU52" i="1"/>
  <c r="AQ52" i="1"/>
  <c r="AM52" i="1"/>
  <c r="AI52" i="1"/>
  <c r="AE52" i="1"/>
  <c r="AA52" i="1"/>
  <c r="W52" i="1"/>
  <c r="S52" i="1"/>
  <c r="O52" i="1"/>
  <c r="K52" i="1"/>
  <c r="G52" i="1"/>
  <c r="C52" i="1"/>
  <c r="D47" i="1"/>
  <c r="BC46" i="1"/>
  <c r="AY46" i="1"/>
  <c r="AU46" i="1"/>
  <c r="AQ46" i="1"/>
  <c r="AM46" i="1"/>
  <c r="AI46" i="1"/>
  <c r="AE46" i="1"/>
  <c r="AA46" i="1"/>
  <c r="W46" i="1"/>
  <c r="S46" i="1"/>
  <c r="O46" i="1"/>
  <c r="K46" i="1"/>
  <c r="G46" i="1"/>
  <c r="C46" i="1"/>
  <c r="BC45" i="1"/>
  <c r="AY45" i="1"/>
  <c r="AU45" i="1"/>
  <c r="AQ45" i="1"/>
  <c r="AM45" i="1"/>
  <c r="AI45" i="1"/>
  <c r="AE45" i="1"/>
  <c r="AA45" i="1"/>
  <c r="W45" i="1"/>
  <c r="S45" i="1"/>
  <c r="O45" i="1"/>
  <c r="K45" i="1"/>
  <c r="G45" i="1"/>
  <c r="C45" i="1"/>
  <c r="AJ45" i="1" s="1"/>
  <c r="BC44" i="1"/>
  <c r="AY44" i="1"/>
  <c r="AU44" i="1"/>
  <c r="AQ44" i="1"/>
  <c r="AM44" i="1"/>
  <c r="AI44" i="1"/>
  <c r="AE44" i="1"/>
  <c r="AA44" i="1"/>
  <c r="W44" i="1"/>
  <c r="S44" i="1"/>
  <c r="O44" i="1"/>
  <c r="K44" i="1"/>
  <c r="G44" i="1"/>
  <c r="C44" i="1"/>
  <c r="BC43" i="1"/>
  <c r="AY43" i="1"/>
  <c r="AU43" i="1"/>
  <c r="AQ43" i="1"/>
  <c r="AM43" i="1"/>
  <c r="AI43" i="1"/>
  <c r="AE43" i="1"/>
  <c r="AA43" i="1"/>
  <c r="W43" i="1"/>
  <c r="S43" i="1"/>
  <c r="O43" i="1"/>
  <c r="K43" i="1"/>
  <c r="G43" i="1"/>
  <c r="C43" i="1"/>
  <c r="BC42" i="1"/>
  <c r="AY42" i="1"/>
  <c r="AU42" i="1"/>
  <c r="AQ42" i="1"/>
  <c r="AM42" i="1"/>
  <c r="AI42" i="1"/>
  <c r="AE42" i="1"/>
  <c r="AA42" i="1"/>
  <c r="W42" i="1"/>
  <c r="S42" i="1"/>
  <c r="O42" i="1"/>
  <c r="K42" i="1"/>
  <c r="G42" i="1"/>
  <c r="C42" i="1"/>
  <c r="BC41" i="1"/>
  <c r="AY41" i="1"/>
  <c r="AU41" i="1"/>
  <c r="AQ41" i="1"/>
  <c r="AM41" i="1"/>
  <c r="AI41" i="1"/>
  <c r="AE41" i="1"/>
  <c r="AA41" i="1"/>
  <c r="W41" i="1"/>
  <c r="S41" i="1"/>
  <c r="O41" i="1"/>
  <c r="K41" i="1"/>
  <c r="G41" i="1"/>
  <c r="C41" i="1"/>
  <c r="BC40" i="1"/>
  <c r="AY40" i="1"/>
  <c r="AU40" i="1"/>
  <c r="AQ40" i="1"/>
  <c r="AM40" i="1"/>
  <c r="AI40" i="1"/>
  <c r="AE40" i="1"/>
  <c r="AA40" i="1"/>
  <c r="W40" i="1"/>
  <c r="S40" i="1"/>
  <c r="O40" i="1"/>
  <c r="O47" i="1" s="1"/>
  <c r="K40" i="1"/>
  <c r="G40" i="1"/>
  <c r="C40" i="1"/>
  <c r="D35" i="1"/>
  <c r="BC34" i="1"/>
  <c r="AY34" i="1"/>
  <c r="AU34" i="1"/>
  <c r="AQ34" i="1"/>
  <c r="AM34" i="1"/>
  <c r="AI34" i="1"/>
  <c r="AE34" i="1"/>
  <c r="AA34" i="1"/>
  <c r="W34" i="1"/>
  <c r="S34" i="1"/>
  <c r="O34" i="1"/>
  <c r="K34" i="1"/>
  <c r="G34" i="1"/>
  <c r="C34" i="1"/>
  <c r="BC33" i="1"/>
  <c r="AY33" i="1"/>
  <c r="AU33" i="1"/>
  <c r="AQ33" i="1"/>
  <c r="AM33" i="1"/>
  <c r="AI33" i="1"/>
  <c r="AE33" i="1"/>
  <c r="AA33" i="1"/>
  <c r="W33" i="1"/>
  <c r="S33" i="1"/>
  <c r="O33" i="1"/>
  <c r="K33" i="1"/>
  <c r="G33" i="1"/>
  <c r="C33" i="1"/>
  <c r="BC32" i="1"/>
  <c r="AY32" i="1"/>
  <c r="AU32" i="1"/>
  <c r="AQ32" i="1"/>
  <c r="AM32" i="1"/>
  <c r="AI32" i="1"/>
  <c r="AE32" i="1"/>
  <c r="AA32" i="1"/>
  <c r="W32" i="1"/>
  <c r="S32" i="1"/>
  <c r="O32" i="1"/>
  <c r="K32" i="1"/>
  <c r="G32" i="1"/>
  <c r="C32" i="1"/>
  <c r="BC31" i="1"/>
  <c r="AY31" i="1"/>
  <c r="AU31" i="1"/>
  <c r="AQ31" i="1"/>
  <c r="AM31" i="1"/>
  <c r="AI31" i="1"/>
  <c r="AE31" i="1"/>
  <c r="AA31" i="1"/>
  <c r="W31" i="1"/>
  <c r="S31" i="1"/>
  <c r="O31" i="1"/>
  <c r="K31" i="1"/>
  <c r="G31" i="1"/>
  <c r="C31" i="1"/>
  <c r="BC30" i="1"/>
  <c r="AY30" i="1"/>
  <c r="AU30" i="1"/>
  <c r="AQ30" i="1"/>
  <c r="AM30" i="1"/>
  <c r="AI30" i="1"/>
  <c r="AE30" i="1"/>
  <c r="AA30" i="1"/>
  <c r="W30" i="1"/>
  <c r="S30" i="1"/>
  <c r="O30" i="1"/>
  <c r="K30" i="1"/>
  <c r="G30" i="1"/>
  <c r="C30" i="1"/>
  <c r="BC29" i="1"/>
  <c r="AY29" i="1"/>
  <c r="AU29" i="1"/>
  <c r="AQ29" i="1"/>
  <c r="AM29" i="1"/>
  <c r="AI29" i="1"/>
  <c r="AE29" i="1"/>
  <c r="AA29" i="1"/>
  <c r="W29" i="1"/>
  <c r="S29" i="1"/>
  <c r="O29" i="1"/>
  <c r="K29" i="1"/>
  <c r="G29" i="1"/>
  <c r="C29" i="1"/>
  <c r="BC28" i="1"/>
  <c r="AY28" i="1"/>
  <c r="AU28" i="1"/>
  <c r="AU35" i="1" s="1"/>
  <c r="AQ28" i="1"/>
  <c r="AM28" i="1"/>
  <c r="AI28" i="1"/>
  <c r="AE28" i="1"/>
  <c r="AA28" i="1"/>
  <c r="W28" i="1"/>
  <c r="S28" i="1"/>
  <c r="O28" i="1"/>
  <c r="O35" i="1" s="1"/>
  <c r="K28" i="1"/>
  <c r="G28" i="1"/>
  <c r="C28" i="1"/>
  <c r="AZ57" i="1" l="1"/>
  <c r="AV68" i="1"/>
  <c r="AZ80" i="1"/>
  <c r="AV91" i="1"/>
  <c r="AR53" i="1"/>
  <c r="L76" i="1"/>
  <c r="L83" i="1" s="1"/>
  <c r="AB79" i="1"/>
  <c r="P43" i="1"/>
  <c r="AZ66" i="1"/>
  <c r="AN70" i="1"/>
  <c r="L89" i="1"/>
  <c r="T91" i="1"/>
  <c r="T93" i="1"/>
  <c r="AF56" i="1"/>
  <c r="L65" i="1"/>
  <c r="AF91" i="1"/>
  <c r="AV33" i="1"/>
  <c r="BD52" i="1"/>
  <c r="BD59" i="1" s="1"/>
  <c r="AB93" i="1"/>
  <c r="AR94" i="1"/>
  <c r="AJ58" i="1"/>
  <c r="H29" i="1"/>
  <c r="L30" i="1"/>
  <c r="AF46" i="1"/>
  <c r="P56" i="1"/>
  <c r="AV90" i="1"/>
  <c r="P58" i="1"/>
  <c r="P30" i="1"/>
  <c r="AB91" i="1"/>
  <c r="AV58" i="1"/>
  <c r="AZ28" i="1"/>
  <c r="AZ35" i="1" s="1"/>
  <c r="X44" i="1"/>
  <c r="BD44" i="1"/>
  <c r="AF45" i="1"/>
  <c r="P78" i="1"/>
  <c r="X90" i="1"/>
  <c r="L54" i="1"/>
  <c r="L58" i="1"/>
  <c r="AR58" i="1"/>
  <c r="AN30" i="1"/>
  <c r="AN53" i="1"/>
  <c r="AN52" i="1"/>
  <c r="AN59" i="1" s="1"/>
  <c r="P53" i="1"/>
  <c r="AV52" i="1"/>
  <c r="T52" i="1"/>
  <c r="T59" i="1" s="1"/>
  <c r="AZ52" i="1"/>
  <c r="AZ59" i="1" s="1"/>
  <c r="X53" i="1"/>
  <c r="BD53" i="1"/>
  <c r="H65" i="1"/>
  <c r="AJ65" i="1"/>
  <c r="AB68" i="1"/>
  <c r="AF78" i="1"/>
  <c r="H53" i="1"/>
  <c r="AR52" i="1"/>
  <c r="AN76" i="1"/>
  <c r="AN83" i="1" s="1"/>
  <c r="P52" i="1"/>
  <c r="P59" i="1" s="1"/>
  <c r="X52" i="1"/>
  <c r="X59" i="1" s="1"/>
  <c r="H52" i="1"/>
  <c r="H59" i="1" s="1"/>
  <c r="L77" i="1"/>
  <c r="L52" i="1"/>
  <c r="L59" i="1" s="1"/>
  <c r="AV53" i="1"/>
  <c r="AF53" i="1"/>
  <c r="BD68" i="1"/>
  <c r="L46" i="1"/>
  <c r="AB30" i="1"/>
  <c r="AF44" i="1"/>
  <c r="P46" i="1"/>
  <c r="AV46" i="1"/>
  <c r="AZ42" i="1"/>
  <c r="T44" i="1"/>
  <c r="T46" i="1"/>
  <c r="AZ46" i="1"/>
  <c r="AZ34" i="1"/>
  <c r="L56" i="1"/>
  <c r="AJ56" i="1"/>
  <c r="AB77" i="1"/>
  <c r="AV42" i="1"/>
  <c r="BD46" i="1"/>
  <c r="AB54" i="1"/>
  <c r="AN56" i="1"/>
  <c r="X58" i="1"/>
  <c r="BD58" i="1"/>
  <c r="AJ76" i="1"/>
  <c r="AJ83" i="1" s="1"/>
  <c r="H77" i="1"/>
  <c r="AJ77" i="1"/>
  <c r="AV88" i="1"/>
  <c r="AV95" i="1" s="1"/>
  <c r="X91" i="1"/>
  <c r="AZ91" i="1"/>
  <c r="AR30" i="1"/>
  <c r="AR56" i="1"/>
  <c r="T69" i="1"/>
  <c r="AN77" i="1"/>
  <c r="AZ82" i="1"/>
  <c r="AN32" i="1"/>
  <c r="L41" i="1"/>
  <c r="AB44" i="1"/>
  <c r="AR46" i="1"/>
  <c r="AJ52" i="1"/>
  <c r="AJ59" i="1" s="1"/>
  <c r="T56" i="1"/>
  <c r="AN65" i="1"/>
  <c r="AF68" i="1"/>
  <c r="P70" i="1"/>
  <c r="AN78" i="1"/>
  <c r="AZ89" i="1"/>
  <c r="AB90" i="1"/>
  <c r="BD92" i="1"/>
  <c r="L31" i="1"/>
  <c r="AZ56" i="1"/>
  <c r="AB67" i="1"/>
  <c r="P77" i="1"/>
  <c r="AR77" i="1"/>
  <c r="AZ79" i="1"/>
  <c r="AB80" i="1"/>
  <c r="AZ81" i="1"/>
  <c r="H56" i="1"/>
  <c r="AJ78" i="1"/>
  <c r="H30" i="1"/>
  <c r="AJ30" i="1"/>
  <c r="AR40" i="1"/>
  <c r="AR47" i="1" s="1"/>
  <c r="AB43" i="1"/>
  <c r="AB56" i="1"/>
  <c r="P65" i="1"/>
  <c r="T76" i="1"/>
  <c r="T83" i="1" s="1"/>
  <c r="AV76" i="1"/>
  <c r="AZ90" i="1"/>
  <c r="L93" i="1"/>
  <c r="AR93" i="1"/>
  <c r="P91" i="1"/>
  <c r="AR91" i="1"/>
  <c r="H91" i="1"/>
  <c r="L91" i="1"/>
  <c r="AJ91" i="1"/>
  <c r="AN91" i="1"/>
  <c r="L90" i="1"/>
  <c r="O95" i="1"/>
  <c r="AN88" i="1"/>
  <c r="AN95" i="1" s="1"/>
  <c r="T88" i="1"/>
  <c r="T95" i="1" s="1"/>
  <c r="AZ88" i="1"/>
  <c r="AZ95" i="1" s="1"/>
  <c r="X88" i="1"/>
  <c r="X95" i="1" s="1"/>
  <c r="BD88" i="1"/>
  <c r="BD95" i="1" s="1"/>
  <c r="H88" i="1"/>
  <c r="H95" i="1" s="1"/>
  <c r="AB89" i="1"/>
  <c r="BD89" i="1"/>
  <c r="H89" i="1"/>
  <c r="AF89" i="1"/>
  <c r="BD90" i="1"/>
  <c r="AB92" i="1"/>
  <c r="AJ88" i="1"/>
  <c r="AJ95" i="1" s="1"/>
  <c r="AJ89" i="1"/>
  <c r="H90" i="1"/>
  <c r="AF90" i="1"/>
  <c r="BD91" i="1"/>
  <c r="AF92" i="1"/>
  <c r="H93" i="1"/>
  <c r="AN93" i="1"/>
  <c r="P94" i="1"/>
  <c r="AV94" i="1"/>
  <c r="AN89" i="1"/>
  <c r="AZ94" i="1"/>
  <c r="P89" i="1"/>
  <c r="P93" i="1"/>
  <c r="AV93" i="1"/>
  <c r="T89" i="1"/>
  <c r="AR89" i="1"/>
  <c r="P90" i="1"/>
  <c r="AR90" i="1"/>
  <c r="L92" i="1"/>
  <c r="AR92" i="1"/>
  <c r="AJ94" i="1"/>
  <c r="T94" i="1"/>
  <c r="AN90" i="1"/>
  <c r="X89" i="1"/>
  <c r="AV89" i="1"/>
  <c r="P92" i="1"/>
  <c r="AV92" i="1"/>
  <c r="X93" i="1"/>
  <c r="BD93" i="1"/>
  <c r="AF94" i="1"/>
  <c r="P82" i="1"/>
  <c r="AN82" i="1"/>
  <c r="X82" i="1"/>
  <c r="H82" i="1"/>
  <c r="L82" i="1"/>
  <c r="AR82" i="1"/>
  <c r="BD78" i="1"/>
  <c r="T77" i="1"/>
  <c r="AV77" i="1"/>
  <c r="X77" i="1"/>
  <c r="AZ77" i="1"/>
  <c r="AF77" i="1"/>
  <c r="AV79" i="1"/>
  <c r="AV78" i="1"/>
  <c r="AZ76" i="1"/>
  <c r="AZ83" i="1" s="1"/>
  <c r="AB76" i="1"/>
  <c r="AB83" i="1" s="1"/>
  <c r="H76" i="1"/>
  <c r="H83" i="1" s="1"/>
  <c r="BD76" i="1"/>
  <c r="AR81" i="1"/>
  <c r="T78" i="1"/>
  <c r="L79" i="1"/>
  <c r="AJ79" i="1"/>
  <c r="H80" i="1"/>
  <c r="AN80" i="1"/>
  <c r="P81" i="1"/>
  <c r="AV81" i="1"/>
  <c r="P76" i="1"/>
  <c r="P83" i="1" s="1"/>
  <c r="BD77" i="1"/>
  <c r="X78" i="1"/>
  <c r="AR78" i="1"/>
  <c r="AN79" i="1"/>
  <c r="L80" i="1"/>
  <c r="AR80" i="1"/>
  <c r="AV82" i="1"/>
  <c r="BD79" i="1"/>
  <c r="H81" i="1"/>
  <c r="AF79" i="1"/>
  <c r="L81" i="1"/>
  <c r="P79" i="1"/>
  <c r="AR79" i="1"/>
  <c r="X81" i="1"/>
  <c r="BD81" i="1"/>
  <c r="H78" i="1"/>
  <c r="AB78" i="1"/>
  <c r="T79" i="1"/>
  <c r="AB81" i="1"/>
  <c r="AB82" i="1"/>
  <c r="AN81" i="1"/>
  <c r="H79" i="1"/>
  <c r="C83" i="1"/>
  <c r="X76" i="1"/>
  <c r="X83" i="1" s="1"/>
  <c r="AR76" i="1"/>
  <c r="AR83" i="1" s="1"/>
  <c r="AZ78" i="1"/>
  <c r="X79" i="1"/>
  <c r="X80" i="1"/>
  <c r="BD80" i="1"/>
  <c r="AF81" i="1"/>
  <c r="AF82" i="1"/>
  <c r="BD82" i="1"/>
  <c r="AR70" i="1"/>
  <c r="AV67" i="1"/>
  <c r="AU71" i="1"/>
  <c r="AV64" i="1"/>
  <c r="T70" i="1"/>
  <c r="AV70" i="1"/>
  <c r="AZ67" i="1"/>
  <c r="AV65" i="1"/>
  <c r="AZ65" i="1"/>
  <c r="X65" i="1"/>
  <c r="AF65" i="1"/>
  <c r="AB65" i="1"/>
  <c r="AE71" i="1"/>
  <c r="AJ64" i="1"/>
  <c r="AJ71" i="1" s="1"/>
  <c r="AF66" i="1"/>
  <c r="BD67" i="1"/>
  <c r="H69" i="1"/>
  <c r="AN69" i="1"/>
  <c r="H64" i="1"/>
  <c r="AN64" i="1"/>
  <c r="AN71" i="1" s="1"/>
  <c r="L66" i="1"/>
  <c r="H67" i="1"/>
  <c r="AF67" i="1"/>
  <c r="L69" i="1"/>
  <c r="AR69" i="1"/>
  <c r="AN66" i="1"/>
  <c r="L67" i="1"/>
  <c r="AJ67" i="1"/>
  <c r="P69" i="1"/>
  <c r="AV69" i="1"/>
  <c r="AZ70" i="1"/>
  <c r="T65" i="1"/>
  <c r="AR65" i="1"/>
  <c r="P66" i="1"/>
  <c r="AR66" i="1"/>
  <c r="AN67" i="1"/>
  <c r="L68" i="1"/>
  <c r="AR68" i="1"/>
  <c r="BD66" i="1"/>
  <c r="AZ64" i="1"/>
  <c r="AZ71" i="1" s="1"/>
  <c r="AR67" i="1"/>
  <c r="X69" i="1"/>
  <c r="BD69" i="1"/>
  <c r="X64" i="1"/>
  <c r="X71" i="1" s="1"/>
  <c r="X66" i="1"/>
  <c r="AV66" i="1"/>
  <c r="T67" i="1"/>
  <c r="AB69" i="1"/>
  <c r="AJ70" i="1"/>
  <c r="H66" i="1"/>
  <c r="D2" i="10" s="1"/>
  <c r="T64" i="1"/>
  <c r="T71" i="1" s="1"/>
  <c r="P67" i="1"/>
  <c r="BD64" i="1"/>
  <c r="BD71" i="1" s="1"/>
  <c r="BD65" i="1"/>
  <c r="AB66" i="1"/>
  <c r="D7" i="10" s="1"/>
  <c r="X67" i="1"/>
  <c r="AF69" i="1"/>
  <c r="AV55" i="1"/>
  <c r="AV56" i="1"/>
  <c r="AU59" i="1"/>
  <c r="P55" i="1"/>
  <c r="T55" i="1"/>
  <c r="L55" i="1"/>
  <c r="AN55" i="1"/>
  <c r="AJ55" i="1"/>
  <c r="AR55" i="1"/>
  <c r="T53" i="1"/>
  <c r="AZ53" i="1"/>
  <c r="AE59" i="1"/>
  <c r="P54" i="1"/>
  <c r="AR54" i="1"/>
  <c r="T54" i="1"/>
  <c r="AV54" i="1"/>
  <c r="X54" i="1"/>
  <c r="AZ54" i="1"/>
  <c r="AF54" i="1"/>
  <c r="H54" i="1"/>
  <c r="AJ54" i="1"/>
  <c r="AN54" i="1"/>
  <c r="AN57" i="1"/>
  <c r="L57" i="1"/>
  <c r="BD55" i="1"/>
  <c r="AB57" i="1"/>
  <c r="AJ53" i="1"/>
  <c r="H55" i="1"/>
  <c r="AF55" i="1"/>
  <c r="BD56" i="1"/>
  <c r="AF57" i="1"/>
  <c r="H58" i="1"/>
  <c r="AN58" i="1"/>
  <c r="AR57" i="1"/>
  <c r="AV57" i="1"/>
  <c r="X55" i="1"/>
  <c r="AB58" i="1"/>
  <c r="C59" i="1"/>
  <c r="H57" i="1"/>
  <c r="P57" i="1"/>
  <c r="AB52" i="1"/>
  <c r="AB59" i="1" s="1"/>
  <c r="BD54" i="1"/>
  <c r="AB55" i="1"/>
  <c r="AZ55" i="1"/>
  <c r="X56" i="1"/>
  <c r="X57" i="1"/>
  <c r="BD57" i="1"/>
  <c r="AF58" i="1"/>
  <c r="AV43" i="1"/>
  <c r="X43" i="1"/>
  <c r="AZ43" i="1"/>
  <c r="AE47" i="1"/>
  <c r="AB42" i="1"/>
  <c r="AB41" i="1"/>
  <c r="AF41" i="1"/>
  <c r="AJ40" i="1"/>
  <c r="AJ47" i="1" s="1"/>
  <c r="H42" i="1"/>
  <c r="AN45" i="1"/>
  <c r="AN40" i="1"/>
  <c r="AN41" i="1"/>
  <c r="L42" i="1"/>
  <c r="AJ42" i="1"/>
  <c r="H43" i="1"/>
  <c r="AF43" i="1"/>
  <c r="L45" i="1"/>
  <c r="P41" i="1"/>
  <c r="AN42" i="1"/>
  <c r="L43" i="1"/>
  <c r="AJ43" i="1"/>
  <c r="H44" i="1"/>
  <c r="AN44" i="1"/>
  <c r="P45" i="1"/>
  <c r="AV45" i="1"/>
  <c r="AJ41" i="1"/>
  <c r="AF42" i="1"/>
  <c r="BD43" i="1"/>
  <c r="H45" i="1"/>
  <c r="H40" i="1"/>
  <c r="H47" i="1" s="1"/>
  <c r="AR45" i="1"/>
  <c r="P40" i="1"/>
  <c r="P47" i="1" s="1"/>
  <c r="AV40" i="1"/>
  <c r="AV47" i="1" s="1"/>
  <c r="T41" i="1"/>
  <c r="AR41" i="1"/>
  <c r="P42" i="1"/>
  <c r="AR42" i="1"/>
  <c r="AN43" i="1"/>
  <c r="L44" i="1"/>
  <c r="AR44" i="1"/>
  <c r="AB46" i="1"/>
  <c r="H41" i="1"/>
  <c r="T40" i="1"/>
  <c r="T47" i="1" s="1"/>
  <c r="AZ40" i="1"/>
  <c r="AZ47" i="1" s="1"/>
  <c r="X41" i="1"/>
  <c r="AV41" i="1"/>
  <c r="T42" i="1"/>
  <c r="AR43" i="1"/>
  <c r="P44" i="1"/>
  <c r="AV44" i="1"/>
  <c r="X45" i="1"/>
  <c r="BD45" i="1"/>
  <c r="BD41" i="1"/>
  <c r="BD42" i="1"/>
  <c r="X40" i="1"/>
  <c r="X47" i="1" s="1"/>
  <c r="BD40" i="1"/>
  <c r="BD47" i="1" s="1"/>
  <c r="AZ41" i="1"/>
  <c r="X42" i="1"/>
  <c r="T43" i="1"/>
  <c r="AB45" i="1"/>
  <c r="AJ46" i="1"/>
  <c r="AJ33" i="1"/>
  <c r="H33" i="1"/>
  <c r="L33" i="1"/>
  <c r="AJ32" i="1"/>
  <c r="AF30" i="1"/>
  <c r="AN29" i="1"/>
  <c r="P29" i="1"/>
  <c r="AR29" i="1"/>
  <c r="T29" i="1"/>
  <c r="AV29" i="1"/>
  <c r="AF32" i="1"/>
  <c r="AE35" i="1"/>
  <c r="AZ93" i="1"/>
  <c r="AJ93" i="1"/>
  <c r="L88" i="1"/>
  <c r="L95" i="1" s="1"/>
  <c r="AR88" i="1"/>
  <c r="T92" i="1"/>
  <c r="AZ92" i="1"/>
  <c r="H94" i="1"/>
  <c r="C95" i="1"/>
  <c r="AB88" i="1"/>
  <c r="AB95" i="1" s="1"/>
  <c r="AJ92" i="1"/>
  <c r="X94" i="1"/>
  <c r="AN94" i="1"/>
  <c r="BD94" i="1"/>
  <c r="P88" i="1"/>
  <c r="AF88" i="1"/>
  <c r="AF95" i="1" s="1"/>
  <c r="T90" i="1"/>
  <c r="AJ90" i="1"/>
  <c r="H92" i="1"/>
  <c r="X92" i="1"/>
  <c r="AN92" i="1"/>
  <c r="L94" i="1"/>
  <c r="AB94" i="1"/>
  <c r="BD30" i="1"/>
  <c r="AF33" i="1"/>
  <c r="X29" i="1"/>
  <c r="AZ29" i="1"/>
  <c r="T30" i="1"/>
  <c r="AR31" i="1"/>
  <c r="P32" i="1"/>
  <c r="AR32" i="1"/>
  <c r="X28" i="1"/>
  <c r="X35" i="1" s="1"/>
  <c r="T31" i="1"/>
  <c r="AV31" i="1"/>
  <c r="T32" i="1"/>
  <c r="AZ30" i="1"/>
  <c r="X31" i="1"/>
  <c r="AZ31" i="1"/>
  <c r="X32" i="1"/>
  <c r="AB31" i="1"/>
  <c r="AR34" i="1"/>
  <c r="H31" i="1"/>
  <c r="P33" i="1"/>
  <c r="AR33" i="1"/>
  <c r="L28" i="1"/>
  <c r="L35" i="1" s="1"/>
  <c r="AF29" i="1"/>
  <c r="BD29" i="1"/>
  <c r="AJ31" i="1"/>
  <c r="H32" i="1"/>
  <c r="AB32" i="1"/>
  <c r="AV32" i="1"/>
  <c r="T33" i="1"/>
  <c r="L34" i="1"/>
  <c r="H28" i="1"/>
  <c r="H35" i="1" s="1"/>
  <c r="AB29" i="1"/>
  <c r="X30" i="1"/>
  <c r="AN31" i="1"/>
  <c r="AZ32" i="1"/>
  <c r="X33" i="1"/>
  <c r="X34" i="1"/>
  <c r="BD34" i="1"/>
  <c r="AB28" i="1"/>
  <c r="AB35" i="1" s="1"/>
  <c r="AN34" i="1"/>
  <c r="BD28" i="1"/>
  <c r="BD35" i="1" s="1"/>
  <c r="BD31" i="1"/>
  <c r="AN33" i="1"/>
  <c r="AF31" i="1"/>
  <c r="AN28" i="1"/>
  <c r="AN35" i="1" s="1"/>
  <c r="AJ29" i="1"/>
  <c r="AR28" i="1"/>
  <c r="AR35" i="1" s="1"/>
  <c r="L29" i="1"/>
  <c r="AV30" i="1"/>
  <c r="P31" i="1"/>
  <c r="L32" i="1"/>
  <c r="BD32" i="1"/>
  <c r="AB33" i="1"/>
  <c r="AZ33" i="1"/>
  <c r="AB34" i="1"/>
  <c r="H34" i="1"/>
  <c r="BD33" i="1"/>
  <c r="T81" i="1"/>
  <c r="AJ81" i="1"/>
  <c r="O83" i="1"/>
  <c r="P80" i="1"/>
  <c r="AF80" i="1"/>
  <c r="AV80" i="1"/>
  <c r="T82" i="1"/>
  <c r="AJ82" i="1"/>
  <c r="AU83" i="1"/>
  <c r="T80" i="1"/>
  <c r="AJ80" i="1"/>
  <c r="AF76" i="1"/>
  <c r="AF83" i="1" s="1"/>
  <c r="AZ69" i="1"/>
  <c r="AJ69" i="1"/>
  <c r="L64" i="1"/>
  <c r="L71" i="1" s="1"/>
  <c r="AR64" i="1"/>
  <c r="T68" i="1"/>
  <c r="AJ68" i="1"/>
  <c r="AZ68" i="1"/>
  <c r="H70" i="1"/>
  <c r="X70" i="1"/>
  <c r="BD70" i="1"/>
  <c r="C71" i="1"/>
  <c r="AB64" i="1"/>
  <c r="P64" i="1"/>
  <c r="P71" i="1" s="1"/>
  <c r="AF64" i="1"/>
  <c r="T66" i="1"/>
  <c r="AJ66" i="1"/>
  <c r="H68" i="1"/>
  <c r="X68" i="1"/>
  <c r="AN68" i="1"/>
  <c r="L70" i="1"/>
  <c r="AB70" i="1"/>
  <c r="AZ58" i="1"/>
  <c r="L53" i="1"/>
  <c r="AB53" i="1"/>
  <c r="T57" i="1"/>
  <c r="AJ57" i="1"/>
  <c r="O59" i="1"/>
  <c r="T58" i="1"/>
  <c r="AF52" i="1"/>
  <c r="T45" i="1"/>
  <c r="AZ45" i="1"/>
  <c r="AU47" i="1"/>
  <c r="AB40" i="1"/>
  <c r="AB47" i="1" s="1"/>
  <c r="AJ44" i="1"/>
  <c r="AZ44" i="1"/>
  <c r="H46" i="1"/>
  <c r="X46" i="1"/>
  <c r="AN46" i="1"/>
  <c r="C47" i="1"/>
  <c r="L40" i="1"/>
  <c r="L47" i="1" s="1"/>
  <c r="AF40" i="1"/>
  <c r="C35" i="1"/>
  <c r="P28" i="1"/>
  <c r="P35" i="1" s="1"/>
  <c r="AF28" i="1"/>
  <c r="AV28" i="1"/>
  <c r="AV35" i="1" s="1"/>
  <c r="T28" i="1"/>
  <c r="T35" i="1" s="1"/>
  <c r="AJ28" i="1"/>
  <c r="AJ35" i="1" s="1"/>
  <c r="P34" i="1"/>
  <c r="AF34" i="1"/>
  <c r="AV34" i="1"/>
  <c r="T34" i="1"/>
  <c r="AJ34" i="1"/>
  <c r="D23" i="1"/>
  <c r="BC22" i="1"/>
  <c r="AY22" i="1"/>
  <c r="AU22" i="1"/>
  <c r="AQ22" i="1"/>
  <c r="AM22" i="1"/>
  <c r="AI22" i="1"/>
  <c r="AE22" i="1"/>
  <c r="AA22" i="1"/>
  <c r="W22" i="1"/>
  <c r="S22" i="1"/>
  <c r="O22" i="1"/>
  <c r="K22" i="1"/>
  <c r="G22" i="1"/>
  <c r="C22" i="1"/>
  <c r="BC21" i="1"/>
  <c r="AY21" i="1"/>
  <c r="AU21" i="1"/>
  <c r="AQ21" i="1"/>
  <c r="AM21" i="1"/>
  <c r="AI21" i="1"/>
  <c r="AE21" i="1"/>
  <c r="AA21" i="1"/>
  <c r="W21" i="1"/>
  <c r="S21" i="1"/>
  <c r="O21" i="1"/>
  <c r="K21" i="1"/>
  <c r="G21" i="1"/>
  <c r="C21" i="1"/>
  <c r="BC20" i="1"/>
  <c r="AY20" i="1"/>
  <c r="AU20" i="1"/>
  <c r="AQ20" i="1"/>
  <c r="AM20" i="1"/>
  <c r="AI20" i="1"/>
  <c r="AE20" i="1"/>
  <c r="AA20" i="1"/>
  <c r="W20" i="1"/>
  <c r="S20" i="1"/>
  <c r="O20" i="1"/>
  <c r="K20" i="1"/>
  <c r="G20" i="1"/>
  <c r="C20" i="1"/>
  <c r="BC19" i="1"/>
  <c r="AY19" i="1"/>
  <c r="AU19" i="1"/>
  <c r="AQ19" i="1"/>
  <c r="AM19" i="1"/>
  <c r="AI19" i="1"/>
  <c r="AE19" i="1"/>
  <c r="AA19" i="1"/>
  <c r="W19" i="1"/>
  <c r="S19" i="1"/>
  <c r="O19" i="1"/>
  <c r="K19" i="1"/>
  <c r="G19" i="1"/>
  <c r="C19" i="1"/>
  <c r="BC18" i="1"/>
  <c r="AY18" i="1"/>
  <c r="AU18" i="1"/>
  <c r="AQ18" i="1"/>
  <c r="AM18" i="1"/>
  <c r="AI18" i="1"/>
  <c r="AE18" i="1"/>
  <c r="AA18" i="1"/>
  <c r="W18" i="1"/>
  <c r="S18" i="1"/>
  <c r="O18" i="1"/>
  <c r="K18" i="1"/>
  <c r="G18" i="1"/>
  <c r="C18" i="1"/>
  <c r="BC17" i="1"/>
  <c r="AY17" i="1"/>
  <c r="AU17" i="1"/>
  <c r="AQ17" i="1"/>
  <c r="AM17" i="1"/>
  <c r="AI17" i="1"/>
  <c r="AE17" i="1"/>
  <c r="AA17" i="1"/>
  <c r="W17" i="1"/>
  <c r="S17" i="1"/>
  <c r="O17" i="1"/>
  <c r="K17" i="1"/>
  <c r="G17" i="1"/>
  <c r="C17" i="1"/>
  <c r="BC16" i="1"/>
  <c r="AY16" i="1"/>
  <c r="AU16" i="1"/>
  <c r="AQ16" i="1"/>
  <c r="AM16" i="1"/>
  <c r="AI16" i="1"/>
  <c r="AE16" i="1"/>
  <c r="AA16" i="1"/>
  <c r="W16" i="1"/>
  <c r="S16" i="1"/>
  <c r="O16" i="1"/>
  <c r="O23" i="1" s="1"/>
  <c r="K16" i="1"/>
  <c r="G16" i="1"/>
  <c r="C16" i="1"/>
  <c r="D11" i="9"/>
  <c r="C11" i="9"/>
  <c r="BC10" i="9"/>
  <c r="BD10" i="9" s="1"/>
  <c r="AY10" i="9"/>
  <c r="AU10" i="9"/>
  <c r="AV10" i="9" s="1"/>
  <c r="AQ10" i="9"/>
  <c r="AR10" i="9" s="1"/>
  <c r="AM10" i="9"/>
  <c r="AN10" i="9" s="1"/>
  <c r="AI10" i="9"/>
  <c r="AE10" i="9"/>
  <c r="AF10" i="9" s="1"/>
  <c r="AA10" i="9"/>
  <c r="AB10" i="9" s="1"/>
  <c r="W10" i="9"/>
  <c r="X10" i="9" s="1"/>
  <c r="T10" i="9"/>
  <c r="S10" i="9"/>
  <c r="O10" i="9"/>
  <c r="P10" i="9" s="1"/>
  <c r="K10" i="9"/>
  <c r="L10" i="9" s="1"/>
  <c r="G10" i="9"/>
  <c r="H10" i="9" s="1"/>
  <c r="C10" i="9"/>
  <c r="AZ10" i="9" s="1"/>
  <c r="BC9" i="9"/>
  <c r="BD9" i="9" s="1"/>
  <c r="AY9" i="9"/>
  <c r="AZ9" i="9" s="1"/>
  <c r="AV9" i="9"/>
  <c r="AU9" i="9"/>
  <c r="AQ9" i="9"/>
  <c r="AR9" i="9" s="1"/>
  <c r="AM9" i="9"/>
  <c r="AN9" i="9" s="1"/>
  <c r="AI9" i="9"/>
  <c r="AJ9" i="9" s="1"/>
  <c r="AF9" i="9"/>
  <c r="AE9" i="9"/>
  <c r="AA9" i="9"/>
  <c r="AB9" i="9" s="1"/>
  <c r="W9" i="9"/>
  <c r="X9" i="9" s="1"/>
  <c r="S9" i="9"/>
  <c r="T9" i="9" s="1"/>
  <c r="P9" i="9"/>
  <c r="O9" i="9"/>
  <c r="K9" i="9"/>
  <c r="L9" i="9" s="1"/>
  <c r="G9" i="9"/>
  <c r="H9" i="9" s="1"/>
  <c r="C9" i="9"/>
  <c r="BC8" i="9"/>
  <c r="BD8" i="9" s="1"/>
  <c r="AY8" i="9"/>
  <c r="AZ8" i="9" s="1"/>
  <c r="AV8" i="9"/>
  <c r="AU8" i="9"/>
  <c r="AQ8" i="9"/>
  <c r="AR8" i="9" s="1"/>
  <c r="AM8" i="9"/>
  <c r="AN8" i="9" s="1"/>
  <c r="AI8" i="9"/>
  <c r="AJ8" i="9" s="1"/>
  <c r="AF8" i="9"/>
  <c r="AE8" i="9"/>
  <c r="AA8" i="9"/>
  <c r="AB8" i="9" s="1"/>
  <c r="W8" i="9"/>
  <c r="X8" i="9" s="1"/>
  <c r="S8" i="9"/>
  <c r="T8" i="9" s="1"/>
  <c r="P8" i="9"/>
  <c r="O8" i="9"/>
  <c r="K8" i="9"/>
  <c r="L8" i="9" s="1"/>
  <c r="G8" i="9"/>
  <c r="H8" i="9" s="1"/>
  <c r="C8" i="9"/>
  <c r="BC7" i="9"/>
  <c r="BD7" i="9" s="1"/>
  <c r="AY7" i="9"/>
  <c r="AZ7" i="9" s="1"/>
  <c r="AU7" i="9"/>
  <c r="AV7" i="9" s="1"/>
  <c r="AR7" i="9"/>
  <c r="AQ7" i="9"/>
  <c r="AM7" i="9"/>
  <c r="AN7" i="9" s="1"/>
  <c r="AI7" i="9"/>
  <c r="AJ7" i="9" s="1"/>
  <c r="AE7" i="9"/>
  <c r="AF7" i="9" s="1"/>
  <c r="AB7" i="9"/>
  <c r="AA7" i="9"/>
  <c r="W7" i="9"/>
  <c r="X7" i="9" s="1"/>
  <c r="S7" i="9"/>
  <c r="T7" i="9" s="1"/>
  <c r="O7" i="9"/>
  <c r="P7" i="9" s="1"/>
  <c r="L7" i="9"/>
  <c r="K7" i="9"/>
  <c r="G7" i="9"/>
  <c r="H7" i="9" s="1"/>
  <c r="C7" i="9"/>
  <c r="BC6" i="9"/>
  <c r="AY6" i="9"/>
  <c r="AZ6" i="9" s="1"/>
  <c r="AU6" i="9"/>
  <c r="AV6" i="9" s="1"/>
  <c r="AR6" i="9"/>
  <c r="AQ6" i="9"/>
  <c r="AM6" i="9"/>
  <c r="AI6" i="9"/>
  <c r="AJ6" i="9" s="1"/>
  <c r="AE6" i="9"/>
  <c r="AF6" i="9" s="1"/>
  <c r="AB6" i="9"/>
  <c r="AA6" i="9"/>
  <c r="W6" i="9"/>
  <c r="S6" i="9"/>
  <c r="T6" i="9" s="1"/>
  <c r="O6" i="9"/>
  <c r="P6" i="9" s="1"/>
  <c r="L6" i="9"/>
  <c r="K6" i="9"/>
  <c r="G6" i="9"/>
  <c r="C6" i="9"/>
  <c r="BD6" i="9" s="1"/>
  <c r="BD5" i="9"/>
  <c r="BC5" i="9"/>
  <c r="AY5" i="9"/>
  <c r="AZ5" i="9" s="1"/>
  <c r="AU5" i="9"/>
  <c r="AV5" i="9" s="1"/>
  <c r="AQ5" i="9"/>
  <c r="AR5" i="9" s="1"/>
  <c r="AN5" i="9"/>
  <c r="AM5" i="9"/>
  <c r="AI5" i="9"/>
  <c r="AJ5" i="9" s="1"/>
  <c r="AE5" i="9"/>
  <c r="AF5" i="9" s="1"/>
  <c r="AA5" i="9"/>
  <c r="AB5" i="9" s="1"/>
  <c r="X5" i="9"/>
  <c r="W5" i="9"/>
  <c r="S5" i="9"/>
  <c r="T5" i="9" s="1"/>
  <c r="O5" i="9"/>
  <c r="P5" i="9" s="1"/>
  <c r="K5" i="9"/>
  <c r="L5" i="9" s="1"/>
  <c r="H5" i="9"/>
  <c r="G5" i="9"/>
  <c r="C5" i="9"/>
  <c r="BD4" i="9"/>
  <c r="BD11" i="9" s="1"/>
  <c r="BC4" i="9"/>
  <c r="AY4" i="9"/>
  <c r="AZ4" i="9" s="1"/>
  <c r="AZ11" i="9" s="1"/>
  <c r="AU4" i="9"/>
  <c r="AU11" i="9" s="1"/>
  <c r="AQ4" i="9"/>
  <c r="AR4" i="9" s="1"/>
  <c r="AR11" i="9" s="1"/>
  <c r="AN4" i="9"/>
  <c r="AN11" i="9" s="1"/>
  <c r="AM4" i="9"/>
  <c r="AI4" i="9"/>
  <c r="AE4" i="9"/>
  <c r="AE11" i="9" s="1"/>
  <c r="AA4" i="9"/>
  <c r="AB4" i="9" s="1"/>
  <c r="AB11" i="9" s="1"/>
  <c r="X4" i="9"/>
  <c r="X11" i="9" s="1"/>
  <c r="W4" i="9"/>
  <c r="S4" i="9"/>
  <c r="O4" i="9"/>
  <c r="O11" i="9" s="1"/>
  <c r="K4" i="9"/>
  <c r="L4" i="9" s="1"/>
  <c r="L11" i="9" s="1"/>
  <c r="H4" i="9"/>
  <c r="H11" i="9" s="1"/>
  <c r="G4" i="9"/>
  <c r="C4" i="9"/>
  <c r="AJ4" i="9" s="1"/>
  <c r="AJ11" i="9" s="1"/>
  <c r="AA5" i="1"/>
  <c r="AA6" i="1"/>
  <c r="AA7" i="1"/>
  <c r="AA8" i="1"/>
  <c r="AA9" i="1"/>
  <c r="AA10" i="1"/>
  <c r="AA4" i="1"/>
  <c r="BC5" i="1"/>
  <c r="BC6" i="1"/>
  <c r="BC7" i="1"/>
  <c r="BC8" i="1"/>
  <c r="BC9" i="1"/>
  <c r="BC10" i="1"/>
  <c r="AY5" i="1"/>
  <c r="AY6" i="1"/>
  <c r="AY7" i="1"/>
  <c r="AY8" i="1"/>
  <c r="AY9" i="1"/>
  <c r="AY10" i="1"/>
  <c r="AU5" i="1"/>
  <c r="AU6" i="1"/>
  <c r="AU7" i="1"/>
  <c r="AU8" i="1"/>
  <c r="AU9" i="1"/>
  <c r="AU10" i="1"/>
  <c r="AQ5" i="1"/>
  <c r="AQ6" i="1"/>
  <c r="AQ7" i="1"/>
  <c r="AQ8" i="1"/>
  <c r="AQ9" i="1"/>
  <c r="AQ10" i="1"/>
  <c r="AM5" i="1"/>
  <c r="AM6" i="1"/>
  <c r="AM7" i="1"/>
  <c r="AM8" i="1"/>
  <c r="AM9" i="1"/>
  <c r="AM10" i="1"/>
  <c r="AI5" i="1"/>
  <c r="AI6" i="1"/>
  <c r="AI7" i="1"/>
  <c r="AI8" i="1"/>
  <c r="AI9" i="1"/>
  <c r="AI10" i="1"/>
  <c r="S5" i="1"/>
  <c r="S6" i="1"/>
  <c r="S7" i="1"/>
  <c r="S8" i="1"/>
  <c r="S9" i="1"/>
  <c r="S10" i="1"/>
  <c r="W5" i="1"/>
  <c r="W6" i="1"/>
  <c r="W7" i="1"/>
  <c r="W8" i="1"/>
  <c r="W9" i="1"/>
  <c r="W10" i="1"/>
  <c r="AE5" i="1"/>
  <c r="AE6" i="1"/>
  <c r="AE7" i="1"/>
  <c r="AE8" i="1"/>
  <c r="AE9" i="1"/>
  <c r="AE10" i="1"/>
  <c r="G6" i="1"/>
  <c r="O4" i="1"/>
  <c r="O5" i="1"/>
  <c r="O6" i="1"/>
  <c r="O7" i="1"/>
  <c r="O8" i="1"/>
  <c r="O9" i="1"/>
  <c r="O10" i="1"/>
  <c r="BC4" i="1"/>
  <c r="AY4" i="1"/>
  <c r="AU4" i="1"/>
  <c r="AQ4" i="1"/>
  <c r="AM4" i="1"/>
  <c r="AI4" i="1"/>
  <c r="AE4" i="1"/>
  <c r="W4" i="1"/>
  <c r="S4" i="1"/>
  <c r="K5" i="1"/>
  <c r="K6" i="1"/>
  <c r="K7" i="1"/>
  <c r="K8" i="1"/>
  <c r="K9" i="1"/>
  <c r="K10" i="1"/>
  <c r="K4" i="1"/>
  <c r="G5" i="1"/>
  <c r="G7" i="1"/>
  <c r="G8" i="1"/>
  <c r="G9" i="1"/>
  <c r="G10" i="1"/>
  <c r="G4" i="1"/>
  <c r="C10" i="1"/>
  <c r="C9" i="1"/>
  <c r="C8" i="1"/>
  <c r="C7" i="1"/>
  <c r="C6" i="1"/>
  <c r="C5" i="1"/>
  <c r="AB5" i="1" s="1"/>
  <c r="C4" i="1"/>
  <c r="D11" i="10" l="1"/>
  <c r="AR6" i="1"/>
  <c r="AB7" i="1"/>
  <c r="AV18" i="1"/>
  <c r="AR59" i="1"/>
  <c r="X17" i="1"/>
  <c r="AB6" i="1"/>
  <c r="AF21" i="1"/>
  <c r="AU11" i="1"/>
  <c r="P18" i="1"/>
  <c r="AF20" i="1"/>
  <c r="O11" i="1"/>
  <c r="X10" i="1"/>
  <c r="L17" i="1"/>
  <c r="AR17" i="1"/>
  <c r="AB8" i="1"/>
  <c r="AZ10" i="1"/>
  <c r="AV10" i="1"/>
  <c r="L20" i="1"/>
  <c r="AR20" i="1"/>
  <c r="AN6" i="1"/>
  <c r="AN5" i="1"/>
  <c r="AJ18" i="1"/>
  <c r="BD22" i="1"/>
  <c r="AN17" i="1"/>
  <c r="L18" i="1"/>
  <c r="BD5" i="1"/>
  <c r="AJ17" i="1"/>
  <c r="AB10" i="1"/>
  <c r="AV21" i="1"/>
  <c r="AB17" i="1"/>
  <c r="AZ7" i="1"/>
  <c r="AE11" i="1"/>
  <c r="AB9" i="1"/>
  <c r="BD6" i="1"/>
  <c r="H18" i="1"/>
  <c r="X7" i="1"/>
  <c r="AN9" i="1"/>
  <c r="AR7" i="1"/>
  <c r="AV5" i="1"/>
  <c r="BD9" i="1"/>
  <c r="T18" i="1"/>
  <c r="AZ18" i="1"/>
  <c r="AZ20" i="1"/>
  <c r="AR95" i="1"/>
  <c r="P95" i="1"/>
  <c r="BD83" i="1"/>
  <c r="AV83" i="1"/>
  <c r="AR71" i="1"/>
  <c r="AV71" i="1"/>
  <c r="AF71" i="1"/>
  <c r="H71" i="1"/>
  <c r="C2" i="10" s="1"/>
  <c r="AB71" i="1"/>
  <c r="C7" i="10" s="1"/>
  <c r="AV59" i="1"/>
  <c r="AF59" i="1"/>
  <c r="AN47" i="1"/>
  <c r="AF47" i="1"/>
  <c r="AF35" i="1"/>
  <c r="C23" i="1"/>
  <c r="L22" i="1"/>
  <c r="AR22" i="1"/>
  <c r="P22" i="1"/>
  <c r="AV22" i="1"/>
  <c r="T22" i="1"/>
  <c r="AZ22" i="1"/>
  <c r="AB22" i="1"/>
  <c r="AF22" i="1"/>
  <c r="H21" i="1"/>
  <c r="AN21" i="1"/>
  <c r="L21" i="1"/>
  <c r="AR21" i="1"/>
  <c r="X21" i="1"/>
  <c r="BD21" i="1"/>
  <c r="AR18" i="1"/>
  <c r="AB18" i="1"/>
  <c r="AF18" i="1"/>
  <c r="T17" i="1"/>
  <c r="AV17" i="1"/>
  <c r="AF19" i="1"/>
  <c r="AE23" i="1"/>
  <c r="AV16" i="1"/>
  <c r="AV23" i="1" s="1"/>
  <c r="AN19" i="1"/>
  <c r="T16" i="1"/>
  <c r="T23" i="1" s="1"/>
  <c r="AZ16" i="1"/>
  <c r="AZ23" i="1" s="1"/>
  <c r="P19" i="1"/>
  <c r="AR19" i="1"/>
  <c r="P20" i="1"/>
  <c r="AV20" i="1"/>
  <c r="X16" i="1"/>
  <c r="X23" i="1" s="1"/>
  <c r="BD16" i="1"/>
  <c r="BD23" i="1" s="1"/>
  <c r="AZ17" i="1"/>
  <c r="X18" i="1"/>
  <c r="T19" i="1"/>
  <c r="AB21" i="1"/>
  <c r="AJ22" i="1"/>
  <c r="P16" i="1"/>
  <c r="P23" i="1" s="1"/>
  <c r="BD17" i="1"/>
  <c r="X19" i="1"/>
  <c r="AV19" i="1"/>
  <c r="X20" i="1"/>
  <c r="BD20" i="1"/>
  <c r="H17" i="1"/>
  <c r="AF17" i="1"/>
  <c r="BD18" i="1"/>
  <c r="AB19" i="1"/>
  <c r="AZ19" i="1"/>
  <c r="AB20" i="1"/>
  <c r="AJ16" i="1"/>
  <c r="AJ23" i="1" s="1"/>
  <c r="BD19" i="1"/>
  <c r="H16" i="1"/>
  <c r="H23" i="1" s="1"/>
  <c r="AN16" i="1"/>
  <c r="H19" i="1"/>
  <c r="P17" i="1"/>
  <c r="AN18" i="1"/>
  <c r="L19" i="1"/>
  <c r="AJ19" i="1"/>
  <c r="H20" i="1"/>
  <c r="AN20" i="1"/>
  <c r="P21" i="1"/>
  <c r="T21" i="1"/>
  <c r="AZ21" i="1"/>
  <c r="AU23" i="1"/>
  <c r="L16" i="1"/>
  <c r="L23" i="1" s="1"/>
  <c r="AB16" i="1"/>
  <c r="AB23" i="1" s="1"/>
  <c r="T20" i="1"/>
  <c r="AJ20" i="1"/>
  <c r="H22" i="1"/>
  <c r="X22" i="1"/>
  <c r="AN22" i="1"/>
  <c r="AJ21" i="1"/>
  <c r="AR16" i="1"/>
  <c r="AR23" i="1" s="1"/>
  <c r="AF16" i="1"/>
  <c r="AF4" i="9"/>
  <c r="AF11" i="9" s="1"/>
  <c r="AV4" i="9"/>
  <c r="AV11" i="9" s="1"/>
  <c r="X6" i="1"/>
  <c r="AR10" i="1"/>
  <c r="AV8" i="1"/>
  <c r="AZ6" i="1"/>
  <c r="X8" i="1"/>
  <c r="AV9" i="1"/>
  <c r="X5" i="1"/>
  <c r="AR9" i="1"/>
  <c r="AV7" i="1"/>
  <c r="AZ5" i="1"/>
  <c r="T4" i="9"/>
  <c r="T11" i="9" s="1"/>
  <c r="H6" i="9"/>
  <c r="X6" i="9"/>
  <c r="AN6" i="9"/>
  <c r="AZ8" i="1"/>
  <c r="P4" i="9"/>
  <c r="P11" i="9" s="1"/>
  <c r="AN10" i="1"/>
  <c r="AR8" i="1"/>
  <c r="AV6" i="1"/>
  <c r="BD10" i="1"/>
  <c r="AJ10" i="9"/>
  <c r="AN8" i="1"/>
  <c r="BD8" i="1"/>
  <c r="X9" i="1"/>
  <c r="AN7" i="1"/>
  <c r="AR5" i="1"/>
  <c r="AZ9" i="1"/>
  <c r="BD7" i="1"/>
  <c r="T9" i="1"/>
  <c r="T8" i="1"/>
  <c r="T5" i="1"/>
  <c r="AJ7" i="1"/>
  <c r="H9" i="1"/>
  <c r="L7" i="1"/>
  <c r="T7" i="1"/>
  <c r="AJ9" i="1"/>
  <c r="P7" i="1"/>
  <c r="AZ4" i="1"/>
  <c r="AZ11" i="1" s="1"/>
  <c r="AB4" i="1"/>
  <c r="AB11" i="1" s="1"/>
  <c r="L9" i="1"/>
  <c r="X4" i="1"/>
  <c r="X11" i="1" s="1"/>
  <c r="BD4" i="1"/>
  <c r="BD11" i="1" s="1"/>
  <c r="H5" i="1"/>
  <c r="L8" i="1"/>
  <c r="AJ8" i="1"/>
  <c r="AJ5" i="1"/>
  <c r="H8" i="1"/>
  <c r="AN4" i="1"/>
  <c r="AN11" i="1" s="1"/>
  <c r="AF9" i="1"/>
  <c r="P5" i="1"/>
  <c r="AF4" i="1"/>
  <c r="AJ4" i="1"/>
  <c r="AJ11" i="1" s="1"/>
  <c r="AR4" i="1"/>
  <c r="AR11" i="1" s="1"/>
  <c r="AF7" i="1"/>
  <c r="P9" i="1"/>
  <c r="P4" i="1"/>
  <c r="P8" i="1"/>
  <c r="L5" i="1"/>
  <c r="AV4" i="1"/>
  <c r="AF5" i="1"/>
  <c r="AJ10" i="1"/>
  <c r="AJ6" i="1"/>
  <c r="H4" i="1"/>
  <c r="H11" i="1" s="1"/>
  <c r="H7" i="1"/>
  <c r="T4" i="1"/>
  <c r="T11" i="1" s="1"/>
  <c r="AF10" i="1"/>
  <c r="P10" i="1"/>
  <c r="P6" i="1"/>
  <c r="H10" i="1"/>
  <c r="H6" i="1"/>
  <c r="AF6" i="1"/>
  <c r="L4" i="1"/>
  <c r="L11" i="1" s="1"/>
  <c r="T10" i="1"/>
  <c r="T6" i="1"/>
  <c r="L10" i="1"/>
  <c r="L6" i="1"/>
  <c r="AF8" i="1"/>
  <c r="C11" i="1"/>
  <c r="C11" i="10" l="1"/>
  <c r="D8" i="10"/>
  <c r="D4" i="10"/>
  <c r="D10" i="10"/>
  <c r="D12" i="10"/>
  <c r="AV11" i="1"/>
  <c r="C12" i="10" s="1"/>
  <c r="AN23" i="1"/>
  <c r="C10" i="10" s="1"/>
  <c r="AF23" i="1"/>
  <c r="P11" i="1"/>
  <c r="C4" i="10" s="1"/>
  <c r="AF11" i="1"/>
  <c r="D11" i="1"/>
  <c r="C8" i="10" l="1"/>
</calcChain>
</file>

<file path=xl/sharedStrings.xml><?xml version="1.0" encoding="utf-8"?>
<sst xmlns="http://schemas.openxmlformats.org/spreadsheetml/2006/main" count="8118" uniqueCount="229">
  <si>
    <t>2nd Story</t>
  </si>
  <si>
    <t>Chp</t>
  </si>
  <si>
    <t>Fair</t>
  </si>
  <si>
    <t>Avg</t>
  </si>
  <si>
    <t>Good</t>
  </si>
  <si>
    <t>VGood</t>
  </si>
  <si>
    <t>Excellent</t>
  </si>
  <si>
    <t>Lower</t>
  </si>
  <si>
    <t>1/2 Story</t>
  </si>
  <si>
    <t>Porch</t>
  </si>
  <si>
    <t>Deck</t>
  </si>
  <si>
    <t>Carport</t>
  </si>
  <si>
    <t>Parcel ID: 110892040006008</t>
  </si>
  <si>
    <t xml:space="preserve">  Grade</t>
  </si>
  <si>
    <t>HT: Tri-Level</t>
  </si>
  <si>
    <t>Main Area $</t>
  </si>
  <si>
    <t>Low</t>
  </si>
  <si>
    <t>EFP/Sunroom</t>
  </si>
  <si>
    <t>Basic Allowance</t>
  </si>
  <si>
    <t>Lower Value</t>
  </si>
  <si>
    <t>Unf Lower Value</t>
  </si>
  <si>
    <t>1/2 Story Value</t>
  </si>
  <si>
    <t>2nd Story Value</t>
  </si>
  <si>
    <t>Att Gar Value</t>
  </si>
  <si>
    <t>Porch Value</t>
  </si>
  <si>
    <t>Cov Porch Value</t>
  </si>
  <si>
    <t>Deck Value</t>
  </si>
  <si>
    <t>Basement</t>
  </si>
  <si>
    <t>Unfinished Basement</t>
  </si>
  <si>
    <t>Unfinished Lower</t>
  </si>
  <si>
    <t>BsmtVal</t>
  </si>
  <si>
    <t>UnfBsmtVal</t>
  </si>
  <si>
    <t>MA $/Sq Ft</t>
  </si>
  <si>
    <t>Main area sq ft:</t>
  </si>
  <si>
    <t>Attached Garage</t>
  </si>
  <si>
    <t>Covered Porch</t>
  </si>
  <si>
    <t>Covered Deck</t>
  </si>
  <si>
    <t>LowerVal/SqFt</t>
  </si>
  <si>
    <t>BsmtVal/Sq Ft</t>
  </si>
  <si>
    <t>UnfBsmt Sq Ft</t>
  </si>
  <si>
    <t>UnfBsmtVal/SqFt</t>
  </si>
  <si>
    <t>Lower Sq Ft</t>
  </si>
  <si>
    <t>1/2 Story Sq Ft</t>
  </si>
  <si>
    <t>1/2 StoryVal/SqFt</t>
  </si>
  <si>
    <t>2nd Sty Sq Ft</t>
  </si>
  <si>
    <t>2ndStyVal/Sqft</t>
  </si>
  <si>
    <t>Att Gar Sq Ft</t>
  </si>
  <si>
    <t>AttGarVal/SqFt</t>
  </si>
  <si>
    <t>Porch Sq Ft</t>
  </si>
  <si>
    <t>PorchVal/SqFt</t>
  </si>
  <si>
    <t>Cov Porch Sq Ft</t>
  </si>
  <si>
    <t>CovPrVal/SqFt</t>
  </si>
  <si>
    <t>Deck Sq Ft</t>
  </si>
  <si>
    <t>DeckVal/SqFt</t>
  </si>
  <si>
    <t>CovDeck Sq Ft</t>
  </si>
  <si>
    <t>Cov Deck Value</t>
  </si>
  <si>
    <t>CovDeckVal/SqFt</t>
  </si>
  <si>
    <t>EFP Sq Ft</t>
  </si>
  <si>
    <t>EFPVal/SqFt</t>
  </si>
  <si>
    <t>UnfLowVal/SqFt2</t>
  </si>
  <si>
    <t>UnfLower Sq Ft</t>
  </si>
  <si>
    <t>Bsmt SqFt</t>
  </si>
  <si>
    <t>Bsmt % Base</t>
  </si>
  <si>
    <t>UnfBsmt % Base</t>
  </si>
  <si>
    <t>Lower % Base</t>
  </si>
  <si>
    <t>Unf Lower % Base</t>
  </si>
  <si>
    <t>1/2 Story % Base</t>
  </si>
  <si>
    <t>2nd Story % Base</t>
  </si>
  <si>
    <t>Att Gar % Base</t>
  </si>
  <si>
    <t>Porch % Base</t>
  </si>
  <si>
    <t>Cov Porch % Base</t>
  </si>
  <si>
    <t>Deck % Base</t>
  </si>
  <si>
    <t>CarP Value</t>
  </si>
  <si>
    <t>CarP Sq Ft</t>
  </si>
  <si>
    <t>CarPVal/SqFt</t>
  </si>
  <si>
    <t>CarP % Base</t>
  </si>
  <si>
    <t>CovDeck % Base</t>
  </si>
  <si>
    <t>EFP Value</t>
  </si>
  <si>
    <t>EFP % Base</t>
  </si>
  <si>
    <t>Parcel ID:</t>
  </si>
  <si>
    <t>HT:</t>
  </si>
  <si>
    <t>Parcel ID: 131953020000011</t>
  </si>
  <si>
    <t>HT: 1 St</t>
  </si>
  <si>
    <t>Year Built:</t>
  </si>
  <si>
    <t>Parcel ID: 110892040006010</t>
  </si>
  <si>
    <t>Parcel ID: 101893050002010</t>
  </si>
  <si>
    <t>HT: 1 St Masonry</t>
  </si>
  <si>
    <t>Parcel ID: 107973060007010</t>
  </si>
  <si>
    <t>Parcel ID: 125082030001004</t>
  </si>
  <si>
    <t>HT: 2 St w/Bsmt</t>
  </si>
  <si>
    <t>Parcel ID: 101891030004020</t>
  </si>
  <si>
    <t>Parcel ID: 135981040003004</t>
  </si>
  <si>
    <t>HT: Split-Level</t>
  </si>
  <si>
    <t>109882020000001</t>
  </si>
  <si>
    <t>109882020000002</t>
  </si>
  <si>
    <t>RWB</t>
  </si>
  <si>
    <t>109882020000006</t>
  </si>
  <si>
    <t>Rambler</t>
  </si>
  <si>
    <t>109882020000040</t>
  </si>
  <si>
    <t>109882020000034</t>
  </si>
  <si>
    <t>102883011509003</t>
  </si>
  <si>
    <t>103882020004005</t>
  </si>
  <si>
    <t>103883011331001</t>
  </si>
  <si>
    <t>Split Level</t>
  </si>
  <si>
    <t>103883011331002</t>
  </si>
  <si>
    <t>Tri Level</t>
  </si>
  <si>
    <t>103884020001001</t>
  </si>
  <si>
    <t>103884020001002</t>
  </si>
  <si>
    <t>103884020001003</t>
  </si>
  <si>
    <t>103884020001007</t>
  </si>
  <si>
    <t>Split Entry</t>
  </si>
  <si>
    <t>103884020001009</t>
  </si>
  <si>
    <t>103984020724013</t>
  </si>
  <si>
    <t>103984020724018</t>
  </si>
  <si>
    <t>103984020724020</t>
  </si>
  <si>
    <t>120982020000024</t>
  </si>
  <si>
    <t>120982020000025</t>
  </si>
  <si>
    <t>120982020000028</t>
  </si>
  <si>
    <t>120984030000003</t>
  </si>
  <si>
    <t>120984030000015</t>
  </si>
  <si>
    <t>120984030000016</t>
  </si>
  <si>
    <t>101884070000018</t>
  </si>
  <si>
    <t>101884070000019</t>
  </si>
  <si>
    <t>112893140003016</t>
  </si>
  <si>
    <t>106804090002001</t>
  </si>
  <si>
    <t>106804090001004</t>
  </si>
  <si>
    <t>113893050003002</t>
  </si>
  <si>
    <t>113893050001020</t>
  </si>
  <si>
    <t>113893050001018</t>
  </si>
  <si>
    <t>118801000001000</t>
  </si>
  <si>
    <t>EFP</t>
  </si>
  <si>
    <t>101892050000019</t>
  </si>
  <si>
    <t>135994020002009</t>
  </si>
  <si>
    <t>126083040001004</t>
  </si>
  <si>
    <t>1 St</t>
  </si>
  <si>
    <t>102894110000002</t>
  </si>
  <si>
    <t>102894110000012</t>
  </si>
  <si>
    <t>Year Built: 1950</t>
  </si>
  <si>
    <t>Year Built: 1952</t>
  </si>
  <si>
    <t>Year Built: 1949</t>
  </si>
  <si>
    <t>106804110000009</t>
  </si>
  <si>
    <t>106804110000018</t>
  </si>
  <si>
    <t>Year Built:  1945</t>
  </si>
  <si>
    <t>102893080002005</t>
  </si>
  <si>
    <t>HT: RWB</t>
  </si>
  <si>
    <t>106803070000023</t>
  </si>
  <si>
    <t>115801000002000</t>
  </si>
  <si>
    <t>101891030003001</t>
  </si>
  <si>
    <t>101891030003004</t>
  </si>
  <si>
    <t>101891030004001</t>
  </si>
  <si>
    <t>Half story</t>
  </si>
  <si>
    <t>101892030001006</t>
  </si>
  <si>
    <t>Half Story</t>
  </si>
  <si>
    <t>EFP-W</t>
  </si>
  <si>
    <t>101892030005002</t>
  </si>
  <si>
    <t>101892030007001</t>
  </si>
  <si>
    <t>101892030007002</t>
  </si>
  <si>
    <t>Half Story w/Unfin Bsmt</t>
  </si>
  <si>
    <t>102892030002013</t>
  </si>
  <si>
    <t>102892030002014</t>
  </si>
  <si>
    <t>102892030002015</t>
  </si>
  <si>
    <t>102892030003008</t>
  </si>
  <si>
    <t>102892030003009</t>
  </si>
  <si>
    <t>103892030000001</t>
  </si>
  <si>
    <t>103981100000001</t>
  </si>
  <si>
    <t>103981100000003</t>
  </si>
  <si>
    <t>106802050003006</t>
  </si>
  <si>
    <t>102892110002030</t>
  </si>
  <si>
    <t>102892110003014</t>
  </si>
  <si>
    <t>102891070001022</t>
  </si>
  <si>
    <t>103981100000005</t>
  </si>
  <si>
    <t>103892020016016</t>
  </si>
  <si>
    <t>103892160001001</t>
  </si>
  <si>
    <t>134992020000074</t>
  </si>
  <si>
    <t>1 st</t>
  </si>
  <si>
    <t>134992020000060</t>
  </si>
  <si>
    <t>102891080001042</t>
  </si>
  <si>
    <t>106802050001004</t>
  </si>
  <si>
    <t>112882050000006</t>
  </si>
  <si>
    <t>HT: 2 St w/Upper</t>
  </si>
  <si>
    <t>112882050000008</t>
  </si>
  <si>
    <t>HT: 1 St/Upper</t>
  </si>
  <si>
    <t>112882050000012</t>
  </si>
  <si>
    <t>103883020004013</t>
  </si>
  <si>
    <t>103883020005018</t>
  </si>
  <si>
    <t>103883020004014</t>
  </si>
  <si>
    <t>103883020004015</t>
  </si>
  <si>
    <t>103883020004009</t>
  </si>
  <si>
    <t>110804020004003</t>
  </si>
  <si>
    <t>Sunroom</t>
  </si>
  <si>
    <t>114802011268002</t>
  </si>
  <si>
    <t>109802000011000</t>
  </si>
  <si>
    <t xml:space="preserve">2 St </t>
  </si>
  <si>
    <t>1 St w/Bonus</t>
  </si>
  <si>
    <t>2 St</t>
  </si>
  <si>
    <t>2 St w/bsmt</t>
  </si>
  <si>
    <t>Half</t>
  </si>
  <si>
    <t>HT: Half</t>
  </si>
  <si>
    <t>Half/2 story</t>
  </si>
  <si>
    <t>Duplex - 1 St</t>
  </si>
  <si>
    <t>HT: Half w/Bsmt</t>
  </si>
  <si>
    <t>Duplex - 2 St w/bsmt</t>
  </si>
  <si>
    <t>Duplex - RWB</t>
  </si>
  <si>
    <t>2 St w/unfin bsmt</t>
  </si>
  <si>
    <t>135993020002005</t>
  </si>
  <si>
    <t>HT: Condo</t>
  </si>
  <si>
    <t>135993112425000</t>
  </si>
  <si>
    <t>134994020005004</t>
  </si>
  <si>
    <t>134994040001012</t>
  </si>
  <si>
    <t>HT:Condo</t>
  </si>
  <si>
    <t>134992060001001</t>
  </si>
  <si>
    <t>136981030008006</t>
  </si>
  <si>
    <t>Townhouse</t>
  </si>
  <si>
    <t>136981010925001</t>
  </si>
  <si>
    <t>136981030013001</t>
  </si>
  <si>
    <t>Townhouse 2 st</t>
  </si>
  <si>
    <t>Balcony</t>
  </si>
  <si>
    <t>136981030014002</t>
  </si>
  <si>
    <t>136981030007001</t>
  </si>
  <si>
    <t>Townhouse 1 st w/bsmt</t>
  </si>
  <si>
    <t>2 Story</t>
  </si>
  <si>
    <t>Average</t>
  </si>
  <si>
    <t>*Weighted Average excludes Chp, Low, VGd, and Exc</t>
  </si>
  <si>
    <t>Segment</t>
  </si>
  <si>
    <t>Weighted Avg*</t>
  </si>
  <si>
    <t xml:space="preserve"> - includes 2 stories and uppers over garages.</t>
  </si>
  <si>
    <t xml:space="preserve"> - includes RFX/Conc, Cnpy/Conc, &amp; Port/Conc</t>
  </si>
  <si>
    <t>Formula for calculation:</t>
  </si>
  <si>
    <t>[(MA $/sq ft) X (Segment %)] X (Segment sq 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</si>
</sst>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_);\(&quot;$&quot;#,##0\)"/>
    <numFmt numFmtId="7" formatCode="&quot;$&quot;#,##0.00_);\(&quot;$&quot;#,##0.00\)"/>
    <numFmt numFmtId="164" formatCode="&quot;$&quot;#,##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0" fontId="0" fillId="0" borderId="0" xfId="0" applyNumberFormat="1" applyAlignment="1">
      <alignment horizontal="center" vertical="top"/>
    </xf>
    <xf numFmtId="0" fontId="0" fillId="0" borderId="0" xfId="0" applyBorder="1" applyAlignment="1">
      <alignment horizontal="center" vertical="top"/>
    </xf>
    <xf numFmtId="10" fontId="0" fillId="0" borderId="0" xfId="0" applyNumberFormat="1" applyBorder="1" applyAlignment="1">
      <alignment horizontal="center" vertical="top"/>
    </xf>
    <xf numFmtId="0" fontId="0" fillId="10" borderId="1" xfId="0" applyFill="1" applyBorder="1" applyAlignment="1">
      <alignment horizontal="center"/>
    </xf>
    <xf numFmtId="164" fontId="0" fillId="0" borderId="0" xfId="0" applyNumberFormat="1" applyBorder="1" applyAlignment="1">
      <alignment horizontal="center" vertical="top"/>
    </xf>
    <xf numFmtId="10" fontId="0" fillId="0" borderId="3" xfId="0" applyNumberFormat="1" applyBorder="1" applyAlignment="1">
      <alignment horizontal="center" vertical="top"/>
    </xf>
    <xf numFmtId="10" fontId="0" fillId="0" borderId="4" xfId="0" applyNumberFormat="1" applyBorder="1" applyAlignment="1">
      <alignment horizontal="center" vertical="top"/>
    </xf>
    <xf numFmtId="10" fontId="0" fillId="0" borderId="6" xfId="0" applyNumberFormat="1" applyBorder="1" applyAlignment="1">
      <alignment horizontal="center" vertical="top"/>
    </xf>
    <xf numFmtId="10" fontId="0" fillId="0" borderId="7" xfId="0" applyNumberFormat="1" applyBorder="1" applyAlignment="1">
      <alignment horizontal="center" vertical="top"/>
    </xf>
    <xf numFmtId="10" fontId="0" fillId="0" borderId="8" xfId="0" applyNumberFormat="1" applyBorder="1" applyAlignment="1">
      <alignment horizontal="center" vertical="top"/>
    </xf>
    <xf numFmtId="164" fontId="0" fillId="0" borderId="3" xfId="0" applyNumberFormat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164" fontId="0" fillId="0" borderId="7" xfId="0" applyNumberFormat="1" applyBorder="1" applyAlignment="1">
      <alignment horizontal="center" vertical="top"/>
    </xf>
    <xf numFmtId="0" fontId="0" fillId="0" borderId="2" xfId="0" applyBorder="1"/>
    <xf numFmtId="4" fontId="0" fillId="0" borderId="3" xfId="0" applyNumberFormat="1" applyBorder="1" applyAlignment="1">
      <alignment horizontal="center" vertical="top"/>
    </xf>
    <xf numFmtId="0" fontId="0" fillId="0" borderId="5" xfId="0" applyBorder="1"/>
    <xf numFmtId="4" fontId="0" fillId="0" borderId="0" xfId="0" applyNumberFormat="1" applyBorder="1" applyAlignment="1">
      <alignment horizontal="center" vertical="top"/>
    </xf>
    <xf numFmtId="0" fontId="0" fillId="0" borderId="7" xfId="0" applyBorder="1"/>
    <xf numFmtId="164" fontId="0" fillId="0" borderId="8" xfId="0" applyNumberFormat="1" applyBorder="1" applyAlignment="1">
      <alignment horizontal="center" vertical="top"/>
    </xf>
    <xf numFmtId="165" fontId="0" fillId="0" borderId="8" xfId="0" applyNumberFormat="1" applyBorder="1" applyAlignment="1">
      <alignment horizontal="center" vertical="top"/>
    </xf>
    <xf numFmtId="10" fontId="0" fillId="2" borderId="9" xfId="0" applyNumberFormat="1" applyFill="1" applyBorder="1" applyAlignment="1">
      <alignment horizontal="center" vertical="top"/>
    </xf>
    <xf numFmtId="10" fontId="0" fillId="2" borderId="8" xfId="0" applyNumberFormat="1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3" xfId="0" applyNumberFormat="1" applyBorder="1" applyAlignment="1">
      <alignment horizontal="center" vertical="top"/>
    </xf>
    <xf numFmtId="165" fontId="0" fillId="0" borderId="3" xfId="0" applyNumberFormat="1" applyBorder="1" applyAlignment="1">
      <alignment horizontal="center" vertical="top"/>
    </xf>
    <xf numFmtId="165" fontId="0" fillId="0" borderId="0" xfId="0" applyNumberFormat="1" applyBorder="1" applyAlignment="1">
      <alignment horizontal="center" vertical="top"/>
    </xf>
    <xf numFmtId="0" fontId="0" fillId="0" borderId="0" xfId="0" applyNumberFormat="1" applyBorder="1" applyAlignment="1">
      <alignment horizontal="center" vertical="top"/>
    </xf>
    <xf numFmtId="0" fontId="2" fillId="9" borderId="1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7" fontId="0" fillId="0" borderId="7" xfId="0" applyNumberFormat="1" applyBorder="1" applyAlignment="1">
      <alignment horizontal="center" vertical="top"/>
    </xf>
    <xf numFmtId="0" fontId="0" fillId="7" borderId="5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1" fontId="0" fillId="0" borderId="3" xfId="0" applyNumberFormat="1" applyBorder="1" applyAlignment="1">
      <alignment horizontal="center" vertical="top"/>
    </xf>
    <xf numFmtId="1" fontId="0" fillId="0" borderId="0" xfId="0" applyNumberFormat="1" applyBorder="1" applyAlignment="1">
      <alignment horizontal="center" vertical="top"/>
    </xf>
    <xf numFmtId="165" fontId="0" fillId="0" borderId="2" xfId="0" applyNumberFormat="1" applyBorder="1" applyAlignment="1">
      <alignment horizontal="center" vertical="top"/>
    </xf>
    <xf numFmtId="165" fontId="0" fillId="0" borderId="5" xfId="0" applyNumberFormat="1" applyBorder="1" applyAlignment="1">
      <alignment horizontal="center" vertical="top"/>
    </xf>
    <xf numFmtId="3" fontId="0" fillId="0" borderId="3" xfId="0" applyNumberFormat="1" applyBorder="1" applyAlignment="1">
      <alignment horizontal="center" vertical="top"/>
    </xf>
    <xf numFmtId="3" fontId="0" fillId="0" borderId="0" xfId="0" applyNumberFormat="1" applyBorder="1" applyAlignment="1">
      <alignment horizontal="center" vertical="top"/>
    </xf>
    <xf numFmtId="0" fontId="1" fillId="11" borderId="7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16" xfId="0" applyBorder="1"/>
    <xf numFmtId="5" fontId="0" fillId="0" borderId="7" xfId="0" applyNumberFormat="1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left"/>
    </xf>
    <xf numFmtId="0" fontId="0" fillId="0" borderId="7" xfId="0" applyNumberFormat="1" applyBorder="1" applyAlignment="1">
      <alignment horizontal="center" vertical="top"/>
    </xf>
    <xf numFmtId="7" fontId="0" fillId="0" borderId="0" xfId="0" applyNumberFormat="1" applyBorder="1" applyAlignment="1">
      <alignment horizontal="center" vertical="top"/>
    </xf>
    <xf numFmtId="0" fontId="0" fillId="12" borderId="0" xfId="0" applyFill="1"/>
    <xf numFmtId="0" fontId="0" fillId="10" borderId="0" xfId="0" applyFill="1"/>
    <xf numFmtId="0" fontId="0" fillId="10" borderId="15" xfId="0" applyFill="1" applyBorder="1"/>
    <xf numFmtId="1" fontId="0" fillId="0" borderId="0" xfId="0" applyNumberFormat="1"/>
    <xf numFmtId="0" fontId="0" fillId="0" borderId="15" xfId="0" quotePrefix="1" applyBorder="1"/>
    <xf numFmtId="164" fontId="4" fillId="0" borderId="3" xfId="0" applyNumberFormat="1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center" vertical="top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7" fontId="0" fillId="0" borderId="3" xfId="0" applyNumberFormat="1" applyBorder="1" applyAlignment="1">
      <alignment horizontal="center" vertical="top"/>
    </xf>
    <xf numFmtId="10" fontId="0" fillId="0" borderId="17" xfId="0" applyNumberForma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4" borderId="18" xfId="0" applyFont="1" applyFill="1" applyBorder="1" applyAlignment="1">
      <alignment horizontal="right"/>
    </xf>
    <xf numFmtId="0" fontId="1" fillId="15" borderId="21" xfId="0" applyFont="1" applyFill="1" applyBorder="1" applyAlignment="1">
      <alignment horizontal="right"/>
    </xf>
    <xf numFmtId="0" fontId="1" fillId="10" borderId="21" xfId="0" applyFont="1" applyFill="1" applyBorder="1" applyAlignment="1">
      <alignment horizontal="right"/>
    </xf>
    <xf numFmtId="0" fontId="1" fillId="5" borderId="21" xfId="0" applyFont="1" applyFill="1" applyBorder="1" applyAlignment="1">
      <alignment horizontal="right"/>
    </xf>
    <xf numFmtId="0" fontId="1" fillId="14" borderId="21" xfId="0" applyFont="1" applyFill="1" applyBorder="1" applyAlignment="1">
      <alignment horizontal="right"/>
    </xf>
    <xf numFmtId="0" fontId="1" fillId="8" borderId="21" xfId="0" applyFont="1" applyFill="1" applyBorder="1" applyAlignment="1">
      <alignment horizontal="right"/>
    </xf>
    <xf numFmtId="0" fontId="1" fillId="7" borderId="21" xfId="0" applyFont="1" applyFill="1" applyBorder="1" applyAlignment="1">
      <alignment horizontal="right"/>
    </xf>
    <xf numFmtId="0" fontId="1" fillId="4" borderId="21" xfId="0" applyFont="1" applyFill="1" applyBorder="1" applyAlignment="1">
      <alignment horizontal="right"/>
    </xf>
    <xf numFmtId="0" fontId="1" fillId="3" borderId="21" xfId="0" applyFont="1" applyFill="1" applyBorder="1" applyAlignment="1">
      <alignment horizontal="right"/>
    </xf>
    <xf numFmtId="0" fontId="1" fillId="13" borderId="21" xfId="0" applyFont="1" applyFill="1" applyBorder="1" applyAlignment="1">
      <alignment horizontal="right"/>
    </xf>
    <xf numFmtId="0" fontId="1" fillId="11" borderId="21" xfId="0" applyFont="1" applyFill="1" applyBorder="1" applyAlignment="1">
      <alignment horizontal="right"/>
    </xf>
    <xf numFmtId="0" fontId="1" fillId="11" borderId="23" xfId="0" applyFont="1" applyFill="1" applyBorder="1" applyAlignment="1">
      <alignment horizontal="right"/>
    </xf>
    <xf numFmtId="10" fontId="0" fillId="0" borderId="24" xfId="0" applyNumberForma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</cellXfs>
  <cellStyles count="1">
    <cellStyle name="Normal" xfId="0" builtinId="0"/>
  </cellStyles>
  <dxfs count="11300"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1" formatCode="&quot;$&quot;#,##0.00_);\(&quot;$&quot;#,##0.00\)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9" formatCode="&quot;$&quot;#,##0_);\(&quot;$&quot;#,##0\)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1" formatCode="&quot;$&quot;#,##0.00_);\(&quot;$&quot;#,##0.00\)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0" formatCode="General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4" formatCode="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" formatCode="0"/>
      <alignment horizontal="center" vertical="top" textRotation="0" wrapText="0" indent="0" justifyLastLine="0" shrinkToFit="0" readingOrder="0"/>
    </dxf>
    <dxf>
      <numFmt numFmtId="14" formatCode="0.00%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4" formatCode="0.00%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4" formatCode="0.00%"/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numFmt numFmtId="14" formatCode="0.00%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5" formatCode="&quot;$&quot;#,##0.0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5" formatCode="&quot;$&quot;#,##0.00"/>
      <alignment horizontal="center" vertical="top" textRotation="0" wrapText="0" indent="0" justifyLastLine="0" shrinkToFit="0" readingOrder="0"/>
    </dxf>
    <dxf>
      <numFmt numFmtId="164" formatCode="&quot;$&quot;#,##0"/>
      <alignment horizontal="center" vertical="top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&quot;$&quot;#,##0"/>
      <alignment horizontal="center" vertical="top" textRotation="0" wrapText="0" indent="0" justifyLastLine="0" shrinkToFit="0" readingOrder="0"/>
    </dxf>
    <dxf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BD11" totalsRowCount="1" headerRowDxfId="11299">
  <tableColumns count="56">
    <tableColumn id="1" name="  Grade" dataDxfId="11298" totalsRowDxfId="11297"/>
    <tableColumn id="13" name="Main Area $" dataDxfId="11296" totalsRowDxfId="11295"/>
    <tableColumn id="45" name="MA $/Sq Ft" totalsRowFunction="custom" dataDxfId="11294" totalsRowDxfId="11293">
      <calculatedColumnFormula>B4/F1</calculatedColumnFormula>
      <totalsRowFormula>AVERAGE(Table1[MA $/Sq Ft])</totalsRowFormula>
    </tableColumn>
    <tableColumn id="16" name="Basic Allowance" totalsRowFunction="custom" dataDxfId="11292" totalsRowDxfId="11291">
      <totalsRowFormula>AVERAGE(Table1[Basic Allowance])</totalsRowFormula>
    </tableColumn>
    <tableColumn id="43" name="BsmtVal" dataDxfId="11290" totalsRowDxfId="11289"/>
    <tableColumn id="46" name="Bsmt SqFt" dataDxfId="11288" totalsRowDxfId="11287"/>
    <tableColumn id="2" name="BsmtVal/Sq Ft" dataDxfId="11286" totalsRowDxfId="11285">
      <calculatedColumnFormula>E4/F4</calculatedColumnFormula>
    </tableColumn>
    <tableColumn id="17" name="Bsmt % Base" totalsRowFunction="custom" dataDxfId="11284" totalsRowDxfId="11283">
      <calculatedColumnFormula>G4/C4</calculatedColumnFormula>
      <totalsRowFormula>AVERAGE(Table1[Bsmt % Base])</totalsRowFormula>
    </tableColumn>
    <tableColumn id="30" name="UnfBsmtVal" dataDxfId="11282" totalsRowDxfId="11281"/>
    <tableColumn id="47" name="UnfBsmt Sq Ft" dataDxfId="11280" totalsRowDxfId="11279"/>
    <tableColumn id="3" name="UnfBsmtVal/SqFt" dataDxfId="11278" totalsRowDxfId="11277">
      <calculatedColumnFormula>I4/J4</calculatedColumnFormula>
    </tableColumn>
    <tableColumn id="44" name="UnfBsmt % Base" totalsRowFunction="custom" dataDxfId="11276" totalsRowDxfId="11275">
      <calculatedColumnFormula>K4/C4</calculatedColumnFormula>
      <totalsRowFormula>AVERAGE(Table1[[#Headers],[#Data],[UnfBsmt % Base]])</totalsRowFormula>
    </tableColumn>
    <tableColumn id="31" name="Lower Value" totalsRowFunction="custom" dataDxfId="11274" totalsRowDxfId="11273">
      <totalsRowFormula>AVERAGE(Table1[Lower Value])</totalsRowFormula>
    </tableColumn>
    <tableColumn id="48" name="Lower Sq Ft" dataDxfId="11272" totalsRowDxfId="11271"/>
    <tableColumn id="4" name="LowerVal/SqFt" totalsRowFunction="custom" dataDxfId="11270" totalsRowDxfId="11269">
      <calculatedColumnFormula>M4/N4</calculatedColumnFormula>
      <totalsRowFormula>AVERAGE(Table1[LowerVal/SqFt])</totalsRowFormula>
    </tableColumn>
    <tableColumn id="32" name="Lower % Base" totalsRowFunction="custom" dataDxfId="11268" totalsRowDxfId="11267">
      <calculatedColumnFormula>O4/C4</calculatedColumnFormula>
      <totalsRowFormula>AVERAGE(Table1[Lower % Base])</totalsRowFormula>
    </tableColumn>
    <tableColumn id="19" name="Unf Lower Value" dataDxfId="11266" totalsRowDxfId="11265"/>
    <tableColumn id="49" name="UnfLower Sq Ft" dataDxfId="11264" totalsRowDxfId="11263"/>
    <tableColumn id="14" name="UnfLowVal/SqFt2" dataDxfId="11262" totalsRowDxfId="11261">
      <calculatedColumnFormula>Q4/R4</calculatedColumnFormula>
    </tableColumn>
    <tableColumn id="33" name="Unf Lower % Base" totalsRowFunction="custom" dataDxfId="11260" totalsRowDxfId="11259">
      <calculatedColumnFormula>S4/C4</calculatedColumnFormula>
      <totalsRowFormula>AVERAGE(Table1[Unf Lower % Base])</totalsRowFormula>
    </tableColumn>
    <tableColumn id="20" name="1/2 Story Value" dataDxfId="11258" totalsRowDxfId="11257"/>
    <tableColumn id="50" name="1/2 Story Sq Ft" dataDxfId="11256" totalsRowDxfId="11255"/>
    <tableColumn id="5" name="1/2 StoryVal/SqFt" dataDxfId="11254" totalsRowDxfId="11253">
      <calculatedColumnFormula>U4/V4</calculatedColumnFormula>
    </tableColumn>
    <tableColumn id="34" name="1/2 Story % Base" totalsRowFunction="custom" dataDxfId="11252" totalsRowDxfId="11251">
      <calculatedColumnFormula>W4/C4</calculatedColumnFormula>
      <totalsRowFormula>AVERAGE(Table1[1/2 Story % Base])</totalsRowFormula>
    </tableColumn>
    <tableColumn id="21" name="2nd Story Value" dataDxfId="11250" totalsRowDxfId="11249"/>
    <tableColumn id="51" name="2nd Sty Sq Ft" dataDxfId="11248" totalsRowDxfId="11247"/>
    <tableColumn id="6" name="2ndStyVal/Sqft" dataDxfId="11246" totalsRowDxfId="11245">
      <calculatedColumnFormula>Y4/Z4</calculatedColumnFormula>
    </tableColumn>
    <tableColumn id="35" name="2nd Story % Base" totalsRowFunction="custom" dataDxfId="11244" totalsRowDxfId="11243">
      <calculatedColumnFormula>AA4/C4</calculatedColumnFormula>
      <totalsRowFormula>AVERAGE(Table1[2nd Story % Base])</totalsRowFormula>
    </tableColumn>
    <tableColumn id="22" name="Att Gar Value" totalsRowFunction="average" dataDxfId="11242" totalsRowDxfId="11241"/>
    <tableColumn id="52" name="Att Gar Sq Ft" dataDxfId="11240" totalsRowDxfId="11239"/>
    <tableColumn id="7" name="AttGarVal/SqFt" totalsRowFunction="custom" dataDxfId="11238" totalsRowDxfId="11237">
      <calculatedColumnFormula>AC4/AD4</calculatedColumnFormula>
      <totalsRowFormula>AVERAGE(Table1[AttGarVal/SqFt])</totalsRowFormula>
    </tableColumn>
    <tableColumn id="36" name="Att Gar % Base" totalsRowFunction="custom" dataDxfId="11236" totalsRowDxfId="11235">
      <calculatedColumnFormula>AE4/C4</calculatedColumnFormula>
      <totalsRowFormula>AVERAGE(Table1[Att Gar % Base])</totalsRowFormula>
    </tableColumn>
    <tableColumn id="23" name="Porch Value" dataDxfId="11234" totalsRowDxfId="11233"/>
    <tableColumn id="53" name="Porch Sq Ft" dataDxfId="11232" totalsRowDxfId="11231"/>
    <tableColumn id="8" name="PorchVal/SqFt" dataDxfId="11230" totalsRowDxfId="11229">
      <calculatedColumnFormula>AG4/AH4</calculatedColumnFormula>
    </tableColumn>
    <tableColumn id="37" name="Porch % Base" totalsRowFunction="custom" dataDxfId="11228" totalsRowDxfId="11227">
      <calculatedColumnFormula>AI4/C4</calculatedColumnFormula>
      <totalsRowFormula>AVERAGE(Table1[Porch % Base])</totalsRowFormula>
    </tableColumn>
    <tableColumn id="24" name="Cov Porch Value" dataDxfId="11226" totalsRowDxfId="11225"/>
    <tableColumn id="54" name="Cov Porch Sq Ft" dataDxfId="11224" totalsRowDxfId="11223"/>
    <tableColumn id="9" name="CovPrVal/SqFt" dataDxfId="11222" totalsRowDxfId="11221">
      <calculatedColumnFormula>AK4/AL4</calculatedColumnFormula>
    </tableColumn>
    <tableColumn id="38" name="Cov Porch % Base" totalsRowFunction="custom" dataDxfId="11220" totalsRowDxfId="11219">
      <calculatedColumnFormula>AM4/C4</calculatedColumnFormula>
      <totalsRowFormula>AVERAGE(Table1[Cov Porch % Base])</totalsRowFormula>
    </tableColumn>
    <tableColumn id="25" name="Deck Value" dataDxfId="11218" totalsRowDxfId="11217"/>
    <tableColumn id="55" name="Deck Sq Ft" dataDxfId="11216" totalsRowDxfId="11215"/>
    <tableColumn id="10" name="DeckVal/SqFt" dataDxfId="11214" totalsRowDxfId="11213">
      <calculatedColumnFormula>AO4/AP4</calculatedColumnFormula>
    </tableColumn>
    <tableColumn id="39" name="Deck % Base" totalsRowFunction="custom" dataDxfId="11212" totalsRowDxfId="11211">
      <calculatedColumnFormula>AQ4/C4</calculatedColumnFormula>
      <totalsRowFormula>AVERAGE(Table1[Deck % Base])</totalsRowFormula>
    </tableColumn>
    <tableColumn id="26" name="Cov Deck Value" totalsRowFunction="average" dataDxfId="11210" totalsRowDxfId="11209"/>
    <tableColumn id="56" name="CovDeck Sq Ft" dataDxfId="11208" totalsRowDxfId="11207"/>
    <tableColumn id="11" name="CovDeckVal/SqFt" totalsRowFunction="custom" dataDxfId="11206" totalsRowDxfId="11205">
      <calculatedColumnFormula>AS4/AT4</calculatedColumnFormula>
      <totalsRowFormula>AVERAGE(Table1[CovDeckVal/SqFt])</totalsRowFormula>
    </tableColumn>
    <tableColumn id="40" name="CovDeck % Base" totalsRowFunction="custom" dataDxfId="11204" totalsRowDxfId="11203">
      <calculatedColumnFormula>AU4/C4</calculatedColumnFormula>
      <totalsRowFormula>AVERAGE(Table1[CovDeck % Base])</totalsRowFormula>
    </tableColumn>
    <tableColumn id="27" name="CarP Value" dataDxfId="11202" totalsRowDxfId="11201"/>
    <tableColumn id="57" name="CarP Sq Ft" dataDxfId="11200" totalsRowDxfId="11199"/>
    <tableColumn id="12" name="CarPVal/SqFt" dataDxfId="11198" totalsRowDxfId="11197">
      <calculatedColumnFormula>AW4/AX4</calculatedColumnFormula>
    </tableColumn>
    <tableColumn id="41" name="CarP % Base" totalsRowFunction="custom" dataDxfId="11196" totalsRowDxfId="11195">
      <calculatedColumnFormula>AY4/C4</calculatedColumnFormula>
      <totalsRowFormula>AVERAGE(Table1[CarP % Base])</totalsRowFormula>
    </tableColumn>
    <tableColumn id="28" name="EFP Value" dataDxfId="11194" totalsRowDxfId="11193"/>
    <tableColumn id="58" name="EFP Sq Ft" dataDxfId="11192" totalsRowDxfId="11191"/>
    <tableColumn id="15" name="EFPVal/SqFt" dataDxfId="11190" totalsRowDxfId="11189">
      <calculatedColumnFormula>BA4/BB4</calculatedColumnFormula>
    </tableColumn>
    <tableColumn id="29" name="EFP % Base" totalsRowFunction="custom" dataDxfId="11188" totalsRowDxfId="11187">
      <calculatedColumnFormula>BC4/C4</calculatedColumnFormula>
      <totalsRowFormula>AVERAGE(Table1[EFP % Base])</totalsRow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0" name="Table11011" displayName="Table11011" ref="A15:BD23" totalsRowCount="1" headerRowDxfId="11186">
  <tableColumns count="56">
    <tableColumn id="1" name="  Grade" dataDxfId="11185" totalsRowDxfId="11184"/>
    <tableColumn id="13" name="Main Area $" dataDxfId="11183" totalsRowDxfId="11182"/>
    <tableColumn id="45" name="MA $/Sq Ft" totalsRowFunction="custom" dataDxfId="11181" totalsRowDxfId="11180">
      <calculatedColumnFormula>B4/F1</calculatedColumnFormula>
      <totalsRowFormula>AVERAGE(Table11011[MA $/Sq Ft])</totalsRowFormula>
    </tableColumn>
    <tableColumn id="16" name="Basic Allowance" totalsRowFunction="custom" dataDxfId="11179" totalsRowDxfId="11178">
      <totalsRowFormula>AVERAGE(Table11011[Basic Allowance])</totalsRowFormula>
    </tableColumn>
    <tableColumn id="43" name="BsmtVal" dataDxfId="11177" totalsRowDxfId="11176"/>
    <tableColumn id="46" name="Bsmt SqFt" dataDxfId="11175" totalsRowDxfId="11174"/>
    <tableColumn id="2" name="BsmtVal/Sq Ft" dataDxfId="11173" totalsRowDxfId="11172">
      <calculatedColumnFormula>E16/F16</calculatedColumnFormula>
    </tableColumn>
    <tableColumn id="17" name="Bsmt % Base" totalsRowFunction="custom" dataDxfId="11171" totalsRowDxfId="11170">
      <calculatedColumnFormula>G16/C16</calculatedColumnFormula>
      <totalsRowFormula>AVERAGE(Table11011[Bsmt % Base])</totalsRowFormula>
    </tableColumn>
    <tableColumn id="30" name="UnfBsmtVal" dataDxfId="11169" totalsRowDxfId="11168"/>
    <tableColumn id="47" name="UnfBsmt Sq Ft" dataDxfId="11167" totalsRowDxfId="11166"/>
    <tableColumn id="3" name="UnfBsmtVal/SqFt" dataDxfId="11165" totalsRowDxfId="11164">
      <calculatedColumnFormula>I16/J16</calculatedColumnFormula>
    </tableColumn>
    <tableColumn id="44" name="UnfBsmt % Base" totalsRowFunction="custom" dataDxfId="11163" totalsRowDxfId="11162">
      <calculatedColumnFormula>K16/C16</calculatedColumnFormula>
      <totalsRowFormula>AVERAGE(Table11011[[#Headers],[#Data],[UnfBsmt % Base]])</totalsRowFormula>
    </tableColumn>
    <tableColumn id="31" name="Lower Value" dataDxfId="11161" totalsRowDxfId="11160"/>
    <tableColumn id="48" name="Lower Sq Ft" dataDxfId="11159" totalsRowDxfId="11158"/>
    <tableColumn id="4" name="LowerVal/SqFt" totalsRowFunction="custom" dataDxfId="11157" totalsRowDxfId="11156">
      <calculatedColumnFormula>M16/N16</calculatedColumnFormula>
      <totalsRowFormula>AVERAGE(Table11011[LowerVal/SqFt])</totalsRowFormula>
    </tableColumn>
    <tableColumn id="32" name="Lower % Base" totalsRowFunction="custom" dataDxfId="11155" totalsRowDxfId="11154">
      <calculatedColumnFormula>O16/C16</calculatedColumnFormula>
      <totalsRowFormula>AVERAGE(Table11011[Lower % Base])</totalsRowFormula>
    </tableColumn>
    <tableColumn id="19" name="Unf Lower Value" dataDxfId="11153" totalsRowDxfId="11152"/>
    <tableColumn id="49" name="UnfLower Sq Ft" dataDxfId="11151" totalsRowDxfId="11150"/>
    <tableColumn id="14" name="UnfLowVal/SqFt2" dataDxfId="11149" totalsRowDxfId="11148">
      <calculatedColumnFormula>Q16/R16</calculatedColumnFormula>
    </tableColumn>
    <tableColumn id="33" name="Unf Lower % Base" totalsRowFunction="custom" dataDxfId="11147" totalsRowDxfId="11146">
      <calculatedColumnFormula>S16/C16</calculatedColumnFormula>
      <totalsRowFormula>AVERAGE(Table11011[Unf Lower % Base])</totalsRowFormula>
    </tableColumn>
    <tableColumn id="20" name="1/2 Story Value" dataDxfId="11145" totalsRowDxfId="11144"/>
    <tableColumn id="50" name="1/2 Story Sq Ft" dataDxfId="11143" totalsRowDxfId="11142"/>
    <tableColumn id="5" name="1/2 StoryVal/SqFt" dataDxfId="11141" totalsRowDxfId="11140">
      <calculatedColumnFormula>U16/V16</calculatedColumnFormula>
    </tableColumn>
    <tableColumn id="34" name="1/2 Story % Base" totalsRowFunction="custom" dataDxfId="11139" totalsRowDxfId="11138">
      <calculatedColumnFormula>W16/C16</calculatedColumnFormula>
      <totalsRowFormula>AVERAGE(Table11011[1/2 Story % Base])</totalsRowFormula>
    </tableColumn>
    <tableColumn id="21" name="2nd Story Value" dataDxfId="11137" totalsRowDxfId="11136"/>
    <tableColumn id="51" name="2nd Sty Sq Ft" dataDxfId="11135" totalsRowDxfId="11134"/>
    <tableColumn id="6" name="2ndStyVal/Sqft" dataDxfId="11133" totalsRowDxfId="11132">
      <calculatedColumnFormula>Y16/Z16</calculatedColumnFormula>
    </tableColumn>
    <tableColumn id="35" name="2nd Story % Base" totalsRowFunction="custom" dataDxfId="11131" totalsRowDxfId="11130">
      <calculatedColumnFormula>AA16/C16</calculatedColumnFormula>
      <totalsRowFormula>AVERAGE(Table11011[2nd Story % Base])</totalsRowFormula>
    </tableColumn>
    <tableColumn id="22" name="Att Gar Value" totalsRowFunction="average" dataDxfId="11129" totalsRowDxfId="11128"/>
    <tableColumn id="52" name="Att Gar Sq Ft" dataDxfId="11127" totalsRowDxfId="11126"/>
    <tableColumn id="7" name="AttGarVal/SqFt" totalsRowFunction="custom" dataDxfId="11125" totalsRowDxfId="11124">
      <calculatedColumnFormula>AC16/AD16</calculatedColumnFormula>
      <totalsRowFormula>AVERAGE(Table11011[AttGarVal/SqFt])</totalsRowFormula>
    </tableColumn>
    <tableColumn id="36" name="Att Gar % Base" totalsRowFunction="custom" dataDxfId="11123" totalsRowDxfId="11122">
      <calculatedColumnFormula>AE16/C16</calculatedColumnFormula>
      <totalsRowFormula>AVERAGE(Table11011[Att Gar % Base])</totalsRowFormula>
    </tableColumn>
    <tableColumn id="23" name="Porch Value" dataDxfId="11121" totalsRowDxfId="11120"/>
    <tableColumn id="53" name="Porch Sq Ft" dataDxfId="11119" totalsRowDxfId="11118"/>
    <tableColumn id="8" name="PorchVal/SqFt" dataDxfId="11117" totalsRowDxfId="11116">
      <calculatedColumnFormula>AG16/AH16</calculatedColumnFormula>
    </tableColumn>
    <tableColumn id="37" name="Porch % Base" totalsRowFunction="custom" dataDxfId="11115" totalsRowDxfId="11114">
      <calculatedColumnFormula>AI16/C16</calculatedColumnFormula>
      <totalsRowFormula>AVERAGE(Table11011[Porch % Base])</totalsRowFormula>
    </tableColumn>
    <tableColumn id="24" name="Cov Porch Value" dataDxfId="11113" totalsRowDxfId="11112"/>
    <tableColumn id="54" name="Cov Porch Sq Ft" dataDxfId="11111" totalsRowDxfId="11110"/>
    <tableColumn id="9" name="CovPrVal/SqFt" dataDxfId="11109" totalsRowDxfId="11108">
      <calculatedColumnFormula>AK16/AL16</calculatedColumnFormula>
    </tableColumn>
    <tableColumn id="38" name="Cov Porch % Base" totalsRowFunction="custom" dataDxfId="11107" totalsRowDxfId="11106">
      <calculatedColumnFormula>AM16/C16</calculatedColumnFormula>
      <totalsRowFormula>AVERAGE(Table11011[Cov Porch % Base])</totalsRowFormula>
    </tableColumn>
    <tableColumn id="25" name="Deck Value" dataDxfId="11105" totalsRowDxfId="11104"/>
    <tableColumn id="55" name="Deck Sq Ft" dataDxfId="11103" totalsRowDxfId="11102"/>
    <tableColumn id="10" name="DeckVal/SqFt" dataDxfId="11101" totalsRowDxfId="11100">
      <calculatedColumnFormula>AO16/AP16</calculatedColumnFormula>
    </tableColumn>
    <tableColumn id="39" name="Deck % Base" totalsRowFunction="custom" dataDxfId="11099" totalsRowDxfId="11098">
      <calculatedColumnFormula>AQ16/C16</calculatedColumnFormula>
      <totalsRowFormula>AVERAGE(Table11011[Deck % Base])</totalsRowFormula>
    </tableColumn>
    <tableColumn id="26" name="Cov Deck Value" dataDxfId="11097" totalsRowDxfId="11096"/>
    <tableColumn id="56" name="CovDeck Sq Ft" dataDxfId="11095" totalsRowDxfId="11094"/>
    <tableColumn id="11" name="CovDeckVal/SqFt" totalsRowFunction="custom" dataDxfId="11093" totalsRowDxfId="11092">
      <calculatedColumnFormula>AS16/AT16</calculatedColumnFormula>
      <totalsRowFormula>AVERAGE(Table11011[CovDeckVal/SqFt])</totalsRowFormula>
    </tableColumn>
    <tableColumn id="40" name="CovDeck % Base" totalsRowFunction="custom" dataDxfId="11091" totalsRowDxfId="11090">
      <calculatedColumnFormula>AU16/C16</calculatedColumnFormula>
      <totalsRowFormula>AVERAGE(Table11011[CovDeck % Base])</totalsRowFormula>
    </tableColumn>
    <tableColumn id="27" name="CarP Value" dataDxfId="11089" totalsRowDxfId="11088"/>
    <tableColumn id="57" name="CarP Sq Ft" dataDxfId="11087" totalsRowDxfId="11086"/>
    <tableColumn id="12" name="CarPVal/SqFt" dataDxfId="11085" totalsRowDxfId="11084">
      <calculatedColumnFormula>AW16/AX16</calculatedColumnFormula>
    </tableColumn>
    <tableColumn id="41" name="CarP % Base" totalsRowFunction="custom" dataDxfId="11083" totalsRowDxfId="11082">
      <calculatedColumnFormula>AY16/C16</calculatedColumnFormula>
      <totalsRowFormula>AVERAGE(Table11011[CarP % Base])</totalsRowFormula>
    </tableColumn>
    <tableColumn id="28" name="EFP Value" dataDxfId="11081" totalsRowDxfId="11080"/>
    <tableColumn id="58" name="EFP Sq Ft" dataDxfId="11079" totalsRowDxfId="11078"/>
    <tableColumn id="15" name="EFPVal/SqFt" dataDxfId="11077" totalsRowDxfId="11076">
      <calculatedColumnFormula>BA16/BB16</calculatedColumnFormula>
    </tableColumn>
    <tableColumn id="29" name="EFP % Base" totalsRowFunction="custom" dataDxfId="11075" totalsRowDxfId="11074">
      <calculatedColumnFormula>BC16/C16</calculatedColumnFormula>
      <totalsRowFormula>AVERAGE(Table11011[EFP % Base])</totalsRow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2" name="Table1103" displayName="Table1103" ref="A27:BD35" totalsRowCount="1" headerRowDxfId="11073">
  <tableColumns count="56">
    <tableColumn id="1" name="  Grade" dataDxfId="11072" totalsRowDxfId="11071"/>
    <tableColumn id="13" name="Main Area $" dataDxfId="11070" totalsRowDxfId="11069"/>
    <tableColumn id="45" name="MA $/Sq Ft" totalsRowFunction="custom" dataDxfId="11068" totalsRowDxfId="11067">
      <calculatedColumnFormula>B28/F25</calculatedColumnFormula>
      <totalsRowFormula>AVERAGE(Table1103[MA $/Sq Ft])</totalsRowFormula>
    </tableColumn>
    <tableColumn id="16" name="Basic Allowance" totalsRowFunction="custom" dataDxfId="11066" totalsRowDxfId="11065">
      <totalsRowFormula>AVERAGE(Table1103[Basic Allowance])</totalsRowFormula>
    </tableColumn>
    <tableColumn id="43" name="BsmtVal" dataDxfId="11064" totalsRowDxfId="11063"/>
    <tableColumn id="46" name="Bsmt SqFt" dataDxfId="11062" totalsRowDxfId="11061"/>
    <tableColumn id="2" name="BsmtVal/Sq Ft" dataDxfId="11060" totalsRowDxfId="11059">
      <calculatedColumnFormula>E28/F28</calculatedColumnFormula>
    </tableColumn>
    <tableColumn id="17" name="Bsmt % Base" totalsRowFunction="custom" dataDxfId="11058" totalsRowDxfId="11057">
      <calculatedColumnFormula>G28/C28</calculatedColumnFormula>
      <totalsRowFormula>AVERAGE(Table1103[Bsmt % Base])</totalsRowFormula>
    </tableColumn>
    <tableColumn id="30" name="UnfBsmtVal" dataDxfId="11056" totalsRowDxfId="11055"/>
    <tableColumn id="47" name="UnfBsmt Sq Ft" dataDxfId="11054" totalsRowDxfId="11053"/>
    <tableColumn id="3" name="UnfBsmtVal/SqFt" dataDxfId="11052" totalsRowDxfId="11051">
      <calculatedColumnFormula>I28/J28</calculatedColumnFormula>
    </tableColumn>
    <tableColumn id="44" name="UnfBsmt % Base" totalsRowFunction="custom" dataDxfId="11050" totalsRowDxfId="11049">
      <calculatedColumnFormula>K28/C28</calculatedColumnFormula>
      <totalsRowFormula>AVERAGE(Table1103[[#Headers],[#Data],[UnfBsmt % Base]])</totalsRowFormula>
    </tableColumn>
    <tableColumn id="31" name="Lower Value" dataDxfId="11048" totalsRowDxfId="11047"/>
    <tableColumn id="48" name="Lower Sq Ft" dataDxfId="11046" totalsRowDxfId="11045"/>
    <tableColumn id="4" name="LowerVal/SqFt" totalsRowFunction="custom" dataDxfId="11044" totalsRowDxfId="11043">
      <calculatedColumnFormula>M28/N28</calculatedColumnFormula>
      <totalsRowFormula>AVERAGE(Table1103[LowerVal/SqFt])</totalsRowFormula>
    </tableColumn>
    <tableColumn id="32" name="Lower % Base" totalsRowFunction="custom" dataDxfId="11042" totalsRowDxfId="11041">
      <calculatedColumnFormula>O28/C28</calculatedColumnFormula>
      <totalsRowFormula>AVERAGE(Table1103[Lower % Base])</totalsRowFormula>
    </tableColumn>
    <tableColumn id="19" name="Unf Lower Value" dataDxfId="11040" totalsRowDxfId="11039"/>
    <tableColumn id="49" name="UnfLower Sq Ft" dataDxfId="11038" totalsRowDxfId="11037"/>
    <tableColumn id="14" name="UnfLowVal/SqFt2" dataDxfId="11036" totalsRowDxfId="11035">
      <calculatedColumnFormula>Q28/R28</calculatedColumnFormula>
    </tableColumn>
    <tableColumn id="33" name="Unf Lower % Base" totalsRowFunction="custom" dataDxfId="11034" totalsRowDxfId="11033">
      <calculatedColumnFormula>S28/C28</calculatedColumnFormula>
      <totalsRowFormula>AVERAGE(Table1103[Unf Lower % Base])</totalsRowFormula>
    </tableColumn>
    <tableColumn id="20" name="1/2 Story Value" dataDxfId="11032" totalsRowDxfId="11031"/>
    <tableColumn id="50" name="1/2 Story Sq Ft" dataDxfId="11030" totalsRowDxfId="11029"/>
    <tableColumn id="5" name="1/2 StoryVal/SqFt" dataDxfId="11028" totalsRowDxfId="11027">
      <calculatedColumnFormula>U28/V28</calculatedColumnFormula>
    </tableColumn>
    <tableColumn id="34" name="1/2 Story % Base" totalsRowFunction="custom" dataDxfId="11026" totalsRowDxfId="11025">
      <calculatedColumnFormula>W28/C28</calculatedColumnFormula>
      <totalsRowFormula>AVERAGE(Table1103[1/2 Story % Base])</totalsRowFormula>
    </tableColumn>
    <tableColumn id="21" name="2nd Story Value" dataDxfId="11024" totalsRowDxfId="11023"/>
    <tableColumn id="51" name="2nd Sty Sq Ft" dataDxfId="11022" totalsRowDxfId="11021"/>
    <tableColumn id="6" name="2ndStyVal/Sqft" dataDxfId="11020" totalsRowDxfId="11019">
      <calculatedColumnFormula>Y28/Z28</calculatedColumnFormula>
    </tableColumn>
    <tableColumn id="35" name="2nd Story % Base" totalsRowFunction="custom" dataDxfId="11018" totalsRowDxfId="11017">
      <calculatedColumnFormula>AA28/C28</calculatedColumnFormula>
      <totalsRowFormula>AVERAGE(Table1103[2nd Story % Base])</totalsRowFormula>
    </tableColumn>
    <tableColumn id="22" name="Att Gar Value" dataDxfId="11016" totalsRowDxfId="11015"/>
    <tableColumn id="52" name="Att Gar Sq Ft" dataDxfId="11014" totalsRowDxfId="11013"/>
    <tableColumn id="7" name="AttGarVal/SqFt" totalsRowFunction="custom" dataDxfId="11012" totalsRowDxfId="11011">
      <calculatedColumnFormula>AC28/AD28</calculatedColumnFormula>
      <totalsRowFormula>AVERAGE(Table1103[AttGarVal/SqFt])</totalsRowFormula>
    </tableColumn>
    <tableColumn id="36" name="Att Gar % Base" totalsRowFunction="custom" dataDxfId="11010" totalsRowDxfId="11009">
      <calculatedColumnFormula>AE28/C28</calculatedColumnFormula>
      <totalsRowFormula>AVERAGE(Table1103[Att Gar % Base])</totalsRowFormula>
    </tableColumn>
    <tableColumn id="23" name="Porch Value" dataDxfId="11008" totalsRowDxfId="11007"/>
    <tableColumn id="53" name="Porch Sq Ft" dataDxfId="11006" totalsRowDxfId="11005"/>
    <tableColumn id="8" name="PorchVal/SqFt" dataDxfId="11004" totalsRowDxfId="11003">
      <calculatedColumnFormula>AG28/AH28</calculatedColumnFormula>
    </tableColumn>
    <tableColumn id="37" name="Porch % Base" totalsRowFunction="custom" dataDxfId="11002" totalsRowDxfId="11001">
      <calculatedColumnFormula>AI28/C28</calculatedColumnFormula>
      <totalsRowFormula>AVERAGE(Table1103[Porch % Base])</totalsRowFormula>
    </tableColumn>
    <tableColumn id="24" name="Cov Porch Value" dataDxfId="11000" totalsRowDxfId="10999"/>
    <tableColumn id="54" name="Cov Porch Sq Ft" dataDxfId="10998" totalsRowDxfId="10997"/>
    <tableColumn id="9" name="CovPrVal/SqFt" dataDxfId="10996" totalsRowDxfId="10995">
      <calculatedColumnFormula>AK28/AL28</calculatedColumnFormula>
    </tableColumn>
    <tableColumn id="38" name="Cov Porch % Base" totalsRowFunction="custom" dataDxfId="10994" totalsRowDxfId="10993">
      <calculatedColumnFormula>AM28/C28</calculatedColumnFormula>
      <totalsRowFormula>AVERAGE(Table1103[Cov Porch % Base])</totalsRowFormula>
    </tableColumn>
    <tableColumn id="25" name="Deck Value" dataDxfId="10992" totalsRowDxfId="10991"/>
    <tableColumn id="55" name="Deck Sq Ft" dataDxfId="10990" totalsRowDxfId="10989"/>
    <tableColumn id="10" name="DeckVal/SqFt" dataDxfId="10988" totalsRowDxfId="10987">
      <calculatedColumnFormula>AO28/AP28</calculatedColumnFormula>
    </tableColumn>
    <tableColumn id="39" name="Deck % Base" totalsRowFunction="custom" dataDxfId="10986" totalsRowDxfId="10985">
      <calculatedColumnFormula>AQ28/C28</calculatedColumnFormula>
      <totalsRowFormula>AVERAGE(Table1103[Deck % Base])</totalsRowFormula>
    </tableColumn>
    <tableColumn id="26" name="Cov Deck Value" dataDxfId="10984" totalsRowDxfId="10983"/>
    <tableColumn id="56" name="CovDeck Sq Ft" dataDxfId="10982" totalsRowDxfId="10981"/>
    <tableColumn id="11" name="CovDeckVal/SqFt" totalsRowFunction="custom" dataDxfId="10980" totalsRowDxfId="10979">
      <calculatedColumnFormula>AS28/AT28</calculatedColumnFormula>
      <totalsRowFormula>AVERAGE(Table1103[CovDeckVal/SqFt])</totalsRowFormula>
    </tableColumn>
    <tableColumn id="40" name="CovDeck % Base" totalsRowFunction="custom" dataDxfId="10978" totalsRowDxfId="10977">
      <calculatedColumnFormula>AU28/C28</calculatedColumnFormula>
      <totalsRowFormula>AVERAGE(Table1103[CovDeck % Base])</totalsRowFormula>
    </tableColumn>
    <tableColumn id="27" name="CarP Value" dataDxfId="10976" totalsRowDxfId="10975"/>
    <tableColumn id="57" name="CarP Sq Ft" dataDxfId="10974" totalsRowDxfId="10973"/>
    <tableColumn id="12" name="CarPVal/SqFt" dataDxfId="10972" totalsRowDxfId="10971">
      <calculatedColumnFormula>AW28/AX28</calculatedColumnFormula>
    </tableColumn>
    <tableColumn id="41" name="CarP % Base" totalsRowFunction="custom" dataDxfId="10970" totalsRowDxfId="10969">
      <calculatedColumnFormula>AY28/C28</calculatedColumnFormula>
      <totalsRowFormula>AVERAGE(Table1103[CarP % Base])</totalsRowFormula>
    </tableColumn>
    <tableColumn id="28" name="EFP Value" dataDxfId="10968" totalsRowDxfId="10967"/>
    <tableColumn id="58" name="EFP Sq Ft" dataDxfId="10966" totalsRowDxfId="10965"/>
    <tableColumn id="15" name="EFPVal/SqFt" dataDxfId="10964" totalsRowDxfId="10963">
      <calculatedColumnFormula>BA28/BB28</calculatedColumnFormula>
    </tableColumn>
    <tableColumn id="29" name="EFP % Base" totalsRowFunction="custom" dataDxfId="10962" totalsRowDxfId="10961">
      <calculatedColumnFormula>BC28/C28</calculatedColumnFormula>
      <totalsRowFormula>AVERAGE(Table1103[EFP % Base])</totalsRow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3" name="Table1104" displayName="Table1104" ref="A39:BD47" totalsRowCount="1" headerRowDxfId="10960">
  <tableColumns count="56">
    <tableColumn id="1" name="  Grade" dataDxfId="10959" totalsRowDxfId="10958"/>
    <tableColumn id="13" name="Main Area $" dataDxfId="10957" totalsRowDxfId="10956"/>
    <tableColumn id="45" name="MA $/Sq Ft" totalsRowFunction="custom" dataDxfId="10955" totalsRowDxfId="10954">
      <calculatedColumnFormula>B40/F37</calculatedColumnFormula>
      <totalsRowFormula>AVERAGE(Table1104[MA $/Sq Ft])</totalsRowFormula>
    </tableColumn>
    <tableColumn id="16" name="Basic Allowance" totalsRowFunction="custom" dataDxfId="10953" totalsRowDxfId="10952">
      <totalsRowFormula>AVERAGE(Table1104[Basic Allowance])</totalsRowFormula>
    </tableColumn>
    <tableColumn id="43" name="BsmtVal" dataDxfId="10951" totalsRowDxfId="10950"/>
    <tableColumn id="46" name="Bsmt SqFt" dataDxfId="10949" totalsRowDxfId="10948"/>
    <tableColumn id="2" name="BsmtVal/Sq Ft" dataDxfId="10947" totalsRowDxfId="10946">
      <calculatedColumnFormula>E40/F40</calculatedColumnFormula>
    </tableColumn>
    <tableColumn id="17" name="Bsmt % Base" totalsRowFunction="custom" dataDxfId="10945" totalsRowDxfId="10944">
      <calculatedColumnFormula>G40/C40</calculatedColumnFormula>
      <totalsRowFormula>AVERAGE(Table1104[Bsmt % Base])</totalsRowFormula>
    </tableColumn>
    <tableColumn id="30" name="UnfBsmtVal" dataDxfId="10943" totalsRowDxfId="10942"/>
    <tableColumn id="47" name="UnfBsmt Sq Ft" dataDxfId="10941" totalsRowDxfId="10940"/>
    <tableColumn id="3" name="UnfBsmtVal/SqFt" dataDxfId="10939" totalsRowDxfId="10938">
      <calculatedColumnFormula>I40/J40</calculatedColumnFormula>
    </tableColumn>
    <tableColumn id="44" name="UnfBsmt % Base" totalsRowFunction="custom" dataDxfId="10937" totalsRowDxfId="10936">
      <calculatedColumnFormula>K40/C40</calculatedColumnFormula>
      <totalsRowFormula>AVERAGE(Table1104[[#Headers],[#Data],[UnfBsmt % Base]])</totalsRowFormula>
    </tableColumn>
    <tableColumn id="31" name="Lower Value" dataDxfId="10935" totalsRowDxfId="10934"/>
    <tableColumn id="48" name="Lower Sq Ft" dataDxfId="10933" totalsRowDxfId="10932"/>
    <tableColumn id="4" name="LowerVal/SqFt" totalsRowFunction="custom" dataDxfId="10931" totalsRowDxfId="10930">
      <calculatedColumnFormula>M40/N40</calculatedColumnFormula>
      <totalsRowFormula>AVERAGE(Table1104[LowerVal/SqFt])</totalsRowFormula>
    </tableColumn>
    <tableColumn id="32" name="Lower % Base" totalsRowFunction="custom" dataDxfId="10929" totalsRowDxfId="10928">
      <calculatedColumnFormula>O40/C40</calculatedColumnFormula>
      <totalsRowFormula>AVERAGE(Table1104[Lower % Base])</totalsRowFormula>
    </tableColumn>
    <tableColumn id="19" name="Unf Lower Value" dataDxfId="10927" totalsRowDxfId="10926"/>
    <tableColumn id="49" name="UnfLower Sq Ft" dataDxfId="10925" totalsRowDxfId="10924"/>
    <tableColumn id="14" name="UnfLowVal/SqFt2" dataDxfId="10923" totalsRowDxfId="10922">
      <calculatedColumnFormula>Q40/R40</calculatedColumnFormula>
    </tableColumn>
    <tableColumn id="33" name="Unf Lower % Base" totalsRowFunction="custom" dataDxfId="10921" totalsRowDxfId="10920">
      <calculatedColumnFormula>S40/C40</calculatedColumnFormula>
      <totalsRowFormula>AVERAGE(Table1104[Unf Lower % Base])</totalsRowFormula>
    </tableColumn>
    <tableColumn id="20" name="1/2 Story Value" dataDxfId="10919" totalsRowDxfId="10918"/>
    <tableColumn id="50" name="1/2 Story Sq Ft" dataDxfId="10917" totalsRowDxfId="10916"/>
    <tableColumn id="5" name="1/2 StoryVal/SqFt" dataDxfId="10915" totalsRowDxfId="10914">
      <calculatedColumnFormula>U40/V40</calculatedColumnFormula>
    </tableColumn>
    <tableColumn id="34" name="1/2 Story % Base" totalsRowFunction="custom" dataDxfId="10913" totalsRowDxfId="10912">
      <calculatedColumnFormula>W40/C40</calculatedColumnFormula>
      <totalsRowFormula>AVERAGE(Table1104[1/2 Story % Base])</totalsRowFormula>
    </tableColumn>
    <tableColumn id="21" name="2nd Story Value" dataDxfId="10911" totalsRowDxfId="10910"/>
    <tableColumn id="51" name="2nd Sty Sq Ft" dataDxfId="10909" totalsRowDxfId="10908"/>
    <tableColumn id="6" name="2ndStyVal/Sqft" dataDxfId="10907" totalsRowDxfId="10906">
      <calculatedColumnFormula>Y40/Z40</calculatedColumnFormula>
    </tableColumn>
    <tableColumn id="35" name="2nd Story % Base" totalsRowFunction="custom" dataDxfId="10905" totalsRowDxfId="10904">
      <calculatedColumnFormula>AA40/C40</calculatedColumnFormula>
      <totalsRowFormula>AVERAGE(Table1104[2nd Story % Base])</totalsRowFormula>
    </tableColumn>
    <tableColumn id="22" name="Att Gar Value" totalsRowFunction="average" dataDxfId="10903" totalsRowDxfId="10902"/>
    <tableColumn id="52" name="Att Gar Sq Ft" dataDxfId="10901" totalsRowDxfId="10900"/>
    <tableColumn id="7" name="AttGarVal/SqFt" totalsRowFunction="custom" dataDxfId="10899" totalsRowDxfId="10898">
      <calculatedColumnFormula>AC40/AD40</calculatedColumnFormula>
      <totalsRowFormula>AVERAGE(Table1104[AttGarVal/SqFt])</totalsRowFormula>
    </tableColumn>
    <tableColumn id="36" name="Att Gar % Base" totalsRowFunction="custom" dataDxfId="10897" totalsRowDxfId="10896">
      <calculatedColumnFormula>AE40/C40</calculatedColumnFormula>
      <totalsRowFormula>AVERAGE(Table1104[Att Gar % Base])</totalsRowFormula>
    </tableColumn>
    <tableColumn id="23" name="Porch Value" dataDxfId="10895" totalsRowDxfId="10894"/>
    <tableColumn id="53" name="Porch Sq Ft" dataDxfId="10893" totalsRowDxfId="10892"/>
    <tableColumn id="8" name="PorchVal/SqFt" dataDxfId="10891" totalsRowDxfId="10890">
      <calculatedColumnFormula>AG40/AH40</calculatedColumnFormula>
    </tableColumn>
    <tableColumn id="37" name="Porch % Base" totalsRowFunction="custom" dataDxfId="10889" totalsRowDxfId="10888">
      <calculatedColumnFormula>AI40/C40</calculatedColumnFormula>
      <totalsRowFormula>AVERAGE(Table1104[Porch % Base])</totalsRowFormula>
    </tableColumn>
    <tableColumn id="24" name="Cov Porch Value" dataDxfId="10887" totalsRowDxfId="10886"/>
    <tableColumn id="54" name="Cov Porch Sq Ft" dataDxfId="10885" totalsRowDxfId="10884"/>
    <tableColumn id="9" name="CovPrVal/SqFt" dataDxfId="10883" totalsRowDxfId="10882">
      <calculatedColumnFormula>AK40/AL40</calculatedColumnFormula>
    </tableColumn>
    <tableColumn id="38" name="Cov Porch % Base" totalsRowFunction="custom" dataDxfId="10881" totalsRowDxfId="10880">
      <calculatedColumnFormula>AM40/C40</calculatedColumnFormula>
      <totalsRowFormula>AVERAGE(Table1104[Cov Porch % Base])</totalsRowFormula>
    </tableColumn>
    <tableColumn id="25" name="Deck Value" dataDxfId="10879" totalsRowDxfId="10878"/>
    <tableColumn id="55" name="Deck Sq Ft" dataDxfId="10877" totalsRowDxfId="10876"/>
    <tableColumn id="10" name="DeckVal/SqFt" dataDxfId="10875" totalsRowDxfId="10874">
      <calculatedColumnFormula>AO40/AP40</calculatedColumnFormula>
    </tableColumn>
    <tableColumn id="39" name="Deck % Base" totalsRowFunction="custom" dataDxfId="10873" totalsRowDxfId="10872">
      <calculatedColumnFormula>AQ40/C40</calculatedColumnFormula>
      <totalsRowFormula>AVERAGE(Table1104[Deck % Base])</totalsRowFormula>
    </tableColumn>
    <tableColumn id="26" name="Cov Deck Value" dataDxfId="10871" totalsRowDxfId="10870"/>
    <tableColumn id="56" name="CovDeck Sq Ft" dataDxfId="10869" totalsRowDxfId="10868"/>
    <tableColumn id="11" name="CovDeckVal/SqFt" totalsRowFunction="custom" dataDxfId="10867" totalsRowDxfId="10866">
      <calculatedColumnFormula>AS40/AT40</calculatedColumnFormula>
      <totalsRowFormula>AVERAGE(Table1104[CovDeckVal/SqFt])</totalsRowFormula>
    </tableColumn>
    <tableColumn id="40" name="CovDeck % Base" totalsRowFunction="custom" dataDxfId="10865" totalsRowDxfId="10864">
      <calculatedColumnFormula>AU40/C40</calculatedColumnFormula>
      <totalsRowFormula>AVERAGE(Table1104[CovDeck % Base])</totalsRowFormula>
    </tableColumn>
    <tableColumn id="27" name="CarP Value" dataDxfId="10863" totalsRowDxfId="10862"/>
    <tableColumn id="57" name="CarP Sq Ft" dataDxfId="10861" totalsRowDxfId="10860"/>
    <tableColumn id="12" name="CarPVal/SqFt" dataDxfId="10859" totalsRowDxfId="10858">
      <calculatedColumnFormula>AW40/AX40</calculatedColumnFormula>
    </tableColumn>
    <tableColumn id="41" name="CarP % Base" totalsRowFunction="custom" dataDxfId="10857" totalsRowDxfId="10856">
      <calculatedColumnFormula>AY40/C40</calculatedColumnFormula>
      <totalsRowFormula>AVERAGE(Table1104[CarP % Base])</totalsRowFormula>
    </tableColumn>
    <tableColumn id="28" name="EFP Value" dataDxfId="10855" totalsRowDxfId="10854"/>
    <tableColumn id="58" name="EFP Sq Ft" dataDxfId="10853" totalsRowDxfId="10852"/>
    <tableColumn id="15" name="EFPVal/SqFt" dataDxfId="10851" totalsRowDxfId="10850">
      <calculatedColumnFormula>BA40/BB40</calculatedColumnFormula>
    </tableColumn>
    <tableColumn id="29" name="EFP % Base" totalsRowFunction="custom" dataDxfId="10849" totalsRowDxfId="10848">
      <calculatedColumnFormula>BC40/C40</calculatedColumnFormula>
      <totalsRowFormula>AVERAGE(Table1104[EFP % Base])</totalsRow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4" name="Table1105" displayName="Table1105" ref="A51:BD59" totalsRowCount="1" headerRowDxfId="10847">
  <tableColumns count="56">
    <tableColumn id="1" name="  Grade" dataDxfId="10846" totalsRowDxfId="10845"/>
    <tableColumn id="13" name="Main Area $" dataDxfId="10844" totalsRowDxfId="10843"/>
    <tableColumn id="45" name="MA $/Sq Ft" totalsRowFunction="custom" dataDxfId="10842" totalsRowDxfId="10841">
      <calculatedColumnFormula>B52/F49</calculatedColumnFormula>
      <totalsRowFormula>AVERAGE(Table1105[MA $/Sq Ft])</totalsRowFormula>
    </tableColumn>
    <tableColumn id="16" name="Basic Allowance" totalsRowFunction="custom" dataDxfId="10840" totalsRowDxfId="10839">
      <totalsRowFormula>AVERAGE(Table1105[Basic Allowance])</totalsRowFormula>
    </tableColumn>
    <tableColumn id="43" name="BsmtVal" dataDxfId="10838" totalsRowDxfId="10837"/>
    <tableColumn id="46" name="Bsmt SqFt" dataDxfId="10836" totalsRowDxfId="10835"/>
    <tableColumn id="2" name="BsmtVal/Sq Ft" dataDxfId="10834" totalsRowDxfId="10833">
      <calculatedColumnFormula>E52/F52</calculatedColumnFormula>
    </tableColumn>
    <tableColumn id="17" name="Bsmt % Base" totalsRowFunction="custom" dataDxfId="10832" totalsRowDxfId="10831">
      <calculatedColumnFormula>G52/C52</calculatedColumnFormula>
      <totalsRowFormula>AVERAGE(Table1105[Bsmt % Base])</totalsRowFormula>
    </tableColumn>
    <tableColumn id="30" name="UnfBsmtVal" dataDxfId="10830" totalsRowDxfId="10829"/>
    <tableColumn id="47" name="UnfBsmt Sq Ft" dataDxfId="10828" totalsRowDxfId="10827"/>
    <tableColumn id="3" name="UnfBsmtVal/SqFt" dataDxfId="10826" totalsRowDxfId="10825">
      <calculatedColumnFormula>I52/J52</calculatedColumnFormula>
    </tableColumn>
    <tableColumn id="44" name="UnfBsmt % Base" totalsRowFunction="custom" dataDxfId="10824" totalsRowDxfId="10823">
      <calculatedColumnFormula>K52/C52</calculatedColumnFormula>
      <totalsRowFormula>AVERAGE(Table1105[[#Headers],[#Data],[UnfBsmt % Base]])</totalsRowFormula>
    </tableColumn>
    <tableColumn id="31" name="Lower Value" dataDxfId="10822" totalsRowDxfId="10821"/>
    <tableColumn id="48" name="Lower Sq Ft" dataDxfId="10820" totalsRowDxfId="10819"/>
    <tableColumn id="4" name="LowerVal/SqFt" totalsRowFunction="custom" dataDxfId="10818" totalsRowDxfId="10817">
      <calculatedColumnFormula>M52/N52</calculatedColumnFormula>
      <totalsRowFormula>AVERAGE(Table1105[LowerVal/SqFt])</totalsRowFormula>
    </tableColumn>
    <tableColumn id="32" name="Lower % Base" totalsRowFunction="custom" dataDxfId="10816" totalsRowDxfId="10815">
      <calculatedColumnFormula>O52/C52</calculatedColumnFormula>
      <totalsRowFormula>AVERAGE(Table1105[Lower % Base])</totalsRowFormula>
    </tableColumn>
    <tableColumn id="19" name="Unf Lower Value" dataDxfId="10814" totalsRowDxfId="10813"/>
    <tableColumn id="49" name="UnfLower Sq Ft" dataDxfId="10812" totalsRowDxfId="10811"/>
    <tableColumn id="14" name="UnfLowVal/SqFt2" dataDxfId="10810" totalsRowDxfId="10809">
      <calculatedColumnFormula>Q52/R52</calculatedColumnFormula>
    </tableColumn>
    <tableColumn id="33" name="Unf Lower % Base" totalsRowFunction="custom" dataDxfId="10808" totalsRowDxfId="10807">
      <calculatedColumnFormula>S52/C52</calculatedColumnFormula>
      <totalsRowFormula>AVERAGE(Table1105[Unf Lower % Base])</totalsRowFormula>
    </tableColumn>
    <tableColumn id="20" name="1/2 Story Value" dataDxfId="10806" totalsRowDxfId="10805"/>
    <tableColumn id="50" name="1/2 Story Sq Ft" dataDxfId="10804" totalsRowDxfId="10803"/>
    <tableColumn id="5" name="1/2 StoryVal/SqFt" dataDxfId="10802" totalsRowDxfId="10801">
      <calculatedColumnFormula>U52/V52</calculatedColumnFormula>
    </tableColumn>
    <tableColumn id="34" name="1/2 Story % Base" totalsRowFunction="custom" dataDxfId="10800" totalsRowDxfId="10799">
      <calculatedColumnFormula>W52/C52</calculatedColumnFormula>
      <totalsRowFormula>AVERAGE(Table1105[1/2 Story % Base])</totalsRowFormula>
    </tableColumn>
    <tableColumn id="21" name="2nd Story Value" dataDxfId="10798" totalsRowDxfId="10797"/>
    <tableColumn id="51" name="2nd Sty Sq Ft" dataDxfId="10796" totalsRowDxfId="10795"/>
    <tableColumn id="6" name="2ndStyVal/Sqft" dataDxfId="10794" totalsRowDxfId="10793">
      <calculatedColumnFormula>Y52/Z52</calculatedColumnFormula>
    </tableColumn>
    <tableColumn id="35" name="2nd Story % Base" totalsRowFunction="custom" dataDxfId="10792" totalsRowDxfId="10791">
      <calculatedColumnFormula>AA52/C52</calculatedColumnFormula>
      <totalsRowFormula>AVERAGE(Table1105[2nd Story % Base])</totalsRowFormula>
    </tableColumn>
    <tableColumn id="22" name="Att Gar Value" totalsRowFunction="average" dataDxfId="10790" totalsRowDxfId="10789"/>
    <tableColumn id="52" name="Att Gar Sq Ft" dataDxfId="10788" totalsRowDxfId="10787"/>
    <tableColumn id="7" name="AttGarVal/SqFt" totalsRowFunction="custom" dataDxfId="10786" totalsRowDxfId="10785">
      <calculatedColumnFormula>AC52/AD52</calculatedColumnFormula>
      <totalsRowFormula>AVERAGE(Table1105[AttGarVal/SqFt])</totalsRowFormula>
    </tableColumn>
    <tableColumn id="36" name="Att Gar % Base" totalsRowFunction="custom" dataDxfId="10784" totalsRowDxfId="10783">
      <calculatedColumnFormula>AE52/C52</calculatedColumnFormula>
      <totalsRowFormula>AVERAGE(Table1105[Att Gar % Base])</totalsRowFormula>
    </tableColumn>
    <tableColumn id="23" name="Porch Value" dataDxfId="10782" totalsRowDxfId="10781"/>
    <tableColumn id="53" name="Porch Sq Ft" dataDxfId="10780" totalsRowDxfId="10779"/>
    <tableColumn id="8" name="PorchVal/SqFt" dataDxfId="10778" totalsRowDxfId="10777">
      <calculatedColumnFormula>AG52/AH52</calculatedColumnFormula>
    </tableColumn>
    <tableColumn id="37" name="Porch % Base" totalsRowFunction="custom" dataDxfId="10776" totalsRowDxfId="10775">
      <calculatedColumnFormula>AI52/C52</calculatedColumnFormula>
      <totalsRowFormula>AVERAGE(Table1105[Porch % Base])</totalsRowFormula>
    </tableColumn>
    <tableColumn id="24" name="Cov Porch Value" dataDxfId="10774" totalsRowDxfId="10773"/>
    <tableColumn id="54" name="Cov Porch Sq Ft" dataDxfId="10772" totalsRowDxfId="10771"/>
    <tableColumn id="9" name="CovPrVal/SqFt" dataDxfId="10770" totalsRowDxfId="10769">
      <calculatedColumnFormula>AK52/AL52</calculatedColumnFormula>
    </tableColumn>
    <tableColumn id="38" name="Cov Porch % Base" totalsRowFunction="custom" dataDxfId="10768" totalsRowDxfId="10767">
      <calculatedColumnFormula>AM52/C52</calculatedColumnFormula>
      <totalsRowFormula>AVERAGE(Table1105[Cov Porch % Base])</totalsRowFormula>
    </tableColumn>
    <tableColumn id="25" name="Deck Value" totalsRowFunction="average" dataDxfId="10766" totalsRowDxfId="10765"/>
    <tableColumn id="55" name="Deck Sq Ft" dataDxfId="10764" totalsRowDxfId="10763"/>
    <tableColumn id="10" name="DeckVal/SqFt" dataDxfId="10762" totalsRowDxfId="10761">
      <calculatedColumnFormula>AO52/AP52</calculatedColumnFormula>
    </tableColumn>
    <tableColumn id="39" name="Deck % Base" totalsRowFunction="custom" dataDxfId="10760" totalsRowDxfId="10759">
      <calculatedColumnFormula>AQ52/C52</calculatedColumnFormula>
      <totalsRowFormula>AVERAGE(Table1105[Deck % Base])</totalsRowFormula>
    </tableColumn>
    <tableColumn id="26" name="Cov Deck Value" totalsRowFunction="average" dataDxfId="10758" totalsRowDxfId="10757"/>
    <tableColumn id="56" name="CovDeck Sq Ft" dataDxfId="10756" totalsRowDxfId="10755"/>
    <tableColumn id="11" name="CovDeckVal/SqFt" totalsRowFunction="custom" dataDxfId="10754" totalsRowDxfId="10753">
      <calculatedColumnFormula>AS52/AT52</calculatedColumnFormula>
      <totalsRowFormula>AVERAGE(Table1105[CovDeckVal/SqFt])</totalsRowFormula>
    </tableColumn>
    <tableColumn id="40" name="CovDeck % Base" totalsRowFunction="custom" dataDxfId="10752" totalsRowDxfId="10751">
      <calculatedColumnFormula>AU52/C52</calculatedColumnFormula>
      <totalsRowFormula>AVERAGE(Table1105[CovDeck % Base])</totalsRowFormula>
    </tableColumn>
    <tableColumn id="27" name="CarP Value" dataDxfId="10750" totalsRowDxfId="10749"/>
    <tableColumn id="57" name="CarP Sq Ft" dataDxfId="10748" totalsRowDxfId="10747"/>
    <tableColumn id="12" name="CarPVal/SqFt" dataDxfId="10746" totalsRowDxfId="10745">
      <calculatedColumnFormula>AW52/AX52</calculatedColumnFormula>
    </tableColumn>
    <tableColumn id="41" name="CarP % Base" totalsRowFunction="custom" dataDxfId="10744" totalsRowDxfId="10743">
      <calculatedColumnFormula>AY52/C52</calculatedColumnFormula>
      <totalsRowFormula>AVERAGE(Table1105[CarP % Base])</totalsRowFormula>
    </tableColumn>
    <tableColumn id="28" name="EFP Value" dataDxfId="10742" totalsRowDxfId="10741"/>
    <tableColumn id="58" name="EFP Sq Ft" dataDxfId="10740" totalsRowDxfId="10739"/>
    <tableColumn id="15" name="EFPVal/SqFt" dataDxfId="10738" totalsRowDxfId="10737">
      <calculatedColumnFormula>BA52/BB52</calculatedColumnFormula>
    </tableColumn>
    <tableColumn id="29" name="EFP % Base" totalsRowFunction="custom" dataDxfId="10736" totalsRowDxfId="10735">
      <calculatedColumnFormula>BC52/C52</calculatedColumnFormula>
      <totalsRowFormula>AVERAGE(Table1105[EFP % Base])</totalsRow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5" name="Table1106" displayName="Table1106" ref="A63:BD71" totalsRowCount="1" headerRowDxfId="10734">
  <tableColumns count="56">
    <tableColumn id="1" name="  Grade" dataDxfId="10733" totalsRowDxfId="10732"/>
    <tableColumn id="13" name="Main Area $" dataDxfId="10731" totalsRowDxfId="10730"/>
    <tableColumn id="45" name="MA $/Sq Ft" totalsRowFunction="custom" dataDxfId="10729" totalsRowDxfId="10728">
      <calculatedColumnFormula>B64/F61</calculatedColumnFormula>
      <totalsRowFormula>AVERAGE(Table1106[MA $/Sq Ft])</totalsRowFormula>
    </tableColumn>
    <tableColumn id="16" name="Basic Allowance" totalsRowFunction="custom" dataDxfId="10727" totalsRowDxfId="10726">
      <totalsRowFormula>AVERAGE(Table1106[Basic Allowance])</totalsRowFormula>
    </tableColumn>
    <tableColumn id="43" name="BsmtVal" dataDxfId="10725" totalsRowDxfId="10724"/>
    <tableColumn id="46" name="Bsmt SqFt" dataDxfId="10723" totalsRowDxfId="10722"/>
    <tableColumn id="2" name="BsmtVal/Sq Ft" dataDxfId="10721" totalsRowDxfId="10720">
      <calculatedColumnFormula>E64/F64</calculatedColumnFormula>
    </tableColumn>
    <tableColumn id="17" name="Bsmt % Base" totalsRowFunction="custom" dataDxfId="10719" totalsRowDxfId="10718">
      <calculatedColumnFormula>G64/C64</calculatedColumnFormula>
      <totalsRowFormula>AVERAGE(Table1106[Bsmt % Base])</totalsRowFormula>
    </tableColumn>
    <tableColumn id="30" name="UnfBsmtVal" dataDxfId="10717" totalsRowDxfId="10716"/>
    <tableColumn id="47" name="UnfBsmt Sq Ft" dataDxfId="10715" totalsRowDxfId="10714"/>
    <tableColumn id="3" name="UnfBsmtVal/SqFt" dataDxfId="10713" totalsRowDxfId="10712">
      <calculatedColumnFormula>I64/J64</calculatedColumnFormula>
    </tableColumn>
    <tableColumn id="44" name="UnfBsmt % Base" totalsRowFunction="custom" dataDxfId="10711" totalsRowDxfId="10710">
      <calculatedColumnFormula>K64/C64</calculatedColumnFormula>
      <totalsRowFormula>AVERAGE(Table1106[[#Headers],[#Data],[UnfBsmt % Base]])</totalsRowFormula>
    </tableColumn>
    <tableColumn id="31" name="Lower Value" dataDxfId="10709" totalsRowDxfId="10708"/>
    <tableColumn id="48" name="Lower Sq Ft" dataDxfId="10707" totalsRowDxfId="10706"/>
    <tableColumn id="4" name="LowerVal/SqFt" totalsRowFunction="custom" dataDxfId="10705" totalsRowDxfId="10704">
      <calculatedColumnFormula>M64/N64</calculatedColumnFormula>
      <totalsRowFormula>AVERAGE(Table1106[LowerVal/SqFt])</totalsRowFormula>
    </tableColumn>
    <tableColumn id="32" name="Lower % Base" totalsRowFunction="custom" dataDxfId="10703" totalsRowDxfId="10702">
      <calculatedColumnFormula>O64/C64</calculatedColumnFormula>
      <totalsRowFormula>AVERAGE(Table1106[Lower % Base])</totalsRowFormula>
    </tableColumn>
    <tableColumn id="19" name="Unf Lower Value" dataDxfId="10701" totalsRowDxfId="10700"/>
    <tableColumn id="49" name="UnfLower Sq Ft" dataDxfId="10699" totalsRowDxfId="10698"/>
    <tableColumn id="14" name="UnfLowVal/SqFt2" dataDxfId="10697" totalsRowDxfId="10696">
      <calculatedColumnFormula>Q64/R64</calculatedColumnFormula>
    </tableColumn>
    <tableColumn id="33" name="Unf Lower % Base" totalsRowFunction="custom" dataDxfId="10695" totalsRowDxfId="10694">
      <calculatedColumnFormula>S64/C64</calculatedColumnFormula>
      <totalsRowFormula>AVERAGE(Table1106[Unf Lower % Base])</totalsRowFormula>
    </tableColumn>
    <tableColumn id="20" name="1/2 Story Value" dataDxfId="10693" totalsRowDxfId="10692"/>
    <tableColumn id="50" name="1/2 Story Sq Ft" dataDxfId="10691" totalsRowDxfId="10690"/>
    <tableColumn id="5" name="1/2 StoryVal/SqFt" dataDxfId="10689" totalsRowDxfId="10688">
      <calculatedColumnFormula>U64/V64</calculatedColumnFormula>
    </tableColumn>
    <tableColumn id="34" name="1/2 Story % Base" totalsRowFunction="custom" dataDxfId="10687" totalsRowDxfId="10686">
      <calculatedColumnFormula>W64/C64</calculatedColumnFormula>
      <totalsRowFormula>AVERAGE(Table1106[1/2 Story % Base])</totalsRowFormula>
    </tableColumn>
    <tableColumn id="21" name="2nd Story Value" dataDxfId="10685" totalsRowDxfId="10684"/>
    <tableColumn id="51" name="2nd Sty Sq Ft" dataDxfId="10683" totalsRowDxfId="10682"/>
    <tableColumn id="6" name="2ndStyVal/Sqft" dataDxfId="10681" totalsRowDxfId="10680">
      <calculatedColumnFormula>Y64/Z64</calculatedColumnFormula>
    </tableColumn>
    <tableColumn id="35" name="2nd Story % Base" totalsRowFunction="custom" dataDxfId="10679" totalsRowDxfId="10678">
      <calculatedColumnFormula>AA64/C64</calculatedColumnFormula>
      <totalsRowFormula>AVERAGE(Table1106[2nd Story % Base])</totalsRowFormula>
    </tableColumn>
    <tableColumn id="22" name="Att Gar Value" dataDxfId="10677" totalsRowDxfId="10676"/>
    <tableColumn id="52" name="Att Gar Sq Ft" dataDxfId="10675" totalsRowDxfId="10674"/>
    <tableColumn id="7" name="AttGarVal/SqFt" totalsRowFunction="custom" dataDxfId="10673" totalsRowDxfId="10672">
      <calculatedColumnFormula>AC64/AD64</calculatedColumnFormula>
      <totalsRowFormula>AVERAGE(Table1106[AttGarVal/SqFt])</totalsRowFormula>
    </tableColumn>
    <tableColumn id="36" name="Att Gar % Base" totalsRowFunction="custom" dataDxfId="10671" totalsRowDxfId="10670">
      <calculatedColumnFormula>AE64/C64</calculatedColumnFormula>
      <totalsRowFormula>AVERAGE(Table1106[Att Gar % Base])</totalsRowFormula>
    </tableColumn>
    <tableColumn id="23" name="Porch Value" dataDxfId="10669" totalsRowDxfId="10668"/>
    <tableColumn id="53" name="Porch Sq Ft" dataDxfId="10667" totalsRowDxfId="10666"/>
    <tableColumn id="8" name="PorchVal/SqFt" dataDxfId="10665" totalsRowDxfId="10664">
      <calculatedColumnFormula>AG64/AH64</calculatedColumnFormula>
    </tableColumn>
    <tableColumn id="37" name="Porch % Base" totalsRowFunction="custom" dataDxfId="10663" totalsRowDxfId="10662">
      <calculatedColumnFormula>AI64/C64</calculatedColumnFormula>
      <totalsRowFormula>AVERAGE(Table1106[Porch % Base])</totalsRowFormula>
    </tableColumn>
    <tableColumn id="24" name="Cov Porch Value" dataDxfId="10661" totalsRowDxfId="10660"/>
    <tableColumn id="54" name="Cov Porch Sq Ft" dataDxfId="10659" totalsRowDxfId="10658"/>
    <tableColumn id="9" name="CovPrVal/SqFt" dataDxfId="10657" totalsRowDxfId="10656">
      <calculatedColumnFormula>AK64/AL64</calculatedColumnFormula>
    </tableColumn>
    <tableColumn id="38" name="Cov Porch % Base" totalsRowFunction="custom" dataDxfId="10655" totalsRowDxfId="10654">
      <calculatedColumnFormula>AM64/C64</calculatedColumnFormula>
      <totalsRowFormula>AVERAGE(Table1106[Cov Porch % Base])</totalsRowFormula>
    </tableColumn>
    <tableColumn id="25" name="Deck Value" dataDxfId="10653" totalsRowDxfId="10652"/>
    <tableColumn id="55" name="Deck Sq Ft" dataDxfId="10651" totalsRowDxfId="10650"/>
    <tableColumn id="10" name="DeckVal/SqFt" dataDxfId="10649" totalsRowDxfId="10648">
      <calculatedColumnFormula>AO64/AP64</calculatedColumnFormula>
    </tableColumn>
    <tableColumn id="39" name="Deck % Base" totalsRowFunction="custom" dataDxfId="10647" totalsRowDxfId="10646">
      <calculatedColumnFormula>AQ64/C64</calculatedColumnFormula>
      <totalsRowFormula>AVERAGE(Table1106[Deck % Base])</totalsRowFormula>
    </tableColumn>
    <tableColumn id="26" name="Cov Deck Value" dataDxfId="10645" totalsRowDxfId="10644"/>
    <tableColumn id="56" name="CovDeck Sq Ft" dataDxfId="10643" totalsRowDxfId="10642"/>
    <tableColumn id="11" name="CovDeckVal/SqFt" totalsRowFunction="custom" dataDxfId="10641" totalsRowDxfId="10640">
      <calculatedColumnFormula>AS64/AT64</calculatedColumnFormula>
      <totalsRowFormula>AVERAGE(Table1106[CovDeckVal/SqFt])</totalsRowFormula>
    </tableColumn>
    <tableColumn id="40" name="CovDeck % Base" totalsRowFunction="custom" dataDxfId="10639" totalsRowDxfId="10638">
      <calculatedColumnFormula>AU64/C64</calculatedColumnFormula>
      <totalsRowFormula>AVERAGE(Table1106[CovDeck % Base])</totalsRowFormula>
    </tableColumn>
    <tableColumn id="27" name="CarP Value" dataDxfId="10637" totalsRowDxfId="10636"/>
    <tableColumn id="57" name="CarP Sq Ft" dataDxfId="10635" totalsRowDxfId="10634"/>
    <tableColumn id="12" name="CarPVal/SqFt" dataDxfId="10633" totalsRowDxfId="10632">
      <calculatedColumnFormula>AW64/AX64</calculatedColumnFormula>
    </tableColumn>
    <tableColumn id="41" name="CarP % Base" totalsRowFunction="custom" dataDxfId="10631" totalsRowDxfId="10630">
      <calculatedColumnFormula>AY64/C64</calculatedColumnFormula>
      <totalsRowFormula>AVERAGE(Table1106[CarP % Base])</totalsRowFormula>
    </tableColumn>
    <tableColumn id="28" name="EFP Value" dataDxfId="10629" totalsRowDxfId="10628"/>
    <tableColumn id="58" name="EFP Sq Ft" dataDxfId="10627" totalsRowDxfId="10626"/>
    <tableColumn id="15" name="EFPVal/SqFt" dataDxfId="10625" totalsRowDxfId="10624">
      <calculatedColumnFormula>BA64/BB64</calculatedColumnFormula>
    </tableColumn>
    <tableColumn id="29" name="EFP % Base" totalsRowFunction="custom" dataDxfId="10623" totalsRowDxfId="10622">
      <calculatedColumnFormula>BC64/C64</calculatedColumnFormula>
      <totalsRowFormula>AVERAGE(Table1106[EFP % Base])</totalsRow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6" name="Table1107" displayName="Table1107" ref="A75:BD83" totalsRowCount="1" headerRowDxfId="10621">
  <tableColumns count="56">
    <tableColumn id="1" name="  Grade" dataDxfId="10620" totalsRowDxfId="10619"/>
    <tableColumn id="13" name="Main Area $" dataDxfId="10618" totalsRowDxfId="10617"/>
    <tableColumn id="45" name="MA $/Sq Ft" totalsRowFunction="custom" dataDxfId="10616" totalsRowDxfId="10615">
      <calculatedColumnFormula>B76/F73</calculatedColumnFormula>
      <totalsRowFormula>AVERAGE(Table1107[MA $/Sq Ft])</totalsRowFormula>
    </tableColumn>
    <tableColumn id="16" name="Basic Allowance" totalsRowFunction="custom" dataDxfId="10614" totalsRowDxfId="10613">
      <totalsRowFormula>AVERAGE(Table1107[Basic Allowance])</totalsRowFormula>
    </tableColumn>
    <tableColumn id="43" name="BsmtVal" dataDxfId="10612" totalsRowDxfId="10611"/>
    <tableColumn id="46" name="Bsmt SqFt" dataDxfId="10610" totalsRowDxfId="10609"/>
    <tableColumn id="2" name="BsmtVal/Sq Ft" dataDxfId="10608" totalsRowDxfId="10607">
      <calculatedColumnFormula>E76/F76</calculatedColumnFormula>
    </tableColumn>
    <tableColumn id="17" name="Bsmt % Base" totalsRowFunction="custom" dataDxfId="10606" totalsRowDxfId="10605">
      <calculatedColumnFormula>G76/C76</calculatedColumnFormula>
      <totalsRowFormula>AVERAGE(Table1107[Bsmt % Base])</totalsRowFormula>
    </tableColumn>
    <tableColumn id="30" name="UnfBsmtVal" dataDxfId="10604" totalsRowDxfId="10603"/>
    <tableColumn id="47" name="UnfBsmt Sq Ft" dataDxfId="10602" totalsRowDxfId="10601"/>
    <tableColumn id="3" name="UnfBsmtVal/SqFt" dataDxfId="10600" totalsRowDxfId="10599">
      <calculatedColumnFormula>I76/J76</calculatedColumnFormula>
    </tableColumn>
    <tableColumn id="44" name="UnfBsmt % Base" totalsRowFunction="custom" dataDxfId="10598" totalsRowDxfId="10597">
      <calculatedColumnFormula>K76/C76</calculatedColumnFormula>
      <totalsRowFormula>AVERAGE(Table1107[[#Headers],[#Data],[UnfBsmt % Base]])</totalsRowFormula>
    </tableColumn>
    <tableColumn id="31" name="Lower Value" dataDxfId="10596" totalsRowDxfId="10595"/>
    <tableColumn id="48" name="Lower Sq Ft" dataDxfId="10594" totalsRowDxfId="10593"/>
    <tableColumn id="4" name="LowerVal/SqFt" totalsRowFunction="custom" dataDxfId="10592" totalsRowDxfId="10591">
      <calculatedColumnFormula>M76/N76</calculatedColumnFormula>
      <totalsRowFormula>AVERAGE(Table1107[LowerVal/SqFt])</totalsRowFormula>
    </tableColumn>
    <tableColumn id="32" name="Lower % Base" totalsRowFunction="custom" dataDxfId="10590" totalsRowDxfId="10589">
      <calculatedColumnFormula>O76/C76</calculatedColumnFormula>
      <totalsRowFormula>AVERAGE(Table1107[Lower % Base])</totalsRowFormula>
    </tableColumn>
    <tableColumn id="19" name="Unf Lower Value" dataDxfId="10588" totalsRowDxfId="10587"/>
    <tableColumn id="49" name="UnfLower Sq Ft" dataDxfId="10586" totalsRowDxfId="10585"/>
    <tableColumn id="14" name="UnfLowVal/SqFt2" dataDxfId="10584" totalsRowDxfId="10583">
      <calculatedColumnFormula>Q76/R76</calculatedColumnFormula>
    </tableColumn>
    <tableColumn id="33" name="Unf Lower % Base" totalsRowFunction="custom" dataDxfId="10582" totalsRowDxfId="10581">
      <calculatedColumnFormula>S76/C76</calculatedColumnFormula>
      <totalsRowFormula>AVERAGE(Table1107[Unf Lower % Base])</totalsRowFormula>
    </tableColumn>
    <tableColumn id="20" name="1/2 Story Value" dataDxfId="10580" totalsRowDxfId="10579"/>
    <tableColumn id="50" name="1/2 Story Sq Ft" dataDxfId="10578" totalsRowDxfId="10577"/>
    <tableColumn id="5" name="1/2 StoryVal/SqFt" dataDxfId="10576" totalsRowDxfId="10575">
      <calculatedColumnFormula>U76/V76</calculatedColumnFormula>
    </tableColumn>
    <tableColumn id="34" name="1/2 Story % Base" totalsRowFunction="custom" dataDxfId="10574" totalsRowDxfId="10573">
      <calculatedColumnFormula>W76/C76</calculatedColumnFormula>
      <totalsRowFormula>AVERAGE(Table1107[1/2 Story % Base])</totalsRowFormula>
    </tableColumn>
    <tableColumn id="21" name="2nd Story Value" dataDxfId="10572" totalsRowDxfId="10571"/>
    <tableColumn id="51" name="2nd Sty Sq Ft" dataDxfId="10570" totalsRowDxfId="10569"/>
    <tableColumn id="6" name="2ndStyVal/Sqft" dataDxfId="10568" totalsRowDxfId="10567">
      <calculatedColumnFormula>Y76/Z76</calculatedColumnFormula>
    </tableColumn>
    <tableColumn id="35" name="2nd Story % Base" totalsRowFunction="custom" dataDxfId="10566" totalsRowDxfId="10565">
      <calculatedColumnFormula>AA76/C76</calculatedColumnFormula>
      <totalsRowFormula>AVERAGE(Table1107[2nd Story % Base])</totalsRowFormula>
    </tableColumn>
    <tableColumn id="22" name="Att Gar Value" dataDxfId="10564" totalsRowDxfId="10563"/>
    <tableColumn id="52" name="Att Gar Sq Ft" dataDxfId="10562" totalsRowDxfId="10561"/>
    <tableColumn id="7" name="AttGarVal/SqFt" totalsRowFunction="custom" dataDxfId="10560" totalsRowDxfId="10559">
      <calculatedColumnFormula>AC76/AD76</calculatedColumnFormula>
      <totalsRowFormula>AVERAGE(Table1107[AttGarVal/SqFt])</totalsRowFormula>
    </tableColumn>
    <tableColumn id="36" name="Att Gar % Base" totalsRowFunction="custom" dataDxfId="10558" totalsRowDxfId="10557">
      <calculatedColumnFormula>AE76/C76</calculatedColumnFormula>
      <totalsRowFormula>AVERAGE(Table1107[Att Gar % Base])</totalsRowFormula>
    </tableColumn>
    <tableColumn id="23" name="Porch Value" dataDxfId="10556" totalsRowDxfId="10555"/>
    <tableColumn id="53" name="Porch Sq Ft" dataDxfId="10554" totalsRowDxfId="10553"/>
    <tableColumn id="8" name="PorchVal/SqFt" dataDxfId="10552" totalsRowDxfId="10551">
      <calculatedColumnFormula>AG76/AH76</calculatedColumnFormula>
    </tableColumn>
    <tableColumn id="37" name="Porch % Base" totalsRowFunction="custom" dataDxfId="10550" totalsRowDxfId="10549">
      <calculatedColumnFormula>AI76/C76</calculatedColumnFormula>
      <totalsRowFormula>AVERAGE(Table1107[Porch % Base])</totalsRowFormula>
    </tableColumn>
    <tableColumn id="24" name="Cov Porch Value" dataDxfId="10548" totalsRowDxfId="10547"/>
    <tableColumn id="54" name="Cov Porch Sq Ft" dataDxfId="10546" totalsRowDxfId="10545"/>
    <tableColumn id="9" name="CovPrVal/SqFt" dataDxfId="10544" totalsRowDxfId="10543">
      <calculatedColumnFormula>AK76/AL76</calculatedColumnFormula>
    </tableColumn>
    <tableColumn id="38" name="Cov Porch % Base" totalsRowFunction="custom" dataDxfId="10542" totalsRowDxfId="10541">
      <calculatedColumnFormula>AM76/C76</calculatedColumnFormula>
      <totalsRowFormula>AVERAGE(Table1107[Cov Porch % Base])</totalsRowFormula>
    </tableColumn>
    <tableColumn id="25" name="Deck Value" dataDxfId="10540" totalsRowDxfId="10539"/>
    <tableColumn id="55" name="Deck Sq Ft" dataDxfId="10538" totalsRowDxfId="10537"/>
    <tableColumn id="10" name="DeckVal/SqFt" dataDxfId="10536" totalsRowDxfId="10535">
      <calculatedColumnFormula>AO76/AP76</calculatedColumnFormula>
    </tableColumn>
    <tableColumn id="39" name="Deck % Base" totalsRowFunction="custom" dataDxfId="10534" totalsRowDxfId="10533">
      <calculatedColumnFormula>AQ76/C76</calculatedColumnFormula>
      <totalsRowFormula>AVERAGE(Table1107[Deck % Base])</totalsRowFormula>
    </tableColumn>
    <tableColumn id="26" name="Cov Deck Value" totalsRowFunction="average" dataDxfId="10532" totalsRowDxfId="10531"/>
    <tableColumn id="56" name="CovDeck Sq Ft" dataDxfId="10530" totalsRowDxfId="10529"/>
    <tableColumn id="11" name="CovDeckVal/SqFt" totalsRowFunction="custom" dataDxfId="10528" totalsRowDxfId="10527">
      <calculatedColumnFormula>AS76/AT76</calculatedColumnFormula>
      <totalsRowFormula>AVERAGE(Table1107[CovDeckVal/SqFt])</totalsRowFormula>
    </tableColumn>
    <tableColumn id="40" name="CovDeck % Base" totalsRowFunction="custom" dataDxfId="10526" totalsRowDxfId="10525">
      <calculatedColumnFormula>AU76/C76</calculatedColumnFormula>
      <totalsRowFormula>AVERAGE(Table1107[CovDeck % Base])</totalsRowFormula>
    </tableColumn>
    <tableColumn id="27" name="CarP Value" dataDxfId="10524" totalsRowDxfId="10523"/>
    <tableColumn id="57" name="CarP Sq Ft" dataDxfId="10522" totalsRowDxfId="10521"/>
    <tableColumn id="12" name="CarPVal/SqFt" dataDxfId="10520" totalsRowDxfId="10519">
      <calculatedColumnFormula>AW76/AX76</calculatedColumnFormula>
    </tableColumn>
    <tableColumn id="41" name="CarP % Base" totalsRowFunction="custom" dataDxfId="10518" totalsRowDxfId="10517">
      <calculatedColumnFormula>AY76/C76</calculatedColumnFormula>
      <totalsRowFormula>AVERAGE(Table1107[CarP % Base])</totalsRowFormula>
    </tableColumn>
    <tableColumn id="28" name="EFP Value" totalsRowFunction="average" dataDxfId="10516" totalsRowDxfId="10515"/>
    <tableColumn id="58" name="EFP Sq Ft" dataDxfId="10514" totalsRowDxfId="10513"/>
    <tableColumn id="15" name="EFPVal/SqFt" dataDxfId="10512" totalsRowDxfId="10511">
      <calculatedColumnFormula>BA76/BB76</calculatedColumnFormula>
    </tableColumn>
    <tableColumn id="29" name="EFP % Base" totalsRowFunction="custom" dataDxfId="10510" totalsRowDxfId="10509">
      <calculatedColumnFormula>BC76/C76</calculatedColumnFormula>
      <totalsRowFormula>AVERAGE(Table1107[EFP % Base])</totalsRow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id="7" name="Table1108" displayName="Table1108" ref="A87:BD95" totalsRowCount="1" headerRowDxfId="10508">
  <tableColumns count="56">
    <tableColumn id="1" name="  Grade" dataDxfId="10507" totalsRowDxfId="10506"/>
    <tableColumn id="13" name="Main Area $" dataDxfId="10505" totalsRowDxfId="10504"/>
    <tableColumn id="45" name="MA $/Sq Ft" totalsRowFunction="custom" dataDxfId="10503" totalsRowDxfId="10502">
      <calculatedColumnFormula>B88/F85</calculatedColumnFormula>
      <totalsRowFormula>AVERAGE(Table1108[MA $/Sq Ft])</totalsRowFormula>
    </tableColumn>
    <tableColumn id="16" name="Basic Allowance" totalsRowFunction="custom" dataDxfId="10501" totalsRowDxfId="10500">
      <totalsRowFormula>AVERAGE(Table1108[Basic Allowance])</totalsRowFormula>
    </tableColumn>
    <tableColumn id="43" name="BsmtVal" dataDxfId="10499" totalsRowDxfId="10498"/>
    <tableColumn id="46" name="Bsmt SqFt" dataDxfId="10497" totalsRowDxfId="10496"/>
    <tableColumn id="2" name="BsmtVal/Sq Ft" dataDxfId="10495" totalsRowDxfId="10494">
      <calculatedColumnFormula>E88/F88</calculatedColumnFormula>
    </tableColumn>
    <tableColumn id="17" name="Bsmt % Base" totalsRowFunction="custom" dataDxfId="10493" totalsRowDxfId="10492">
      <calculatedColumnFormula>G88/C88</calculatedColumnFormula>
      <totalsRowFormula>AVERAGE(Table1108[Bsmt % Base])</totalsRowFormula>
    </tableColumn>
    <tableColumn id="30" name="UnfBsmtVal" dataDxfId="10491" totalsRowDxfId="10490"/>
    <tableColumn id="47" name="UnfBsmt Sq Ft" dataDxfId="10489" totalsRowDxfId="10488"/>
    <tableColumn id="3" name="UnfBsmtVal/SqFt" dataDxfId="10487" totalsRowDxfId="10486">
      <calculatedColumnFormula>I88/J88</calculatedColumnFormula>
    </tableColumn>
    <tableColumn id="44" name="UnfBsmt % Base" totalsRowFunction="custom" dataDxfId="10485" totalsRowDxfId="10484">
      <calculatedColumnFormula>K88/C88</calculatedColumnFormula>
      <totalsRowFormula>AVERAGE(Table1108[[#Headers],[#Data],[UnfBsmt % Base]])</totalsRowFormula>
    </tableColumn>
    <tableColumn id="31" name="Lower Value" totalsRowFunction="average" dataDxfId="10483" totalsRowDxfId="10482"/>
    <tableColumn id="48" name="Lower Sq Ft" dataDxfId="10481" totalsRowDxfId="10480"/>
    <tableColumn id="4" name="LowerVal/SqFt" totalsRowFunction="custom" dataDxfId="10479" totalsRowDxfId="10478">
      <calculatedColumnFormula>M88/N88</calculatedColumnFormula>
      <totalsRowFormula>AVERAGE(Table1108[LowerVal/SqFt])</totalsRowFormula>
    </tableColumn>
    <tableColumn id="32" name="Lower % Base" totalsRowFunction="custom" dataDxfId="10477" totalsRowDxfId="10476">
      <calculatedColumnFormula>O88/C88</calculatedColumnFormula>
      <totalsRowFormula>AVERAGE(Table1108[Lower % Base])</totalsRowFormula>
    </tableColumn>
    <tableColumn id="19" name="Unf Lower Value" dataDxfId="10475" totalsRowDxfId="10474"/>
    <tableColumn id="49" name="UnfLower Sq Ft" dataDxfId="10473" totalsRowDxfId="10472"/>
    <tableColumn id="14" name="UnfLowVal/SqFt2" dataDxfId="10471" totalsRowDxfId="10470">
      <calculatedColumnFormula>Q88/R88</calculatedColumnFormula>
    </tableColumn>
    <tableColumn id="33" name="Unf Lower % Base" totalsRowFunction="custom" dataDxfId="10469" totalsRowDxfId="10468">
      <calculatedColumnFormula>S88/C88</calculatedColumnFormula>
      <totalsRowFormula>AVERAGE(Table1108[Unf Lower % Base])</totalsRowFormula>
    </tableColumn>
    <tableColumn id="20" name="1/2 Story Value" dataDxfId="10467" totalsRowDxfId="10466"/>
    <tableColumn id="50" name="1/2 Story Sq Ft" dataDxfId="10465" totalsRowDxfId="10464"/>
    <tableColumn id="5" name="1/2 StoryVal/SqFt" dataDxfId="10463" totalsRowDxfId="10462">
      <calculatedColumnFormula>U88/V88</calculatedColumnFormula>
    </tableColumn>
    <tableColumn id="34" name="1/2 Story % Base" totalsRowFunction="custom" dataDxfId="10461" totalsRowDxfId="10460">
      <calculatedColumnFormula>W88/C88</calculatedColumnFormula>
      <totalsRowFormula>AVERAGE(Table1108[1/2 Story % Base])</totalsRowFormula>
    </tableColumn>
    <tableColumn id="21" name="2nd Story Value" dataDxfId="10459" totalsRowDxfId="10458"/>
    <tableColumn id="51" name="2nd Sty Sq Ft" dataDxfId="10457" totalsRowDxfId="10456"/>
    <tableColumn id="6" name="2ndStyVal/Sqft" dataDxfId="10455" totalsRowDxfId="10454">
      <calculatedColumnFormula>Y88/Z88</calculatedColumnFormula>
    </tableColumn>
    <tableColumn id="35" name="2nd Story % Base" totalsRowFunction="custom" dataDxfId="10453" totalsRowDxfId="10452">
      <calculatedColumnFormula>AA88/C88</calculatedColumnFormula>
      <totalsRowFormula>AVERAGE(Table1108[2nd Story % Base])</totalsRowFormula>
    </tableColumn>
    <tableColumn id="22" name="Att Gar Value" dataDxfId="10451" totalsRowDxfId="10450"/>
    <tableColumn id="52" name="Att Gar Sq Ft" dataDxfId="10449" totalsRowDxfId="10448"/>
    <tableColumn id="7" name="AttGarVal/SqFt" totalsRowFunction="custom" dataDxfId="10447" totalsRowDxfId="10446">
      <calculatedColumnFormula>AC88/AD88</calculatedColumnFormula>
      <totalsRowFormula>AVERAGE(Table1108[AttGarVal/SqFt])</totalsRowFormula>
    </tableColumn>
    <tableColumn id="36" name="Att Gar % Base" totalsRowFunction="custom" dataDxfId="10445" totalsRowDxfId="10444">
      <calculatedColumnFormula>AE88/C88</calculatedColumnFormula>
      <totalsRowFormula>AVERAGE(Table1108[Att Gar % Base])</totalsRowFormula>
    </tableColumn>
    <tableColumn id="23" name="Porch Value" dataDxfId="10443" totalsRowDxfId="10442"/>
    <tableColumn id="53" name="Porch Sq Ft" dataDxfId="10441" totalsRowDxfId="10440"/>
    <tableColumn id="8" name="PorchVal/SqFt" dataDxfId="10439" totalsRowDxfId="10438">
      <calculatedColumnFormula>AG88/AH88</calculatedColumnFormula>
    </tableColumn>
    <tableColumn id="37" name="Porch % Base" totalsRowFunction="custom" dataDxfId="10437" totalsRowDxfId="10436">
      <calculatedColumnFormula>AI88/C88</calculatedColumnFormula>
      <totalsRowFormula>AVERAGE(Table1108[Porch % Base])</totalsRowFormula>
    </tableColumn>
    <tableColumn id="24" name="Cov Porch Value" dataDxfId="10435" totalsRowDxfId="10434"/>
    <tableColumn id="54" name="Cov Porch Sq Ft" dataDxfId="10433" totalsRowDxfId="10432"/>
    <tableColumn id="9" name="CovPrVal/SqFt" dataDxfId="10431" totalsRowDxfId="10430">
      <calculatedColumnFormula>AK88/AL88</calculatedColumnFormula>
    </tableColumn>
    <tableColumn id="38" name="Cov Porch % Base" totalsRowFunction="custom" dataDxfId="10429" totalsRowDxfId="10428">
      <calculatedColumnFormula>AM88/C88</calculatedColumnFormula>
      <totalsRowFormula>AVERAGE(Table1108[Cov Porch % Base])</totalsRowFormula>
    </tableColumn>
    <tableColumn id="25" name="Deck Value" dataDxfId="10427" totalsRowDxfId="10426"/>
    <tableColumn id="55" name="Deck Sq Ft" dataDxfId="10425" totalsRowDxfId="10424"/>
    <tableColumn id="10" name="DeckVal/SqFt" dataDxfId="10423" totalsRowDxfId="10422">
      <calculatedColumnFormula>AO88/AP88</calculatedColumnFormula>
    </tableColumn>
    <tableColumn id="39" name="Deck % Base" totalsRowFunction="custom" dataDxfId="10421" totalsRowDxfId="10420">
      <calculatedColumnFormula>AQ88/C88</calculatedColumnFormula>
      <totalsRowFormula>AVERAGE(Table1108[Deck % Base])</totalsRowFormula>
    </tableColumn>
    <tableColumn id="26" name="Cov Deck Value" dataDxfId="10419" totalsRowDxfId="10418"/>
    <tableColumn id="56" name="CovDeck Sq Ft" dataDxfId="10417" totalsRowDxfId="10416"/>
    <tableColumn id="11" name="CovDeckVal/SqFt" totalsRowFunction="custom" dataDxfId="10415" totalsRowDxfId="10414">
      <calculatedColumnFormula>AS88/AT88</calculatedColumnFormula>
      <totalsRowFormula>AVERAGE(Table1108[CovDeckVal/SqFt])</totalsRowFormula>
    </tableColumn>
    <tableColumn id="40" name="CovDeck % Base" totalsRowFunction="custom" dataDxfId="10413" totalsRowDxfId="10412">
      <calculatedColumnFormula>AU88/C88</calculatedColumnFormula>
      <totalsRowFormula>AVERAGE(Table1108[CovDeck % Base])</totalsRowFormula>
    </tableColumn>
    <tableColumn id="27" name="CarP Value" dataDxfId="10411" totalsRowDxfId="10410"/>
    <tableColumn id="57" name="CarP Sq Ft" dataDxfId="10409" totalsRowDxfId="10408"/>
    <tableColumn id="12" name="CarPVal/SqFt" dataDxfId="10407" totalsRowDxfId="10406">
      <calculatedColumnFormula>AW88/AX88</calculatedColumnFormula>
    </tableColumn>
    <tableColumn id="41" name="CarP % Base" totalsRowFunction="custom" dataDxfId="10405" totalsRowDxfId="10404">
      <calculatedColumnFormula>AY88/C88</calculatedColumnFormula>
      <totalsRowFormula>AVERAGE(Table1108[CarP % Base])</totalsRowFormula>
    </tableColumn>
    <tableColumn id="28" name="EFP Value" dataDxfId="10403" totalsRowDxfId="10402"/>
    <tableColumn id="58" name="EFP Sq Ft" dataDxfId="10401" totalsRowDxfId="10400"/>
    <tableColumn id="15" name="EFPVal/SqFt" dataDxfId="10399" totalsRowDxfId="10398">
      <calculatedColumnFormula>BA88/BB88</calculatedColumnFormula>
    </tableColumn>
    <tableColumn id="29" name="EFP % Base" totalsRowFunction="custom" dataDxfId="10397" totalsRowDxfId="10396">
      <calculatedColumnFormula>BC88/C88</calculatedColumnFormula>
      <totalsRowFormula>AVERAGE(Table1108[EFP % Base])</totalsRow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id="8" name="Table110119" displayName="Table110119" ref="A99:BD107" totalsRowCount="1" headerRowDxfId="10395">
  <tableColumns count="56">
    <tableColumn id="1" name="  Grade" dataDxfId="10394" totalsRowDxfId="10393"/>
    <tableColumn id="13" name="Main Area $" dataDxfId="10392" totalsRowDxfId="10391"/>
    <tableColumn id="45" name="MA $/Sq Ft" totalsRowFunction="custom" dataDxfId="10390" totalsRowDxfId="10389">
      <calculatedColumnFormula>#REF!/#REF!</calculatedColumnFormula>
      <totalsRowFormula>AVERAGE(Table110119[MA $/Sq Ft])</totalsRowFormula>
    </tableColumn>
    <tableColumn id="16" name="Basic Allowance" totalsRowFunction="custom" dataDxfId="10388" totalsRowDxfId="10387">
      <totalsRowFormula>AVERAGE(Table110119[Basic Allowance])</totalsRowFormula>
    </tableColumn>
    <tableColumn id="43" name="BsmtVal" dataDxfId="10386" totalsRowDxfId="10385"/>
    <tableColumn id="46" name="Bsmt SqFt" dataDxfId="10384" totalsRowDxfId="10383"/>
    <tableColumn id="2" name="BsmtVal/Sq Ft" dataDxfId="10382" totalsRowDxfId="10381">
      <calculatedColumnFormula>E100/F100</calculatedColumnFormula>
    </tableColumn>
    <tableColumn id="17" name="Bsmt % Base" totalsRowFunction="custom" dataDxfId="10380" totalsRowDxfId="10379">
      <calculatedColumnFormula>G100/C100</calculatedColumnFormula>
      <totalsRowFormula>AVERAGE(Table110119[Bsmt % Base])</totalsRowFormula>
    </tableColumn>
    <tableColumn id="30" name="UnfBsmtVal" dataDxfId="10378" totalsRowDxfId="10377"/>
    <tableColumn id="47" name="UnfBsmt Sq Ft" dataDxfId="10376" totalsRowDxfId="10375"/>
    <tableColumn id="3" name="UnfBsmtVal/SqFt" dataDxfId="10374" totalsRowDxfId="10373">
      <calculatedColumnFormula>I100/J100</calculatedColumnFormula>
    </tableColumn>
    <tableColumn id="44" name="UnfBsmt % Base" totalsRowFunction="custom" dataDxfId="10372" totalsRowDxfId="10371">
      <calculatedColumnFormula>K100/C100</calculatedColumnFormula>
      <totalsRowFormula>AVERAGE(Table110119[[#Headers],[#Data],[UnfBsmt % Base]])</totalsRowFormula>
    </tableColumn>
    <tableColumn id="31" name="Lower Value" dataDxfId="10370" totalsRowDxfId="10369"/>
    <tableColumn id="48" name="Lower Sq Ft" dataDxfId="10368" totalsRowDxfId="10367"/>
    <tableColumn id="4" name="LowerVal/SqFt" totalsRowFunction="custom" dataDxfId="10366" totalsRowDxfId="10365">
      <calculatedColumnFormula>M100/N100</calculatedColumnFormula>
      <totalsRowFormula>AVERAGE(Table110119[LowerVal/SqFt])</totalsRowFormula>
    </tableColumn>
    <tableColumn id="32" name="Lower % Base" totalsRowFunction="custom" dataDxfId="10364" totalsRowDxfId="10363">
      <calculatedColumnFormula>O100/C100</calculatedColumnFormula>
      <totalsRowFormula>AVERAGE(Table110119[Lower % Base])</totalsRowFormula>
    </tableColumn>
    <tableColumn id="19" name="Unf Lower Value" dataDxfId="10362" totalsRowDxfId="10361"/>
    <tableColumn id="49" name="UnfLower Sq Ft" dataDxfId="10360" totalsRowDxfId="10359"/>
    <tableColumn id="14" name="UnfLowVal/SqFt2" dataDxfId="10358" totalsRowDxfId="10357">
      <calculatedColumnFormula>Q100/R100</calculatedColumnFormula>
    </tableColumn>
    <tableColumn id="33" name="Unf Lower % Base" totalsRowFunction="custom" dataDxfId="10356" totalsRowDxfId="10355">
      <calculatedColumnFormula>S100/C100</calculatedColumnFormula>
      <totalsRowFormula>AVERAGE(Table110119[Unf Lower % Base])</totalsRowFormula>
    </tableColumn>
    <tableColumn id="20" name="1/2 Story Value" dataDxfId="10354" totalsRowDxfId="10353"/>
    <tableColumn id="50" name="1/2 Story Sq Ft" dataDxfId="10352" totalsRowDxfId="10351"/>
    <tableColumn id="5" name="1/2 StoryVal/SqFt" dataDxfId="10350" totalsRowDxfId="10349">
      <calculatedColumnFormula>U100/V100</calculatedColumnFormula>
    </tableColumn>
    <tableColumn id="34" name="1/2 Story % Base" totalsRowFunction="custom" dataDxfId="10348" totalsRowDxfId="10347">
      <calculatedColumnFormula>W100/C100</calculatedColumnFormula>
      <totalsRowFormula>AVERAGE(Table110119[1/2 Story % Base])</totalsRowFormula>
    </tableColumn>
    <tableColumn id="21" name="2nd Story Value" dataDxfId="10346" totalsRowDxfId="10345"/>
    <tableColumn id="51" name="2nd Sty Sq Ft" dataDxfId="10344" totalsRowDxfId="10343"/>
    <tableColumn id="6" name="2ndStyVal/Sqft" dataDxfId="10342" totalsRowDxfId="10341">
      <calculatedColumnFormula>Y100/Z100</calculatedColumnFormula>
    </tableColumn>
    <tableColumn id="35" name="2nd Story % Base" totalsRowFunction="custom" dataDxfId="10340" totalsRowDxfId="10339">
      <calculatedColumnFormula>AA100/C100</calculatedColumnFormula>
      <totalsRowFormula>AVERAGE(Table110119[2nd Story % Base])</totalsRowFormula>
    </tableColumn>
    <tableColumn id="22" name="Att Gar Value" dataDxfId="10338" totalsRowDxfId="10337"/>
    <tableColumn id="52" name="Att Gar Sq Ft" dataDxfId="10336" totalsRowDxfId="10335"/>
    <tableColumn id="7" name="AttGarVal/SqFt" totalsRowFunction="custom" dataDxfId="10334" totalsRowDxfId="10333">
      <calculatedColumnFormula>AC100/AD100</calculatedColumnFormula>
      <totalsRowFormula>AVERAGE(Table110119[AttGarVal/SqFt])</totalsRowFormula>
    </tableColumn>
    <tableColumn id="36" name="Att Gar % Base" totalsRowFunction="custom" dataDxfId="10332" totalsRowDxfId="10331">
      <calculatedColumnFormula>AE100/C100</calculatedColumnFormula>
      <totalsRowFormula>AVERAGE(Table110119[Att Gar % Base])</totalsRowFormula>
    </tableColumn>
    <tableColumn id="23" name="Porch Value" dataDxfId="10330" totalsRowDxfId="10329"/>
    <tableColumn id="53" name="Porch Sq Ft" dataDxfId="10328" totalsRowDxfId="10327"/>
    <tableColumn id="8" name="PorchVal/SqFt" dataDxfId="10326" totalsRowDxfId="10325">
      <calculatedColumnFormula>AG100/AH100</calculatedColumnFormula>
    </tableColumn>
    <tableColumn id="37" name="Porch % Base" totalsRowFunction="custom" dataDxfId="10324" totalsRowDxfId="10323">
      <calculatedColumnFormula>AI100/C100</calculatedColumnFormula>
      <totalsRowFormula>AVERAGE(Table110119[Porch % Base])</totalsRowFormula>
    </tableColumn>
    <tableColumn id="24" name="Cov Porch Value" dataDxfId="10322" totalsRowDxfId="10321"/>
    <tableColumn id="54" name="Cov Porch Sq Ft" dataDxfId="10320" totalsRowDxfId="10319"/>
    <tableColumn id="9" name="CovPrVal/SqFt" dataDxfId="10318" totalsRowDxfId="10317">
      <calculatedColumnFormula>AK100/AL100</calculatedColumnFormula>
    </tableColumn>
    <tableColumn id="38" name="Cov Porch % Base" totalsRowFunction="custom" dataDxfId="10316" totalsRowDxfId="10315">
      <calculatedColumnFormula>AM100/C100</calculatedColumnFormula>
      <totalsRowFormula>AVERAGE(Table110119[Cov Porch % Base])</totalsRowFormula>
    </tableColumn>
    <tableColumn id="25" name="Deck Value" dataDxfId="10314" totalsRowDxfId="10313"/>
    <tableColumn id="55" name="Deck Sq Ft" dataDxfId="10312" totalsRowDxfId="10311"/>
    <tableColumn id="10" name="DeckVal/SqFt" dataDxfId="10310" totalsRowDxfId="10309">
      <calculatedColumnFormula>AO100/AP100</calculatedColumnFormula>
    </tableColumn>
    <tableColumn id="39" name="Deck % Base" totalsRowFunction="custom" dataDxfId="10308" totalsRowDxfId="10307">
      <calculatedColumnFormula>AQ100/C100</calculatedColumnFormula>
      <totalsRowFormula>AVERAGE(Table110119[Deck % Base])</totalsRowFormula>
    </tableColumn>
    <tableColumn id="26" name="Cov Deck Value" dataDxfId="10306" totalsRowDxfId="10305"/>
    <tableColumn id="56" name="CovDeck Sq Ft" dataDxfId="10304" totalsRowDxfId="10303"/>
    <tableColumn id="11" name="CovDeckVal/SqFt" totalsRowFunction="custom" dataDxfId="10302" totalsRowDxfId="10301">
      <calculatedColumnFormula>AS100/AT100</calculatedColumnFormula>
      <totalsRowFormula>AVERAGE(Table110119[CovDeckVal/SqFt])</totalsRowFormula>
    </tableColumn>
    <tableColumn id="40" name="CovDeck % Base" totalsRowFunction="custom" dataDxfId="10300" totalsRowDxfId="10299">
      <calculatedColumnFormula>AU100/C100</calculatedColumnFormula>
      <totalsRowFormula>AVERAGE(Table110119[CovDeck % Base])</totalsRowFormula>
    </tableColumn>
    <tableColumn id="27" name="CarP Value" dataDxfId="10298" totalsRowDxfId="10297"/>
    <tableColumn id="57" name="CarP Sq Ft" dataDxfId="10296" totalsRowDxfId="10295"/>
    <tableColumn id="12" name="CarPVal/SqFt" dataDxfId="10294" totalsRowDxfId="10293">
      <calculatedColumnFormula>AW100/AX100</calculatedColumnFormula>
    </tableColumn>
    <tableColumn id="41" name="CarP % Base" totalsRowFunction="custom" dataDxfId="10292" totalsRowDxfId="10291">
      <calculatedColumnFormula>AY100/C100</calculatedColumnFormula>
      <totalsRowFormula>AVERAGE(Table110119[CarP % Base])</totalsRowFormula>
    </tableColumn>
    <tableColumn id="28" name="EFP Value" dataDxfId="10290" totalsRowDxfId="10289"/>
    <tableColumn id="58" name="EFP Sq Ft" dataDxfId="10288" totalsRowDxfId="10287"/>
    <tableColumn id="15" name="EFPVal/SqFt" dataDxfId="10286" totalsRowDxfId="10285">
      <calculatedColumnFormula>BA100/BB100</calculatedColumnFormula>
    </tableColumn>
    <tableColumn id="29" name="EFP % Base" totalsRowFunction="custom" dataDxfId="10284" totalsRowDxfId="10283">
      <calculatedColumnFormula>BC100/C100</calculatedColumnFormula>
      <totalsRowFormula>AVERAGE(Table110119[EFP % Base])</totalsRowFormula>
    </tableColumn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id="11" name="Table110312" displayName="Table110312" ref="A111:BD119" totalsRowCount="1" headerRowDxfId="10282">
  <tableColumns count="56">
    <tableColumn id="1" name="  Grade" dataDxfId="10281" totalsRowDxfId="10280"/>
    <tableColumn id="13" name="Main Area $" dataDxfId="10279" totalsRowDxfId="10278"/>
    <tableColumn id="45" name="MA $/Sq Ft" totalsRowFunction="custom" dataDxfId="10277" totalsRowDxfId="10276">
      <calculatedColumnFormula>B112/F109</calculatedColumnFormula>
      <totalsRowFormula>AVERAGE(Table110312[MA $/Sq Ft])</totalsRowFormula>
    </tableColumn>
    <tableColumn id="16" name="Basic Allowance" totalsRowFunction="custom" dataDxfId="10275" totalsRowDxfId="10274">
      <totalsRowFormula>AVERAGE(Table110312[Basic Allowance])</totalsRowFormula>
    </tableColumn>
    <tableColumn id="43" name="BsmtVal" dataDxfId="10273" totalsRowDxfId="10272"/>
    <tableColumn id="46" name="Bsmt SqFt" dataDxfId="10271" totalsRowDxfId="10270"/>
    <tableColumn id="2" name="BsmtVal/Sq Ft" dataDxfId="10269" totalsRowDxfId="10268">
      <calculatedColumnFormula>E112/F112</calculatedColumnFormula>
    </tableColumn>
    <tableColumn id="17" name="Bsmt % Base" totalsRowFunction="custom" dataDxfId="10267" totalsRowDxfId="10266">
      <calculatedColumnFormula>G112/C112</calculatedColumnFormula>
      <totalsRowFormula>AVERAGE(Table110312[Bsmt % Base])</totalsRowFormula>
    </tableColumn>
    <tableColumn id="30" name="UnfBsmtVal" dataDxfId="10265" totalsRowDxfId="10264"/>
    <tableColumn id="47" name="UnfBsmt Sq Ft" dataDxfId="10263" totalsRowDxfId="10262"/>
    <tableColumn id="3" name="UnfBsmtVal/SqFt" dataDxfId="10261" totalsRowDxfId="10260">
      <calculatedColumnFormula>I112/J112</calculatedColumnFormula>
    </tableColumn>
    <tableColumn id="44" name="UnfBsmt % Base" totalsRowFunction="custom" dataDxfId="10259" totalsRowDxfId="10258">
      <calculatedColumnFormula>K112/C112</calculatedColumnFormula>
      <totalsRowFormula>AVERAGE(Table110312[[#Headers],[#Data],[UnfBsmt % Base]])</totalsRowFormula>
    </tableColumn>
    <tableColumn id="31" name="Lower Value" dataDxfId="10257" totalsRowDxfId="10256"/>
    <tableColumn id="48" name="Lower Sq Ft" dataDxfId="10255" totalsRowDxfId="10254"/>
    <tableColumn id="4" name="LowerVal/SqFt" totalsRowFunction="custom" dataDxfId="10253" totalsRowDxfId="10252">
      <calculatedColumnFormula>M112/N112</calculatedColumnFormula>
      <totalsRowFormula>AVERAGE(Table110312[LowerVal/SqFt])</totalsRowFormula>
    </tableColumn>
    <tableColumn id="32" name="Lower % Base" totalsRowFunction="custom" dataDxfId="10251" totalsRowDxfId="10250">
      <calculatedColumnFormula>O112/C112</calculatedColumnFormula>
      <totalsRowFormula>AVERAGE(Table110312[Lower % Base])</totalsRowFormula>
    </tableColumn>
    <tableColumn id="19" name="Unf Lower Value" dataDxfId="10249" totalsRowDxfId="10248"/>
    <tableColumn id="49" name="UnfLower Sq Ft" dataDxfId="10247" totalsRowDxfId="10246"/>
    <tableColumn id="14" name="UnfLowVal/SqFt2" dataDxfId="10245" totalsRowDxfId="10244">
      <calculatedColumnFormula>Q112/R112</calculatedColumnFormula>
    </tableColumn>
    <tableColumn id="33" name="Unf Lower % Base" totalsRowFunction="custom" dataDxfId="10243" totalsRowDxfId="10242">
      <calculatedColumnFormula>S112/C112</calculatedColumnFormula>
      <totalsRowFormula>AVERAGE(Table110312[Unf Lower % Base])</totalsRowFormula>
    </tableColumn>
    <tableColumn id="20" name="1/2 Story Value" dataDxfId="10241" totalsRowDxfId="10240"/>
    <tableColumn id="50" name="1/2 Story Sq Ft" dataDxfId="10239" totalsRowDxfId="10238"/>
    <tableColumn id="5" name="1/2 StoryVal/SqFt" dataDxfId="10237" totalsRowDxfId="10236">
      <calculatedColumnFormula>U112/V112</calculatedColumnFormula>
    </tableColumn>
    <tableColumn id="34" name="1/2 Story % Base" totalsRowFunction="custom" dataDxfId="10235" totalsRowDxfId="10234">
      <calculatedColumnFormula>W112/C112</calculatedColumnFormula>
      <totalsRowFormula>AVERAGE(Table110312[1/2 Story % Base])</totalsRowFormula>
    </tableColumn>
    <tableColumn id="21" name="2nd Story Value" dataDxfId="10233" totalsRowDxfId="10232"/>
    <tableColumn id="51" name="2nd Sty Sq Ft" dataDxfId="10231" totalsRowDxfId="10230"/>
    <tableColumn id="6" name="2ndStyVal/Sqft" dataDxfId="10229" totalsRowDxfId="10228">
      <calculatedColumnFormula>Y112/Z112</calculatedColumnFormula>
    </tableColumn>
    <tableColumn id="35" name="2nd Story % Base" totalsRowFunction="custom" dataDxfId="10227" totalsRowDxfId="10226">
      <calculatedColumnFormula>AA112/C112</calculatedColumnFormula>
      <totalsRowFormula>AVERAGE(Table110312[2nd Story % Base])</totalsRowFormula>
    </tableColumn>
    <tableColumn id="22" name="Att Gar Value" dataDxfId="10225" totalsRowDxfId="10224"/>
    <tableColumn id="52" name="Att Gar Sq Ft" dataDxfId="10223" totalsRowDxfId="10222"/>
    <tableColumn id="7" name="AttGarVal/SqFt" totalsRowFunction="custom" dataDxfId="10221" totalsRowDxfId="10220">
      <calculatedColumnFormula>AC112/AD112</calculatedColumnFormula>
      <totalsRowFormula>AVERAGE(Table110312[AttGarVal/SqFt])</totalsRowFormula>
    </tableColumn>
    <tableColumn id="36" name="Att Gar % Base" totalsRowFunction="custom" dataDxfId="10219" totalsRowDxfId="10218">
      <calculatedColumnFormula>AE112/C112</calculatedColumnFormula>
      <totalsRowFormula>AVERAGE(Table110312[Att Gar % Base])</totalsRowFormula>
    </tableColumn>
    <tableColumn id="23" name="Porch Value" dataDxfId="10217" totalsRowDxfId="10216"/>
    <tableColumn id="53" name="Porch Sq Ft" dataDxfId="10215" totalsRowDxfId="10214"/>
    <tableColumn id="8" name="PorchVal/SqFt" dataDxfId="10213" totalsRowDxfId="10212">
      <calculatedColumnFormula>AG112/AH112</calculatedColumnFormula>
    </tableColumn>
    <tableColumn id="37" name="Porch % Base" totalsRowFunction="custom" dataDxfId="10211" totalsRowDxfId="10210">
      <calculatedColumnFormula>AI112/C112</calculatedColumnFormula>
      <totalsRowFormula>AVERAGE(Table110312[Porch % Base])</totalsRowFormula>
    </tableColumn>
    <tableColumn id="24" name="Cov Porch Value" dataDxfId="10209" totalsRowDxfId="10208"/>
    <tableColumn id="54" name="Cov Porch Sq Ft" dataDxfId="10207" totalsRowDxfId="10206"/>
    <tableColumn id="9" name="CovPrVal/SqFt" dataDxfId="10205" totalsRowDxfId="10204">
      <calculatedColumnFormula>AK112/AL112</calculatedColumnFormula>
    </tableColumn>
    <tableColumn id="38" name="Cov Porch % Base" totalsRowFunction="custom" dataDxfId="10203" totalsRowDxfId="10202">
      <calculatedColumnFormula>AM112/C112</calculatedColumnFormula>
      <totalsRowFormula>AVERAGE(Table110312[Cov Porch % Base])</totalsRowFormula>
    </tableColumn>
    <tableColumn id="25" name="Deck Value" dataDxfId="10201" totalsRowDxfId="10200"/>
    <tableColumn id="55" name="Deck Sq Ft" dataDxfId="10199" totalsRowDxfId="10198"/>
    <tableColumn id="10" name="DeckVal/SqFt" dataDxfId="10197" totalsRowDxfId="10196">
      <calculatedColumnFormula>AO112/AP112</calculatedColumnFormula>
    </tableColumn>
    <tableColumn id="39" name="Deck % Base" totalsRowFunction="custom" dataDxfId="10195" totalsRowDxfId="10194">
      <calculatedColumnFormula>AQ112/C112</calculatedColumnFormula>
      <totalsRowFormula>AVERAGE(Table110312[Deck % Base])</totalsRowFormula>
    </tableColumn>
    <tableColumn id="26" name="Cov Deck Value" dataDxfId="10193" totalsRowDxfId="10192"/>
    <tableColumn id="56" name="CovDeck Sq Ft" dataDxfId="10191" totalsRowDxfId="10190"/>
    <tableColumn id="11" name="CovDeckVal/SqFt" totalsRowFunction="custom" dataDxfId="10189" totalsRowDxfId="10188">
      <calculatedColumnFormula>AS112/AT112</calculatedColumnFormula>
      <totalsRowFormula>AVERAGE(Table110312[CovDeckVal/SqFt])</totalsRowFormula>
    </tableColumn>
    <tableColumn id="40" name="CovDeck % Base" totalsRowFunction="custom" dataDxfId="10187" totalsRowDxfId="10186">
      <calculatedColumnFormula>AU112/C112</calculatedColumnFormula>
      <totalsRowFormula>AVERAGE(Table110312[CovDeck % Base])</totalsRowFormula>
    </tableColumn>
    <tableColumn id="27" name="CarP Value" dataDxfId="10185" totalsRowDxfId="10184"/>
    <tableColumn id="57" name="CarP Sq Ft" dataDxfId="10183" totalsRowDxfId="10182"/>
    <tableColumn id="12" name="CarPVal/SqFt" dataDxfId="10181" totalsRowDxfId="10180">
      <calculatedColumnFormula>AW112/AX112</calculatedColumnFormula>
    </tableColumn>
    <tableColumn id="41" name="CarP % Base" totalsRowFunction="custom" dataDxfId="10179" totalsRowDxfId="10178">
      <calculatedColumnFormula>AY112/C112</calculatedColumnFormula>
      <totalsRowFormula>AVERAGE(Table110312[CarP % Base])</totalsRowFormula>
    </tableColumn>
    <tableColumn id="28" name="EFP Value" dataDxfId="10177" totalsRowDxfId="10176"/>
    <tableColumn id="58" name="EFP Sq Ft" dataDxfId="10175" totalsRowDxfId="10174"/>
    <tableColumn id="15" name="EFPVal/SqFt" dataDxfId="10173" totalsRowDxfId="10172">
      <calculatedColumnFormula>BA112/BB112</calculatedColumnFormula>
    </tableColumn>
    <tableColumn id="29" name="EFP % Base" totalsRowFunction="custom" dataDxfId="10171" totalsRowDxfId="10170">
      <calculatedColumnFormula>BC112/C112</calculatedColumnFormula>
      <totalsRowFormula>AVERAGE(Table110312[EFP % Base])</totalsRow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id="12" name="Table110413" displayName="Table110413" ref="A123:BD131" totalsRowCount="1" headerRowDxfId="10169">
  <tableColumns count="56">
    <tableColumn id="1" name="  Grade" dataDxfId="10168" totalsRowDxfId="10167"/>
    <tableColumn id="13" name="Main Area $" dataDxfId="10166" totalsRowDxfId="10165"/>
    <tableColumn id="45" name="MA $/Sq Ft" totalsRowFunction="custom" dataDxfId="10164" totalsRowDxfId="10163">
      <calculatedColumnFormula>B124/F121</calculatedColumnFormula>
      <totalsRowFormula>AVERAGE(Table110413[MA $/Sq Ft])</totalsRowFormula>
    </tableColumn>
    <tableColumn id="16" name="Basic Allowance" totalsRowFunction="custom" dataDxfId="10162" totalsRowDxfId="10161">
      <totalsRowFormula>AVERAGE(Table110413[Basic Allowance])</totalsRowFormula>
    </tableColumn>
    <tableColumn id="43" name="BsmtVal" dataDxfId="10160" totalsRowDxfId="10159"/>
    <tableColumn id="46" name="Bsmt SqFt" dataDxfId="10158" totalsRowDxfId="10157"/>
    <tableColumn id="2" name="BsmtVal/Sq Ft" dataDxfId="10156" totalsRowDxfId="10155">
      <calculatedColumnFormula>E124/F124</calculatedColumnFormula>
    </tableColumn>
    <tableColumn id="17" name="Bsmt % Base" totalsRowFunction="custom" dataDxfId="10154" totalsRowDxfId="10153">
      <calculatedColumnFormula>G124/C124</calculatedColumnFormula>
      <totalsRowFormula>AVERAGE(Table110413[Bsmt % Base])</totalsRowFormula>
    </tableColumn>
    <tableColumn id="30" name="UnfBsmtVal" dataDxfId="10152" totalsRowDxfId="10151"/>
    <tableColumn id="47" name="UnfBsmt Sq Ft" dataDxfId="10150" totalsRowDxfId="10149"/>
    <tableColumn id="3" name="UnfBsmtVal/SqFt" dataDxfId="10148" totalsRowDxfId="10147">
      <calculatedColumnFormula>I124/J124</calculatedColumnFormula>
    </tableColumn>
    <tableColumn id="44" name="UnfBsmt % Base" totalsRowFunction="custom" dataDxfId="10146" totalsRowDxfId="10145">
      <calculatedColumnFormula>K124/C124</calculatedColumnFormula>
      <totalsRowFormula>AVERAGE(Table110413[[#Headers],[#Data],[UnfBsmt % Base]])</totalsRowFormula>
    </tableColumn>
    <tableColumn id="31" name="Lower Value" dataDxfId="10144" totalsRowDxfId="10143"/>
    <tableColumn id="48" name="Lower Sq Ft" dataDxfId="10142" totalsRowDxfId="10141"/>
    <tableColumn id="4" name="LowerVal/SqFt" totalsRowFunction="custom" dataDxfId="10140" totalsRowDxfId="10139">
      <calculatedColumnFormula>M124/N124</calculatedColumnFormula>
      <totalsRowFormula>AVERAGE(Table110413[LowerVal/SqFt])</totalsRowFormula>
    </tableColumn>
    <tableColumn id="32" name="Lower % Base" totalsRowFunction="custom" dataDxfId="10138" totalsRowDxfId="10137">
      <calculatedColumnFormula>O124/C124</calculatedColumnFormula>
      <totalsRowFormula>AVERAGE(Table110413[Lower % Base])</totalsRowFormula>
    </tableColumn>
    <tableColumn id="19" name="Unf Lower Value" dataDxfId="10136" totalsRowDxfId="10135"/>
    <tableColumn id="49" name="UnfLower Sq Ft" dataDxfId="10134" totalsRowDxfId="10133"/>
    <tableColumn id="14" name="UnfLowVal/SqFt2" dataDxfId="10132" totalsRowDxfId="10131">
      <calculatedColumnFormula>Q124/R124</calculatedColumnFormula>
    </tableColumn>
    <tableColumn id="33" name="Unf Lower % Base" totalsRowFunction="custom" dataDxfId="10130" totalsRowDxfId="10129">
      <calculatedColumnFormula>S124/C124</calculatedColumnFormula>
      <totalsRowFormula>AVERAGE(Table110413[Unf Lower % Base])</totalsRowFormula>
    </tableColumn>
    <tableColumn id="20" name="1/2 Story Value" dataDxfId="10128" totalsRowDxfId="10127"/>
    <tableColumn id="50" name="1/2 Story Sq Ft" dataDxfId="10126" totalsRowDxfId="10125"/>
    <tableColumn id="5" name="1/2 StoryVal/SqFt" dataDxfId="10124" totalsRowDxfId="10123">
      <calculatedColumnFormula>U124/V124</calculatedColumnFormula>
    </tableColumn>
    <tableColumn id="34" name="1/2 Story % Base" totalsRowFunction="custom" dataDxfId="10122" totalsRowDxfId="10121">
      <calculatedColumnFormula>W124/C124</calculatedColumnFormula>
      <totalsRowFormula>AVERAGE(Table110413[1/2 Story % Base])</totalsRowFormula>
    </tableColumn>
    <tableColumn id="21" name="2nd Story Value" dataDxfId="10120" totalsRowDxfId="10119"/>
    <tableColumn id="51" name="2nd Sty Sq Ft" dataDxfId="10118" totalsRowDxfId="10117"/>
    <tableColumn id="6" name="2ndStyVal/Sqft" dataDxfId="10116" totalsRowDxfId="10115">
      <calculatedColumnFormula>Y124/Z124</calculatedColumnFormula>
    </tableColumn>
    <tableColumn id="35" name="2nd Story % Base" totalsRowFunction="custom" dataDxfId="10114" totalsRowDxfId="10113">
      <calculatedColumnFormula>AA124/C124</calculatedColumnFormula>
      <totalsRowFormula>AVERAGE(Table110413[2nd Story % Base])</totalsRowFormula>
    </tableColumn>
    <tableColumn id="22" name="Att Gar Value" dataDxfId="10112" totalsRowDxfId="10111"/>
    <tableColumn id="52" name="Att Gar Sq Ft" dataDxfId="10110" totalsRowDxfId="10109"/>
    <tableColumn id="7" name="AttGarVal/SqFt" totalsRowFunction="custom" dataDxfId="10108" totalsRowDxfId="10107">
      <calculatedColumnFormula>AC124/AD124</calculatedColumnFormula>
      <totalsRowFormula>AVERAGE(Table110413[AttGarVal/SqFt])</totalsRowFormula>
    </tableColumn>
    <tableColumn id="36" name="Att Gar % Base" totalsRowFunction="custom" dataDxfId="10106" totalsRowDxfId="10105">
      <calculatedColumnFormula>AE124/C124</calculatedColumnFormula>
      <totalsRowFormula>AVERAGE(Table110413[Att Gar % Base])</totalsRowFormula>
    </tableColumn>
    <tableColumn id="23" name="Porch Value" dataDxfId="10104" totalsRowDxfId="10103"/>
    <tableColumn id="53" name="Porch Sq Ft" dataDxfId="10102" totalsRowDxfId="10101"/>
    <tableColumn id="8" name="PorchVal/SqFt" dataDxfId="10100" totalsRowDxfId="10099">
      <calculatedColumnFormula>AG124/AH124</calculatedColumnFormula>
    </tableColumn>
    <tableColumn id="37" name="Porch % Base" totalsRowFunction="custom" dataDxfId="10098" totalsRowDxfId="10097">
      <calculatedColumnFormula>AI124/C124</calculatedColumnFormula>
      <totalsRowFormula>AVERAGE(Table110413[Porch % Base])</totalsRowFormula>
    </tableColumn>
    <tableColumn id="24" name="Cov Porch Value" dataDxfId="10096" totalsRowDxfId="10095"/>
    <tableColumn id="54" name="Cov Porch Sq Ft" dataDxfId="10094" totalsRowDxfId="10093"/>
    <tableColumn id="9" name="CovPrVal/SqFt" dataDxfId="10092" totalsRowDxfId="10091">
      <calculatedColumnFormula>AK124/AL124</calculatedColumnFormula>
    </tableColumn>
    <tableColumn id="38" name="Cov Porch % Base" totalsRowFunction="custom" dataDxfId="10090" totalsRowDxfId="10089">
      <calculatedColumnFormula>AM124/C124</calculatedColumnFormula>
      <totalsRowFormula>AVERAGE(Table110413[Cov Porch % Base])</totalsRowFormula>
    </tableColumn>
    <tableColumn id="25" name="Deck Value" dataDxfId="10088" totalsRowDxfId="10087"/>
    <tableColumn id="55" name="Deck Sq Ft" dataDxfId="10086" totalsRowDxfId="10085"/>
    <tableColumn id="10" name="DeckVal/SqFt" dataDxfId="10084" totalsRowDxfId="10083">
      <calculatedColumnFormula>AO124/AP124</calculatedColumnFormula>
    </tableColumn>
    <tableColumn id="39" name="Deck % Base" totalsRowFunction="custom" dataDxfId="10082" totalsRowDxfId="10081">
      <calculatedColumnFormula>AQ124/C124</calculatedColumnFormula>
      <totalsRowFormula>AVERAGE(Table110413[Deck % Base])</totalsRowFormula>
    </tableColumn>
    <tableColumn id="26" name="Cov Deck Value" dataDxfId="10080" totalsRowDxfId="10079"/>
    <tableColumn id="56" name="CovDeck Sq Ft" dataDxfId="10078" totalsRowDxfId="10077"/>
    <tableColumn id="11" name="CovDeckVal/SqFt" totalsRowFunction="custom" dataDxfId="10076" totalsRowDxfId="10075">
      <calculatedColumnFormula>AS124/AT124</calculatedColumnFormula>
      <totalsRowFormula>AVERAGE(Table110413[CovDeckVal/SqFt])</totalsRowFormula>
    </tableColumn>
    <tableColumn id="40" name="CovDeck % Base" totalsRowFunction="custom" dataDxfId="10074" totalsRowDxfId="10073">
      <calculatedColumnFormula>AU124/C124</calculatedColumnFormula>
      <totalsRowFormula>AVERAGE(Table110413[CovDeck % Base])</totalsRowFormula>
    </tableColumn>
    <tableColumn id="27" name="CarP Value" dataDxfId="10072" totalsRowDxfId="10071"/>
    <tableColumn id="57" name="CarP Sq Ft" dataDxfId="10070" totalsRowDxfId="10069"/>
    <tableColumn id="12" name="CarPVal/SqFt" dataDxfId="10068" totalsRowDxfId="10067">
      <calculatedColumnFormula>AW124/AX124</calculatedColumnFormula>
    </tableColumn>
    <tableColumn id="41" name="CarP % Base" totalsRowFunction="custom" dataDxfId="10066" totalsRowDxfId="10065">
      <calculatedColumnFormula>AY124/C124</calculatedColumnFormula>
      <totalsRowFormula>AVERAGE(Table110413[CarP % Base])</totalsRowFormula>
    </tableColumn>
    <tableColumn id="28" name="EFP Value" dataDxfId="10064" totalsRowDxfId="10063"/>
    <tableColumn id="58" name="EFP Sq Ft" dataDxfId="10062" totalsRowDxfId="10061"/>
    <tableColumn id="15" name="EFPVal/SqFt" dataDxfId="10060" totalsRowDxfId="10059">
      <calculatedColumnFormula>BA124/BB124</calculatedColumnFormula>
    </tableColumn>
    <tableColumn id="29" name="EFP % Base" totalsRowFunction="custom" dataDxfId="10058" totalsRowDxfId="10057">
      <calculatedColumnFormula>BC124/C124</calculatedColumnFormula>
      <totalsRowFormula>AVERAGE(Table110413[EFP % Base])</totalsRow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id="13" name="Table110514" displayName="Table110514" ref="A135:BD143" totalsRowCount="1" headerRowDxfId="10056">
  <tableColumns count="56">
    <tableColumn id="1" name="  Grade" dataDxfId="10055" totalsRowDxfId="10054"/>
    <tableColumn id="13" name="Main Area $" dataDxfId="10053" totalsRowDxfId="10052"/>
    <tableColumn id="45" name="MA $/Sq Ft" totalsRowFunction="custom" dataDxfId="10051" totalsRowDxfId="10050">
      <calculatedColumnFormula>B136/F133</calculatedColumnFormula>
      <totalsRowFormula>AVERAGE(Table110514[MA $/Sq Ft])</totalsRowFormula>
    </tableColumn>
    <tableColumn id="16" name="Basic Allowance" totalsRowFunction="custom" dataDxfId="10049" totalsRowDxfId="10048">
      <totalsRowFormula>AVERAGE(Table110514[Basic Allowance])</totalsRowFormula>
    </tableColumn>
    <tableColumn id="43" name="BsmtVal" dataDxfId="10047" totalsRowDxfId="10046"/>
    <tableColumn id="46" name="Bsmt SqFt" dataDxfId="10045" totalsRowDxfId="10044"/>
    <tableColumn id="2" name="BsmtVal/Sq Ft" dataDxfId="10043" totalsRowDxfId="10042">
      <calculatedColumnFormula>E136/F136</calculatedColumnFormula>
    </tableColumn>
    <tableColumn id="17" name="Bsmt % Base" totalsRowFunction="custom" dataDxfId="10041" totalsRowDxfId="10040">
      <calculatedColumnFormula>G136/C136</calculatedColumnFormula>
      <totalsRowFormula>AVERAGE(Table110514[Bsmt % Base])</totalsRowFormula>
    </tableColumn>
    <tableColumn id="30" name="UnfBsmtVal" dataDxfId="10039" totalsRowDxfId="10038"/>
    <tableColumn id="47" name="UnfBsmt Sq Ft" dataDxfId="10037" totalsRowDxfId="10036"/>
    <tableColumn id="3" name="UnfBsmtVal/SqFt" dataDxfId="10035" totalsRowDxfId="10034">
      <calculatedColumnFormula>I136/J136</calculatedColumnFormula>
    </tableColumn>
    <tableColumn id="44" name="UnfBsmt % Base" totalsRowFunction="custom" dataDxfId="10033" totalsRowDxfId="10032">
      <calculatedColumnFormula>K136/C136</calculatedColumnFormula>
      <totalsRowFormula>AVERAGE(Table110514[[#Headers],[#Data],[UnfBsmt % Base]])</totalsRowFormula>
    </tableColumn>
    <tableColumn id="31" name="Lower Value" dataDxfId="10031" totalsRowDxfId="10030"/>
    <tableColumn id="48" name="Lower Sq Ft" dataDxfId="10029" totalsRowDxfId="10028"/>
    <tableColumn id="4" name="LowerVal/SqFt" totalsRowFunction="custom" dataDxfId="10027" totalsRowDxfId="10026">
      <calculatedColumnFormula>M136/N136</calculatedColumnFormula>
      <totalsRowFormula>AVERAGE(Table110514[LowerVal/SqFt])</totalsRowFormula>
    </tableColumn>
    <tableColumn id="32" name="Lower % Base" totalsRowFunction="custom" dataDxfId="10025" totalsRowDxfId="10024">
      <calculatedColumnFormula>O136/C136</calculatedColumnFormula>
      <totalsRowFormula>AVERAGE(Table110514[Lower % Base])</totalsRowFormula>
    </tableColumn>
    <tableColumn id="19" name="Unf Lower Value" dataDxfId="10023" totalsRowDxfId="10022"/>
    <tableColumn id="49" name="UnfLower Sq Ft" dataDxfId="10021" totalsRowDxfId="10020"/>
    <tableColumn id="14" name="UnfLowVal/SqFt2" dataDxfId="10019" totalsRowDxfId="10018">
      <calculatedColumnFormula>Q136/R136</calculatedColumnFormula>
    </tableColumn>
    <tableColumn id="33" name="Unf Lower % Base" totalsRowFunction="custom" dataDxfId="10017" totalsRowDxfId="10016">
      <calculatedColumnFormula>S136/C136</calculatedColumnFormula>
      <totalsRowFormula>AVERAGE(Table110514[Unf Lower % Base])</totalsRowFormula>
    </tableColumn>
    <tableColumn id="20" name="1/2 Story Value" dataDxfId="10015" totalsRowDxfId="10014"/>
    <tableColumn id="50" name="1/2 Story Sq Ft" dataDxfId="10013" totalsRowDxfId="10012"/>
    <tableColumn id="5" name="1/2 StoryVal/SqFt" dataDxfId="10011" totalsRowDxfId="10010">
      <calculatedColumnFormula>U136/V136</calculatedColumnFormula>
    </tableColumn>
    <tableColumn id="34" name="1/2 Story % Base" totalsRowFunction="custom" dataDxfId="10009" totalsRowDxfId="10008">
      <calculatedColumnFormula>W136/C136</calculatedColumnFormula>
      <totalsRowFormula>AVERAGE(Table110514[1/2 Story % Base])</totalsRowFormula>
    </tableColumn>
    <tableColumn id="21" name="2nd Story Value" dataDxfId="10007" totalsRowDxfId="10006"/>
    <tableColumn id="51" name="2nd Sty Sq Ft" dataDxfId="10005" totalsRowDxfId="10004"/>
    <tableColumn id="6" name="2ndStyVal/Sqft" dataDxfId="10003" totalsRowDxfId="10002">
      <calculatedColumnFormula>Y136/Z136</calculatedColumnFormula>
    </tableColumn>
    <tableColumn id="35" name="2nd Story % Base" totalsRowFunction="custom" dataDxfId="10001" totalsRowDxfId="10000">
      <calculatedColumnFormula>AA136/C136</calculatedColumnFormula>
      <totalsRowFormula>AVERAGE(Table110514[2nd Story % Base])</totalsRowFormula>
    </tableColumn>
    <tableColumn id="22" name="Att Gar Value" dataDxfId="9999" totalsRowDxfId="9998"/>
    <tableColumn id="52" name="Att Gar Sq Ft" dataDxfId="9997" totalsRowDxfId="9996"/>
    <tableColumn id="7" name="AttGarVal/SqFt" totalsRowFunction="custom" dataDxfId="9995" totalsRowDxfId="9994">
      <calculatedColumnFormula>AC136/AD136</calculatedColumnFormula>
      <totalsRowFormula>AVERAGE(Table110514[AttGarVal/SqFt])</totalsRowFormula>
    </tableColumn>
    <tableColumn id="36" name="Att Gar % Base" totalsRowFunction="custom" dataDxfId="9993" totalsRowDxfId="9992">
      <calculatedColumnFormula>AE136/C136</calculatedColumnFormula>
      <totalsRowFormula>AVERAGE(Table110514[Att Gar % Base])</totalsRowFormula>
    </tableColumn>
    <tableColumn id="23" name="Porch Value" dataDxfId="9991" totalsRowDxfId="9990"/>
    <tableColumn id="53" name="Porch Sq Ft" dataDxfId="9989" totalsRowDxfId="9988"/>
    <tableColumn id="8" name="PorchVal/SqFt" dataDxfId="9987" totalsRowDxfId="9986">
      <calculatedColumnFormula>AG136/AH136</calculatedColumnFormula>
    </tableColumn>
    <tableColumn id="37" name="Porch % Base" totalsRowFunction="custom" dataDxfId="9985" totalsRowDxfId="9984">
      <calculatedColumnFormula>AI136/C136</calculatedColumnFormula>
      <totalsRowFormula>AVERAGE(Table110514[Porch % Base])</totalsRowFormula>
    </tableColumn>
    <tableColumn id="24" name="Cov Porch Value" dataDxfId="9983" totalsRowDxfId="9982"/>
    <tableColumn id="54" name="Cov Porch Sq Ft" dataDxfId="9981" totalsRowDxfId="9980"/>
    <tableColumn id="9" name="CovPrVal/SqFt" dataDxfId="9979" totalsRowDxfId="9978">
      <calculatedColumnFormula>AK136/AL136</calculatedColumnFormula>
    </tableColumn>
    <tableColumn id="38" name="Cov Porch % Base" totalsRowFunction="custom" dataDxfId="9977" totalsRowDxfId="9976">
      <calculatedColumnFormula>AM136/C136</calculatedColumnFormula>
      <totalsRowFormula>AVERAGE(Table110514[Cov Porch % Base])</totalsRowFormula>
    </tableColumn>
    <tableColumn id="25" name="Deck Value" dataDxfId="9975" totalsRowDxfId="9974"/>
    <tableColumn id="55" name="Deck Sq Ft" dataDxfId="9973" totalsRowDxfId="9972"/>
    <tableColumn id="10" name="DeckVal/SqFt" dataDxfId="9971" totalsRowDxfId="9970">
      <calculatedColumnFormula>AO136/AP136</calculatedColumnFormula>
    </tableColumn>
    <tableColumn id="39" name="Deck % Base" totalsRowFunction="custom" dataDxfId="9969" totalsRowDxfId="9968">
      <calculatedColumnFormula>AQ136/C136</calculatedColumnFormula>
      <totalsRowFormula>AVERAGE(Table110514[Deck % Base])</totalsRowFormula>
    </tableColumn>
    <tableColumn id="26" name="Cov Deck Value" dataDxfId="9967" totalsRowDxfId="9966"/>
    <tableColumn id="56" name="CovDeck Sq Ft" dataDxfId="9965" totalsRowDxfId="9964"/>
    <tableColumn id="11" name="CovDeckVal/SqFt" totalsRowFunction="custom" dataDxfId="9963" totalsRowDxfId="9962">
      <calculatedColumnFormula>AS136/AT136</calculatedColumnFormula>
      <totalsRowFormula>AVERAGE(Table110514[CovDeckVal/SqFt])</totalsRowFormula>
    </tableColumn>
    <tableColumn id="40" name="CovDeck % Base" totalsRowFunction="custom" dataDxfId="9961" totalsRowDxfId="9960">
      <calculatedColumnFormula>AU136/C136</calculatedColumnFormula>
      <totalsRowFormula>AVERAGE(Table110514[CovDeck % Base])</totalsRowFormula>
    </tableColumn>
    <tableColumn id="27" name="CarP Value" dataDxfId="9959" totalsRowDxfId="9958"/>
    <tableColumn id="57" name="CarP Sq Ft" dataDxfId="9957" totalsRowDxfId="9956"/>
    <tableColumn id="12" name="CarPVal/SqFt" dataDxfId="9955" totalsRowDxfId="9954">
      <calculatedColumnFormula>AW136/AX136</calculatedColumnFormula>
    </tableColumn>
    <tableColumn id="41" name="CarP % Base" totalsRowFunction="custom" dataDxfId="9953" totalsRowDxfId="9952">
      <calculatedColumnFormula>AY136/C136</calculatedColumnFormula>
      <totalsRowFormula>AVERAGE(Table110514[CarP % Base])</totalsRowFormula>
    </tableColumn>
    <tableColumn id="28" name="EFP Value" dataDxfId="9951" totalsRowDxfId="9950"/>
    <tableColumn id="58" name="EFP Sq Ft" dataDxfId="9949" totalsRowDxfId="9948"/>
    <tableColumn id="15" name="EFPVal/SqFt" dataDxfId="9947" totalsRowDxfId="9946">
      <calculatedColumnFormula>BA136/BB136</calculatedColumnFormula>
    </tableColumn>
    <tableColumn id="29" name="EFP % Base" totalsRowFunction="custom" dataDxfId="9945" totalsRowDxfId="9944">
      <calculatedColumnFormula>BC136/C136</calculatedColumnFormula>
      <totalsRowFormula>AVERAGE(Table110514[EFP % Base])</totalsRow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id="14" name="Table110615" displayName="Table110615" ref="A147:BD155" totalsRowCount="1" headerRowDxfId="9943">
  <tableColumns count="56">
    <tableColumn id="1" name="  Grade" dataDxfId="9942" totalsRowDxfId="9941"/>
    <tableColumn id="13" name="Main Area $" dataDxfId="9940" totalsRowDxfId="9939"/>
    <tableColumn id="45" name="MA $/Sq Ft" totalsRowFunction="custom" dataDxfId="9938" totalsRowDxfId="9937">
      <calculatedColumnFormula>B148/F145</calculatedColumnFormula>
      <totalsRowFormula>AVERAGE(Table110615[MA $/Sq Ft])</totalsRowFormula>
    </tableColumn>
    <tableColumn id="16" name="Basic Allowance" totalsRowFunction="custom" dataDxfId="9936" totalsRowDxfId="9935">
      <totalsRowFormula>AVERAGE(Table110615[Basic Allowance])</totalsRowFormula>
    </tableColumn>
    <tableColumn id="43" name="BsmtVal" dataDxfId="9934" totalsRowDxfId="9933"/>
    <tableColumn id="46" name="Bsmt SqFt" dataDxfId="9932" totalsRowDxfId="9931"/>
    <tableColumn id="2" name="BsmtVal/Sq Ft" dataDxfId="9930" totalsRowDxfId="9929">
      <calculatedColumnFormula>E148/F148</calculatedColumnFormula>
    </tableColumn>
    <tableColumn id="17" name="Bsmt % Base" totalsRowFunction="custom" dataDxfId="9928" totalsRowDxfId="9927">
      <calculatedColumnFormula>G148/C148</calculatedColumnFormula>
      <totalsRowFormula>AVERAGE(Table110615[Bsmt % Base])</totalsRowFormula>
    </tableColumn>
    <tableColumn id="30" name="UnfBsmtVal" dataDxfId="9926" totalsRowDxfId="9925"/>
    <tableColumn id="47" name="UnfBsmt Sq Ft" dataDxfId="9924" totalsRowDxfId="9923"/>
    <tableColumn id="3" name="UnfBsmtVal/SqFt" dataDxfId="9922" totalsRowDxfId="9921">
      <calculatedColumnFormula>I148/J148</calculatedColumnFormula>
    </tableColumn>
    <tableColumn id="44" name="UnfBsmt % Base" totalsRowFunction="custom" dataDxfId="9920" totalsRowDxfId="9919">
      <calculatedColumnFormula>K148/C148</calculatedColumnFormula>
      <totalsRowFormula>AVERAGE(Table110615[[#Headers],[#Data],[UnfBsmt % Base]])</totalsRowFormula>
    </tableColumn>
    <tableColumn id="31" name="Lower Value" dataDxfId="9918" totalsRowDxfId="9917"/>
    <tableColumn id="48" name="Lower Sq Ft" dataDxfId="9916" totalsRowDxfId="9915"/>
    <tableColumn id="4" name="LowerVal/SqFt" totalsRowFunction="custom" dataDxfId="9914" totalsRowDxfId="9913">
      <calculatedColumnFormula>M148/N148</calculatedColumnFormula>
      <totalsRowFormula>AVERAGE(Table110615[LowerVal/SqFt])</totalsRowFormula>
    </tableColumn>
    <tableColumn id="32" name="Lower % Base" totalsRowFunction="custom" dataDxfId="9912" totalsRowDxfId="9911">
      <calculatedColumnFormula>O148/C148</calculatedColumnFormula>
      <totalsRowFormula>AVERAGE(Table110615[Lower % Base])</totalsRowFormula>
    </tableColumn>
    <tableColumn id="19" name="Unf Lower Value" dataDxfId="9910" totalsRowDxfId="9909"/>
    <tableColumn id="49" name="UnfLower Sq Ft" dataDxfId="9908" totalsRowDxfId="9907"/>
    <tableColumn id="14" name="UnfLowVal/SqFt2" dataDxfId="9906" totalsRowDxfId="9905">
      <calculatedColumnFormula>Q148/R148</calculatedColumnFormula>
    </tableColumn>
    <tableColumn id="33" name="Unf Lower % Base" totalsRowFunction="custom" dataDxfId="9904" totalsRowDxfId="9903">
      <calculatedColumnFormula>S148/C148</calculatedColumnFormula>
      <totalsRowFormula>AVERAGE(Table110615[Unf Lower % Base])</totalsRowFormula>
    </tableColumn>
    <tableColumn id="20" name="1/2 Story Value" dataDxfId="9902" totalsRowDxfId="9901"/>
    <tableColumn id="50" name="1/2 Story Sq Ft" dataDxfId="9900" totalsRowDxfId="9899"/>
    <tableColumn id="5" name="1/2 StoryVal/SqFt" dataDxfId="9898" totalsRowDxfId="9897">
      <calculatedColumnFormula>U148/V148</calculatedColumnFormula>
    </tableColumn>
    <tableColumn id="34" name="1/2 Story % Base" totalsRowFunction="custom" dataDxfId="9896" totalsRowDxfId="9895">
      <calculatedColumnFormula>W148/C148</calculatedColumnFormula>
      <totalsRowFormula>AVERAGE(Table110615[1/2 Story % Base])</totalsRowFormula>
    </tableColumn>
    <tableColumn id="21" name="2nd Story Value" dataDxfId="9894" totalsRowDxfId="9893"/>
    <tableColumn id="51" name="2nd Sty Sq Ft" dataDxfId="9892" totalsRowDxfId="9891"/>
    <tableColumn id="6" name="2ndStyVal/Sqft" dataDxfId="9890" totalsRowDxfId="9889">
      <calculatedColumnFormula>Y148/Z148</calculatedColumnFormula>
    </tableColumn>
    <tableColumn id="35" name="2nd Story % Base" totalsRowFunction="custom" dataDxfId="9888" totalsRowDxfId="9887">
      <calculatedColumnFormula>AA148/C148</calculatedColumnFormula>
      <totalsRowFormula>AVERAGE(Table110615[2nd Story % Base])</totalsRowFormula>
    </tableColumn>
    <tableColumn id="22" name="Att Gar Value" dataDxfId="9886" totalsRowDxfId="9885"/>
    <tableColumn id="52" name="Att Gar Sq Ft" dataDxfId="9884" totalsRowDxfId="9883"/>
    <tableColumn id="7" name="AttGarVal/SqFt" totalsRowFunction="custom" dataDxfId="9882" totalsRowDxfId="9881">
      <calculatedColumnFormula>AC148/AD148</calculatedColumnFormula>
      <totalsRowFormula>AVERAGE(Table110615[AttGarVal/SqFt])</totalsRowFormula>
    </tableColumn>
    <tableColumn id="36" name="Att Gar % Base" totalsRowFunction="custom" dataDxfId="9880" totalsRowDxfId="9879">
      <calculatedColumnFormula>AE148/C148</calculatedColumnFormula>
      <totalsRowFormula>AVERAGE(Table110615[Att Gar % Base])</totalsRowFormula>
    </tableColumn>
    <tableColumn id="23" name="Porch Value" dataDxfId="9878" totalsRowDxfId="9877"/>
    <tableColumn id="53" name="Porch Sq Ft" dataDxfId="9876" totalsRowDxfId="9875"/>
    <tableColumn id="8" name="PorchVal/SqFt" dataDxfId="9874" totalsRowDxfId="9873">
      <calculatedColumnFormula>AG148/AH148</calculatedColumnFormula>
    </tableColumn>
    <tableColumn id="37" name="Porch % Base" totalsRowFunction="custom" dataDxfId="9872" totalsRowDxfId="9871">
      <calculatedColumnFormula>AI148/C148</calculatedColumnFormula>
      <totalsRowFormula>AVERAGE(Table110615[Porch % Base])</totalsRowFormula>
    </tableColumn>
    <tableColumn id="24" name="Cov Porch Value" dataDxfId="9870" totalsRowDxfId="9869"/>
    <tableColumn id="54" name="Cov Porch Sq Ft" dataDxfId="9868" totalsRowDxfId="9867"/>
    <tableColumn id="9" name="CovPrVal/SqFt" dataDxfId="9866" totalsRowDxfId="9865">
      <calculatedColumnFormula>AK148/AL148</calculatedColumnFormula>
    </tableColumn>
    <tableColumn id="38" name="Cov Porch % Base" totalsRowFunction="custom" dataDxfId="9864" totalsRowDxfId="9863">
      <calculatedColumnFormula>AM148/C148</calculatedColumnFormula>
      <totalsRowFormula>AVERAGE(Table110615[Cov Porch % Base])</totalsRowFormula>
    </tableColumn>
    <tableColumn id="25" name="Deck Value" dataDxfId="9862" totalsRowDxfId="9861"/>
    <tableColumn id="55" name="Deck Sq Ft" dataDxfId="9860" totalsRowDxfId="9859"/>
    <tableColumn id="10" name="DeckVal/SqFt" dataDxfId="9858" totalsRowDxfId="9857">
      <calculatedColumnFormula>AO148/AP148</calculatedColumnFormula>
    </tableColumn>
    <tableColumn id="39" name="Deck % Base" totalsRowFunction="custom" dataDxfId="9856" totalsRowDxfId="9855">
      <calculatedColumnFormula>AQ148/C148</calculatedColumnFormula>
      <totalsRowFormula>AVERAGE(Table110615[Deck % Base])</totalsRowFormula>
    </tableColumn>
    <tableColumn id="26" name="Cov Deck Value" dataDxfId="9854" totalsRowDxfId="9853"/>
    <tableColumn id="56" name="CovDeck Sq Ft" dataDxfId="9852" totalsRowDxfId="9851"/>
    <tableColumn id="11" name="CovDeckVal/SqFt" totalsRowFunction="custom" dataDxfId="9850" totalsRowDxfId="9849">
      <calculatedColumnFormula>AS148/AT148</calculatedColumnFormula>
      <totalsRowFormula>AVERAGE(Table110615[CovDeckVal/SqFt])</totalsRowFormula>
    </tableColumn>
    <tableColumn id="40" name="CovDeck % Base" totalsRowFunction="custom" dataDxfId="9848" totalsRowDxfId="9847">
      <calculatedColumnFormula>AU148/C148</calculatedColumnFormula>
      <totalsRowFormula>AVERAGE(Table110615[CovDeck % Base])</totalsRowFormula>
    </tableColumn>
    <tableColumn id="27" name="CarP Value" dataDxfId="9846" totalsRowDxfId="9845"/>
    <tableColumn id="57" name="CarP Sq Ft" dataDxfId="9844" totalsRowDxfId="9843"/>
    <tableColumn id="12" name="CarPVal/SqFt" dataDxfId="9842" totalsRowDxfId="9841">
      <calculatedColumnFormula>AW148/AX148</calculatedColumnFormula>
    </tableColumn>
    <tableColumn id="41" name="CarP % Base" totalsRowFunction="custom" dataDxfId="9840" totalsRowDxfId="9839">
      <calculatedColumnFormula>AY148/C148</calculatedColumnFormula>
      <totalsRowFormula>AVERAGE(Table110615[CarP % Base])</totalsRowFormula>
    </tableColumn>
    <tableColumn id="28" name="EFP Value" dataDxfId="9838" totalsRowDxfId="9837"/>
    <tableColumn id="58" name="EFP Sq Ft" dataDxfId="9836" totalsRowDxfId="9835"/>
    <tableColumn id="15" name="EFPVal/SqFt" dataDxfId="9834" totalsRowDxfId="9833">
      <calculatedColumnFormula>BA148/BB148</calculatedColumnFormula>
    </tableColumn>
    <tableColumn id="29" name="EFP % Base" totalsRowFunction="custom" dataDxfId="9832" totalsRowDxfId="9831">
      <calculatedColumnFormula>BC148/C148</calculatedColumnFormula>
      <totalsRowFormula>AVERAGE(Table110615[EFP % Base])</totalsRow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id="15" name="Table110716" displayName="Table110716" ref="A159:BD167" totalsRowCount="1" headerRowDxfId="9830">
  <tableColumns count="56">
    <tableColumn id="1" name="  Grade" dataDxfId="9829" totalsRowDxfId="9828"/>
    <tableColumn id="13" name="Main Area $" dataDxfId="9827" totalsRowDxfId="9826"/>
    <tableColumn id="45" name="MA $/Sq Ft" totalsRowFunction="custom" dataDxfId="9825" totalsRowDxfId="9824">
      <calculatedColumnFormula>B160/F157</calculatedColumnFormula>
      <totalsRowFormula>AVERAGE(Table110716[MA $/Sq Ft])</totalsRowFormula>
    </tableColumn>
    <tableColumn id="16" name="Basic Allowance" totalsRowFunction="custom" dataDxfId="9823" totalsRowDxfId="9822">
      <totalsRowFormula>AVERAGE(Table110716[Basic Allowance])</totalsRowFormula>
    </tableColumn>
    <tableColumn id="43" name="BsmtVal" dataDxfId="9821" totalsRowDxfId="9820"/>
    <tableColumn id="46" name="Bsmt SqFt" dataDxfId="9819" totalsRowDxfId="9818"/>
    <tableColumn id="2" name="BsmtVal/Sq Ft" dataDxfId="9817" totalsRowDxfId="9816">
      <calculatedColumnFormula>E160/F160</calculatedColumnFormula>
    </tableColumn>
    <tableColumn id="17" name="Bsmt % Base" totalsRowFunction="custom" dataDxfId="9815" totalsRowDxfId="9814">
      <calculatedColumnFormula>G160/C160</calculatedColumnFormula>
      <totalsRowFormula>AVERAGE(Table110716[Bsmt % Base])</totalsRowFormula>
    </tableColumn>
    <tableColumn id="30" name="UnfBsmtVal" dataDxfId="9813" totalsRowDxfId="9812"/>
    <tableColumn id="47" name="UnfBsmt Sq Ft" dataDxfId="9811" totalsRowDxfId="9810"/>
    <tableColumn id="3" name="UnfBsmtVal/SqFt" dataDxfId="9809" totalsRowDxfId="9808">
      <calculatedColumnFormula>I160/J160</calculatedColumnFormula>
    </tableColumn>
    <tableColumn id="44" name="UnfBsmt % Base" totalsRowFunction="custom" dataDxfId="9807" totalsRowDxfId="9806">
      <calculatedColumnFormula>K160/C160</calculatedColumnFormula>
      <totalsRowFormula>AVERAGE(Table110716[[#Headers],[#Data],[UnfBsmt % Base]])</totalsRowFormula>
    </tableColumn>
    <tableColumn id="31" name="Lower Value" dataDxfId="9805" totalsRowDxfId="9804"/>
    <tableColumn id="48" name="Lower Sq Ft" dataDxfId="9803" totalsRowDxfId="9802"/>
    <tableColumn id="4" name="LowerVal/SqFt" totalsRowFunction="custom" dataDxfId="9801" totalsRowDxfId="9800">
      <calculatedColumnFormula>M160/N160</calculatedColumnFormula>
      <totalsRowFormula>AVERAGE(Table110716[LowerVal/SqFt])</totalsRowFormula>
    </tableColumn>
    <tableColumn id="32" name="Lower % Base" totalsRowFunction="custom" dataDxfId="9799" totalsRowDxfId="9798">
      <calculatedColumnFormula>O160/C160</calculatedColumnFormula>
      <totalsRowFormula>AVERAGE(Table110716[Lower % Base])</totalsRowFormula>
    </tableColumn>
    <tableColumn id="19" name="Unf Lower Value" dataDxfId="9797" totalsRowDxfId="9796"/>
    <tableColumn id="49" name="UnfLower Sq Ft" dataDxfId="9795" totalsRowDxfId="9794"/>
    <tableColumn id="14" name="UnfLowVal/SqFt2" dataDxfId="9793" totalsRowDxfId="9792">
      <calculatedColumnFormula>Q160/R160</calculatedColumnFormula>
    </tableColumn>
    <tableColumn id="33" name="Unf Lower % Base" totalsRowFunction="custom" dataDxfId="9791" totalsRowDxfId="9790">
      <calculatedColumnFormula>S160/C160</calculatedColumnFormula>
      <totalsRowFormula>AVERAGE(Table110716[Unf Lower % Base])</totalsRowFormula>
    </tableColumn>
    <tableColumn id="20" name="1/2 Story Value" dataDxfId="9789" totalsRowDxfId="9788"/>
    <tableColumn id="50" name="1/2 Story Sq Ft" dataDxfId="9787" totalsRowDxfId="9786"/>
    <tableColumn id="5" name="1/2 StoryVal/SqFt" dataDxfId="9785" totalsRowDxfId="9784">
      <calculatedColumnFormula>U160/V160</calculatedColumnFormula>
    </tableColumn>
    <tableColumn id="34" name="1/2 Story % Base" totalsRowFunction="custom" dataDxfId="9783" totalsRowDxfId="9782">
      <calculatedColumnFormula>W160/C160</calculatedColumnFormula>
      <totalsRowFormula>AVERAGE(Table110716[1/2 Story % Base])</totalsRowFormula>
    </tableColumn>
    <tableColumn id="21" name="2nd Story Value" dataDxfId="9781" totalsRowDxfId="9780"/>
    <tableColumn id="51" name="2nd Sty Sq Ft" dataDxfId="9779" totalsRowDxfId="9778"/>
    <tableColumn id="6" name="2ndStyVal/Sqft" dataDxfId="9777" totalsRowDxfId="9776">
      <calculatedColumnFormula>Y160/Z160</calculatedColumnFormula>
    </tableColumn>
    <tableColumn id="35" name="2nd Story % Base" totalsRowFunction="custom" dataDxfId="9775" totalsRowDxfId="9774">
      <calculatedColumnFormula>AA160/C160</calculatedColumnFormula>
      <totalsRowFormula>AVERAGE(Table110716[2nd Story % Base])</totalsRowFormula>
    </tableColumn>
    <tableColumn id="22" name="Att Gar Value" dataDxfId="9773" totalsRowDxfId="9772"/>
    <tableColumn id="52" name="Att Gar Sq Ft" dataDxfId="9771" totalsRowDxfId="9770"/>
    <tableColumn id="7" name="AttGarVal/SqFt" totalsRowFunction="custom" dataDxfId="9769" totalsRowDxfId="9768">
      <calculatedColumnFormula>AC160/AD160</calculatedColumnFormula>
      <totalsRowFormula>AVERAGE(Table110716[AttGarVal/SqFt])</totalsRowFormula>
    </tableColumn>
    <tableColumn id="36" name="Att Gar % Base" totalsRowFunction="custom" dataDxfId="9767" totalsRowDxfId="9766">
      <calculatedColumnFormula>AE160/C160</calculatedColumnFormula>
      <totalsRowFormula>AVERAGE(Table110716[Att Gar % Base])</totalsRowFormula>
    </tableColumn>
    <tableColumn id="23" name="Porch Value" dataDxfId="9765" totalsRowDxfId="9764"/>
    <tableColumn id="53" name="Porch Sq Ft" dataDxfId="9763" totalsRowDxfId="9762"/>
    <tableColumn id="8" name="PorchVal/SqFt" dataDxfId="9761" totalsRowDxfId="9760">
      <calculatedColumnFormula>AG160/AH160</calculatedColumnFormula>
    </tableColumn>
    <tableColumn id="37" name="Porch % Base" totalsRowFunction="custom" dataDxfId="9759" totalsRowDxfId="9758">
      <calculatedColumnFormula>AI160/C160</calculatedColumnFormula>
      <totalsRowFormula>AVERAGE(Table110716[Porch % Base])</totalsRowFormula>
    </tableColumn>
    <tableColumn id="24" name="Cov Porch Value" dataDxfId="9757" totalsRowDxfId="9756"/>
    <tableColumn id="54" name="Cov Porch Sq Ft" dataDxfId="9755" totalsRowDxfId="9754"/>
    <tableColumn id="9" name="CovPrVal/SqFt" dataDxfId="9753" totalsRowDxfId="9752">
      <calculatedColumnFormula>AK160/AL160</calculatedColumnFormula>
    </tableColumn>
    <tableColumn id="38" name="Cov Porch % Base" totalsRowFunction="custom" dataDxfId="9751" totalsRowDxfId="9750">
      <calculatedColumnFormula>AM160/C160</calculatedColumnFormula>
      <totalsRowFormula>AVERAGE(Table110716[Cov Porch % Base])</totalsRowFormula>
    </tableColumn>
    <tableColumn id="25" name="Deck Value" dataDxfId="9749" totalsRowDxfId="9748"/>
    <tableColumn id="55" name="Deck Sq Ft" dataDxfId="9747" totalsRowDxfId="9746"/>
    <tableColumn id="10" name="DeckVal/SqFt" dataDxfId="9745" totalsRowDxfId="9744">
      <calculatedColumnFormula>AO160/AP160</calculatedColumnFormula>
    </tableColumn>
    <tableColumn id="39" name="Deck % Base" totalsRowFunction="custom" dataDxfId="9743" totalsRowDxfId="9742">
      <calculatedColumnFormula>AQ160/C160</calculatedColumnFormula>
      <totalsRowFormula>AVERAGE(Table110716[Deck % Base])</totalsRowFormula>
    </tableColumn>
    <tableColumn id="26" name="Cov Deck Value" dataDxfId="9741" totalsRowDxfId="9740"/>
    <tableColumn id="56" name="CovDeck Sq Ft" dataDxfId="9739" totalsRowDxfId="9738"/>
    <tableColumn id="11" name="CovDeckVal/SqFt" totalsRowFunction="custom" dataDxfId="9737" totalsRowDxfId="9736">
      <calculatedColumnFormula>AS160/AT160</calculatedColumnFormula>
      <totalsRowFormula>AVERAGE(Table110716[CovDeckVal/SqFt])</totalsRowFormula>
    </tableColumn>
    <tableColumn id="40" name="CovDeck % Base" totalsRowFunction="custom" dataDxfId="9735" totalsRowDxfId="9734">
      <calculatedColumnFormula>AU160/C160</calculatedColumnFormula>
      <totalsRowFormula>AVERAGE(Table110716[CovDeck % Base])</totalsRowFormula>
    </tableColumn>
    <tableColumn id="27" name="CarP Value" dataDxfId="9733" totalsRowDxfId="9732"/>
    <tableColumn id="57" name="CarP Sq Ft" dataDxfId="9731" totalsRowDxfId="9730"/>
    <tableColumn id="12" name="CarPVal/SqFt" dataDxfId="9729" totalsRowDxfId="9728">
      <calculatedColumnFormula>AW160/AX160</calculatedColumnFormula>
    </tableColumn>
    <tableColumn id="41" name="CarP % Base" totalsRowFunction="custom" dataDxfId="9727" totalsRowDxfId="9726">
      <calculatedColumnFormula>AY160/C160</calculatedColumnFormula>
      <totalsRowFormula>AVERAGE(Table110716[CarP % Base])</totalsRowFormula>
    </tableColumn>
    <tableColumn id="28" name="EFP Value" dataDxfId="9725" totalsRowDxfId="9724"/>
    <tableColumn id="58" name="EFP Sq Ft" dataDxfId="9723" totalsRowDxfId="9722"/>
    <tableColumn id="15" name="EFPVal/SqFt" dataDxfId="9721" totalsRowDxfId="9720">
      <calculatedColumnFormula>BA160/BB160</calculatedColumnFormula>
    </tableColumn>
    <tableColumn id="29" name="EFP % Base" totalsRowFunction="custom" dataDxfId="9719" totalsRowDxfId="9718">
      <calculatedColumnFormula>BC160/C160</calculatedColumnFormula>
      <totalsRowFormula>AVERAGE(Table110716[EFP % Base])</totalsRowFormula>
    </tableColumn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id="16" name="Table110817" displayName="Table110817" ref="A171:BD179" totalsRowCount="1" headerRowDxfId="9717">
  <tableColumns count="56">
    <tableColumn id="1" name="  Grade" dataDxfId="9716" totalsRowDxfId="9715"/>
    <tableColumn id="13" name="Main Area $" dataDxfId="9714" totalsRowDxfId="9713"/>
    <tableColumn id="45" name="MA $/Sq Ft" totalsRowFunction="custom" dataDxfId="9712" totalsRowDxfId="9711">
      <calculatedColumnFormula>B172/F169</calculatedColumnFormula>
      <totalsRowFormula>AVERAGE(Table110817[MA $/Sq Ft])</totalsRowFormula>
    </tableColumn>
    <tableColumn id="16" name="Basic Allowance" totalsRowFunction="custom" dataDxfId="9710" totalsRowDxfId="9709">
      <totalsRowFormula>AVERAGE(Table110817[Basic Allowance])</totalsRowFormula>
    </tableColumn>
    <tableColumn id="43" name="BsmtVal" dataDxfId="9708" totalsRowDxfId="9707"/>
    <tableColumn id="46" name="Bsmt SqFt" dataDxfId="9706" totalsRowDxfId="9705"/>
    <tableColumn id="2" name="BsmtVal/Sq Ft" dataDxfId="9704" totalsRowDxfId="9703">
      <calculatedColumnFormula>E172/F172</calculatedColumnFormula>
    </tableColumn>
    <tableColumn id="17" name="Bsmt % Base" totalsRowFunction="custom" dataDxfId="9702" totalsRowDxfId="9701">
      <calculatedColumnFormula>G172/C172</calculatedColumnFormula>
      <totalsRowFormula>AVERAGE(Table110817[Bsmt % Base])</totalsRowFormula>
    </tableColumn>
    <tableColumn id="30" name="UnfBsmtVal" dataDxfId="9700" totalsRowDxfId="9699"/>
    <tableColumn id="47" name="UnfBsmt Sq Ft" dataDxfId="9698" totalsRowDxfId="9697"/>
    <tableColumn id="3" name="UnfBsmtVal/SqFt" dataDxfId="9696" totalsRowDxfId="9695">
      <calculatedColumnFormula>I172/J172</calculatedColumnFormula>
    </tableColumn>
    <tableColumn id="44" name="UnfBsmt % Base" totalsRowFunction="custom" dataDxfId="9694" totalsRowDxfId="9693">
      <calculatedColumnFormula>K172/C172</calculatedColumnFormula>
      <totalsRowFormula>AVERAGE(Table110817[[#Headers],[#Data],[UnfBsmt % Base]])</totalsRowFormula>
    </tableColumn>
    <tableColumn id="31" name="Lower Value" dataDxfId="9692" totalsRowDxfId="9691"/>
    <tableColumn id="48" name="Lower Sq Ft" dataDxfId="9690" totalsRowDxfId="9689"/>
    <tableColumn id="4" name="LowerVal/SqFt" totalsRowFunction="custom" dataDxfId="9688" totalsRowDxfId="9687">
      <calculatedColumnFormula>M172/N172</calculatedColumnFormula>
      <totalsRowFormula>AVERAGE(Table110817[LowerVal/SqFt])</totalsRowFormula>
    </tableColumn>
    <tableColumn id="32" name="Lower % Base" totalsRowFunction="custom" dataDxfId="9686" totalsRowDxfId="9685">
      <calculatedColumnFormula>O172/C172</calculatedColumnFormula>
      <totalsRowFormula>AVERAGE(Table110817[Lower % Base])</totalsRowFormula>
    </tableColumn>
    <tableColumn id="19" name="Unf Lower Value" dataDxfId="9684" totalsRowDxfId="9683"/>
    <tableColumn id="49" name="UnfLower Sq Ft" dataDxfId="9682" totalsRowDxfId="9681"/>
    <tableColumn id="14" name="UnfLowVal/SqFt2" dataDxfId="9680" totalsRowDxfId="9679">
      <calculatedColumnFormula>Q172/R172</calculatedColumnFormula>
    </tableColumn>
    <tableColumn id="33" name="Unf Lower % Base" totalsRowFunction="custom" dataDxfId="9678" totalsRowDxfId="9677">
      <calculatedColumnFormula>S172/C172</calculatedColumnFormula>
      <totalsRowFormula>AVERAGE(Table110817[Unf Lower % Base])</totalsRowFormula>
    </tableColumn>
    <tableColumn id="20" name="1/2 Story Value" dataDxfId="9676" totalsRowDxfId="9675"/>
    <tableColumn id="50" name="1/2 Story Sq Ft" dataDxfId="9674" totalsRowDxfId="9673"/>
    <tableColumn id="5" name="1/2 StoryVal/SqFt" dataDxfId="9672" totalsRowDxfId="9671">
      <calculatedColumnFormula>U172/V172</calculatedColumnFormula>
    </tableColumn>
    <tableColumn id="34" name="1/2 Story % Base" totalsRowFunction="custom" dataDxfId="9670" totalsRowDxfId="9669">
      <calculatedColumnFormula>W172/C172</calculatedColumnFormula>
      <totalsRowFormula>AVERAGE(Table110817[1/2 Story % Base])</totalsRowFormula>
    </tableColumn>
    <tableColumn id="21" name="2nd Story Value" dataDxfId="9668" totalsRowDxfId="9667"/>
    <tableColumn id="51" name="2nd Sty Sq Ft" dataDxfId="9666" totalsRowDxfId="9665"/>
    <tableColumn id="6" name="2ndStyVal/Sqft" dataDxfId="9664" totalsRowDxfId="9663">
      <calculatedColumnFormula>Y172/Z172</calculatedColumnFormula>
    </tableColumn>
    <tableColumn id="35" name="2nd Story % Base" totalsRowFunction="custom" dataDxfId="9662" totalsRowDxfId="9661">
      <calculatedColumnFormula>AA172/C172</calculatedColumnFormula>
      <totalsRowFormula>AVERAGE(Table110817[2nd Story % Base])</totalsRowFormula>
    </tableColumn>
    <tableColumn id="22" name="Att Gar Value" dataDxfId="9660" totalsRowDxfId="9659"/>
    <tableColumn id="52" name="Att Gar Sq Ft" dataDxfId="9658" totalsRowDxfId="9657"/>
    <tableColumn id="7" name="AttGarVal/SqFt" totalsRowFunction="custom" dataDxfId="9656" totalsRowDxfId="9655">
      <calculatedColumnFormula>AC172/AD172</calculatedColumnFormula>
      <totalsRowFormula>AVERAGE(Table110817[AttGarVal/SqFt])</totalsRowFormula>
    </tableColumn>
    <tableColumn id="36" name="Att Gar % Base" totalsRowFunction="custom" dataDxfId="9654" totalsRowDxfId="9653">
      <calculatedColumnFormula>AE172/C172</calculatedColumnFormula>
      <totalsRowFormula>AVERAGE(Table110817[Att Gar % Base])</totalsRowFormula>
    </tableColumn>
    <tableColumn id="23" name="Porch Value" dataDxfId="9652" totalsRowDxfId="9651"/>
    <tableColumn id="53" name="Porch Sq Ft" dataDxfId="9650" totalsRowDxfId="9649"/>
    <tableColumn id="8" name="PorchVal/SqFt" dataDxfId="9648" totalsRowDxfId="9647">
      <calculatedColumnFormula>AG172/AH172</calculatedColumnFormula>
    </tableColumn>
    <tableColumn id="37" name="Porch % Base" totalsRowFunction="custom" dataDxfId="9646" totalsRowDxfId="9645">
      <calculatedColumnFormula>AI172/C172</calculatedColumnFormula>
      <totalsRowFormula>AVERAGE(Table110817[Porch % Base])</totalsRowFormula>
    </tableColumn>
    <tableColumn id="24" name="Cov Porch Value" dataDxfId="9644" totalsRowDxfId="9643"/>
    <tableColumn id="54" name="Cov Porch Sq Ft" dataDxfId="9642" totalsRowDxfId="9641"/>
    <tableColumn id="9" name="CovPrVal/SqFt" dataDxfId="9640" totalsRowDxfId="9639">
      <calculatedColumnFormula>AK172/AL172</calculatedColumnFormula>
    </tableColumn>
    <tableColumn id="38" name="Cov Porch % Base" totalsRowFunction="custom" dataDxfId="9638" totalsRowDxfId="9637">
      <calculatedColumnFormula>AM172/C172</calculatedColumnFormula>
      <totalsRowFormula>AVERAGE(Table110817[Cov Porch % Base])</totalsRowFormula>
    </tableColumn>
    <tableColumn id="25" name="Deck Value" dataDxfId="9636" totalsRowDxfId="9635"/>
    <tableColumn id="55" name="Deck Sq Ft" dataDxfId="9634" totalsRowDxfId="9633"/>
    <tableColumn id="10" name="DeckVal/SqFt" dataDxfId="9632" totalsRowDxfId="9631">
      <calculatedColumnFormula>AO172/AP172</calculatedColumnFormula>
    </tableColumn>
    <tableColumn id="39" name="Deck % Base" totalsRowFunction="custom" dataDxfId="9630" totalsRowDxfId="9629">
      <calculatedColumnFormula>AQ172/C172</calculatedColumnFormula>
      <totalsRowFormula>AVERAGE(Table110817[Deck % Base])</totalsRowFormula>
    </tableColumn>
    <tableColumn id="26" name="Cov Deck Value" dataDxfId="9628" totalsRowDxfId="9627"/>
    <tableColumn id="56" name="CovDeck Sq Ft" dataDxfId="9626" totalsRowDxfId="9625"/>
    <tableColumn id="11" name="CovDeckVal/SqFt" totalsRowFunction="custom" dataDxfId="9624" totalsRowDxfId="9623">
      <calculatedColumnFormula>AS172/AT172</calculatedColumnFormula>
      <totalsRowFormula>AVERAGE(Table110817[CovDeckVal/SqFt])</totalsRowFormula>
    </tableColumn>
    <tableColumn id="40" name="CovDeck % Base" totalsRowFunction="custom" dataDxfId="9622" totalsRowDxfId="9621">
      <calculatedColumnFormula>AU172/C172</calculatedColumnFormula>
      <totalsRowFormula>AVERAGE(Table110817[CovDeck % Base])</totalsRowFormula>
    </tableColumn>
    <tableColumn id="27" name="CarP Value" dataDxfId="9620" totalsRowDxfId="9619"/>
    <tableColumn id="57" name="CarP Sq Ft" dataDxfId="9618" totalsRowDxfId="9617"/>
    <tableColumn id="12" name="CarPVal/SqFt" dataDxfId="9616" totalsRowDxfId="9615">
      <calculatedColumnFormula>AW172/AX172</calculatedColumnFormula>
    </tableColumn>
    <tableColumn id="41" name="CarP % Base" totalsRowFunction="custom" dataDxfId="9614" totalsRowDxfId="9613">
      <calculatedColumnFormula>AY172/C172</calculatedColumnFormula>
      <totalsRowFormula>AVERAGE(Table110817[CarP % Base])</totalsRowFormula>
    </tableColumn>
    <tableColumn id="28" name="EFP Value" dataDxfId="9612" totalsRowDxfId="9611"/>
    <tableColumn id="58" name="EFP Sq Ft" dataDxfId="9610" totalsRowDxfId="9609"/>
    <tableColumn id="15" name="EFPVal/SqFt" dataDxfId="9608" totalsRowDxfId="9607">
      <calculatedColumnFormula>BA172/BB172</calculatedColumnFormula>
    </tableColumn>
    <tableColumn id="29" name="EFP % Base" totalsRowFunction="custom" dataDxfId="9606" totalsRowDxfId="9605">
      <calculatedColumnFormula>BC172/C172</calculatedColumnFormula>
      <totalsRowFormula>AVERAGE(Table110817[EFP % Base])</totalsRowFormula>
    </tableColumn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id="17" name="Table1109" displayName="Table1109" ref="A183:BD191" totalsRowCount="1" headerRowDxfId="9604">
  <tableColumns count="56">
    <tableColumn id="1" name="  Grade" dataDxfId="9603" totalsRowDxfId="9602"/>
    <tableColumn id="13" name="Main Area $" dataDxfId="9601" totalsRowDxfId="9600"/>
    <tableColumn id="45" name="MA $/Sq Ft" totalsRowFunction="custom" dataDxfId="9599" totalsRowDxfId="9598">
      <calculatedColumnFormula>B184/F181</calculatedColumnFormula>
      <totalsRowFormula>AVERAGE(Table1109[MA $/Sq Ft])</totalsRowFormula>
    </tableColumn>
    <tableColumn id="16" name="Basic Allowance" totalsRowFunction="custom" dataDxfId="9597" totalsRowDxfId="9596">
      <totalsRowFormula>AVERAGE(Table1109[Basic Allowance])</totalsRowFormula>
    </tableColumn>
    <tableColumn id="43" name="BsmtVal" dataDxfId="9595" totalsRowDxfId="9594"/>
    <tableColumn id="46" name="Bsmt SqFt" dataDxfId="9593" totalsRowDxfId="9592"/>
    <tableColumn id="2" name="BsmtVal/Sq Ft" dataDxfId="9591" totalsRowDxfId="9590">
      <calculatedColumnFormula>E184/F184</calculatedColumnFormula>
    </tableColumn>
    <tableColumn id="17" name="Bsmt % Base" totalsRowFunction="custom" dataDxfId="9589" totalsRowDxfId="9588">
      <calculatedColumnFormula>G184/C184</calculatedColumnFormula>
      <totalsRowFormula>AVERAGE(Table1109[Bsmt % Base])</totalsRowFormula>
    </tableColumn>
    <tableColumn id="30" name="UnfBsmtVal" dataDxfId="9587" totalsRowDxfId="9586"/>
    <tableColumn id="47" name="UnfBsmt Sq Ft" dataDxfId="9585" totalsRowDxfId="9584"/>
    <tableColumn id="3" name="UnfBsmtVal/SqFt" dataDxfId="9583" totalsRowDxfId="9582">
      <calculatedColumnFormula>I184/J184</calculatedColumnFormula>
    </tableColumn>
    <tableColumn id="44" name="UnfBsmt % Base" totalsRowFunction="custom" dataDxfId="9581" totalsRowDxfId="9580">
      <calculatedColumnFormula>K184/C184</calculatedColumnFormula>
      <totalsRowFormula>AVERAGE(Table1109[[#Headers],[#Data],[UnfBsmt % Base]])</totalsRowFormula>
    </tableColumn>
    <tableColumn id="31" name="Lower Value" dataDxfId="9579" totalsRowDxfId="9578"/>
    <tableColumn id="48" name="Lower Sq Ft" dataDxfId="9577" totalsRowDxfId="9576"/>
    <tableColumn id="4" name="LowerVal/SqFt" totalsRowFunction="custom" dataDxfId="9575" totalsRowDxfId="9574">
      <calculatedColumnFormula>M184/N184</calculatedColumnFormula>
      <totalsRowFormula>AVERAGE(Table1109[LowerVal/SqFt])</totalsRowFormula>
    </tableColumn>
    <tableColumn id="32" name="Lower % Base" totalsRowFunction="custom" dataDxfId="9573" totalsRowDxfId="9572">
      <calculatedColumnFormula>O184/C184</calculatedColumnFormula>
      <totalsRowFormula>AVERAGE(Table1109[Lower % Base])</totalsRowFormula>
    </tableColumn>
    <tableColumn id="19" name="Unf Lower Value" dataDxfId="9571" totalsRowDxfId="9570"/>
    <tableColumn id="49" name="UnfLower Sq Ft" dataDxfId="9569" totalsRowDxfId="9568"/>
    <tableColumn id="14" name="UnfLowVal/SqFt2" dataDxfId="9567" totalsRowDxfId="9566">
      <calculatedColumnFormula>Q184/R184</calculatedColumnFormula>
    </tableColumn>
    <tableColumn id="33" name="Unf Lower % Base" totalsRowFunction="custom" dataDxfId="9565" totalsRowDxfId="9564">
      <calculatedColumnFormula>S184/C184</calculatedColumnFormula>
      <totalsRowFormula>AVERAGE(Table1109[Unf Lower % Base])</totalsRowFormula>
    </tableColumn>
    <tableColumn id="20" name="1/2 Story Value" dataDxfId="9563" totalsRowDxfId="9562"/>
    <tableColumn id="50" name="1/2 Story Sq Ft" dataDxfId="9561" totalsRowDxfId="9560"/>
    <tableColumn id="5" name="1/2 StoryVal/SqFt" dataDxfId="9559" totalsRowDxfId="9558">
      <calculatedColumnFormula>U184/V184</calculatedColumnFormula>
    </tableColumn>
    <tableColumn id="34" name="1/2 Story % Base" totalsRowFunction="custom" dataDxfId="9557" totalsRowDxfId="9556">
      <calculatedColumnFormula>W184/C184</calculatedColumnFormula>
      <totalsRowFormula>AVERAGE(Table1109[1/2 Story % Base])</totalsRowFormula>
    </tableColumn>
    <tableColumn id="21" name="2nd Story Value" dataDxfId="9555" totalsRowDxfId="9554"/>
    <tableColumn id="51" name="2nd Sty Sq Ft" dataDxfId="9553" totalsRowDxfId="9552"/>
    <tableColumn id="6" name="2ndStyVal/Sqft" dataDxfId="9551" totalsRowDxfId="9550">
      <calculatedColumnFormula>Y184/Z184</calculatedColumnFormula>
    </tableColumn>
    <tableColumn id="35" name="2nd Story % Base" totalsRowFunction="custom" dataDxfId="9549" totalsRowDxfId="9548">
      <calculatedColumnFormula>AA184/C184</calculatedColumnFormula>
      <totalsRowFormula>AVERAGE(Table1109[2nd Story % Base])</totalsRowFormula>
    </tableColumn>
    <tableColumn id="22" name="Att Gar Value" dataDxfId="9547" totalsRowDxfId="9546"/>
    <tableColumn id="52" name="Att Gar Sq Ft" dataDxfId="9545" totalsRowDxfId="9544"/>
    <tableColumn id="7" name="AttGarVal/SqFt" totalsRowFunction="custom" dataDxfId="9543" totalsRowDxfId="9542">
      <calculatedColumnFormula>AC184/AD184</calculatedColumnFormula>
      <totalsRowFormula>AVERAGE(Table1109[AttGarVal/SqFt])</totalsRowFormula>
    </tableColumn>
    <tableColumn id="36" name="Att Gar % Base" totalsRowFunction="custom" dataDxfId="9541" totalsRowDxfId="9540">
      <calculatedColumnFormula>AE184/C184</calculatedColumnFormula>
      <totalsRowFormula>AVERAGE(Table1109[Att Gar % Base])</totalsRowFormula>
    </tableColumn>
    <tableColumn id="23" name="Porch Value" dataDxfId="9539" totalsRowDxfId="9538"/>
    <tableColumn id="53" name="Porch Sq Ft" dataDxfId="9537" totalsRowDxfId="9536"/>
    <tableColumn id="8" name="PorchVal/SqFt" dataDxfId="9535" totalsRowDxfId="9534">
      <calculatedColumnFormula>AG184/AH184</calculatedColumnFormula>
    </tableColumn>
    <tableColumn id="37" name="Porch % Base" totalsRowFunction="custom" dataDxfId="9533" totalsRowDxfId="9532">
      <calculatedColumnFormula>AI184/C184</calculatedColumnFormula>
      <totalsRowFormula>AVERAGE(Table1109[Porch % Base])</totalsRowFormula>
    </tableColumn>
    <tableColumn id="24" name="Cov Porch Value" dataDxfId="9531" totalsRowDxfId="9530"/>
    <tableColumn id="54" name="Cov Porch Sq Ft" dataDxfId="9529" totalsRowDxfId="9528"/>
    <tableColumn id="9" name="CovPrVal/SqFt" dataDxfId="9527" totalsRowDxfId="9526">
      <calculatedColumnFormula>AK184/AL184</calculatedColumnFormula>
    </tableColumn>
    <tableColumn id="38" name="Cov Porch % Base" totalsRowFunction="custom" dataDxfId="9525" totalsRowDxfId="9524">
      <calculatedColumnFormula>AM184/C184</calculatedColumnFormula>
      <totalsRowFormula>AVERAGE(Table1109[Cov Porch % Base])</totalsRowFormula>
    </tableColumn>
    <tableColumn id="25" name="Deck Value" dataDxfId="9523" totalsRowDxfId="9522"/>
    <tableColumn id="55" name="Deck Sq Ft" dataDxfId="9521" totalsRowDxfId="9520"/>
    <tableColumn id="10" name="DeckVal/SqFt" dataDxfId="9519" totalsRowDxfId="9518">
      <calculatedColumnFormula>AO184/AP184</calculatedColumnFormula>
    </tableColumn>
    <tableColumn id="39" name="Deck % Base" totalsRowFunction="custom" dataDxfId="9517" totalsRowDxfId="9516">
      <calculatedColumnFormula>AQ184/C184</calculatedColumnFormula>
      <totalsRowFormula>AVERAGE(Table1109[Deck % Base])</totalsRowFormula>
    </tableColumn>
    <tableColumn id="26" name="Cov Deck Value" dataDxfId="9515" totalsRowDxfId="9514"/>
    <tableColumn id="56" name="CovDeck Sq Ft" dataDxfId="9513" totalsRowDxfId="9512"/>
    <tableColumn id="11" name="CovDeckVal/SqFt" totalsRowFunction="custom" dataDxfId="9511" totalsRowDxfId="9510">
      <calculatedColumnFormula>AS184/AT184</calculatedColumnFormula>
      <totalsRowFormula>AVERAGE(Table1109[CovDeckVal/SqFt])</totalsRowFormula>
    </tableColumn>
    <tableColumn id="40" name="CovDeck % Base" totalsRowFunction="custom" dataDxfId="9509" totalsRowDxfId="9508">
      <calculatedColumnFormula>AU184/C184</calculatedColumnFormula>
      <totalsRowFormula>AVERAGE(Table1109[CovDeck % Base])</totalsRowFormula>
    </tableColumn>
    <tableColumn id="27" name="CarP Value" dataDxfId="9507" totalsRowDxfId="9506"/>
    <tableColumn id="57" name="CarP Sq Ft" dataDxfId="9505" totalsRowDxfId="9504"/>
    <tableColumn id="12" name="CarPVal/SqFt" dataDxfId="9503" totalsRowDxfId="9502">
      <calculatedColumnFormula>AW184/AX184</calculatedColumnFormula>
    </tableColumn>
    <tableColumn id="41" name="CarP % Base" totalsRowFunction="custom" dataDxfId="9501" totalsRowDxfId="9500">
      <calculatedColumnFormula>AY184/C184</calculatedColumnFormula>
      <totalsRowFormula>AVERAGE(Table1109[CarP % Base])</totalsRowFormula>
    </tableColumn>
    <tableColumn id="28" name="EFP Value" dataDxfId="9499" totalsRowDxfId="9498"/>
    <tableColumn id="58" name="EFP Sq Ft" dataDxfId="9497" totalsRowDxfId="9496"/>
    <tableColumn id="15" name="EFPVal/SqFt" dataDxfId="9495" totalsRowDxfId="9494">
      <calculatedColumnFormula>BA184/BB184</calculatedColumnFormula>
    </tableColumn>
    <tableColumn id="29" name="EFP % Base" totalsRowFunction="custom" dataDxfId="9493" totalsRowDxfId="9492">
      <calculatedColumnFormula>BC184/C184</calculatedColumnFormula>
      <totalsRowFormula>AVERAGE(Table1109[EFP % Base])</totalsRowFormula>
    </tableColumn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id="18" name="Table11012" displayName="Table11012" ref="A195:BD203" totalsRowCount="1" headerRowDxfId="9491">
  <tableColumns count="56">
    <tableColumn id="1" name="  Grade" dataDxfId="9490" totalsRowDxfId="9489"/>
    <tableColumn id="13" name="Main Area $" dataDxfId="9488" totalsRowDxfId="9487"/>
    <tableColumn id="45" name="MA $/Sq Ft" totalsRowFunction="custom" dataDxfId="9486" totalsRowDxfId="9485">
      <calculatedColumnFormula>B196/F193</calculatedColumnFormula>
      <totalsRowFormula>AVERAGE(Table11012[MA $/Sq Ft])</totalsRowFormula>
    </tableColumn>
    <tableColumn id="16" name="Basic Allowance" totalsRowFunction="custom" dataDxfId="9484" totalsRowDxfId="9483">
      <totalsRowFormula>AVERAGE(Table11012[Basic Allowance])</totalsRowFormula>
    </tableColumn>
    <tableColumn id="43" name="BsmtVal" dataDxfId="9482" totalsRowDxfId="9481"/>
    <tableColumn id="46" name="Bsmt SqFt" dataDxfId="9480" totalsRowDxfId="9479"/>
    <tableColumn id="2" name="BsmtVal/Sq Ft" dataDxfId="9478" totalsRowDxfId="9477">
      <calculatedColumnFormula>E196/F196</calculatedColumnFormula>
    </tableColumn>
    <tableColumn id="17" name="Bsmt % Base" totalsRowFunction="custom" dataDxfId="9476" totalsRowDxfId="9475">
      <calculatedColumnFormula>G196/C196</calculatedColumnFormula>
      <totalsRowFormula>AVERAGE(Table11012[Bsmt % Base])</totalsRowFormula>
    </tableColumn>
    <tableColumn id="30" name="UnfBsmtVal" dataDxfId="9474" totalsRowDxfId="9473"/>
    <tableColumn id="47" name="UnfBsmt Sq Ft" dataDxfId="9472" totalsRowDxfId="9471"/>
    <tableColumn id="3" name="UnfBsmtVal/SqFt" dataDxfId="9470" totalsRowDxfId="9469">
      <calculatedColumnFormula>I196/J196</calculatedColumnFormula>
    </tableColumn>
    <tableColumn id="44" name="UnfBsmt % Base" totalsRowFunction="custom" dataDxfId="9468" totalsRowDxfId="9467">
      <calculatedColumnFormula>K196/C196</calculatedColumnFormula>
      <totalsRowFormula>AVERAGE(Table11012[[#Headers],[#Data],[UnfBsmt % Base]])</totalsRowFormula>
    </tableColumn>
    <tableColumn id="31" name="Lower Value" dataDxfId="9466" totalsRowDxfId="9465"/>
    <tableColumn id="48" name="Lower Sq Ft" dataDxfId="9464" totalsRowDxfId="9463"/>
    <tableColumn id="4" name="LowerVal/SqFt" totalsRowFunction="custom" dataDxfId="9462" totalsRowDxfId="9461">
      <calculatedColumnFormula>M196/N196</calculatedColumnFormula>
      <totalsRowFormula>AVERAGE(Table11012[LowerVal/SqFt])</totalsRowFormula>
    </tableColumn>
    <tableColumn id="32" name="Lower % Base" totalsRowFunction="custom" dataDxfId="9460" totalsRowDxfId="9459">
      <calculatedColumnFormula>O196/C196</calculatedColumnFormula>
      <totalsRowFormula>AVERAGE(Table11012[Lower % Base])</totalsRowFormula>
    </tableColumn>
    <tableColumn id="19" name="Unf Lower Value" dataDxfId="9458" totalsRowDxfId="9457"/>
    <tableColumn id="49" name="UnfLower Sq Ft" dataDxfId="9456" totalsRowDxfId="9455"/>
    <tableColumn id="14" name="UnfLowVal/SqFt2" dataDxfId="9454" totalsRowDxfId="9453">
      <calculatedColumnFormula>Q196/R196</calculatedColumnFormula>
    </tableColumn>
    <tableColumn id="33" name="Unf Lower % Base" totalsRowFunction="custom" dataDxfId="9452" totalsRowDxfId="9451">
      <calculatedColumnFormula>S196/C196</calculatedColumnFormula>
      <totalsRowFormula>AVERAGE(Table11012[Unf Lower % Base])</totalsRowFormula>
    </tableColumn>
    <tableColumn id="20" name="1/2 Story Value" dataDxfId="9450" totalsRowDxfId="9449"/>
    <tableColumn id="50" name="1/2 Story Sq Ft" dataDxfId="9448" totalsRowDxfId="9447"/>
    <tableColumn id="5" name="1/2 StoryVal/SqFt" dataDxfId="9446" totalsRowDxfId="9445">
      <calculatedColumnFormula>U196/V196</calculatedColumnFormula>
    </tableColumn>
    <tableColumn id="34" name="1/2 Story % Base" totalsRowFunction="custom" dataDxfId="9444" totalsRowDxfId="9443">
      <calculatedColumnFormula>W196/C196</calculatedColumnFormula>
      <totalsRowFormula>AVERAGE(Table11012[1/2 Story % Base])</totalsRowFormula>
    </tableColumn>
    <tableColumn id="21" name="2nd Story Value" dataDxfId="9442" totalsRowDxfId="9441"/>
    <tableColumn id="51" name="2nd Sty Sq Ft" dataDxfId="9440" totalsRowDxfId="9439"/>
    <tableColumn id="6" name="2ndStyVal/Sqft" dataDxfId="9438" totalsRowDxfId="9437">
      <calculatedColumnFormula>Y196/Z196</calculatedColumnFormula>
    </tableColumn>
    <tableColumn id="35" name="2nd Story % Base" totalsRowFunction="custom" dataDxfId="9436" totalsRowDxfId="9435">
      <calculatedColumnFormula>AA196/C196</calculatedColumnFormula>
      <totalsRowFormula>AVERAGE(Table11012[2nd Story % Base])</totalsRowFormula>
    </tableColumn>
    <tableColumn id="22" name="Att Gar Value" dataDxfId="9434" totalsRowDxfId="9433"/>
    <tableColumn id="52" name="Att Gar Sq Ft" dataDxfId="9432" totalsRowDxfId="9431"/>
    <tableColumn id="7" name="AttGarVal/SqFt" totalsRowFunction="custom" dataDxfId="9430" totalsRowDxfId="9429">
      <calculatedColumnFormula>AC196/AD196</calculatedColumnFormula>
      <totalsRowFormula>AVERAGE(Table11012[AttGarVal/SqFt])</totalsRowFormula>
    </tableColumn>
    <tableColumn id="36" name="Att Gar % Base" totalsRowFunction="custom" dataDxfId="9428" totalsRowDxfId="9427">
      <calculatedColumnFormula>AE196/C196</calculatedColumnFormula>
      <totalsRowFormula>AVERAGE(Table11012[Att Gar % Base])</totalsRowFormula>
    </tableColumn>
    <tableColumn id="23" name="Porch Value" dataDxfId="9426" totalsRowDxfId="9425"/>
    <tableColumn id="53" name="Porch Sq Ft" dataDxfId="9424" totalsRowDxfId="9423"/>
    <tableColumn id="8" name="PorchVal/SqFt" dataDxfId="9422" totalsRowDxfId="9421">
      <calculatedColumnFormula>AG196/AH196</calculatedColumnFormula>
    </tableColumn>
    <tableColumn id="37" name="Porch % Base" totalsRowFunction="custom" dataDxfId="9420" totalsRowDxfId="9419">
      <calculatedColumnFormula>AI196/C196</calculatedColumnFormula>
      <totalsRowFormula>AVERAGE(Table11012[Porch % Base])</totalsRowFormula>
    </tableColumn>
    <tableColumn id="24" name="Cov Porch Value" dataDxfId="9418" totalsRowDxfId="9417"/>
    <tableColumn id="54" name="Cov Porch Sq Ft" dataDxfId="9416" totalsRowDxfId="9415"/>
    <tableColumn id="9" name="CovPrVal/SqFt" dataDxfId="9414" totalsRowDxfId="9413">
      <calculatedColumnFormula>AK196/AL196</calculatedColumnFormula>
    </tableColumn>
    <tableColumn id="38" name="Cov Porch % Base" totalsRowFunction="custom" dataDxfId="9412" totalsRowDxfId="9411">
      <calculatedColumnFormula>AM196/C196</calculatedColumnFormula>
      <totalsRowFormula>AVERAGE(Table11012[Cov Porch % Base])</totalsRowFormula>
    </tableColumn>
    <tableColumn id="25" name="Deck Value" dataDxfId="9410" totalsRowDxfId="9409"/>
    <tableColumn id="55" name="Deck Sq Ft" dataDxfId="9408" totalsRowDxfId="9407"/>
    <tableColumn id="10" name="DeckVal/SqFt" dataDxfId="9406" totalsRowDxfId="9405">
      <calculatedColumnFormula>AO196/AP196</calculatedColumnFormula>
    </tableColumn>
    <tableColumn id="39" name="Deck % Base" totalsRowFunction="custom" dataDxfId="9404" totalsRowDxfId="9403">
      <calculatedColumnFormula>AQ196/C196</calculatedColumnFormula>
      <totalsRowFormula>AVERAGE(Table11012[Deck % Base])</totalsRowFormula>
    </tableColumn>
    <tableColumn id="26" name="Cov Deck Value" dataDxfId="9402" totalsRowDxfId="9401"/>
    <tableColumn id="56" name="CovDeck Sq Ft" dataDxfId="9400" totalsRowDxfId="9399"/>
    <tableColumn id="11" name="CovDeckVal/SqFt" totalsRowFunction="custom" dataDxfId="9398" totalsRowDxfId="9397">
      <calculatedColumnFormula>AS196/AT196</calculatedColumnFormula>
      <totalsRowFormula>AVERAGE(Table11012[CovDeckVal/SqFt])</totalsRowFormula>
    </tableColumn>
    <tableColumn id="40" name="CovDeck % Base" totalsRowFunction="custom" dataDxfId="9396" totalsRowDxfId="9395">
      <calculatedColumnFormula>AU196/C196</calculatedColumnFormula>
      <totalsRowFormula>AVERAGE(Table11012[CovDeck % Base])</totalsRowFormula>
    </tableColumn>
    <tableColumn id="27" name="CarP Value" dataDxfId="9394" totalsRowDxfId="9393"/>
    <tableColumn id="57" name="CarP Sq Ft" dataDxfId="9392" totalsRowDxfId="9391"/>
    <tableColumn id="12" name="CarPVal/SqFt" dataDxfId="9390" totalsRowDxfId="9389">
      <calculatedColumnFormula>AW196/AX196</calculatedColumnFormula>
    </tableColumn>
    <tableColumn id="41" name="CarP % Base" totalsRowFunction="custom" dataDxfId="9388" totalsRowDxfId="9387">
      <calculatedColumnFormula>AY196/C196</calculatedColumnFormula>
      <totalsRowFormula>AVERAGE(Table11012[CarP % Base])</totalsRowFormula>
    </tableColumn>
    <tableColumn id="28" name="EFP Value" dataDxfId="9386" totalsRowDxfId="9385"/>
    <tableColumn id="58" name="EFP Sq Ft" dataDxfId="9384" totalsRowDxfId="9383"/>
    <tableColumn id="15" name="EFPVal/SqFt" dataDxfId="9382" totalsRowDxfId="9381">
      <calculatedColumnFormula>BA196/BB196</calculatedColumnFormula>
    </tableColumn>
    <tableColumn id="29" name="EFP % Base" totalsRowFunction="custom" dataDxfId="9380" totalsRowDxfId="9379">
      <calculatedColumnFormula>BC196/C196</calculatedColumnFormula>
      <totalsRowFormula>AVERAGE(Table11012[EFP % Base])</totalsRowFormula>
    </tableColumn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id="19" name="Table11013" displayName="Table11013" ref="A207:BD215" totalsRowCount="1" headerRowDxfId="9378">
  <tableColumns count="56">
    <tableColumn id="1" name="  Grade" dataDxfId="9377" totalsRowDxfId="9376"/>
    <tableColumn id="13" name="Main Area $" dataDxfId="9375" totalsRowDxfId="9374"/>
    <tableColumn id="45" name="MA $/Sq Ft" totalsRowFunction="custom" dataDxfId="9373" totalsRowDxfId="9372">
      <calculatedColumnFormula>B208/F205</calculatedColumnFormula>
      <totalsRowFormula>AVERAGE(Table11013[MA $/Sq Ft])</totalsRowFormula>
    </tableColumn>
    <tableColumn id="16" name="Basic Allowance" totalsRowFunction="custom" dataDxfId="9371" totalsRowDxfId="9370">
      <totalsRowFormula>AVERAGE(Table11013[Basic Allowance])</totalsRowFormula>
    </tableColumn>
    <tableColumn id="43" name="BsmtVal" dataDxfId="9369" totalsRowDxfId="9368"/>
    <tableColumn id="46" name="Bsmt SqFt" dataDxfId="9367" totalsRowDxfId="9366"/>
    <tableColumn id="2" name="BsmtVal/Sq Ft" dataDxfId="9365" totalsRowDxfId="9364">
      <calculatedColumnFormula>E208/F208</calculatedColumnFormula>
    </tableColumn>
    <tableColumn id="17" name="Bsmt % Base" totalsRowFunction="custom" dataDxfId="9363" totalsRowDxfId="9362">
      <calculatedColumnFormula>G208/C208</calculatedColumnFormula>
      <totalsRowFormula>AVERAGE(Table11013[Bsmt % Base])</totalsRowFormula>
    </tableColumn>
    <tableColumn id="30" name="UnfBsmtVal" dataDxfId="9361" totalsRowDxfId="9360"/>
    <tableColumn id="47" name="UnfBsmt Sq Ft" dataDxfId="9359" totalsRowDxfId="9358"/>
    <tableColumn id="3" name="UnfBsmtVal/SqFt" dataDxfId="9357" totalsRowDxfId="9356">
      <calculatedColumnFormula>I208/J208</calculatedColumnFormula>
    </tableColumn>
    <tableColumn id="44" name="UnfBsmt % Base" totalsRowFunction="custom" dataDxfId="9355" totalsRowDxfId="9354">
      <calculatedColumnFormula>K208/C208</calculatedColumnFormula>
      <totalsRowFormula>AVERAGE(Table11013[[#Headers],[#Data],[UnfBsmt % Base]])</totalsRowFormula>
    </tableColumn>
    <tableColumn id="31" name="Lower Value" dataDxfId="9353" totalsRowDxfId="9352"/>
    <tableColumn id="48" name="Lower Sq Ft" dataDxfId="9351" totalsRowDxfId="9350"/>
    <tableColumn id="4" name="LowerVal/SqFt" totalsRowFunction="custom" dataDxfId="9349" totalsRowDxfId="9348">
      <calculatedColumnFormula>M208/N208</calculatedColumnFormula>
      <totalsRowFormula>AVERAGE(Table11013[LowerVal/SqFt])</totalsRowFormula>
    </tableColumn>
    <tableColumn id="32" name="Lower % Base" totalsRowFunction="custom" dataDxfId="9347" totalsRowDxfId="9346">
      <calculatedColumnFormula>O208/C208</calculatedColumnFormula>
      <totalsRowFormula>AVERAGE(Table11013[Lower % Base])</totalsRowFormula>
    </tableColumn>
    <tableColumn id="19" name="Unf Lower Value" dataDxfId="9345" totalsRowDxfId="9344"/>
    <tableColumn id="49" name="UnfLower Sq Ft" dataDxfId="9343" totalsRowDxfId="9342"/>
    <tableColumn id="14" name="UnfLowVal/SqFt2" dataDxfId="9341" totalsRowDxfId="9340">
      <calculatedColumnFormula>Q208/R208</calculatedColumnFormula>
    </tableColumn>
    <tableColumn id="33" name="Unf Lower % Base" totalsRowFunction="custom" dataDxfId="9339" totalsRowDxfId="9338">
      <calculatedColumnFormula>S208/C208</calculatedColumnFormula>
      <totalsRowFormula>AVERAGE(Table11013[Unf Lower % Base])</totalsRowFormula>
    </tableColumn>
    <tableColumn id="20" name="1/2 Story Value" dataDxfId="9337" totalsRowDxfId="9336"/>
    <tableColumn id="50" name="1/2 Story Sq Ft" dataDxfId="9335" totalsRowDxfId="9334"/>
    <tableColumn id="5" name="1/2 StoryVal/SqFt" dataDxfId="9333" totalsRowDxfId="9332">
      <calculatedColumnFormula>U208/V208</calculatedColumnFormula>
    </tableColumn>
    <tableColumn id="34" name="1/2 Story % Base" totalsRowFunction="custom" dataDxfId="9331" totalsRowDxfId="9330">
      <calculatedColumnFormula>W208/C208</calculatedColumnFormula>
      <totalsRowFormula>AVERAGE(Table11013[1/2 Story % Base])</totalsRowFormula>
    </tableColumn>
    <tableColumn id="21" name="2nd Story Value" dataDxfId="9329" totalsRowDxfId="9328"/>
    <tableColumn id="51" name="2nd Sty Sq Ft" dataDxfId="9327" totalsRowDxfId="9326"/>
    <tableColumn id="6" name="2ndStyVal/Sqft" dataDxfId="9325" totalsRowDxfId="9324">
      <calculatedColumnFormula>Y208/Z208</calculatedColumnFormula>
    </tableColumn>
    <tableColumn id="35" name="2nd Story % Base" totalsRowFunction="custom" dataDxfId="9323" totalsRowDxfId="9322">
      <calculatedColumnFormula>AA208/C208</calculatedColumnFormula>
      <totalsRowFormula>AVERAGE(Table11013[2nd Story % Base])</totalsRowFormula>
    </tableColumn>
    <tableColumn id="22" name="Att Gar Value" dataDxfId="9321" totalsRowDxfId="9320"/>
    <tableColumn id="52" name="Att Gar Sq Ft" dataDxfId="9319" totalsRowDxfId="9318"/>
    <tableColumn id="7" name="AttGarVal/SqFt" totalsRowFunction="custom" dataDxfId="9317" totalsRowDxfId="9316">
      <calculatedColumnFormula>AC208/AD208</calculatedColumnFormula>
      <totalsRowFormula>AVERAGE(Table11013[AttGarVal/SqFt])</totalsRowFormula>
    </tableColumn>
    <tableColumn id="36" name="Att Gar % Base" totalsRowFunction="custom" dataDxfId="9315" totalsRowDxfId="9314">
      <calculatedColumnFormula>AE208/C208</calculatedColumnFormula>
      <totalsRowFormula>AVERAGE(Table11013[Att Gar % Base])</totalsRowFormula>
    </tableColumn>
    <tableColumn id="23" name="Porch Value" dataDxfId="9313" totalsRowDxfId="9312"/>
    <tableColumn id="53" name="Porch Sq Ft" dataDxfId="9311" totalsRowDxfId="9310"/>
    <tableColumn id="8" name="PorchVal/SqFt" dataDxfId="9309" totalsRowDxfId="9308">
      <calculatedColumnFormula>AG208/AH208</calculatedColumnFormula>
    </tableColumn>
    <tableColumn id="37" name="Porch % Base" totalsRowFunction="custom" dataDxfId="9307" totalsRowDxfId="9306">
      <calculatedColumnFormula>AI208/C208</calculatedColumnFormula>
      <totalsRowFormula>AVERAGE(Table11013[Porch % Base])</totalsRowFormula>
    </tableColumn>
    <tableColumn id="24" name="Cov Porch Value" dataDxfId="9305" totalsRowDxfId="9304"/>
    <tableColumn id="54" name="Cov Porch Sq Ft" dataDxfId="9303" totalsRowDxfId="9302"/>
    <tableColumn id="9" name="CovPrVal/SqFt" dataDxfId="9301" totalsRowDxfId="9300">
      <calculatedColumnFormula>AK208/AL208</calculatedColumnFormula>
    </tableColumn>
    <tableColumn id="38" name="Cov Porch % Base" totalsRowFunction="custom" dataDxfId="9299" totalsRowDxfId="9298">
      <calculatedColumnFormula>AM208/C208</calculatedColumnFormula>
      <totalsRowFormula>AVERAGE(Table11013[Cov Porch % Base])</totalsRowFormula>
    </tableColumn>
    <tableColumn id="25" name="Deck Value" dataDxfId="9297" totalsRowDxfId="9296"/>
    <tableColumn id="55" name="Deck Sq Ft" dataDxfId="9295" totalsRowDxfId="9294"/>
    <tableColumn id="10" name="DeckVal/SqFt" dataDxfId="9293" totalsRowDxfId="9292">
      <calculatedColumnFormula>AO208/AP208</calculatedColumnFormula>
    </tableColumn>
    <tableColumn id="39" name="Deck % Base" totalsRowFunction="custom" dataDxfId="9291" totalsRowDxfId="9290">
      <calculatedColumnFormula>AQ208/C208</calculatedColumnFormula>
      <totalsRowFormula>AVERAGE(Table11013[Deck % Base])</totalsRowFormula>
    </tableColumn>
    <tableColumn id="26" name="Cov Deck Value" dataDxfId="9289" totalsRowDxfId="9288"/>
    <tableColumn id="56" name="CovDeck Sq Ft" dataDxfId="9287" totalsRowDxfId="9286"/>
    <tableColumn id="11" name="CovDeckVal/SqFt" totalsRowFunction="custom" dataDxfId="9285" totalsRowDxfId="9284">
      <calculatedColumnFormula>AS208/AT208</calculatedColumnFormula>
      <totalsRowFormula>AVERAGE(Table11013[CovDeckVal/SqFt])</totalsRowFormula>
    </tableColumn>
    <tableColumn id="40" name="CovDeck % Base" totalsRowFunction="custom" dataDxfId="9283" totalsRowDxfId="9282">
      <calculatedColumnFormula>AU208/C208</calculatedColumnFormula>
      <totalsRowFormula>AVERAGE(Table11013[CovDeck % Base])</totalsRowFormula>
    </tableColumn>
    <tableColumn id="27" name="CarP Value" dataDxfId="9281" totalsRowDxfId="9280"/>
    <tableColumn id="57" name="CarP Sq Ft" dataDxfId="9279" totalsRowDxfId="9278"/>
    <tableColumn id="12" name="CarPVal/SqFt" dataDxfId="9277" totalsRowDxfId="9276">
      <calculatedColumnFormula>AW208/AX208</calculatedColumnFormula>
    </tableColumn>
    <tableColumn id="41" name="CarP % Base" totalsRowFunction="custom" dataDxfId="9275" totalsRowDxfId="9274">
      <calculatedColumnFormula>AY208/C208</calculatedColumnFormula>
      <totalsRowFormula>AVERAGE(Table11013[CarP % Base])</totalsRowFormula>
    </tableColumn>
    <tableColumn id="28" name="EFP Value" dataDxfId="9273" totalsRowDxfId="9272"/>
    <tableColumn id="58" name="EFP Sq Ft" dataDxfId="9271" totalsRowDxfId="9270"/>
    <tableColumn id="15" name="EFPVal/SqFt" dataDxfId="9269" totalsRowDxfId="9268">
      <calculatedColumnFormula>BA208/BB208</calculatedColumnFormula>
    </tableColumn>
    <tableColumn id="29" name="EFP % Base" totalsRowFunction="custom" dataDxfId="9267" totalsRowDxfId="9266">
      <calculatedColumnFormula>BC208/C208</calculatedColumnFormula>
      <totalsRowFormula>AVERAGE(Table11013[EFP % Base])</totalsRowFormula>
    </tableColumn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id="20" name="Table11014" displayName="Table11014" ref="A219:BD227" totalsRowCount="1" headerRowDxfId="9265">
  <tableColumns count="56">
    <tableColumn id="1" name="  Grade" dataDxfId="9264" totalsRowDxfId="9263"/>
    <tableColumn id="13" name="Main Area $" dataDxfId="9262" totalsRowDxfId="9261"/>
    <tableColumn id="45" name="MA $/Sq Ft" totalsRowFunction="custom" dataDxfId="9260" totalsRowDxfId="9259">
      <calculatedColumnFormula>B220/F217</calculatedColumnFormula>
      <totalsRowFormula>AVERAGE(Table11014[MA $/Sq Ft])</totalsRowFormula>
    </tableColumn>
    <tableColumn id="16" name="Basic Allowance" totalsRowFunction="custom" dataDxfId="9258" totalsRowDxfId="9257">
      <totalsRowFormula>AVERAGE(Table11014[Basic Allowance])</totalsRowFormula>
    </tableColumn>
    <tableColumn id="43" name="BsmtVal" dataDxfId="9256" totalsRowDxfId="9255"/>
    <tableColumn id="46" name="Bsmt SqFt" dataDxfId="9254" totalsRowDxfId="9253"/>
    <tableColumn id="2" name="BsmtVal/Sq Ft" dataDxfId="9252" totalsRowDxfId="9251">
      <calculatedColumnFormula>E220/F220</calculatedColumnFormula>
    </tableColumn>
    <tableColumn id="17" name="Bsmt % Base" totalsRowFunction="custom" dataDxfId="9250" totalsRowDxfId="9249">
      <calculatedColumnFormula>G220/C220</calculatedColumnFormula>
      <totalsRowFormula>AVERAGE(Table11014[Bsmt % Base])</totalsRowFormula>
    </tableColumn>
    <tableColumn id="30" name="UnfBsmtVal" dataDxfId="9248" totalsRowDxfId="9247"/>
    <tableColumn id="47" name="UnfBsmt Sq Ft" dataDxfId="9246" totalsRowDxfId="9245"/>
    <tableColumn id="3" name="UnfBsmtVal/SqFt" dataDxfId="9244" totalsRowDxfId="9243">
      <calculatedColumnFormula>I220/J220</calculatedColumnFormula>
    </tableColumn>
    <tableColumn id="44" name="UnfBsmt % Base" totalsRowFunction="custom" dataDxfId="9242" totalsRowDxfId="9241">
      <calculatedColumnFormula>K220/C220</calculatedColumnFormula>
      <totalsRowFormula>AVERAGE(Table11014[[#Headers],[#Data],[UnfBsmt % Base]])</totalsRowFormula>
    </tableColumn>
    <tableColumn id="31" name="Lower Value" dataDxfId="9240" totalsRowDxfId="9239"/>
    <tableColumn id="48" name="Lower Sq Ft" dataDxfId="9238" totalsRowDxfId="9237"/>
    <tableColumn id="4" name="LowerVal/SqFt" totalsRowFunction="custom" dataDxfId="9236" totalsRowDxfId="9235">
      <calculatedColumnFormula>M220/N220</calculatedColumnFormula>
      <totalsRowFormula>AVERAGE(Table11014[LowerVal/SqFt])</totalsRowFormula>
    </tableColumn>
    <tableColumn id="32" name="Lower % Base" totalsRowFunction="custom" dataDxfId="9234" totalsRowDxfId="9233">
      <calculatedColumnFormula>O220/C220</calculatedColumnFormula>
      <totalsRowFormula>AVERAGE(Table11014[Lower % Base])</totalsRowFormula>
    </tableColumn>
    <tableColumn id="19" name="Unf Lower Value" dataDxfId="9232" totalsRowDxfId="9231"/>
    <tableColumn id="49" name="UnfLower Sq Ft" dataDxfId="9230" totalsRowDxfId="9229"/>
    <tableColumn id="14" name="UnfLowVal/SqFt2" dataDxfId="9228" totalsRowDxfId="9227">
      <calculatedColumnFormula>Q220/R220</calculatedColumnFormula>
    </tableColumn>
    <tableColumn id="33" name="Unf Lower % Base" totalsRowFunction="custom" dataDxfId="9226" totalsRowDxfId="9225">
      <calculatedColumnFormula>S220/C220</calculatedColumnFormula>
      <totalsRowFormula>AVERAGE(Table11014[Unf Lower % Base])</totalsRowFormula>
    </tableColumn>
    <tableColumn id="20" name="1/2 Story Value" dataDxfId="9224" totalsRowDxfId="9223"/>
    <tableColumn id="50" name="1/2 Story Sq Ft" dataDxfId="9222" totalsRowDxfId="9221"/>
    <tableColumn id="5" name="1/2 StoryVal/SqFt" dataDxfId="9220" totalsRowDxfId="9219">
      <calculatedColumnFormula>U220/V220</calculatedColumnFormula>
    </tableColumn>
    <tableColumn id="34" name="1/2 Story % Base" totalsRowFunction="custom" dataDxfId="9218" totalsRowDxfId="9217">
      <calculatedColumnFormula>W220/C220</calculatedColumnFormula>
      <totalsRowFormula>AVERAGE(Table11014[1/2 Story % Base])</totalsRowFormula>
    </tableColumn>
    <tableColumn id="21" name="2nd Story Value" dataDxfId="9216" totalsRowDxfId="9215"/>
    <tableColumn id="51" name="2nd Sty Sq Ft" dataDxfId="9214" totalsRowDxfId="9213"/>
    <tableColumn id="6" name="2ndStyVal/Sqft" dataDxfId="9212" totalsRowDxfId="9211">
      <calculatedColumnFormula>Y220/Z220</calculatedColumnFormula>
    </tableColumn>
    <tableColumn id="35" name="2nd Story % Base" totalsRowFunction="custom" dataDxfId="9210" totalsRowDxfId="9209">
      <calculatedColumnFormula>AA220/C220</calculatedColumnFormula>
      <totalsRowFormula>AVERAGE(Table11014[2nd Story % Base])</totalsRowFormula>
    </tableColumn>
    <tableColumn id="22" name="Att Gar Value" dataDxfId="9208" totalsRowDxfId="9207"/>
    <tableColumn id="52" name="Att Gar Sq Ft" dataDxfId="9206" totalsRowDxfId="9205"/>
    <tableColumn id="7" name="AttGarVal/SqFt" totalsRowFunction="custom" dataDxfId="9204" totalsRowDxfId="9203">
      <calculatedColumnFormula>AC220/AD220</calculatedColumnFormula>
      <totalsRowFormula>AVERAGE(Table11014[AttGarVal/SqFt])</totalsRowFormula>
    </tableColumn>
    <tableColumn id="36" name="Att Gar % Base" totalsRowFunction="custom" dataDxfId="9202" totalsRowDxfId="9201">
      <calculatedColumnFormula>AE220/C220</calculatedColumnFormula>
      <totalsRowFormula>AVERAGE(Table11014[Att Gar % Base])</totalsRowFormula>
    </tableColumn>
    <tableColumn id="23" name="Porch Value" dataDxfId="9200" totalsRowDxfId="9199"/>
    <tableColumn id="53" name="Porch Sq Ft" dataDxfId="9198" totalsRowDxfId="9197"/>
    <tableColumn id="8" name="PorchVal/SqFt" dataDxfId="9196" totalsRowDxfId="9195">
      <calculatedColumnFormula>AG220/AH220</calculatedColumnFormula>
    </tableColumn>
    <tableColumn id="37" name="Porch % Base" totalsRowFunction="custom" dataDxfId="9194" totalsRowDxfId="9193">
      <calculatedColumnFormula>AI220/C220</calculatedColumnFormula>
      <totalsRowFormula>AVERAGE(Table11014[Porch % Base])</totalsRowFormula>
    </tableColumn>
    <tableColumn id="24" name="Cov Porch Value" dataDxfId="9192" totalsRowDxfId="9191"/>
    <tableColumn id="54" name="Cov Porch Sq Ft" dataDxfId="9190" totalsRowDxfId="9189"/>
    <tableColumn id="9" name="CovPrVal/SqFt" dataDxfId="9188" totalsRowDxfId="9187">
      <calculatedColumnFormula>AK220/AL220</calculatedColumnFormula>
    </tableColumn>
    <tableColumn id="38" name="Cov Porch % Base" totalsRowFunction="custom" dataDxfId="9186" totalsRowDxfId="9185">
      <calculatedColumnFormula>AM220/C220</calculatedColumnFormula>
      <totalsRowFormula>AVERAGE(Table11014[Cov Porch % Base])</totalsRowFormula>
    </tableColumn>
    <tableColumn id="25" name="Deck Value" dataDxfId="9184" totalsRowDxfId="9183"/>
    <tableColumn id="55" name="Deck Sq Ft" dataDxfId="9182" totalsRowDxfId="9181"/>
    <tableColumn id="10" name="DeckVal/SqFt" dataDxfId="9180" totalsRowDxfId="9179">
      <calculatedColumnFormula>AO220/AP220</calculatedColumnFormula>
    </tableColumn>
    <tableColumn id="39" name="Deck % Base" totalsRowFunction="custom" dataDxfId="9178" totalsRowDxfId="9177">
      <calculatedColumnFormula>AQ220/C220</calculatedColumnFormula>
      <totalsRowFormula>AVERAGE(Table11014[Deck % Base])</totalsRowFormula>
    </tableColumn>
    <tableColumn id="26" name="Cov Deck Value" dataDxfId="9176" totalsRowDxfId="9175"/>
    <tableColumn id="56" name="CovDeck Sq Ft" dataDxfId="9174" totalsRowDxfId="9173"/>
    <tableColumn id="11" name="CovDeckVal/SqFt" totalsRowFunction="custom" dataDxfId="9172" totalsRowDxfId="9171">
      <calculatedColumnFormula>AS220/AT220</calculatedColumnFormula>
      <totalsRowFormula>AVERAGE(Table11014[CovDeckVal/SqFt])</totalsRowFormula>
    </tableColumn>
    <tableColumn id="40" name="CovDeck % Base" totalsRowFunction="custom" dataDxfId="9170" totalsRowDxfId="9169">
      <calculatedColumnFormula>AU220/C220</calculatedColumnFormula>
      <totalsRowFormula>AVERAGE(Table11014[CovDeck % Base])</totalsRowFormula>
    </tableColumn>
    <tableColumn id="27" name="CarP Value" dataDxfId="9168" totalsRowDxfId="9167"/>
    <tableColumn id="57" name="CarP Sq Ft" dataDxfId="9166" totalsRowDxfId="9165"/>
    <tableColumn id="12" name="CarPVal/SqFt" dataDxfId="9164" totalsRowDxfId="9163">
      <calculatedColumnFormula>AW220/AX220</calculatedColumnFormula>
    </tableColumn>
    <tableColumn id="41" name="CarP % Base" totalsRowFunction="custom" dataDxfId="9162" totalsRowDxfId="9161">
      <calculatedColumnFormula>AY220/C220</calculatedColumnFormula>
      <totalsRowFormula>AVERAGE(Table11014[CarP % Base])</totalsRowFormula>
    </tableColumn>
    <tableColumn id="28" name="EFP Value" dataDxfId="9160" totalsRowDxfId="9159"/>
    <tableColumn id="58" name="EFP Sq Ft" dataDxfId="9158" totalsRowDxfId="9157"/>
    <tableColumn id="15" name="EFPVal/SqFt" dataDxfId="9156" totalsRowDxfId="9155">
      <calculatedColumnFormula>BA220/BB220</calculatedColumnFormula>
    </tableColumn>
    <tableColumn id="29" name="EFP % Base" totalsRowFunction="custom" dataDxfId="9154" totalsRowDxfId="9153">
      <calculatedColumnFormula>BC220/C220</calculatedColumnFormula>
      <totalsRowFormula>AVERAGE(Table11014[EFP % Base])</totalsRowFormula>
    </tableColumn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id="21" name="Table11015" displayName="Table11015" ref="A231:BD239" totalsRowCount="1" headerRowDxfId="9152">
  <tableColumns count="56">
    <tableColumn id="1" name="  Grade" dataDxfId="9151" totalsRowDxfId="9150"/>
    <tableColumn id="13" name="Main Area $" dataDxfId="9149" totalsRowDxfId="9148"/>
    <tableColumn id="45" name="MA $/Sq Ft" totalsRowFunction="custom" dataDxfId="9147" totalsRowDxfId="9146">
      <calculatedColumnFormula>B232/F229</calculatedColumnFormula>
      <totalsRowFormula>AVERAGE(Table11015[MA $/Sq Ft])</totalsRowFormula>
    </tableColumn>
    <tableColumn id="16" name="Basic Allowance" totalsRowFunction="custom" dataDxfId="9145" totalsRowDxfId="9144">
      <totalsRowFormula>AVERAGE(Table11015[Basic Allowance])</totalsRowFormula>
    </tableColumn>
    <tableColumn id="43" name="BsmtVal" dataDxfId="9143" totalsRowDxfId="9142"/>
    <tableColumn id="46" name="Bsmt SqFt" dataDxfId="9141" totalsRowDxfId="9140"/>
    <tableColumn id="2" name="BsmtVal/Sq Ft" dataDxfId="9139" totalsRowDxfId="9138">
      <calculatedColumnFormula>E232/F232</calculatedColumnFormula>
    </tableColumn>
    <tableColumn id="17" name="Bsmt % Base" totalsRowFunction="custom" dataDxfId="9137" totalsRowDxfId="9136">
      <calculatedColumnFormula>G232/C232</calculatedColumnFormula>
      <totalsRowFormula>AVERAGE(Table11015[Bsmt % Base])</totalsRowFormula>
    </tableColumn>
    <tableColumn id="30" name="UnfBsmtVal" dataDxfId="9135" totalsRowDxfId="9134"/>
    <tableColumn id="47" name="UnfBsmt Sq Ft" dataDxfId="9133" totalsRowDxfId="9132"/>
    <tableColumn id="3" name="UnfBsmtVal/SqFt" dataDxfId="9131" totalsRowDxfId="9130">
      <calculatedColumnFormula>I232/J232</calculatedColumnFormula>
    </tableColumn>
    <tableColumn id="44" name="UnfBsmt % Base" totalsRowFunction="custom" dataDxfId="9129" totalsRowDxfId="9128">
      <calculatedColumnFormula>K232/C232</calculatedColumnFormula>
      <totalsRowFormula>AVERAGE(Table11015[[#Headers],[#Data],[UnfBsmt % Base]])</totalsRowFormula>
    </tableColumn>
    <tableColumn id="31" name="Lower Value" dataDxfId="9127" totalsRowDxfId="9126"/>
    <tableColumn id="48" name="Lower Sq Ft" dataDxfId="9125" totalsRowDxfId="9124"/>
    <tableColumn id="4" name="LowerVal/SqFt" totalsRowFunction="custom" dataDxfId="9123" totalsRowDxfId="9122">
      <calculatedColumnFormula>M232/N232</calculatedColumnFormula>
      <totalsRowFormula>AVERAGE(Table11015[LowerVal/SqFt])</totalsRowFormula>
    </tableColumn>
    <tableColumn id="32" name="Lower % Base" totalsRowFunction="custom" dataDxfId="9121" totalsRowDxfId="9120">
      <calculatedColumnFormula>O232/C232</calculatedColumnFormula>
      <totalsRowFormula>AVERAGE(Table11015[Lower % Base])</totalsRowFormula>
    </tableColumn>
    <tableColumn id="19" name="Unf Lower Value" dataDxfId="9119" totalsRowDxfId="9118"/>
    <tableColumn id="49" name="UnfLower Sq Ft" dataDxfId="9117" totalsRowDxfId="9116"/>
    <tableColumn id="14" name="UnfLowVal/SqFt2" dataDxfId="9115" totalsRowDxfId="9114">
      <calculatedColumnFormula>Q232/R232</calculatedColumnFormula>
    </tableColumn>
    <tableColumn id="33" name="Unf Lower % Base" totalsRowFunction="custom" dataDxfId="9113" totalsRowDxfId="9112">
      <calculatedColumnFormula>S232/C232</calculatedColumnFormula>
      <totalsRowFormula>AVERAGE(Table11015[Unf Lower % Base])</totalsRowFormula>
    </tableColumn>
    <tableColumn id="20" name="1/2 Story Value" dataDxfId="9111" totalsRowDxfId="9110"/>
    <tableColumn id="50" name="1/2 Story Sq Ft" dataDxfId="9109" totalsRowDxfId="9108"/>
    <tableColumn id="5" name="1/2 StoryVal/SqFt" dataDxfId="9107" totalsRowDxfId="9106">
      <calculatedColumnFormula>U232/V232</calculatedColumnFormula>
    </tableColumn>
    <tableColumn id="34" name="1/2 Story % Base" totalsRowFunction="custom" dataDxfId="9105" totalsRowDxfId="9104">
      <calculatedColumnFormula>W232/C232</calculatedColumnFormula>
      <totalsRowFormula>AVERAGE(Table11015[1/2 Story % Base])</totalsRowFormula>
    </tableColumn>
    <tableColumn id="21" name="2nd Story Value" dataDxfId="9103" totalsRowDxfId="9102"/>
    <tableColumn id="51" name="2nd Sty Sq Ft" dataDxfId="9101" totalsRowDxfId="9100"/>
    <tableColumn id="6" name="2ndStyVal/Sqft" dataDxfId="9099" totalsRowDxfId="9098">
      <calculatedColumnFormula>Y232/Z232</calculatedColumnFormula>
    </tableColumn>
    <tableColumn id="35" name="2nd Story % Base" totalsRowFunction="custom" dataDxfId="9097" totalsRowDxfId="9096">
      <calculatedColumnFormula>AA232/C232</calculatedColumnFormula>
      <totalsRowFormula>AVERAGE(Table11015[2nd Story % Base])</totalsRowFormula>
    </tableColumn>
    <tableColumn id="22" name="Att Gar Value" dataDxfId="9095" totalsRowDxfId="9094"/>
    <tableColumn id="52" name="Att Gar Sq Ft" dataDxfId="9093" totalsRowDxfId="9092"/>
    <tableColumn id="7" name="AttGarVal/SqFt" totalsRowFunction="custom" dataDxfId="9091" totalsRowDxfId="9090">
      <calculatedColumnFormula>AC232/AD232</calculatedColumnFormula>
      <totalsRowFormula>AVERAGE(Table11015[AttGarVal/SqFt])</totalsRowFormula>
    </tableColumn>
    <tableColumn id="36" name="Att Gar % Base" totalsRowFunction="custom" dataDxfId="9089" totalsRowDxfId="9088">
      <calculatedColumnFormula>AE232/C232</calculatedColumnFormula>
      <totalsRowFormula>AVERAGE(Table11015[Att Gar % Base])</totalsRowFormula>
    </tableColumn>
    <tableColumn id="23" name="Porch Value" dataDxfId="9087" totalsRowDxfId="9086"/>
    <tableColumn id="53" name="Porch Sq Ft" dataDxfId="9085" totalsRowDxfId="9084"/>
    <tableColumn id="8" name="PorchVal/SqFt" dataDxfId="9083" totalsRowDxfId="9082">
      <calculatedColumnFormula>AG232/AH232</calculatedColumnFormula>
    </tableColumn>
    <tableColumn id="37" name="Porch % Base" totalsRowFunction="custom" dataDxfId="9081" totalsRowDxfId="9080">
      <calculatedColumnFormula>AI232/C232</calculatedColumnFormula>
      <totalsRowFormula>AVERAGE(Table11015[Porch % Base])</totalsRowFormula>
    </tableColumn>
    <tableColumn id="24" name="Cov Porch Value" dataDxfId="9079" totalsRowDxfId="9078"/>
    <tableColumn id="54" name="Cov Porch Sq Ft" dataDxfId="9077" totalsRowDxfId="9076"/>
    <tableColumn id="9" name="CovPrVal/SqFt" dataDxfId="9075" totalsRowDxfId="9074">
      <calculatedColumnFormula>AK232/AL232</calculatedColumnFormula>
    </tableColumn>
    <tableColumn id="38" name="Cov Porch % Base" totalsRowFunction="custom" dataDxfId="9073" totalsRowDxfId="9072">
      <calculatedColumnFormula>AM232/C232</calculatedColumnFormula>
      <totalsRowFormula>AVERAGE(Table11015[Cov Porch % Base])</totalsRowFormula>
    </tableColumn>
    <tableColumn id="25" name="Deck Value" dataDxfId="9071" totalsRowDxfId="9070"/>
    <tableColumn id="55" name="Deck Sq Ft" dataDxfId="9069" totalsRowDxfId="9068"/>
    <tableColumn id="10" name="DeckVal/SqFt" dataDxfId="9067" totalsRowDxfId="9066">
      <calculatedColumnFormula>AO232/AP232</calculatedColumnFormula>
    </tableColumn>
    <tableColumn id="39" name="Deck % Base" totalsRowFunction="custom" dataDxfId="9065" totalsRowDxfId="9064">
      <calculatedColumnFormula>AQ232/C232</calculatedColumnFormula>
      <totalsRowFormula>AVERAGE(Table11015[Deck % Base])</totalsRowFormula>
    </tableColumn>
    <tableColumn id="26" name="Cov Deck Value" dataDxfId="9063" totalsRowDxfId="9062"/>
    <tableColumn id="56" name="CovDeck Sq Ft" dataDxfId="9061" totalsRowDxfId="9060"/>
    <tableColumn id="11" name="CovDeckVal/SqFt" totalsRowFunction="custom" dataDxfId="9059" totalsRowDxfId="9058">
      <calculatedColumnFormula>AS232/AT232</calculatedColumnFormula>
      <totalsRowFormula>AVERAGE(Table11015[CovDeckVal/SqFt])</totalsRowFormula>
    </tableColumn>
    <tableColumn id="40" name="CovDeck % Base" totalsRowFunction="custom" dataDxfId="9057" totalsRowDxfId="9056">
      <calculatedColumnFormula>AU232/C232</calculatedColumnFormula>
      <totalsRowFormula>AVERAGE(Table11015[CovDeck % Base])</totalsRowFormula>
    </tableColumn>
    <tableColumn id="27" name="CarP Value" dataDxfId="9055" totalsRowDxfId="9054"/>
    <tableColumn id="57" name="CarP Sq Ft" dataDxfId="9053" totalsRowDxfId="9052"/>
    <tableColumn id="12" name="CarPVal/SqFt" dataDxfId="9051" totalsRowDxfId="9050">
      <calculatedColumnFormula>AW232/AX232</calculatedColumnFormula>
    </tableColumn>
    <tableColumn id="41" name="CarP % Base" totalsRowFunction="custom" dataDxfId="9049" totalsRowDxfId="9048">
      <calculatedColumnFormula>AY232/C232</calculatedColumnFormula>
      <totalsRowFormula>AVERAGE(Table11015[CarP % Base])</totalsRowFormula>
    </tableColumn>
    <tableColumn id="28" name="EFP Value" dataDxfId="9047" totalsRowDxfId="9046"/>
    <tableColumn id="58" name="EFP Sq Ft" dataDxfId="9045" totalsRowDxfId="9044"/>
    <tableColumn id="15" name="EFPVal/SqFt" dataDxfId="9043" totalsRowDxfId="9042">
      <calculatedColumnFormula>BA232/BB232</calculatedColumnFormula>
    </tableColumn>
    <tableColumn id="29" name="EFP % Base" totalsRowFunction="custom" dataDxfId="9041" totalsRowDxfId="9040">
      <calculatedColumnFormula>BC232/C232</calculatedColumnFormula>
      <totalsRowFormula>AVERAGE(Table11015[EFP % Base])</totalsRowFormula>
    </tableColumn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id="22" name="Table11016" displayName="Table11016" ref="A243:BD251" totalsRowCount="1" headerRowDxfId="9039">
  <tableColumns count="56">
    <tableColumn id="1" name="  Grade" dataDxfId="9038" totalsRowDxfId="9037"/>
    <tableColumn id="13" name="Main Area $" dataDxfId="9036" totalsRowDxfId="9035"/>
    <tableColumn id="45" name="MA $/Sq Ft" totalsRowFunction="custom" dataDxfId="9034" totalsRowDxfId="9033">
      <calculatedColumnFormula>B244/F241</calculatedColumnFormula>
      <totalsRowFormula>AVERAGE(Table11016[MA $/Sq Ft])</totalsRowFormula>
    </tableColumn>
    <tableColumn id="16" name="Basic Allowance" totalsRowFunction="custom" dataDxfId="9032" totalsRowDxfId="9031">
      <totalsRowFormula>AVERAGE(Table11016[Basic Allowance])</totalsRowFormula>
    </tableColumn>
    <tableColumn id="43" name="BsmtVal" dataDxfId="9030" totalsRowDxfId="9029"/>
    <tableColumn id="46" name="Bsmt SqFt" dataDxfId="9028" totalsRowDxfId="9027"/>
    <tableColumn id="2" name="BsmtVal/Sq Ft" dataDxfId="9026" totalsRowDxfId="9025">
      <calculatedColumnFormula>E244/F244</calculatedColumnFormula>
    </tableColumn>
    <tableColumn id="17" name="Bsmt % Base" totalsRowFunction="custom" dataDxfId="9024" totalsRowDxfId="9023">
      <calculatedColumnFormula>G244/C244</calculatedColumnFormula>
      <totalsRowFormula>AVERAGE(Table11016[Bsmt % Base])</totalsRowFormula>
    </tableColumn>
    <tableColumn id="30" name="UnfBsmtVal" dataDxfId="9022" totalsRowDxfId="9021"/>
    <tableColumn id="47" name="UnfBsmt Sq Ft" dataDxfId="9020" totalsRowDxfId="9019"/>
    <tableColumn id="3" name="UnfBsmtVal/SqFt" dataDxfId="9018" totalsRowDxfId="9017">
      <calculatedColumnFormula>I244/J244</calculatedColumnFormula>
    </tableColumn>
    <tableColumn id="44" name="UnfBsmt % Base" totalsRowFunction="custom" dataDxfId="9016" totalsRowDxfId="9015">
      <calculatedColumnFormula>K244/C244</calculatedColumnFormula>
      <totalsRowFormula>AVERAGE(Table11016[[#Headers],[#Data],[UnfBsmt % Base]])</totalsRowFormula>
    </tableColumn>
    <tableColumn id="31" name="Lower Value" dataDxfId="9014" totalsRowDxfId="9013"/>
    <tableColumn id="48" name="Lower Sq Ft" dataDxfId="9012" totalsRowDxfId="9011"/>
    <tableColumn id="4" name="LowerVal/SqFt" totalsRowFunction="custom" dataDxfId="9010" totalsRowDxfId="9009">
      <calculatedColumnFormula>M244/N244</calculatedColumnFormula>
      <totalsRowFormula>AVERAGE(Table11016[LowerVal/SqFt])</totalsRowFormula>
    </tableColumn>
    <tableColumn id="32" name="Lower % Base" totalsRowFunction="custom" dataDxfId="9008" totalsRowDxfId="9007">
      <calculatedColumnFormula>O244/C244</calculatedColumnFormula>
      <totalsRowFormula>AVERAGE(Table11016[Lower % Base])</totalsRowFormula>
    </tableColumn>
    <tableColumn id="19" name="Unf Lower Value" dataDxfId="9006" totalsRowDxfId="9005"/>
    <tableColumn id="49" name="UnfLower Sq Ft" dataDxfId="9004" totalsRowDxfId="9003"/>
    <tableColumn id="14" name="UnfLowVal/SqFt2" dataDxfId="9002" totalsRowDxfId="9001">
      <calculatedColumnFormula>Q244/R244</calculatedColumnFormula>
    </tableColumn>
    <tableColumn id="33" name="Unf Lower % Base" totalsRowFunction="custom" dataDxfId="9000" totalsRowDxfId="8999">
      <calculatedColumnFormula>S244/C244</calculatedColumnFormula>
      <totalsRowFormula>AVERAGE(Table11016[Unf Lower % Base])</totalsRowFormula>
    </tableColumn>
    <tableColumn id="20" name="1/2 Story Value" dataDxfId="8998" totalsRowDxfId="8997"/>
    <tableColumn id="50" name="1/2 Story Sq Ft" dataDxfId="8996" totalsRowDxfId="8995"/>
    <tableColumn id="5" name="1/2 StoryVal/SqFt" dataDxfId="8994" totalsRowDxfId="8993">
      <calculatedColumnFormula>U244/V244</calculatedColumnFormula>
    </tableColumn>
    <tableColumn id="34" name="1/2 Story % Base" totalsRowFunction="custom" dataDxfId="8992" totalsRowDxfId="8991">
      <calculatedColumnFormula>W244/C244</calculatedColumnFormula>
      <totalsRowFormula>AVERAGE(Table11016[1/2 Story % Base])</totalsRowFormula>
    </tableColumn>
    <tableColumn id="21" name="2nd Story Value" dataDxfId="8990" totalsRowDxfId="8989"/>
    <tableColumn id="51" name="2nd Sty Sq Ft" dataDxfId="8988" totalsRowDxfId="8987"/>
    <tableColumn id="6" name="2ndStyVal/Sqft" dataDxfId="8986" totalsRowDxfId="8985">
      <calculatedColumnFormula>Y244/Z244</calculatedColumnFormula>
    </tableColumn>
    <tableColumn id="35" name="2nd Story % Base" totalsRowFunction="custom" dataDxfId="8984" totalsRowDxfId="8983">
      <calculatedColumnFormula>AA244/C244</calculatedColumnFormula>
      <totalsRowFormula>AVERAGE(Table11016[2nd Story % Base])</totalsRowFormula>
    </tableColumn>
    <tableColumn id="22" name="Att Gar Value" dataDxfId="8982" totalsRowDxfId="8981"/>
    <tableColumn id="52" name="Att Gar Sq Ft" dataDxfId="8980" totalsRowDxfId="8979"/>
    <tableColumn id="7" name="AttGarVal/SqFt" totalsRowFunction="custom" dataDxfId="8978" totalsRowDxfId="8977">
      <calculatedColumnFormula>AC244/AD244</calculatedColumnFormula>
      <totalsRowFormula>AVERAGE(Table11016[AttGarVal/SqFt])</totalsRowFormula>
    </tableColumn>
    <tableColumn id="36" name="Att Gar % Base" totalsRowFunction="custom" dataDxfId="8976" totalsRowDxfId="8975">
      <calculatedColumnFormula>AE244/C244</calculatedColumnFormula>
      <totalsRowFormula>AVERAGE(Table11016[Att Gar % Base])</totalsRowFormula>
    </tableColumn>
    <tableColumn id="23" name="Porch Value" dataDxfId="8974" totalsRowDxfId="8973"/>
    <tableColumn id="53" name="Porch Sq Ft" dataDxfId="8972" totalsRowDxfId="8971"/>
    <tableColumn id="8" name="PorchVal/SqFt" dataDxfId="8970" totalsRowDxfId="8969">
      <calculatedColumnFormula>AG244/AH244</calculatedColumnFormula>
    </tableColumn>
    <tableColumn id="37" name="Porch % Base" totalsRowFunction="custom" dataDxfId="8968" totalsRowDxfId="8967">
      <calculatedColumnFormula>AI244/C244</calculatedColumnFormula>
      <totalsRowFormula>AVERAGE(Table11016[Porch % Base])</totalsRowFormula>
    </tableColumn>
    <tableColumn id="24" name="Cov Porch Value" dataDxfId="8966" totalsRowDxfId="8965"/>
    <tableColumn id="54" name="Cov Porch Sq Ft" dataDxfId="8964" totalsRowDxfId="8963"/>
    <tableColumn id="9" name="CovPrVal/SqFt" dataDxfId="8962" totalsRowDxfId="8961">
      <calculatedColumnFormula>AK244/AL244</calculatedColumnFormula>
    </tableColumn>
    <tableColumn id="38" name="Cov Porch % Base" totalsRowFunction="custom" dataDxfId="8960" totalsRowDxfId="8959">
      <calculatedColumnFormula>AM244/C244</calculatedColumnFormula>
      <totalsRowFormula>AVERAGE(Table11016[Cov Porch % Base])</totalsRowFormula>
    </tableColumn>
    <tableColumn id="25" name="Deck Value" dataDxfId="8958" totalsRowDxfId="8957"/>
    <tableColumn id="55" name="Deck Sq Ft" dataDxfId="8956" totalsRowDxfId="8955"/>
    <tableColumn id="10" name="DeckVal/SqFt" dataDxfId="8954" totalsRowDxfId="8953">
      <calculatedColumnFormula>AO244/AP244</calculatedColumnFormula>
    </tableColumn>
    <tableColumn id="39" name="Deck % Base" totalsRowFunction="custom" dataDxfId="8952" totalsRowDxfId="8951">
      <calculatedColumnFormula>AQ244/C244</calculatedColumnFormula>
      <totalsRowFormula>AVERAGE(Table11016[Deck % Base])</totalsRowFormula>
    </tableColumn>
    <tableColumn id="26" name="Cov Deck Value" dataDxfId="8950" totalsRowDxfId="8949"/>
    <tableColumn id="56" name="CovDeck Sq Ft" dataDxfId="8948" totalsRowDxfId="8947"/>
    <tableColumn id="11" name="CovDeckVal/SqFt" totalsRowFunction="custom" dataDxfId="8946" totalsRowDxfId="8945">
      <calculatedColumnFormula>AS244/AT244</calculatedColumnFormula>
      <totalsRowFormula>AVERAGE(Table11016[CovDeckVal/SqFt])</totalsRowFormula>
    </tableColumn>
    <tableColumn id="40" name="CovDeck % Base" totalsRowFunction="custom" dataDxfId="8944" totalsRowDxfId="8943">
      <calculatedColumnFormula>AU244/C244</calculatedColumnFormula>
      <totalsRowFormula>AVERAGE(Table11016[CovDeck % Base])</totalsRowFormula>
    </tableColumn>
    <tableColumn id="27" name="CarP Value" dataDxfId="8942" totalsRowDxfId="8941"/>
    <tableColumn id="57" name="CarP Sq Ft" dataDxfId="8940" totalsRowDxfId="8939"/>
    <tableColumn id="12" name="CarPVal/SqFt" dataDxfId="8938" totalsRowDxfId="8937">
      <calculatedColumnFormula>AW244/AX244</calculatedColumnFormula>
    </tableColumn>
    <tableColumn id="41" name="CarP % Base" totalsRowFunction="custom" dataDxfId="8936" totalsRowDxfId="8935">
      <calculatedColumnFormula>AY244/C244</calculatedColumnFormula>
      <totalsRowFormula>AVERAGE(Table11016[CarP % Base])</totalsRowFormula>
    </tableColumn>
    <tableColumn id="28" name="EFP Value" dataDxfId="8934" totalsRowDxfId="8933"/>
    <tableColumn id="58" name="EFP Sq Ft" dataDxfId="8932" totalsRowDxfId="8931"/>
    <tableColumn id="15" name="EFPVal/SqFt" dataDxfId="8930" totalsRowDxfId="8929">
      <calculatedColumnFormula>BA244/BB244</calculatedColumnFormula>
    </tableColumn>
    <tableColumn id="29" name="EFP % Base" totalsRowFunction="custom" dataDxfId="8928" totalsRowDxfId="8927">
      <calculatedColumnFormula>BC244/C244</calculatedColumnFormula>
      <totalsRowFormula>AVERAGE(Table11016[EFP % Base])</totalsRowFormula>
    </tableColumn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id="23" name="Table11017" displayName="Table11017" ref="A255:BD263" totalsRowCount="1" headerRowDxfId="8926">
  <tableColumns count="56">
    <tableColumn id="1" name="  Grade" dataDxfId="8925" totalsRowDxfId="8924"/>
    <tableColumn id="13" name="Main Area $" dataDxfId="8923" totalsRowDxfId="8922"/>
    <tableColumn id="45" name="MA $/Sq Ft" totalsRowFunction="custom" dataDxfId="8921" totalsRowDxfId="8920">
      <calculatedColumnFormula>B256/F253</calculatedColumnFormula>
      <totalsRowFormula>AVERAGE(Table11017[MA $/Sq Ft])</totalsRowFormula>
    </tableColumn>
    <tableColumn id="16" name="Basic Allowance" totalsRowFunction="custom" dataDxfId="8919" totalsRowDxfId="8918">
      <totalsRowFormula>AVERAGE(Table11017[Basic Allowance])</totalsRowFormula>
    </tableColumn>
    <tableColumn id="43" name="BsmtVal" dataDxfId="8917" totalsRowDxfId="8916"/>
    <tableColumn id="46" name="Bsmt SqFt" dataDxfId="8915" totalsRowDxfId="8914"/>
    <tableColumn id="2" name="BsmtVal/Sq Ft" dataDxfId="8913" totalsRowDxfId="8912">
      <calculatedColumnFormula>E256/F256</calculatedColumnFormula>
    </tableColumn>
    <tableColumn id="17" name="Bsmt % Base" totalsRowFunction="custom" dataDxfId="8911" totalsRowDxfId="8910">
      <calculatedColumnFormula>G256/C256</calculatedColumnFormula>
      <totalsRowFormula>AVERAGE(Table11017[Bsmt % Base])</totalsRowFormula>
    </tableColumn>
    <tableColumn id="30" name="UnfBsmtVal" dataDxfId="8909" totalsRowDxfId="8908"/>
    <tableColumn id="47" name="UnfBsmt Sq Ft" dataDxfId="8907" totalsRowDxfId="8906"/>
    <tableColumn id="3" name="UnfBsmtVal/SqFt" dataDxfId="8905" totalsRowDxfId="8904">
      <calculatedColumnFormula>I256/J256</calculatedColumnFormula>
    </tableColumn>
    <tableColumn id="44" name="UnfBsmt % Base" totalsRowFunction="custom" dataDxfId="8903" totalsRowDxfId="8902">
      <calculatedColumnFormula>K256/C256</calculatedColumnFormula>
      <totalsRowFormula>AVERAGE(Table11017[[#Headers],[#Data],[UnfBsmt % Base]])</totalsRowFormula>
    </tableColumn>
    <tableColumn id="31" name="Lower Value" dataDxfId="8901" totalsRowDxfId="8900"/>
    <tableColumn id="48" name="Lower Sq Ft" dataDxfId="8899" totalsRowDxfId="8898"/>
    <tableColumn id="4" name="LowerVal/SqFt" totalsRowFunction="custom" dataDxfId="8897" totalsRowDxfId="8896">
      <calculatedColumnFormula>M256/N256</calculatedColumnFormula>
      <totalsRowFormula>AVERAGE(Table11017[LowerVal/SqFt])</totalsRowFormula>
    </tableColumn>
    <tableColumn id="32" name="Lower % Base" totalsRowFunction="custom" dataDxfId="8895" totalsRowDxfId="8894">
      <calculatedColumnFormula>O256/C256</calculatedColumnFormula>
      <totalsRowFormula>AVERAGE(Table11017[Lower % Base])</totalsRowFormula>
    </tableColumn>
    <tableColumn id="19" name="Unf Lower Value" dataDxfId="8893" totalsRowDxfId="8892"/>
    <tableColumn id="49" name="UnfLower Sq Ft" dataDxfId="8891" totalsRowDxfId="8890"/>
    <tableColumn id="14" name="UnfLowVal/SqFt2" dataDxfId="8889" totalsRowDxfId="8888">
      <calculatedColumnFormula>Q256/R256</calculatedColumnFormula>
    </tableColumn>
    <tableColumn id="33" name="Unf Lower % Base" totalsRowFunction="custom" dataDxfId="8887" totalsRowDxfId="8886">
      <calculatedColumnFormula>S256/C256</calculatedColumnFormula>
      <totalsRowFormula>AVERAGE(Table11017[Unf Lower % Base])</totalsRowFormula>
    </tableColumn>
    <tableColumn id="20" name="1/2 Story Value" dataDxfId="8885" totalsRowDxfId="8884"/>
    <tableColumn id="50" name="1/2 Story Sq Ft" dataDxfId="8883" totalsRowDxfId="8882"/>
    <tableColumn id="5" name="1/2 StoryVal/SqFt" dataDxfId="8881" totalsRowDxfId="8880">
      <calculatedColumnFormula>U256/V256</calculatedColumnFormula>
    </tableColumn>
    <tableColumn id="34" name="1/2 Story % Base" totalsRowFunction="custom" dataDxfId="8879" totalsRowDxfId="8878">
      <calculatedColumnFormula>W256/C256</calculatedColumnFormula>
      <totalsRowFormula>AVERAGE(Table11017[1/2 Story % Base])</totalsRowFormula>
    </tableColumn>
    <tableColumn id="21" name="2nd Story Value" dataDxfId="8877" totalsRowDxfId="8876"/>
    <tableColumn id="51" name="2nd Sty Sq Ft" dataDxfId="8875" totalsRowDxfId="8874"/>
    <tableColumn id="6" name="2ndStyVal/Sqft" dataDxfId="8873" totalsRowDxfId="8872">
      <calculatedColumnFormula>Y256/Z256</calculatedColumnFormula>
    </tableColumn>
    <tableColumn id="35" name="2nd Story % Base" totalsRowFunction="custom" dataDxfId="8871" totalsRowDxfId="8870">
      <calculatedColumnFormula>AA256/C256</calculatedColumnFormula>
      <totalsRowFormula>AVERAGE(Table11017[2nd Story % Base])</totalsRowFormula>
    </tableColumn>
    <tableColumn id="22" name="Att Gar Value" dataDxfId="8869" totalsRowDxfId="8868"/>
    <tableColumn id="52" name="Att Gar Sq Ft" dataDxfId="8867" totalsRowDxfId="8866"/>
    <tableColumn id="7" name="AttGarVal/SqFt" totalsRowFunction="custom" dataDxfId="8865" totalsRowDxfId="8864">
      <calculatedColumnFormula>AC256/AD256</calculatedColumnFormula>
      <totalsRowFormula>AVERAGE(Table11017[AttGarVal/SqFt])</totalsRowFormula>
    </tableColumn>
    <tableColumn id="36" name="Att Gar % Base" totalsRowFunction="custom" dataDxfId="8863" totalsRowDxfId="8862">
      <calculatedColumnFormula>AE256/C256</calculatedColumnFormula>
      <totalsRowFormula>AVERAGE(Table11017[Att Gar % Base])</totalsRowFormula>
    </tableColumn>
    <tableColumn id="23" name="Porch Value" dataDxfId="8861" totalsRowDxfId="8860"/>
    <tableColumn id="53" name="Porch Sq Ft" dataDxfId="8859" totalsRowDxfId="8858"/>
    <tableColumn id="8" name="PorchVal/SqFt" dataDxfId="8857" totalsRowDxfId="8856">
      <calculatedColumnFormula>AG256/AH256</calculatedColumnFormula>
    </tableColumn>
    <tableColumn id="37" name="Porch % Base" totalsRowFunction="custom" dataDxfId="8855" totalsRowDxfId="8854">
      <calculatedColumnFormula>AI256/C256</calculatedColumnFormula>
      <totalsRowFormula>AVERAGE(Table11017[Porch % Base])</totalsRowFormula>
    </tableColumn>
    <tableColumn id="24" name="Cov Porch Value" dataDxfId="8853" totalsRowDxfId="8852"/>
    <tableColumn id="54" name="Cov Porch Sq Ft" dataDxfId="8851" totalsRowDxfId="8850"/>
    <tableColumn id="9" name="CovPrVal/SqFt" dataDxfId="8849" totalsRowDxfId="8848">
      <calculatedColumnFormula>AK256/AL256</calculatedColumnFormula>
    </tableColumn>
    <tableColumn id="38" name="Cov Porch % Base" totalsRowFunction="custom" dataDxfId="8847" totalsRowDxfId="8846">
      <calculatedColumnFormula>AM256/C256</calculatedColumnFormula>
      <totalsRowFormula>AVERAGE(Table11017[Cov Porch % Base])</totalsRowFormula>
    </tableColumn>
    <tableColumn id="25" name="Deck Value" dataDxfId="8845" totalsRowDxfId="8844"/>
    <tableColumn id="55" name="Deck Sq Ft" dataDxfId="8843" totalsRowDxfId="8842"/>
    <tableColumn id="10" name="DeckVal/SqFt" dataDxfId="8841" totalsRowDxfId="8840">
      <calculatedColumnFormula>AO256/AP256</calculatedColumnFormula>
    </tableColumn>
    <tableColumn id="39" name="Deck % Base" totalsRowFunction="custom" dataDxfId="8839" totalsRowDxfId="8838">
      <calculatedColumnFormula>AQ256/C256</calculatedColumnFormula>
      <totalsRowFormula>AVERAGE(Table11017[Deck % Base])</totalsRowFormula>
    </tableColumn>
    <tableColumn id="26" name="Cov Deck Value" dataDxfId="8837" totalsRowDxfId="8836"/>
    <tableColumn id="56" name="CovDeck Sq Ft" dataDxfId="8835" totalsRowDxfId="8834"/>
    <tableColumn id="11" name="CovDeckVal/SqFt" totalsRowFunction="custom" dataDxfId="8833" totalsRowDxfId="8832">
      <calculatedColumnFormula>AS256/AT256</calculatedColumnFormula>
      <totalsRowFormula>AVERAGE(Table11017[CovDeckVal/SqFt])</totalsRowFormula>
    </tableColumn>
    <tableColumn id="40" name="CovDeck % Base" totalsRowFunction="custom" dataDxfId="8831" totalsRowDxfId="8830">
      <calculatedColumnFormula>AU256/C256</calculatedColumnFormula>
      <totalsRowFormula>AVERAGE(Table11017[CovDeck % Base])</totalsRowFormula>
    </tableColumn>
    <tableColumn id="27" name="CarP Value" dataDxfId="8829" totalsRowDxfId="8828"/>
    <tableColumn id="57" name="CarP Sq Ft" dataDxfId="8827" totalsRowDxfId="8826"/>
    <tableColumn id="12" name="CarPVal/SqFt" dataDxfId="8825" totalsRowDxfId="8824">
      <calculatedColumnFormula>AW256/AX256</calculatedColumnFormula>
    </tableColumn>
    <tableColumn id="41" name="CarP % Base" totalsRowFunction="custom" dataDxfId="8823" totalsRowDxfId="8822">
      <calculatedColumnFormula>AY256/C256</calculatedColumnFormula>
      <totalsRowFormula>AVERAGE(Table11017[CarP % Base])</totalsRowFormula>
    </tableColumn>
    <tableColumn id="28" name="EFP Value" dataDxfId="8821" totalsRowDxfId="8820"/>
    <tableColumn id="58" name="EFP Sq Ft" dataDxfId="8819" totalsRowDxfId="8818"/>
    <tableColumn id="15" name="EFPVal/SqFt" dataDxfId="8817" totalsRowDxfId="8816">
      <calculatedColumnFormula>BA256/BB256</calculatedColumnFormula>
    </tableColumn>
    <tableColumn id="29" name="EFP % Base" totalsRowFunction="custom" dataDxfId="8815" totalsRowDxfId="8814">
      <calculatedColumnFormula>BC256/C256</calculatedColumnFormula>
      <totalsRowFormula>AVERAGE(Table11017[EFP % Base])</totalsRowFormula>
    </tableColumn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id="24" name="Table11018" displayName="Table11018" ref="A267:BD275" totalsRowCount="1" headerRowDxfId="8813">
  <tableColumns count="56">
    <tableColumn id="1" name="  Grade" dataDxfId="8812" totalsRowDxfId="8811"/>
    <tableColumn id="13" name="Main Area $" dataDxfId="8810" totalsRowDxfId="8809"/>
    <tableColumn id="45" name="MA $/Sq Ft" totalsRowFunction="custom" dataDxfId="8808" totalsRowDxfId="8807">
      <calculatedColumnFormula>B268/F265</calculatedColumnFormula>
      <totalsRowFormula>AVERAGE(Table11018[MA $/Sq Ft])</totalsRowFormula>
    </tableColumn>
    <tableColumn id="16" name="Basic Allowance" totalsRowFunction="custom" dataDxfId="8806" totalsRowDxfId="8805">
      <totalsRowFormula>AVERAGE(Table11018[Basic Allowance])</totalsRowFormula>
    </tableColumn>
    <tableColumn id="43" name="BsmtVal" dataDxfId="8804" totalsRowDxfId="8803"/>
    <tableColumn id="46" name="Bsmt SqFt" dataDxfId="8802" totalsRowDxfId="8801"/>
    <tableColumn id="2" name="BsmtVal/Sq Ft" dataDxfId="8800" totalsRowDxfId="8799">
      <calculatedColumnFormula>E268/F268</calculatedColumnFormula>
    </tableColumn>
    <tableColumn id="17" name="Bsmt % Base" totalsRowFunction="custom" dataDxfId="8798" totalsRowDxfId="8797">
      <calculatedColumnFormula>G268/C268</calculatedColumnFormula>
      <totalsRowFormula>AVERAGE(Table11018[Bsmt % Base])</totalsRowFormula>
    </tableColumn>
    <tableColumn id="30" name="UnfBsmtVal" dataDxfId="8796" totalsRowDxfId="8795"/>
    <tableColumn id="47" name="UnfBsmt Sq Ft" dataDxfId="8794" totalsRowDxfId="8793"/>
    <tableColumn id="3" name="UnfBsmtVal/SqFt" dataDxfId="8792" totalsRowDxfId="8791">
      <calculatedColumnFormula>I268/J268</calculatedColumnFormula>
    </tableColumn>
    <tableColumn id="44" name="UnfBsmt % Base" totalsRowFunction="custom" dataDxfId="8790" totalsRowDxfId="8789">
      <calculatedColumnFormula>K268/C268</calculatedColumnFormula>
      <totalsRowFormula>AVERAGE(Table11018[[#Headers],[#Data],[UnfBsmt % Base]])</totalsRowFormula>
    </tableColumn>
    <tableColumn id="31" name="Lower Value" dataDxfId="8788" totalsRowDxfId="8787"/>
    <tableColumn id="48" name="Lower Sq Ft" dataDxfId="8786" totalsRowDxfId="8785"/>
    <tableColumn id="4" name="LowerVal/SqFt" totalsRowFunction="custom" dataDxfId="8784" totalsRowDxfId="8783">
      <calculatedColumnFormula>M268/N268</calculatedColumnFormula>
      <totalsRowFormula>AVERAGE(Table11018[LowerVal/SqFt])</totalsRowFormula>
    </tableColumn>
    <tableColumn id="32" name="Lower % Base" totalsRowFunction="custom" dataDxfId="8782" totalsRowDxfId="8781">
      <calculatedColumnFormula>O268/C268</calculatedColumnFormula>
      <totalsRowFormula>AVERAGE(Table11018[Lower % Base])</totalsRowFormula>
    </tableColumn>
    <tableColumn id="19" name="Unf Lower Value" dataDxfId="8780" totalsRowDxfId="8779"/>
    <tableColumn id="49" name="UnfLower Sq Ft" dataDxfId="8778" totalsRowDxfId="8777"/>
    <tableColumn id="14" name="UnfLowVal/SqFt2" dataDxfId="8776" totalsRowDxfId="8775">
      <calculatedColumnFormula>Q268/R268</calculatedColumnFormula>
    </tableColumn>
    <tableColumn id="33" name="Unf Lower % Base" totalsRowFunction="custom" dataDxfId="8774" totalsRowDxfId="8773">
      <calculatedColumnFormula>S268/C268</calculatedColumnFormula>
      <totalsRowFormula>AVERAGE(Table11018[Unf Lower % Base])</totalsRowFormula>
    </tableColumn>
    <tableColumn id="20" name="1/2 Story Value" dataDxfId="8772" totalsRowDxfId="8771"/>
    <tableColumn id="50" name="1/2 Story Sq Ft" dataDxfId="8770" totalsRowDxfId="8769"/>
    <tableColumn id="5" name="1/2 StoryVal/SqFt" dataDxfId="8768" totalsRowDxfId="8767">
      <calculatedColumnFormula>U268/V268</calculatedColumnFormula>
    </tableColumn>
    <tableColumn id="34" name="1/2 Story % Base" totalsRowFunction="custom" dataDxfId="8766" totalsRowDxfId="8765">
      <calculatedColumnFormula>W268/C268</calculatedColumnFormula>
      <totalsRowFormula>AVERAGE(Table11018[1/2 Story % Base])</totalsRowFormula>
    </tableColumn>
    <tableColumn id="21" name="2nd Story Value" dataDxfId="8764" totalsRowDxfId="8763"/>
    <tableColumn id="51" name="2nd Sty Sq Ft" dataDxfId="8762" totalsRowDxfId="8761"/>
    <tableColumn id="6" name="2ndStyVal/Sqft" dataDxfId="8760" totalsRowDxfId="8759">
      <calculatedColumnFormula>Y268/Z268</calculatedColumnFormula>
    </tableColumn>
    <tableColumn id="35" name="2nd Story % Base" totalsRowFunction="custom" dataDxfId="8758" totalsRowDxfId="8757">
      <calculatedColumnFormula>AA268/C268</calculatedColumnFormula>
      <totalsRowFormula>AVERAGE(Table11018[2nd Story % Base])</totalsRowFormula>
    </tableColumn>
    <tableColumn id="22" name="Att Gar Value" dataDxfId="8756" totalsRowDxfId="8755"/>
    <tableColumn id="52" name="Att Gar Sq Ft" dataDxfId="8754" totalsRowDxfId="8753"/>
    <tableColumn id="7" name="AttGarVal/SqFt" totalsRowFunction="custom" dataDxfId="8752" totalsRowDxfId="8751">
      <calculatedColumnFormula>AC268/AD268</calculatedColumnFormula>
      <totalsRowFormula>AVERAGE(Table11018[AttGarVal/SqFt])</totalsRowFormula>
    </tableColumn>
    <tableColumn id="36" name="Att Gar % Base" totalsRowFunction="custom" dataDxfId="8750" totalsRowDxfId="8749">
      <calculatedColumnFormula>AE268/C268</calculatedColumnFormula>
      <totalsRowFormula>AVERAGE(Table11018[Att Gar % Base])</totalsRowFormula>
    </tableColumn>
    <tableColumn id="23" name="Porch Value" dataDxfId="8748" totalsRowDxfId="8747"/>
    <tableColumn id="53" name="Porch Sq Ft" dataDxfId="8746" totalsRowDxfId="8745"/>
    <tableColumn id="8" name="PorchVal/SqFt" dataDxfId="8744" totalsRowDxfId="8743">
      <calculatedColumnFormula>AG268/AH268</calculatedColumnFormula>
    </tableColumn>
    <tableColumn id="37" name="Porch % Base" totalsRowFunction="custom" dataDxfId="8742" totalsRowDxfId="8741">
      <calculatedColumnFormula>AI268/C268</calculatedColumnFormula>
      <totalsRowFormula>AVERAGE(Table11018[Porch % Base])</totalsRowFormula>
    </tableColumn>
    <tableColumn id="24" name="Cov Porch Value" dataDxfId="8740" totalsRowDxfId="8739"/>
    <tableColumn id="54" name="Cov Porch Sq Ft" dataDxfId="8738" totalsRowDxfId="8737"/>
    <tableColumn id="9" name="CovPrVal/SqFt" dataDxfId="8736" totalsRowDxfId="8735">
      <calculatedColumnFormula>AK268/AL268</calculatedColumnFormula>
    </tableColumn>
    <tableColumn id="38" name="Cov Porch % Base" totalsRowFunction="custom" dataDxfId="8734" totalsRowDxfId="8733">
      <calculatedColumnFormula>AM268/C268</calculatedColumnFormula>
      <totalsRowFormula>AVERAGE(Table11018[Cov Porch % Base])</totalsRowFormula>
    </tableColumn>
    <tableColumn id="25" name="Deck Value" dataDxfId="8732" totalsRowDxfId="8731"/>
    <tableColumn id="55" name="Deck Sq Ft" dataDxfId="8730" totalsRowDxfId="8729"/>
    <tableColumn id="10" name="DeckVal/SqFt" dataDxfId="8728" totalsRowDxfId="8727">
      <calculatedColumnFormula>AO268/AP268</calculatedColumnFormula>
    </tableColumn>
    <tableColumn id="39" name="Deck % Base" totalsRowFunction="custom" dataDxfId="8726" totalsRowDxfId="8725">
      <calculatedColumnFormula>AQ268/C268</calculatedColumnFormula>
      <totalsRowFormula>AVERAGE(Table11018[Deck % Base])</totalsRowFormula>
    </tableColumn>
    <tableColumn id="26" name="Cov Deck Value" dataDxfId="8724" totalsRowDxfId="8723"/>
    <tableColumn id="56" name="CovDeck Sq Ft" dataDxfId="8722" totalsRowDxfId="8721"/>
    <tableColumn id="11" name="CovDeckVal/SqFt" totalsRowFunction="custom" dataDxfId="8720" totalsRowDxfId="8719">
      <calculatedColumnFormula>AS268/AT268</calculatedColumnFormula>
      <totalsRowFormula>AVERAGE(Table11018[CovDeckVal/SqFt])</totalsRowFormula>
    </tableColumn>
    <tableColumn id="40" name="CovDeck % Base" totalsRowFunction="custom" dataDxfId="8718" totalsRowDxfId="8717">
      <calculatedColumnFormula>AU268/C268</calculatedColumnFormula>
      <totalsRowFormula>AVERAGE(Table11018[CovDeck % Base])</totalsRowFormula>
    </tableColumn>
    <tableColumn id="27" name="CarP Value" dataDxfId="8716" totalsRowDxfId="8715"/>
    <tableColumn id="57" name="CarP Sq Ft" dataDxfId="8714" totalsRowDxfId="8713"/>
    <tableColumn id="12" name="CarPVal/SqFt" dataDxfId="8712" totalsRowDxfId="8711">
      <calculatedColumnFormula>AW268/AX268</calculatedColumnFormula>
    </tableColumn>
    <tableColumn id="41" name="CarP % Base" totalsRowFunction="custom" dataDxfId="8710" totalsRowDxfId="8709">
      <calculatedColumnFormula>AY268/C268</calculatedColumnFormula>
      <totalsRowFormula>AVERAGE(Table11018[CarP % Base])</totalsRowFormula>
    </tableColumn>
    <tableColumn id="28" name="EFP Value" dataDxfId="8708" totalsRowDxfId="8707"/>
    <tableColumn id="58" name="EFP Sq Ft" dataDxfId="8706" totalsRowDxfId="8705"/>
    <tableColumn id="15" name="EFPVal/SqFt" dataDxfId="8704" totalsRowDxfId="8703">
      <calculatedColumnFormula>BA268/BB268</calculatedColumnFormula>
    </tableColumn>
    <tableColumn id="29" name="EFP % Base" totalsRowFunction="custom" dataDxfId="8702" totalsRowDxfId="8701">
      <calculatedColumnFormula>BC268/C268</calculatedColumnFormula>
      <totalsRowFormula>AVERAGE(Table11018[EFP % Base])</totalsRowFormula>
    </tableColumn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id="25" name="Table11019" displayName="Table11019" ref="A279:BD287" totalsRowCount="1" headerRowDxfId="8700">
  <tableColumns count="56">
    <tableColumn id="1" name="  Grade" dataDxfId="8699" totalsRowDxfId="8698"/>
    <tableColumn id="13" name="Main Area $" dataDxfId="8697" totalsRowDxfId="8696"/>
    <tableColumn id="45" name="MA $/Sq Ft" totalsRowFunction="custom" dataDxfId="8695" totalsRowDxfId="8694">
      <calculatedColumnFormula>B280/F277</calculatedColumnFormula>
      <totalsRowFormula>AVERAGE(Table11019[MA $/Sq Ft])</totalsRowFormula>
    </tableColumn>
    <tableColumn id="16" name="Basic Allowance" totalsRowFunction="custom" dataDxfId="8693" totalsRowDxfId="8692">
      <totalsRowFormula>AVERAGE(Table11019[Basic Allowance])</totalsRowFormula>
    </tableColumn>
    <tableColumn id="43" name="BsmtVal" dataDxfId="8691" totalsRowDxfId="8690"/>
    <tableColumn id="46" name="Bsmt SqFt" dataDxfId="8689" totalsRowDxfId="8688"/>
    <tableColumn id="2" name="BsmtVal/Sq Ft" dataDxfId="8687" totalsRowDxfId="8686">
      <calculatedColumnFormula>E280/F280</calculatedColumnFormula>
    </tableColumn>
    <tableColumn id="17" name="Bsmt % Base" totalsRowFunction="custom" dataDxfId="8685" totalsRowDxfId="8684">
      <calculatedColumnFormula>G280/C280</calculatedColumnFormula>
      <totalsRowFormula>AVERAGE(Table11019[Bsmt % Base])</totalsRowFormula>
    </tableColumn>
    <tableColumn id="30" name="UnfBsmtVal" dataDxfId="8683" totalsRowDxfId="8682"/>
    <tableColumn id="47" name="UnfBsmt Sq Ft" dataDxfId="8681" totalsRowDxfId="8680"/>
    <tableColumn id="3" name="UnfBsmtVal/SqFt" dataDxfId="8679" totalsRowDxfId="8678">
      <calculatedColumnFormula>I280/J280</calculatedColumnFormula>
    </tableColumn>
    <tableColumn id="44" name="UnfBsmt % Base" totalsRowFunction="custom" dataDxfId="8677" totalsRowDxfId="8676">
      <calculatedColumnFormula>K280/C280</calculatedColumnFormula>
      <totalsRowFormula>AVERAGE(Table11019[[#Headers],[#Data],[UnfBsmt % Base]])</totalsRowFormula>
    </tableColumn>
    <tableColumn id="31" name="Lower Value" dataDxfId="8675" totalsRowDxfId="8674"/>
    <tableColumn id="48" name="Lower Sq Ft" dataDxfId="8673" totalsRowDxfId="8672"/>
    <tableColumn id="4" name="LowerVal/SqFt" totalsRowFunction="custom" dataDxfId="8671" totalsRowDxfId="8670">
      <calculatedColumnFormula>M280/N280</calculatedColumnFormula>
      <totalsRowFormula>AVERAGE(Table11019[LowerVal/SqFt])</totalsRowFormula>
    </tableColumn>
    <tableColumn id="32" name="Lower % Base" totalsRowFunction="custom" dataDxfId="8669" totalsRowDxfId="8668">
      <calculatedColumnFormula>O280/C280</calculatedColumnFormula>
      <totalsRowFormula>AVERAGE(Table11019[Lower % Base])</totalsRowFormula>
    </tableColumn>
    <tableColumn id="19" name="Unf Lower Value" dataDxfId="8667" totalsRowDxfId="8666"/>
    <tableColumn id="49" name="UnfLower Sq Ft" dataDxfId="8665" totalsRowDxfId="8664"/>
    <tableColumn id="14" name="UnfLowVal/SqFt2" dataDxfId="8663" totalsRowDxfId="8662">
      <calculatedColumnFormula>Q280/R280</calculatedColumnFormula>
    </tableColumn>
    <tableColumn id="33" name="Unf Lower % Base" totalsRowFunction="custom" dataDxfId="8661" totalsRowDxfId="8660">
      <calculatedColumnFormula>S280/C280</calculatedColumnFormula>
      <totalsRowFormula>AVERAGE(Table11019[Unf Lower % Base])</totalsRowFormula>
    </tableColumn>
    <tableColumn id="20" name="1/2 Story Value" dataDxfId="8659" totalsRowDxfId="8658"/>
    <tableColumn id="50" name="1/2 Story Sq Ft" dataDxfId="8657" totalsRowDxfId="8656"/>
    <tableColumn id="5" name="1/2 StoryVal/SqFt" dataDxfId="8655" totalsRowDxfId="8654">
      <calculatedColumnFormula>U280/V280</calculatedColumnFormula>
    </tableColumn>
    <tableColumn id="34" name="1/2 Story % Base" totalsRowFunction="custom" dataDxfId="8653" totalsRowDxfId="8652">
      <calculatedColumnFormula>W280/C280</calculatedColumnFormula>
      <totalsRowFormula>AVERAGE(Table11019[1/2 Story % Base])</totalsRowFormula>
    </tableColumn>
    <tableColumn id="21" name="2nd Story Value" dataDxfId="8651" totalsRowDxfId="8650"/>
    <tableColumn id="51" name="2nd Sty Sq Ft" dataDxfId="8649" totalsRowDxfId="8648"/>
    <tableColumn id="6" name="2ndStyVal/Sqft" dataDxfId="8647" totalsRowDxfId="8646">
      <calculatedColumnFormula>Y280/Z280</calculatedColumnFormula>
    </tableColumn>
    <tableColumn id="35" name="2nd Story % Base" totalsRowFunction="custom" dataDxfId="8645" totalsRowDxfId="8644">
      <calculatedColumnFormula>AA280/C280</calculatedColumnFormula>
      <totalsRowFormula>AVERAGE(Table11019[2nd Story % Base])</totalsRowFormula>
    </tableColumn>
    <tableColumn id="22" name="Att Gar Value" dataDxfId="8643" totalsRowDxfId="8642"/>
    <tableColumn id="52" name="Att Gar Sq Ft" dataDxfId="8641" totalsRowDxfId="8640"/>
    <tableColumn id="7" name="AttGarVal/SqFt" totalsRowFunction="custom" dataDxfId="8639" totalsRowDxfId="8638">
      <calculatedColumnFormula>AC280/AD280</calculatedColumnFormula>
      <totalsRowFormula>AVERAGE(Table11019[AttGarVal/SqFt])</totalsRowFormula>
    </tableColumn>
    <tableColumn id="36" name="Att Gar % Base" totalsRowFunction="custom" dataDxfId="8637" totalsRowDxfId="8636">
      <calculatedColumnFormula>AE280/C280</calculatedColumnFormula>
      <totalsRowFormula>AVERAGE(Table11019[Att Gar % Base])</totalsRowFormula>
    </tableColumn>
    <tableColumn id="23" name="Porch Value" dataDxfId="8635" totalsRowDxfId="8634"/>
    <tableColumn id="53" name="Porch Sq Ft" dataDxfId="8633" totalsRowDxfId="8632"/>
    <tableColumn id="8" name="PorchVal/SqFt" dataDxfId="8631" totalsRowDxfId="8630">
      <calculatedColumnFormula>AG280/AH280</calculatedColumnFormula>
    </tableColumn>
    <tableColumn id="37" name="Porch % Base" totalsRowFunction="custom" dataDxfId="8629" totalsRowDxfId="8628">
      <calculatedColumnFormula>AI280/C280</calculatedColumnFormula>
      <totalsRowFormula>AVERAGE(Table11019[Porch % Base])</totalsRowFormula>
    </tableColumn>
    <tableColumn id="24" name="Cov Porch Value" dataDxfId="8627" totalsRowDxfId="8626"/>
    <tableColumn id="54" name="Cov Porch Sq Ft" dataDxfId="8625" totalsRowDxfId="8624"/>
    <tableColumn id="9" name="CovPrVal/SqFt" dataDxfId="8623" totalsRowDxfId="8622">
      <calculatedColumnFormula>AK280/AL280</calculatedColumnFormula>
    </tableColumn>
    <tableColumn id="38" name="Cov Porch % Base" totalsRowFunction="custom" dataDxfId="8621" totalsRowDxfId="8620">
      <calculatedColumnFormula>AM280/C280</calculatedColumnFormula>
      <totalsRowFormula>AVERAGE(Table11019[Cov Porch % Base])</totalsRowFormula>
    </tableColumn>
    <tableColumn id="25" name="Deck Value" dataDxfId="8619" totalsRowDxfId="8618"/>
    <tableColumn id="55" name="Deck Sq Ft" dataDxfId="8617" totalsRowDxfId="8616"/>
    <tableColumn id="10" name="DeckVal/SqFt" dataDxfId="8615" totalsRowDxfId="8614">
      <calculatedColumnFormula>AO280/AP280</calculatedColumnFormula>
    </tableColumn>
    <tableColumn id="39" name="Deck % Base" totalsRowFunction="custom" dataDxfId="8613" totalsRowDxfId="8612">
      <calculatedColumnFormula>AQ280/C280</calculatedColumnFormula>
      <totalsRowFormula>AVERAGE(Table11019[Deck % Base])</totalsRowFormula>
    </tableColumn>
    <tableColumn id="26" name="Cov Deck Value" dataDxfId="8611" totalsRowDxfId="8610"/>
    <tableColumn id="56" name="CovDeck Sq Ft" dataDxfId="8609" totalsRowDxfId="8608"/>
    <tableColumn id="11" name="CovDeckVal/SqFt" totalsRowFunction="custom" dataDxfId="8607" totalsRowDxfId="8606">
      <calculatedColumnFormula>AS280/AT280</calculatedColumnFormula>
      <totalsRowFormula>AVERAGE(Table11019[CovDeckVal/SqFt])</totalsRowFormula>
    </tableColumn>
    <tableColumn id="40" name="CovDeck % Base" totalsRowFunction="custom" dataDxfId="8605" totalsRowDxfId="8604">
      <calculatedColumnFormula>AU280/C280</calculatedColumnFormula>
      <totalsRowFormula>AVERAGE(Table11019[CovDeck % Base])</totalsRowFormula>
    </tableColumn>
    <tableColumn id="27" name="CarP Value" dataDxfId="8603" totalsRowDxfId="8602"/>
    <tableColumn id="57" name="CarP Sq Ft" dataDxfId="8601" totalsRowDxfId="8600"/>
    <tableColumn id="12" name="CarPVal/SqFt" dataDxfId="8599" totalsRowDxfId="8598">
      <calculatedColumnFormula>AW280/AX280</calculatedColumnFormula>
    </tableColumn>
    <tableColumn id="41" name="CarP % Base" totalsRowFunction="custom" dataDxfId="8597" totalsRowDxfId="8596">
      <calculatedColumnFormula>AY280/C280</calculatedColumnFormula>
      <totalsRowFormula>AVERAGE(Table11019[CarP % Base])</totalsRowFormula>
    </tableColumn>
    <tableColumn id="28" name="EFP Value" dataDxfId="8595" totalsRowDxfId="8594"/>
    <tableColumn id="58" name="EFP Sq Ft" dataDxfId="8593" totalsRowDxfId="8592"/>
    <tableColumn id="15" name="EFPVal/SqFt" dataDxfId="8591" totalsRowDxfId="8590">
      <calculatedColumnFormula>BA280/BB280</calculatedColumnFormula>
    </tableColumn>
    <tableColumn id="29" name="EFP % Base" totalsRowFunction="custom" dataDxfId="8589" totalsRowDxfId="8588">
      <calculatedColumnFormula>BC280/C280</calculatedColumnFormula>
      <totalsRowFormula>AVERAGE(Table11019[EFP % Base])</totalsRowFormula>
    </tableColumn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id="26" name="Table11020" displayName="Table11020" ref="A291:BD299" totalsRowCount="1" headerRowDxfId="8587">
  <tableColumns count="56">
    <tableColumn id="1" name="  Grade" dataDxfId="8586" totalsRowDxfId="8585"/>
    <tableColumn id="13" name="Main Area $" dataDxfId="8584" totalsRowDxfId="8583"/>
    <tableColumn id="45" name="MA $/Sq Ft" totalsRowFunction="custom" dataDxfId="8582" totalsRowDxfId="8581">
      <calculatedColumnFormula>B292/F289</calculatedColumnFormula>
      <totalsRowFormula>AVERAGE(Table11020[MA $/Sq Ft])</totalsRowFormula>
    </tableColumn>
    <tableColumn id="16" name="Basic Allowance" totalsRowFunction="custom" dataDxfId="8580" totalsRowDxfId="8579">
      <totalsRowFormula>AVERAGE(Table11020[Basic Allowance])</totalsRowFormula>
    </tableColumn>
    <tableColumn id="43" name="BsmtVal" dataDxfId="8578" totalsRowDxfId="8577"/>
    <tableColumn id="46" name="Bsmt SqFt" dataDxfId="8576" totalsRowDxfId="8575"/>
    <tableColumn id="2" name="BsmtVal/Sq Ft" dataDxfId="8574" totalsRowDxfId="8573">
      <calculatedColumnFormula>E292/F292</calculatedColumnFormula>
    </tableColumn>
    <tableColumn id="17" name="Bsmt % Base" totalsRowFunction="custom" dataDxfId="8572" totalsRowDxfId="8571">
      <calculatedColumnFormula>G292/C292</calculatedColumnFormula>
      <totalsRowFormula>AVERAGE(Table11020[Bsmt % Base])</totalsRowFormula>
    </tableColumn>
    <tableColumn id="30" name="UnfBsmtVal" dataDxfId="8570" totalsRowDxfId="8569"/>
    <tableColumn id="47" name="UnfBsmt Sq Ft" dataDxfId="8568" totalsRowDxfId="8567"/>
    <tableColumn id="3" name="UnfBsmtVal/SqFt" dataDxfId="8566" totalsRowDxfId="8565">
      <calculatedColumnFormula>I292/J292</calculatedColumnFormula>
    </tableColumn>
    <tableColumn id="44" name="UnfBsmt % Base" totalsRowFunction="custom" dataDxfId="8564" totalsRowDxfId="8563">
      <calculatedColumnFormula>K292/C292</calculatedColumnFormula>
      <totalsRowFormula>AVERAGE(Table11020[[#Headers],[#Data],[UnfBsmt % Base]])</totalsRowFormula>
    </tableColumn>
    <tableColumn id="31" name="Lower Value" dataDxfId="8562" totalsRowDxfId="8561"/>
    <tableColumn id="48" name="Lower Sq Ft" dataDxfId="8560" totalsRowDxfId="8559"/>
    <tableColumn id="4" name="LowerVal/SqFt" totalsRowFunction="custom" dataDxfId="8558" totalsRowDxfId="8557">
      <calculatedColumnFormula>M292/N292</calculatedColumnFormula>
      <totalsRowFormula>AVERAGE(Table11020[LowerVal/SqFt])</totalsRowFormula>
    </tableColumn>
    <tableColumn id="32" name="Lower % Base" totalsRowFunction="custom" dataDxfId="8556" totalsRowDxfId="8555">
      <calculatedColumnFormula>O292/C292</calculatedColumnFormula>
      <totalsRowFormula>AVERAGE(Table11020[Lower % Base])</totalsRowFormula>
    </tableColumn>
    <tableColumn id="19" name="Unf Lower Value" dataDxfId="8554" totalsRowDxfId="8553"/>
    <tableColumn id="49" name="UnfLower Sq Ft" dataDxfId="8552" totalsRowDxfId="8551"/>
    <tableColumn id="14" name="UnfLowVal/SqFt2" dataDxfId="8550" totalsRowDxfId="8549">
      <calculatedColumnFormula>Q292/R292</calculatedColumnFormula>
    </tableColumn>
    <tableColumn id="33" name="Unf Lower % Base" totalsRowFunction="custom" dataDxfId="8548" totalsRowDxfId="8547">
      <calculatedColumnFormula>S292/C292</calculatedColumnFormula>
      <totalsRowFormula>AVERAGE(Table11020[Unf Lower % Base])</totalsRowFormula>
    </tableColumn>
    <tableColumn id="20" name="1/2 Story Value" dataDxfId="8546" totalsRowDxfId="8545"/>
    <tableColumn id="50" name="1/2 Story Sq Ft" dataDxfId="8544" totalsRowDxfId="8543"/>
    <tableColumn id="5" name="1/2 StoryVal/SqFt" dataDxfId="8542" totalsRowDxfId="8541">
      <calculatedColumnFormula>U292/V292</calculatedColumnFormula>
    </tableColumn>
    <tableColumn id="34" name="1/2 Story % Base" totalsRowFunction="custom" dataDxfId="8540" totalsRowDxfId="8539">
      <calculatedColumnFormula>W292/C292</calculatedColumnFormula>
      <totalsRowFormula>AVERAGE(Table11020[1/2 Story % Base])</totalsRowFormula>
    </tableColumn>
    <tableColumn id="21" name="2nd Story Value" dataDxfId="8538" totalsRowDxfId="8537"/>
    <tableColumn id="51" name="2nd Sty Sq Ft" dataDxfId="8536" totalsRowDxfId="8535"/>
    <tableColumn id="6" name="2ndStyVal/Sqft" dataDxfId="8534" totalsRowDxfId="8533">
      <calculatedColumnFormula>Y292/Z292</calculatedColumnFormula>
    </tableColumn>
    <tableColumn id="35" name="2nd Story % Base" totalsRowFunction="custom" dataDxfId="8532" totalsRowDxfId="8531">
      <calculatedColumnFormula>AA292/C292</calculatedColumnFormula>
      <totalsRowFormula>AVERAGE(Table11020[2nd Story % Base])</totalsRowFormula>
    </tableColumn>
    <tableColumn id="22" name="Att Gar Value" dataDxfId="8530" totalsRowDxfId="8529"/>
    <tableColumn id="52" name="Att Gar Sq Ft" dataDxfId="8528" totalsRowDxfId="8527"/>
    <tableColumn id="7" name="AttGarVal/SqFt" totalsRowFunction="custom" dataDxfId="8526" totalsRowDxfId="8525">
      <calculatedColumnFormula>AC292/AD292</calculatedColumnFormula>
      <totalsRowFormula>AVERAGE(Table11020[AttGarVal/SqFt])</totalsRowFormula>
    </tableColumn>
    <tableColumn id="36" name="Att Gar % Base" totalsRowFunction="custom" dataDxfId="8524" totalsRowDxfId="8523">
      <calculatedColumnFormula>AE292/C292</calculatedColumnFormula>
      <totalsRowFormula>AVERAGE(Table11020[Att Gar % Base])</totalsRowFormula>
    </tableColumn>
    <tableColumn id="23" name="Porch Value" dataDxfId="8522" totalsRowDxfId="8521"/>
    <tableColumn id="53" name="Porch Sq Ft" dataDxfId="8520" totalsRowDxfId="8519"/>
    <tableColumn id="8" name="PorchVal/SqFt" dataDxfId="8518" totalsRowDxfId="8517">
      <calculatedColumnFormula>AG292/AH292</calculatedColumnFormula>
    </tableColumn>
    <tableColumn id="37" name="Porch % Base" totalsRowFunction="custom" dataDxfId="8516" totalsRowDxfId="8515">
      <calculatedColumnFormula>AI292/C292</calculatedColumnFormula>
      <totalsRowFormula>AVERAGE(Table11020[Porch % Base])</totalsRowFormula>
    </tableColumn>
    <tableColumn id="24" name="Cov Porch Value" dataDxfId="8514" totalsRowDxfId="8513"/>
    <tableColumn id="54" name="Cov Porch Sq Ft" dataDxfId="8512" totalsRowDxfId="8511"/>
    <tableColumn id="9" name="CovPrVal/SqFt" dataDxfId="8510" totalsRowDxfId="8509">
      <calculatedColumnFormula>AK292/AL292</calculatedColumnFormula>
    </tableColumn>
    <tableColumn id="38" name="Cov Porch % Base" totalsRowFunction="custom" dataDxfId="8508" totalsRowDxfId="8507">
      <calculatedColumnFormula>AM292/C292</calculatedColumnFormula>
      <totalsRowFormula>AVERAGE(Table11020[Cov Porch % Base])</totalsRowFormula>
    </tableColumn>
    <tableColumn id="25" name="Deck Value" dataDxfId="8506" totalsRowDxfId="8505"/>
    <tableColumn id="55" name="Deck Sq Ft" dataDxfId="8504" totalsRowDxfId="8503"/>
    <tableColumn id="10" name="DeckVal/SqFt" dataDxfId="8502" totalsRowDxfId="8501">
      <calculatedColumnFormula>AO292/AP292</calculatedColumnFormula>
    </tableColumn>
    <tableColumn id="39" name="Deck % Base" totalsRowFunction="custom" dataDxfId="8500" totalsRowDxfId="8499">
      <calculatedColumnFormula>AQ292/C292</calculatedColumnFormula>
      <totalsRowFormula>AVERAGE(Table11020[Deck % Base])</totalsRowFormula>
    </tableColumn>
    <tableColumn id="26" name="Cov Deck Value" dataDxfId="8498" totalsRowDxfId="8497"/>
    <tableColumn id="56" name="CovDeck Sq Ft" dataDxfId="8496" totalsRowDxfId="8495"/>
    <tableColumn id="11" name="CovDeckVal/SqFt" totalsRowFunction="custom" dataDxfId="8494" totalsRowDxfId="8493">
      <calculatedColumnFormula>AS292/AT292</calculatedColumnFormula>
      <totalsRowFormula>AVERAGE(Table11020[CovDeckVal/SqFt])</totalsRowFormula>
    </tableColumn>
    <tableColumn id="40" name="CovDeck % Base" totalsRowFunction="custom" dataDxfId="8492" totalsRowDxfId="8491">
      <calculatedColumnFormula>AU292/C292</calculatedColumnFormula>
      <totalsRowFormula>AVERAGE(Table11020[CovDeck % Base])</totalsRowFormula>
    </tableColumn>
    <tableColumn id="27" name="CarP Value" dataDxfId="8490" totalsRowDxfId="8489"/>
    <tableColumn id="57" name="CarP Sq Ft" dataDxfId="8488" totalsRowDxfId="8487"/>
    <tableColumn id="12" name="CarPVal/SqFt" dataDxfId="8486" totalsRowDxfId="8485">
      <calculatedColumnFormula>AW292/AX292</calculatedColumnFormula>
    </tableColumn>
    <tableColumn id="41" name="CarP % Base" totalsRowFunction="custom" dataDxfId="8484" totalsRowDxfId="8483">
      <calculatedColumnFormula>AY292/C292</calculatedColumnFormula>
      <totalsRowFormula>AVERAGE(Table11020[CarP % Base])</totalsRowFormula>
    </tableColumn>
    <tableColumn id="28" name="EFP Value" dataDxfId="8482" totalsRowDxfId="8481"/>
    <tableColumn id="58" name="EFP Sq Ft" dataDxfId="8480" totalsRowDxfId="8479"/>
    <tableColumn id="15" name="EFPVal/SqFt" dataDxfId="8478" totalsRowDxfId="8477">
      <calculatedColumnFormula>BA292/BB292</calculatedColumnFormula>
    </tableColumn>
    <tableColumn id="29" name="EFP % Base" totalsRowFunction="custom" dataDxfId="8476" totalsRowDxfId="8475">
      <calculatedColumnFormula>BC292/C292</calculatedColumnFormula>
      <totalsRowFormula>AVERAGE(Table11020[EFP % Base])</totalsRowFormula>
    </tableColumn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id="27" name="Table11021" displayName="Table11021" ref="A303:BD311" totalsRowCount="1" headerRowDxfId="8474">
  <tableColumns count="56">
    <tableColumn id="1" name="  Grade" dataDxfId="8473" totalsRowDxfId="8472"/>
    <tableColumn id="13" name="Main Area $" dataDxfId="8471" totalsRowDxfId="8470"/>
    <tableColumn id="45" name="MA $/Sq Ft" totalsRowFunction="custom" dataDxfId="8469" totalsRowDxfId="8468">
      <calculatedColumnFormula>B304/F301</calculatedColumnFormula>
      <totalsRowFormula>AVERAGE(Table11021[MA $/Sq Ft])</totalsRowFormula>
    </tableColumn>
    <tableColumn id="16" name="Basic Allowance" totalsRowFunction="custom" dataDxfId="8467" totalsRowDxfId="8466">
      <totalsRowFormula>AVERAGE(Table11021[Basic Allowance])</totalsRowFormula>
    </tableColumn>
    <tableColumn id="43" name="BsmtVal" dataDxfId="8465" totalsRowDxfId="8464"/>
    <tableColumn id="46" name="Bsmt SqFt" dataDxfId="8463" totalsRowDxfId="8462"/>
    <tableColumn id="2" name="BsmtVal/Sq Ft" dataDxfId="8461" totalsRowDxfId="8460">
      <calculatedColumnFormula>E304/F304</calculatedColumnFormula>
    </tableColumn>
    <tableColumn id="17" name="Bsmt % Base" totalsRowFunction="custom" dataDxfId="8459" totalsRowDxfId="8458">
      <calculatedColumnFormula>G304/C304</calculatedColumnFormula>
      <totalsRowFormula>AVERAGE(Table11021[Bsmt % Base])</totalsRowFormula>
    </tableColumn>
    <tableColumn id="30" name="UnfBsmtVal" dataDxfId="8457" totalsRowDxfId="8456"/>
    <tableColumn id="47" name="UnfBsmt Sq Ft" dataDxfId="8455" totalsRowDxfId="8454"/>
    <tableColumn id="3" name="UnfBsmtVal/SqFt" dataDxfId="8453" totalsRowDxfId="8452">
      <calculatedColumnFormula>I304/J304</calculatedColumnFormula>
    </tableColumn>
    <tableColumn id="44" name="UnfBsmt % Base" totalsRowFunction="custom" dataDxfId="8451" totalsRowDxfId="8450">
      <calculatedColumnFormula>K304/C304</calculatedColumnFormula>
      <totalsRowFormula>AVERAGE(Table11021[[#Headers],[#Data],[UnfBsmt % Base]])</totalsRowFormula>
    </tableColumn>
    <tableColumn id="31" name="Lower Value" dataDxfId="8449" totalsRowDxfId="8448"/>
    <tableColumn id="48" name="Lower Sq Ft" dataDxfId="8447" totalsRowDxfId="8446"/>
    <tableColumn id="4" name="LowerVal/SqFt" totalsRowFunction="custom" dataDxfId="8445" totalsRowDxfId="8444">
      <calculatedColumnFormula>M304/N304</calculatedColumnFormula>
      <totalsRowFormula>AVERAGE(Table11021[LowerVal/SqFt])</totalsRowFormula>
    </tableColumn>
    <tableColumn id="32" name="Lower % Base" totalsRowFunction="custom" dataDxfId="8443" totalsRowDxfId="8442">
      <calculatedColumnFormula>O304/C304</calculatedColumnFormula>
      <totalsRowFormula>AVERAGE(Table11021[Lower % Base])</totalsRowFormula>
    </tableColumn>
    <tableColumn id="19" name="Unf Lower Value" dataDxfId="8441" totalsRowDxfId="8440"/>
    <tableColumn id="49" name="UnfLower Sq Ft" dataDxfId="8439" totalsRowDxfId="8438"/>
    <tableColumn id="14" name="UnfLowVal/SqFt2" dataDxfId="8437" totalsRowDxfId="8436">
      <calculatedColumnFormula>Q304/R304</calculatedColumnFormula>
    </tableColumn>
    <tableColumn id="33" name="Unf Lower % Base" totalsRowFunction="custom" dataDxfId="8435" totalsRowDxfId="8434">
      <calculatedColumnFormula>S304/C304</calculatedColumnFormula>
      <totalsRowFormula>AVERAGE(Table11021[Unf Lower % Base])</totalsRowFormula>
    </tableColumn>
    <tableColumn id="20" name="1/2 Story Value" dataDxfId="8433" totalsRowDxfId="8432"/>
    <tableColumn id="50" name="1/2 Story Sq Ft" dataDxfId="8431" totalsRowDxfId="8430"/>
    <tableColumn id="5" name="1/2 StoryVal/SqFt" dataDxfId="8429" totalsRowDxfId="8428">
      <calculatedColumnFormula>U304/V304</calculatedColumnFormula>
    </tableColumn>
    <tableColumn id="34" name="1/2 Story % Base" totalsRowFunction="custom" dataDxfId="8427" totalsRowDxfId="8426">
      <calculatedColumnFormula>W304/C304</calculatedColumnFormula>
      <totalsRowFormula>AVERAGE(Table11021[1/2 Story % Base])</totalsRowFormula>
    </tableColumn>
    <tableColumn id="21" name="2nd Story Value" dataDxfId="8425" totalsRowDxfId="8424"/>
    <tableColumn id="51" name="2nd Sty Sq Ft" dataDxfId="8423" totalsRowDxfId="8422"/>
    <tableColumn id="6" name="2ndStyVal/Sqft" dataDxfId="8421" totalsRowDxfId="8420">
      <calculatedColumnFormula>Y304/Z304</calculatedColumnFormula>
    </tableColumn>
    <tableColumn id="35" name="2nd Story % Base" totalsRowFunction="custom" dataDxfId="8419" totalsRowDxfId="8418">
      <calculatedColumnFormula>AA304/C304</calculatedColumnFormula>
      <totalsRowFormula>AVERAGE(Table11021[2nd Story % Base])</totalsRowFormula>
    </tableColumn>
    <tableColumn id="22" name="Att Gar Value" dataDxfId="8417" totalsRowDxfId="8416"/>
    <tableColumn id="52" name="Att Gar Sq Ft" dataDxfId="8415" totalsRowDxfId="8414"/>
    <tableColumn id="7" name="AttGarVal/SqFt" totalsRowFunction="custom" dataDxfId="8413" totalsRowDxfId="8412">
      <calculatedColumnFormula>AC304/AD304</calculatedColumnFormula>
      <totalsRowFormula>AVERAGE(Table11021[AttGarVal/SqFt])</totalsRowFormula>
    </tableColumn>
    <tableColumn id="36" name="Att Gar % Base" totalsRowFunction="custom" dataDxfId="8411" totalsRowDxfId="8410">
      <calculatedColumnFormula>AE304/C304</calculatedColumnFormula>
      <totalsRowFormula>AVERAGE(Table11021[Att Gar % Base])</totalsRowFormula>
    </tableColumn>
    <tableColumn id="23" name="Porch Value" dataDxfId="8409" totalsRowDxfId="8408"/>
    <tableColumn id="53" name="Porch Sq Ft" dataDxfId="8407" totalsRowDxfId="8406"/>
    <tableColumn id="8" name="PorchVal/SqFt" dataDxfId="8405" totalsRowDxfId="8404">
      <calculatedColumnFormula>AG304/AH304</calculatedColumnFormula>
    </tableColumn>
    <tableColumn id="37" name="Porch % Base" totalsRowFunction="custom" dataDxfId="8403" totalsRowDxfId="8402">
      <calculatedColumnFormula>AI304/C304</calculatedColumnFormula>
      <totalsRowFormula>AVERAGE(Table11021[Porch % Base])</totalsRowFormula>
    </tableColumn>
    <tableColumn id="24" name="Cov Porch Value" dataDxfId="8401" totalsRowDxfId="8400"/>
    <tableColumn id="54" name="Cov Porch Sq Ft" dataDxfId="8399" totalsRowDxfId="8398"/>
    <tableColumn id="9" name="CovPrVal/SqFt" dataDxfId="8397" totalsRowDxfId="8396">
      <calculatedColumnFormula>AK304/AL304</calculatedColumnFormula>
    </tableColumn>
    <tableColumn id="38" name="Cov Porch % Base" totalsRowFunction="custom" dataDxfId="8395" totalsRowDxfId="8394">
      <calculatedColumnFormula>AM304/C304</calculatedColumnFormula>
      <totalsRowFormula>AVERAGE(Table11021[Cov Porch % Base])</totalsRowFormula>
    </tableColumn>
    <tableColumn id="25" name="Deck Value" dataDxfId="8393" totalsRowDxfId="8392"/>
    <tableColumn id="55" name="Deck Sq Ft" dataDxfId="8391" totalsRowDxfId="8390"/>
    <tableColumn id="10" name="DeckVal/SqFt" dataDxfId="8389" totalsRowDxfId="8388">
      <calculatedColumnFormula>AO304/AP304</calculatedColumnFormula>
    </tableColumn>
    <tableColumn id="39" name="Deck % Base" totalsRowFunction="custom" dataDxfId="8387" totalsRowDxfId="8386">
      <calculatedColumnFormula>AQ304/C304</calculatedColumnFormula>
      <totalsRowFormula>AVERAGE(Table11021[Deck % Base])</totalsRowFormula>
    </tableColumn>
    <tableColumn id="26" name="Cov Deck Value" dataDxfId="8385" totalsRowDxfId="8384"/>
    <tableColumn id="56" name="CovDeck Sq Ft" dataDxfId="8383" totalsRowDxfId="8382"/>
    <tableColumn id="11" name="CovDeckVal/SqFt" totalsRowFunction="custom" dataDxfId="8381" totalsRowDxfId="8380">
      <calculatedColumnFormula>AS304/AT304</calculatedColumnFormula>
      <totalsRowFormula>AVERAGE(Table11021[CovDeckVal/SqFt])</totalsRowFormula>
    </tableColumn>
    <tableColumn id="40" name="CovDeck % Base" totalsRowFunction="custom" dataDxfId="8379" totalsRowDxfId="8378">
      <calculatedColumnFormula>AU304/C304</calculatedColumnFormula>
      <totalsRowFormula>AVERAGE(Table11021[CovDeck % Base])</totalsRowFormula>
    </tableColumn>
    <tableColumn id="27" name="CarP Value" dataDxfId="8377" totalsRowDxfId="8376"/>
    <tableColumn id="57" name="CarP Sq Ft" dataDxfId="8375" totalsRowDxfId="8374"/>
    <tableColumn id="12" name="CarPVal/SqFt" dataDxfId="8373" totalsRowDxfId="8372">
      <calculatedColumnFormula>AW304/AX304</calculatedColumnFormula>
    </tableColumn>
    <tableColumn id="41" name="CarP % Base" totalsRowFunction="custom" dataDxfId="8371" totalsRowDxfId="8370">
      <calculatedColumnFormula>AY304/C304</calculatedColumnFormula>
      <totalsRowFormula>AVERAGE(Table11021[CarP % Base])</totalsRowFormula>
    </tableColumn>
    <tableColumn id="28" name="EFP Value" dataDxfId="8369" totalsRowDxfId="8368"/>
    <tableColumn id="58" name="EFP Sq Ft" dataDxfId="8367" totalsRowDxfId="8366"/>
    <tableColumn id="15" name="EFPVal/SqFt" dataDxfId="8365" totalsRowDxfId="8364">
      <calculatedColumnFormula>BA304/BB304</calculatedColumnFormula>
    </tableColumn>
    <tableColumn id="29" name="EFP % Base" totalsRowFunction="custom" dataDxfId="8363" totalsRowDxfId="8362">
      <calculatedColumnFormula>BC304/C304</calculatedColumnFormula>
      <totalsRowFormula>AVERAGE(Table11021[EFP % Base])</totalsRowFormula>
    </tableColumn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id="28" name="Table11022" displayName="Table11022" ref="A315:BD323" totalsRowCount="1" headerRowDxfId="8361">
  <tableColumns count="56">
    <tableColumn id="1" name="  Grade" dataDxfId="8360" totalsRowDxfId="8359"/>
    <tableColumn id="13" name="Main Area $" dataDxfId="8358" totalsRowDxfId="8357"/>
    <tableColumn id="45" name="MA $/Sq Ft" totalsRowFunction="custom" dataDxfId="8356" totalsRowDxfId="8355">
      <calculatedColumnFormula>B316/F313</calculatedColumnFormula>
      <totalsRowFormula>AVERAGE(Table11022[MA $/Sq Ft])</totalsRowFormula>
    </tableColumn>
    <tableColumn id="16" name="Basic Allowance" totalsRowFunction="custom" dataDxfId="8354" totalsRowDxfId="8353">
      <totalsRowFormula>AVERAGE(Table11022[Basic Allowance])</totalsRowFormula>
    </tableColumn>
    <tableColumn id="43" name="BsmtVal" dataDxfId="8352" totalsRowDxfId="8351"/>
    <tableColumn id="46" name="Bsmt SqFt" dataDxfId="8350" totalsRowDxfId="8349"/>
    <tableColumn id="2" name="BsmtVal/Sq Ft" dataDxfId="8348" totalsRowDxfId="8347">
      <calculatedColumnFormula>E316/F316</calculatedColumnFormula>
    </tableColumn>
    <tableColumn id="17" name="Bsmt % Base" totalsRowFunction="custom" dataDxfId="8346" totalsRowDxfId="8345">
      <calculatedColumnFormula>G316/C316</calculatedColumnFormula>
      <totalsRowFormula>AVERAGE(Table11022[Bsmt % Base])</totalsRowFormula>
    </tableColumn>
    <tableColumn id="30" name="UnfBsmtVal" dataDxfId="8344" totalsRowDxfId="8343"/>
    <tableColumn id="47" name="UnfBsmt Sq Ft" dataDxfId="8342" totalsRowDxfId="8341"/>
    <tableColumn id="3" name="UnfBsmtVal/SqFt" dataDxfId="8340" totalsRowDxfId="8339">
      <calculatedColumnFormula>I316/J316</calculatedColumnFormula>
    </tableColumn>
    <tableColumn id="44" name="UnfBsmt % Base" totalsRowFunction="custom" dataDxfId="8338" totalsRowDxfId="8337">
      <calculatedColumnFormula>K316/C316</calculatedColumnFormula>
      <totalsRowFormula>AVERAGE(Table11022[[#Headers],[#Data],[UnfBsmt % Base]])</totalsRowFormula>
    </tableColumn>
    <tableColumn id="31" name="Lower Value" dataDxfId="8336" totalsRowDxfId="8335"/>
    <tableColumn id="48" name="Lower Sq Ft" dataDxfId="8334" totalsRowDxfId="8333"/>
    <tableColumn id="4" name="LowerVal/SqFt" totalsRowFunction="custom" dataDxfId="8332" totalsRowDxfId="8331">
      <calculatedColumnFormula>M316/N316</calculatedColumnFormula>
      <totalsRowFormula>AVERAGE(Table11022[LowerVal/SqFt])</totalsRowFormula>
    </tableColumn>
    <tableColumn id="32" name="Lower % Base" totalsRowFunction="custom" dataDxfId="8330" totalsRowDxfId="8329">
      <calculatedColumnFormula>O316/C316</calculatedColumnFormula>
      <totalsRowFormula>AVERAGE(Table11022[Lower % Base])</totalsRowFormula>
    </tableColumn>
    <tableColumn id="19" name="Unf Lower Value" dataDxfId="8328" totalsRowDxfId="8327"/>
    <tableColumn id="49" name="UnfLower Sq Ft" dataDxfId="8326" totalsRowDxfId="8325"/>
    <tableColumn id="14" name="UnfLowVal/SqFt2" dataDxfId="8324" totalsRowDxfId="8323">
      <calculatedColumnFormula>Q316/R316</calculatedColumnFormula>
    </tableColumn>
    <tableColumn id="33" name="Unf Lower % Base" totalsRowFunction="custom" dataDxfId="8322" totalsRowDxfId="8321">
      <calculatedColumnFormula>S316/C316</calculatedColumnFormula>
      <totalsRowFormula>AVERAGE(Table11022[Unf Lower % Base])</totalsRowFormula>
    </tableColumn>
    <tableColumn id="20" name="1/2 Story Value" dataDxfId="8320" totalsRowDxfId="8319"/>
    <tableColumn id="50" name="1/2 Story Sq Ft" dataDxfId="8318" totalsRowDxfId="8317"/>
    <tableColumn id="5" name="1/2 StoryVal/SqFt" dataDxfId="8316" totalsRowDxfId="8315">
      <calculatedColumnFormula>U316/V316</calculatedColumnFormula>
    </tableColumn>
    <tableColumn id="34" name="1/2 Story % Base" totalsRowFunction="custom" dataDxfId="8314" totalsRowDxfId="8313">
      <calculatedColumnFormula>W316/C316</calculatedColumnFormula>
      <totalsRowFormula>AVERAGE(Table11022[1/2 Story % Base])</totalsRowFormula>
    </tableColumn>
    <tableColumn id="21" name="2nd Story Value" dataDxfId="8312" totalsRowDxfId="8311"/>
    <tableColumn id="51" name="2nd Sty Sq Ft" dataDxfId="8310" totalsRowDxfId="8309"/>
    <tableColumn id="6" name="2ndStyVal/Sqft" dataDxfId="8308" totalsRowDxfId="8307">
      <calculatedColumnFormula>Y316/Z316</calculatedColumnFormula>
    </tableColumn>
    <tableColumn id="35" name="2nd Story % Base" totalsRowFunction="custom" dataDxfId="8306" totalsRowDxfId="8305">
      <calculatedColumnFormula>AA316/C316</calculatedColumnFormula>
      <totalsRowFormula>AVERAGE(Table11022[2nd Story % Base])</totalsRowFormula>
    </tableColumn>
    <tableColumn id="22" name="Att Gar Value" dataDxfId="8304" totalsRowDxfId="8303"/>
    <tableColumn id="52" name="Att Gar Sq Ft" dataDxfId="8302" totalsRowDxfId="8301"/>
    <tableColumn id="7" name="AttGarVal/SqFt" totalsRowFunction="custom" dataDxfId="8300" totalsRowDxfId="8299">
      <calculatedColumnFormula>AC316/AD316</calculatedColumnFormula>
      <totalsRowFormula>AVERAGE(Table11022[AttGarVal/SqFt])</totalsRowFormula>
    </tableColumn>
    <tableColumn id="36" name="Att Gar % Base" totalsRowFunction="custom" dataDxfId="8298" totalsRowDxfId="8297">
      <calculatedColumnFormula>AE316/C316</calculatedColumnFormula>
      <totalsRowFormula>AVERAGE(Table11022[Att Gar % Base])</totalsRowFormula>
    </tableColumn>
    <tableColumn id="23" name="Porch Value" dataDxfId="8296" totalsRowDxfId="8295"/>
    <tableColumn id="53" name="Porch Sq Ft" dataDxfId="8294" totalsRowDxfId="8293"/>
    <tableColumn id="8" name="PorchVal/SqFt" dataDxfId="8292" totalsRowDxfId="8291">
      <calculatedColumnFormula>AG316/AH316</calculatedColumnFormula>
    </tableColumn>
    <tableColumn id="37" name="Porch % Base" totalsRowFunction="custom" dataDxfId="8290" totalsRowDxfId="8289">
      <calculatedColumnFormula>AI316/C316</calculatedColumnFormula>
      <totalsRowFormula>AVERAGE(Table11022[Porch % Base])</totalsRowFormula>
    </tableColumn>
    <tableColumn id="24" name="Cov Porch Value" dataDxfId="8288" totalsRowDxfId="8287"/>
    <tableColumn id="54" name="Cov Porch Sq Ft" dataDxfId="8286" totalsRowDxfId="8285"/>
    <tableColumn id="9" name="CovPrVal/SqFt" dataDxfId="8284" totalsRowDxfId="8283">
      <calculatedColumnFormula>AK316/AL316</calculatedColumnFormula>
    </tableColumn>
    <tableColumn id="38" name="Cov Porch % Base" totalsRowFunction="custom" dataDxfId="8282" totalsRowDxfId="8281">
      <calculatedColumnFormula>AM316/C316</calculatedColumnFormula>
      <totalsRowFormula>AVERAGE(Table11022[Cov Porch % Base])</totalsRowFormula>
    </tableColumn>
    <tableColumn id="25" name="Deck Value" dataDxfId="8280" totalsRowDxfId="8279"/>
    <tableColumn id="55" name="Deck Sq Ft" dataDxfId="8278" totalsRowDxfId="8277"/>
    <tableColumn id="10" name="DeckVal/SqFt" dataDxfId="8276" totalsRowDxfId="8275">
      <calculatedColumnFormula>AO316/AP316</calculatedColumnFormula>
    </tableColumn>
    <tableColumn id="39" name="Deck % Base" totalsRowFunction="custom" dataDxfId="8274" totalsRowDxfId="8273">
      <calculatedColumnFormula>AQ316/C316</calculatedColumnFormula>
      <totalsRowFormula>AVERAGE(Table11022[Deck % Base])</totalsRowFormula>
    </tableColumn>
    <tableColumn id="26" name="Cov Deck Value" dataDxfId="8272" totalsRowDxfId="8271"/>
    <tableColumn id="56" name="CovDeck Sq Ft" dataDxfId="8270" totalsRowDxfId="8269"/>
    <tableColumn id="11" name="CovDeckVal/SqFt" totalsRowFunction="custom" dataDxfId="8268" totalsRowDxfId="8267">
      <calculatedColumnFormula>AS316/AT316</calculatedColumnFormula>
      <totalsRowFormula>AVERAGE(Table11022[CovDeckVal/SqFt])</totalsRowFormula>
    </tableColumn>
    <tableColumn id="40" name="CovDeck % Base" totalsRowFunction="custom" dataDxfId="8266" totalsRowDxfId="8265">
      <calculatedColumnFormula>AU316/C316</calculatedColumnFormula>
      <totalsRowFormula>AVERAGE(Table11022[CovDeck % Base])</totalsRowFormula>
    </tableColumn>
    <tableColumn id="27" name="CarP Value" dataDxfId="8264" totalsRowDxfId="8263"/>
    <tableColumn id="57" name="CarP Sq Ft" dataDxfId="8262" totalsRowDxfId="8261"/>
    <tableColumn id="12" name="CarPVal/SqFt" dataDxfId="8260" totalsRowDxfId="8259">
      <calculatedColumnFormula>AW316/AX316</calculatedColumnFormula>
    </tableColumn>
    <tableColumn id="41" name="CarP % Base" totalsRowFunction="custom" dataDxfId="8258" totalsRowDxfId="8257">
      <calculatedColumnFormula>AY316/C316</calculatedColumnFormula>
      <totalsRowFormula>AVERAGE(Table11022[CarP % Base])</totalsRowFormula>
    </tableColumn>
    <tableColumn id="28" name="EFP Value" dataDxfId="8256" totalsRowDxfId="8255"/>
    <tableColumn id="58" name="EFP Sq Ft" dataDxfId="8254" totalsRowDxfId="8253"/>
    <tableColumn id="15" name="EFPVal/SqFt" dataDxfId="8252" totalsRowDxfId="8251">
      <calculatedColumnFormula>BA316/BB316</calculatedColumnFormula>
    </tableColumn>
    <tableColumn id="29" name="EFP % Base" totalsRowFunction="custom" dataDxfId="8250" totalsRowDxfId="8249">
      <calculatedColumnFormula>BC316/C316</calculatedColumnFormula>
      <totalsRowFormula>AVERAGE(Table11022[EFP % Base])</totalsRowFormula>
    </tableColumn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id="29" name="Table11023" displayName="Table11023" ref="A327:BD335" totalsRowCount="1" headerRowDxfId="8248">
  <tableColumns count="56">
    <tableColumn id="1" name="  Grade" dataDxfId="8247" totalsRowDxfId="8246"/>
    <tableColumn id="13" name="Main Area $" dataDxfId="8245" totalsRowDxfId="8244"/>
    <tableColumn id="45" name="MA $/Sq Ft" totalsRowFunction="custom" dataDxfId="8243" totalsRowDxfId="8242">
      <calculatedColumnFormula>B328/F325</calculatedColumnFormula>
      <totalsRowFormula>AVERAGE(Table11023[MA $/Sq Ft])</totalsRowFormula>
    </tableColumn>
    <tableColumn id="16" name="Basic Allowance" totalsRowFunction="custom" dataDxfId="8241" totalsRowDxfId="8240">
      <totalsRowFormula>AVERAGE(Table11023[Basic Allowance])</totalsRowFormula>
    </tableColumn>
    <tableColumn id="43" name="BsmtVal" dataDxfId="8239" totalsRowDxfId="8238"/>
    <tableColumn id="46" name="Bsmt SqFt" dataDxfId="8237" totalsRowDxfId="8236"/>
    <tableColumn id="2" name="BsmtVal/Sq Ft" dataDxfId="8235" totalsRowDxfId="8234">
      <calculatedColumnFormula>E328/F328</calculatedColumnFormula>
    </tableColumn>
    <tableColumn id="17" name="Bsmt % Base" totalsRowFunction="custom" dataDxfId="8233" totalsRowDxfId="8232">
      <calculatedColumnFormula>G328/C328</calculatedColumnFormula>
      <totalsRowFormula>AVERAGE(Table11023[Bsmt % Base])</totalsRowFormula>
    </tableColumn>
    <tableColumn id="30" name="UnfBsmtVal" dataDxfId="8231" totalsRowDxfId="8230"/>
    <tableColumn id="47" name="UnfBsmt Sq Ft" dataDxfId="8229" totalsRowDxfId="8228"/>
    <tableColumn id="3" name="UnfBsmtVal/SqFt" dataDxfId="8227" totalsRowDxfId="8226">
      <calculatedColumnFormula>I328/J328</calculatedColumnFormula>
    </tableColumn>
    <tableColumn id="44" name="UnfBsmt % Base" totalsRowFunction="custom" dataDxfId="8225" totalsRowDxfId="8224">
      <calculatedColumnFormula>K328/C328</calculatedColumnFormula>
      <totalsRowFormula>AVERAGE(Table11023[[#Headers],[#Data],[UnfBsmt % Base]])</totalsRowFormula>
    </tableColumn>
    <tableColumn id="31" name="Lower Value" dataDxfId="8223" totalsRowDxfId="8222"/>
    <tableColumn id="48" name="Lower Sq Ft" dataDxfId="8221" totalsRowDxfId="8220"/>
    <tableColumn id="4" name="LowerVal/SqFt" totalsRowFunction="custom" dataDxfId="8219" totalsRowDxfId="8218">
      <calculatedColumnFormula>M328/N328</calculatedColumnFormula>
      <totalsRowFormula>AVERAGE(Table11023[LowerVal/SqFt])</totalsRowFormula>
    </tableColumn>
    <tableColumn id="32" name="Lower % Base" totalsRowFunction="custom" dataDxfId="8217" totalsRowDxfId="8216">
      <calculatedColumnFormula>O328/C328</calculatedColumnFormula>
      <totalsRowFormula>AVERAGE(Table11023[Lower % Base])</totalsRowFormula>
    </tableColumn>
    <tableColumn id="19" name="Unf Lower Value" dataDxfId="8215" totalsRowDxfId="8214"/>
    <tableColumn id="49" name="UnfLower Sq Ft" dataDxfId="8213" totalsRowDxfId="8212"/>
    <tableColumn id="14" name="UnfLowVal/SqFt2" dataDxfId="8211" totalsRowDxfId="8210">
      <calculatedColumnFormula>Q328/R328</calculatedColumnFormula>
    </tableColumn>
    <tableColumn id="33" name="Unf Lower % Base" totalsRowFunction="custom" dataDxfId="8209" totalsRowDxfId="8208">
      <calculatedColumnFormula>S328/C328</calculatedColumnFormula>
      <totalsRowFormula>AVERAGE(Table11023[Unf Lower % Base])</totalsRowFormula>
    </tableColumn>
    <tableColumn id="20" name="1/2 Story Value" dataDxfId="8207" totalsRowDxfId="8206"/>
    <tableColumn id="50" name="1/2 Story Sq Ft" dataDxfId="8205" totalsRowDxfId="8204"/>
    <tableColumn id="5" name="1/2 StoryVal/SqFt" dataDxfId="8203" totalsRowDxfId="8202">
      <calculatedColumnFormula>U328/V328</calculatedColumnFormula>
    </tableColumn>
    <tableColumn id="34" name="1/2 Story % Base" totalsRowFunction="custom" dataDxfId="8201" totalsRowDxfId="8200">
      <calculatedColumnFormula>W328/C328</calculatedColumnFormula>
      <totalsRowFormula>AVERAGE(Table11023[1/2 Story % Base])</totalsRowFormula>
    </tableColumn>
    <tableColumn id="21" name="2nd Story Value" dataDxfId="8199" totalsRowDxfId="8198"/>
    <tableColumn id="51" name="2nd Sty Sq Ft" dataDxfId="8197" totalsRowDxfId="8196"/>
    <tableColumn id="6" name="2ndStyVal/Sqft" dataDxfId="8195" totalsRowDxfId="8194">
      <calculatedColumnFormula>Y328/Z328</calculatedColumnFormula>
    </tableColumn>
    <tableColumn id="35" name="2nd Story % Base" totalsRowFunction="custom" dataDxfId="8193" totalsRowDxfId="8192">
      <calculatedColumnFormula>AA328/C328</calculatedColumnFormula>
      <totalsRowFormula>AVERAGE(Table11023[2nd Story % Base])</totalsRowFormula>
    </tableColumn>
    <tableColumn id="22" name="Att Gar Value" dataDxfId="8191" totalsRowDxfId="8190"/>
    <tableColumn id="52" name="Att Gar Sq Ft" dataDxfId="8189" totalsRowDxfId="8188"/>
    <tableColumn id="7" name="AttGarVal/SqFt" totalsRowFunction="custom" dataDxfId="8187" totalsRowDxfId="8186">
      <calculatedColumnFormula>AC328/AD328</calculatedColumnFormula>
      <totalsRowFormula>AVERAGE(Table11023[AttGarVal/SqFt])</totalsRowFormula>
    </tableColumn>
    <tableColumn id="36" name="Att Gar % Base" totalsRowFunction="custom" dataDxfId="8185" totalsRowDxfId="8184">
      <calculatedColumnFormula>AE328/C328</calculatedColumnFormula>
      <totalsRowFormula>AVERAGE(Table11023[Att Gar % Base])</totalsRowFormula>
    </tableColumn>
    <tableColumn id="23" name="Porch Value" dataDxfId="8183" totalsRowDxfId="8182"/>
    <tableColumn id="53" name="Porch Sq Ft" dataDxfId="8181" totalsRowDxfId="8180"/>
    <tableColumn id="8" name="PorchVal/SqFt" dataDxfId="8179" totalsRowDxfId="8178">
      <calculatedColumnFormula>AG328/AH328</calculatedColumnFormula>
    </tableColumn>
    <tableColumn id="37" name="Porch % Base" totalsRowFunction="custom" dataDxfId="8177" totalsRowDxfId="8176">
      <calculatedColumnFormula>AI328/C328</calculatedColumnFormula>
      <totalsRowFormula>AVERAGE(Table11023[Porch % Base])</totalsRowFormula>
    </tableColumn>
    <tableColumn id="24" name="Cov Porch Value" dataDxfId="8175" totalsRowDxfId="8174"/>
    <tableColumn id="54" name="Cov Porch Sq Ft" dataDxfId="8173" totalsRowDxfId="8172"/>
    <tableColumn id="9" name="CovPrVal/SqFt" dataDxfId="8171" totalsRowDxfId="8170">
      <calculatedColumnFormula>AK328/AL328</calculatedColumnFormula>
    </tableColumn>
    <tableColumn id="38" name="Cov Porch % Base" totalsRowFunction="custom" dataDxfId="8169" totalsRowDxfId="8168">
      <calculatedColumnFormula>AM328/C328</calculatedColumnFormula>
      <totalsRowFormula>AVERAGE(Table11023[Cov Porch % Base])</totalsRowFormula>
    </tableColumn>
    <tableColumn id="25" name="Deck Value" dataDxfId="8167" totalsRowDxfId="8166"/>
    <tableColumn id="55" name="Deck Sq Ft" dataDxfId="8165" totalsRowDxfId="8164"/>
    <tableColumn id="10" name="DeckVal/SqFt" dataDxfId="8163" totalsRowDxfId="8162">
      <calculatedColumnFormula>AO328/AP328</calculatedColumnFormula>
    </tableColumn>
    <tableColumn id="39" name="Deck % Base" totalsRowFunction="custom" dataDxfId="8161" totalsRowDxfId="8160">
      <calculatedColumnFormula>AQ328/C328</calculatedColumnFormula>
      <totalsRowFormula>AVERAGE(Table11023[Deck % Base])</totalsRowFormula>
    </tableColumn>
    <tableColumn id="26" name="Cov Deck Value" dataDxfId="8159" totalsRowDxfId="8158"/>
    <tableColumn id="56" name="CovDeck Sq Ft" dataDxfId="8157" totalsRowDxfId="8156"/>
    <tableColumn id="11" name="CovDeckVal/SqFt" totalsRowFunction="custom" dataDxfId="8155" totalsRowDxfId="8154">
      <calculatedColumnFormula>AS328/AT328</calculatedColumnFormula>
      <totalsRowFormula>AVERAGE(Table11023[CovDeckVal/SqFt])</totalsRowFormula>
    </tableColumn>
    <tableColumn id="40" name="CovDeck % Base" totalsRowFunction="custom" dataDxfId="8153" totalsRowDxfId="8152">
      <calculatedColumnFormula>AU328/C328</calculatedColumnFormula>
      <totalsRowFormula>AVERAGE(Table11023[CovDeck % Base])</totalsRowFormula>
    </tableColumn>
    <tableColumn id="27" name="CarP Value" dataDxfId="8151" totalsRowDxfId="8150"/>
    <tableColumn id="57" name="CarP Sq Ft" dataDxfId="8149" totalsRowDxfId="8148"/>
    <tableColumn id="12" name="CarPVal/SqFt" dataDxfId="8147" totalsRowDxfId="8146">
      <calculatedColumnFormula>AW328/AX328</calculatedColumnFormula>
    </tableColumn>
    <tableColumn id="41" name="CarP % Base" totalsRowFunction="custom" dataDxfId="8145" totalsRowDxfId="8144">
      <calculatedColumnFormula>AY328/C328</calculatedColumnFormula>
      <totalsRowFormula>AVERAGE(Table11023[CarP % Base])</totalsRowFormula>
    </tableColumn>
    <tableColumn id="28" name="EFP Value" dataDxfId="8143" totalsRowDxfId="8142"/>
    <tableColumn id="58" name="EFP Sq Ft" dataDxfId="8141" totalsRowDxfId="8140"/>
    <tableColumn id="15" name="EFPVal/SqFt" dataDxfId="8139" totalsRowDxfId="8138">
      <calculatedColumnFormula>BA328/BB328</calculatedColumnFormula>
    </tableColumn>
    <tableColumn id="29" name="EFP % Base" totalsRowFunction="custom" dataDxfId="8137" totalsRowDxfId="8136">
      <calculatedColumnFormula>BC328/C328</calculatedColumnFormula>
      <totalsRowFormula>AVERAGE(Table11023[EFP % Base])</totalsRowFormula>
    </tableColumn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id="30" name="Table11024" displayName="Table11024" ref="A339:BD347" totalsRowCount="1" headerRowDxfId="8135">
  <tableColumns count="56">
    <tableColumn id="1" name="  Grade" dataDxfId="8134" totalsRowDxfId="8133"/>
    <tableColumn id="13" name="Main Area $" dataDxfId="8132" totalsRowDxfId="8131"/>
    <tableColumn id="45" name="MA $/Sq Ft" totalsRowFunction="custom" dataDxfId="8130" totalsRowDxfId="8129">
      <calculatedColumnFormula>B340/F337</calculatedColumnFormula>
      <totalsRowFormula>AVERAGE(Table11024[MA $/Sq Ft])</totalsRowFormula>
    </tableColumn>
    <tableColumn id="16" name="Basic Allowance" totalsRowFunction="custom" dataDxfId="8128" totalsRowDxfId="8127">
      <totalsRowFormula>AVERAGE(Table11024[Basic Allowance])</totalsRowFormula>
    </tableColumn>
    <tableColumn id="43" name="BsmtVal" dataDxfId="8126" totalsRowDxfId="8125"/>
    <tableColumn id="46" name="Bsmt SqFt" dataDxfId="8124" totalsRowDxfId="8123"/>
    <tableColumn id="2" name="BsmtVal/Sq Ft" dataDxfId="8122" totalsRowDxfId="8121">
      <calculatedColumnFormula>E340/F340</calculatedColumnFormula>
    </tableColumn>
    <tableColumn id="17" name="Bsmt % Base" totalsRowFunction="custom" dataDxfId="8120" totalsRowDxfId="8119">
      <calculatedColumnFormula>G340/C340</calculatedColumnFormula>
      <totalsRowFormula>AVERAGE(Table11024[Bsmt % Base])</totalsRowFormula>
    </tableColumn>
    <tableColumn id="30" name="UnfBsmtVal" dataDxfId="8118" totalsRowDxfId="8117"/>
    <tableColumn id="47" name="UnfBsmt Sq Ft" dataDxfId="8116" totalsRowDxfId="8115"/>
    <tableColumn id="3" name="UnfBsmtVal/SqFt" dataDxfId="8114" totalsRowDxfId="8113">
      <calculatedColumnFormula>I340/J340</calculatedColumnFormula>
    </tableColumn>
    <tableColumn id="44" name="UnfBsmt % Base" totalsRowFunction="custom" dataDxfId="8112" totalsRowDxfId="8111">
      <calculatedColumnFormula>K340/C340</calculatedColumnFormula>
      <totalsRowFormula>AVERAGE(Table11024[[#Headers],[#Data],[UnfBsmt % Base]])</totalsRowFormula>
    </tableColumn>
    <tableColumn id="31" name="Lower Value" dataDxfId="8110" totalsRowDxfId="8109"/>
    <tableColumn id="48" name="Lower Sq Ft" dataDxfId="8108" totalsRowDxfId="8107"/>
    <tableColumn id="4" name="LowerVal/SqFt" totalsRowFunction="custom" dataDxfId="8106" totalsRowDxfId="8105">
      <calculatedColumnFormula>M340/N340</calculatedColumnFormula>
      <totalsRowFormula>AVERAGE(Table11024[LowerVal/SqFt])</totalsRowFormula>
    </tableColumn>
    <tableColumn id="32" name="Lower % Base" totalsRowFunction="custom" dataDxfId="8104" totalsRowDxfId="8103">
      <calculatedColumnFormula>O340/C340</calculatedColumnFormula>
      <totalsRowFormula>AVERAGE(Table11024[Lower % Base])</totalsRowFormula>
    </tableColumn>
    <tableColumn id="19" name="Unf Lower Value" dataDxfId="8102" totalsRowDxfId="8101"/>
    <tableColumn id="49" name="UnfLower Sq Ft" dataDxfId="8100" totalsRowDxfId="8099"/>
    <tableColumn id="14" name="UnfLowVal/SqFt2" dataDxfId="8098" totalsRowDxfId="8097">
      <calculatedColumnFormula>Q340/R340</calculatedColumnFormula>
    </tableColumn>
    <tableColumn id="33" name="Unf Lower % Base" totalsRowFunction="custom" dataDxfId="8096" totalsRowDxfId="8095">
      <calculatedColumnFormula>S340/C340</calculatedColumnFormula>
      <totalsRowFormula>AVERAGE(Table11024[Unf Lower % Base])</totalsRowFormula>
    </tableColumn>
    <tableColumn id="20" name="1/2 Story Value" dataDxfId="8094" totalsRowDxfId="8093"/>
    <tableColumn id="50" name="1/2 Story Sq Ft" dataDxfId="8092" totalsRowDxfId="8091"/>
    <tableColumn id="5" name="1/2 StoryVal/SqFt" dataDxfId="8090" totalsRowDxfId="8089">
      <calculatedColumnFormula>U340/V340</calculatedColumnFormula>
    </tableColumn>
    <tableColumn id="34" name="1/2 Story % Base" totalsRowFunction="custom" dataDxfId="8088" totalsRowDxfId="8087">
      <calculatedColumnFormula>W340/C340</calculatedColumnFormula>
      <totalsRowFormula>AVERAGE(Table11024[1/2 Story % Base])</totalsRowFormula>
    </tableColumn>
    <tableColumn id="21" name="2nd Story Value" dataDxfId="8086" totalsRowDxfId="8085"/>
    <tableColumn id="51" name="2nd Sty Sq Ft" dataDxfId="8084" totalsRowDxfId="8083"/>
    <tableColumn id="6" name="2ndStyVal/Sqft" dataDxfId="8082" totalsRowDxfId="8081">
      <calculatedColumnFormula>Y340/Z340</calculatedColumnFormula>
    </tableColumn>
    <tableColumn id="35" name="2nd Story % Base" totalsRowFunction="custom" dataDxfId="8080" totalsRowDxfId="8079">
      <calculatedColumnFormula>AA340/C340</calculatedColumnFormula>
      <totalsRowFormula>AVERAGE(Table11024[2nd Story % Base])</totalsRowFormula>
    </tableColumn>
    <tableColumn id="22" name="Att Gar Value" dataDxfId="8078" totalsRowDxfId="8077"/>
    <tableColumn id="52" name="Att Gar Sq Ft" dataDxfId="8076" totalsRowDxfId="8075"/>
    <tableColumn id="7" name="AttGarVal/SqFt" totalsRowFunction="custom" dataDxfId="8074" totalsRowDxfId="8073">
      <calculatedColumnFormula>AC340/AD340</calculatedColumnFormula>
      <totalsRowFormula>AVERAGE(Table11024[AttGarVal/SqFt])</totalsRowFormula>
    </tableColumn>
    <tableColumn id="36" name="Att Gar % Base" totalsRowFunction="custom" dataDxfId="8072" totalsRowDxfId="8071">
      <calculatedColumnFormula>AE340/C340</calculatedColumnFormula>
      <totalsRowFormula>AVERAGE(Table11024[Att Gar % Base])</totalsRowFormula>
    </tableColumn>
    <tableColumn id="23" name="Porch Value" dataDxfId="8070" totalsRowDxfId="8069"/>
    <tableColumn id="53" name="Porch Sq Ft" dataDxfId="8068" totalsRowDxfId="8067"/>
    <tableColumn id="8" name="PorchVal/SqFt" dataDxfId="8066" totalsRowDxfId="8065">
      <calculatedColumnFormula>AG340/AH340</calculatedColumnFormula>
    </tableColumn>
    <tableColumn id="37" name="Porch % Base" totalsRowFunction="custom" dataDxfId="8064" totalsRowDxfId="8063">
      <calculatedColumnFormula>AI340/C340</calculatedColumnFormula>
      <totalsRowFormula>AVERAGE(Table11024[Porch % Base])</totalsRowFormula>
    </tableColumn>
    <tableColumn id="24" name="Cov Porch Value" dataDxfId="8062" totalsRowDxfId="8061"/>
    <tableColumn id="54" name="Cov Porch Sq Ft" dataDxfId="8060" totalsRowDxfId="8059"/>
    <tableColumn id="9" name="CovPrVal/SqFt" dataDxfId="8058" totalsRowDxfId="8057">
      <calculatedColumnFormula>AK340/AL340</calculatedColumnFormula>
    </tableColumn>
    <tableColumn id="38" name="Cov Porch % Base" totalsRowFunction="custom" dataDxfId="8056" totalsRowDxfId="8055">
      <calculatedColumnFormula>AM340/C340</calculatedColumnFormula>
      <totalsRowFormula>AVERAGE(Table11024[Cov Porch % Base])</totalsRowFormula>
    </tableColumn>
    <tableColumn id="25" name="Deck Value" dataDxfId="8054" totalsRowDxfId="8053"/>
    <tableColumn id="55" name="Deck Sq Ft" dataDxfId="8052" totalsRowDxfId="8051"/>
    <tableColumn id="10" name="DeckVal/SqFt" dataDxfId="8050" totalsRowDxfId="8049">
      <calculatedColumnFormula>AO340/AP340</calculatedColumnFormula>
    </tableColumn>
    <tableColumn id="39" name="Deck % Base" totalsRowFunction="custom" dataDxfId="8048" totalsRowDxfId="8047">
      <calculatedColumnFormula>AQ340/C340</calculatedColumnFormula>
      <totalsRowFormula>AVERAGE(Table11024[Deck % Base])</totalsRowFormula>
    </tableColumn>
    <tableColumn id="26" name="Cov Deck Value" dataDxfId="8046" totalsRowDxfId="8045"/>
    <tableColumn id="56" name="CovDeck Sq Ft" dataDxfId="8044" totalsRowDxfId="8043"/>
    <tableColumn id="11" name="CovDeckVal/SqFt" totalsRowFunction="custom" dataDxfId="8042" totalsRowDxfId="8041">
      <calculatedColumnFormula>AS340/AT340</calculatedColumnFormula>
      <totalsRowFormula>AVERAGE(Table11024[CovDeckVal/SqFt])</totalsRowFormula>
    </tableColumn>
    <tableColumn id="40" name="CovDeck % Base" totalsRowFunction="custom" dataDxfId="8040" totalsRowDxfId="8039">
      <calculatedColumnFormula>AU340/C340</calculatedColumnFormula>
      <totalsRowFormula>AVERAGE(Table11024[CovDeck % Base])</totalsRowFormula>
    </tableColumn>
    <tableColumn id="27" name="CarP Value" dataDxfId="8038" totalsRowDxfId="8037"/>
    <tableColumn id="57" name="CarP Sq Ft" dataDxfId="8036" totalsRowDxfId="8035"/>
    <tableColumn id="12" name="CarPVal/SqFt" dataDxfId="8034" totalsRowDxfId="8033">
      <calculatedColumnFormula>AW340/AX340</calculatedColumnFormula>
    </tableColumn>
    <tableColumn id="41" name="CarP % Base" totalsRowFunction="custom" dataDxfId="8032" totalsRowDxfId="8031">
      <calculatedColumnFormula>AY340/C340</calculatedColumnFormula>
      <totalsRowFormula>AVERAGE(Table11024[CarP % Base])</totalsRowFormula>
    </tableColumn>
    <tableColumn id="28" name="EFP Value" dataDxfId="8030" totalsRowDxfId="8029"/>
    <tableColumn id="58" name="EFP Sq Ft" dataDxfId="8028" totalsRowDxfId="8027"/>
    <tableColumn id="15" name="EFPVal/SqFt" dataDxfId="8026" totalsRowDxfId="8025">
      <calculatedColumnFormula>BA340/BB340</calculatedColumnFormula>
    </tableColumn>
    <tableColumn id="29" name="EFP % Base" totalsRowFunction="custom" dataDxfId="8024" totalsRowDxfId="8023">
      <calculatedColumnFormula>BC340/C340</calculatedColumnFormula>
      <totalsRowFormula>AVERAGE(Table11024[EFP % Base])</totalsRowFormula>
    </tableColumn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id="31" name="Table11025" displayName="Table11025" ref="A351:BD359" totalsRowCount="1" headerRowDxfId="8022">
  <tableColumns count="56">
    <tableColumn id="1" name="  Grade" dataDxfId="8021" totalsRowDxfId="8020"/>
    <tableColumn id="13" name="Main Area $" dataDxfId="8019" totalsRowDxfId="8018"/>
    <tableColumn id="45" name="MA $/Sq Ft" totalsRowFunction="custom" dataDxfId="8017" totalsRowDxfId="8016">
      <calculatedColumnFormula>B352/F349</calculatedColumnFormula>
      <totalsRowFormula>AVERAGE(Table11025[MA $/Sq Ft])</totalsRowFormula>
    </tableColumn>
    <tableColumn id="16" name="Basic Allowance" totalsRowFunction="custom" dataDxfId="8015" totalsRowDxfId="8014">
      <totalsRowFormula>AVERAGE(Table11025[Basic Allowance])</totalsRowFormula>
    </tableColumn>
    <tableColumn id="43" name="BsmtVal" dataDxfId="8013" totalsRowDxfId="8012"/>
    <tableColumn id="46" name="Bsmt SqFt" dataDxfId="8011" totalsRowDxfId="8010"/>
    <tableColumn id="2" name="BsmtVal/Sq Ft" dataDxfId="8009" totalsRowDxfId="8008">
      <calculatedColumnFormula>E352/F352</calculatedColumnFormula>
    </tableColumn>
    <tableColumn id="17" name="Bsmt % Base" totalsRowFunction="custom" dataDxfId="8007" totalsRowDxfId="8006">
      <calculatedColumnFormula>G352/C352</calculatedColumnFormula>
      <totalsRowFormula>AVERAGE(Table11025[Bsmt % Base])</totalsRowFormula>
    </tableColumn>
    <tableColumn id="30" name="UnfBsmtVal" dataDxfId="8005" totalsRowDxfId="8004"/>
    <tableColumn id="47" name="UnfBsmt Sq Ft" dataDxfId="8003" totalsRowDxfId="8002"/>
    <tableColumn id="3" name="UnfBsmtVal/SqFt" dataDxfId="8001" totalsRowDxfId="8000">
      <calculatedColumnFormula>I352/J352</calculatedColumnFormula>
    </tableColumn>
    <tableColumn id="44" name="UnfBsmt % Base" totalsRowFunction="custom" dataDxfId="7999" totalsRowDxfId="7998">
      <calculatedColumnFormula>K352/C352</calculatedColumnFormula>
      <totalsRowFormula>AVERAGE(Table11025[[#Headers],[#Data],[UnfBsmt % Base]])</totalsRowFormula>
    </tableColumn>
    <tableColumn id="31" name="Lower Value" dataDxfId="7997" totalsRowDxfId="7996"/>
    <tableColumn id="48" name="Lower Sq Ft" dataDxfId="7995" totalsRowDxfId="7994"/>
    <tableColumn id="4" name="LowerVal/SqFt" totalsRowFunction="custom" dataDxfId="7993" totalsRowDxfId="7992">
      <calculatedColumnFormula>M352/N352</calculatedColumnFormula>
      <totalsRowFormula>AVERAGE(Table11025[LowerVal/SqFt])</totalsRowFormula>
    </tableColumn>
    <tableColumn id="32" name="Lower % Base" totalsRowFunction="custom" dataDxfId="7991" totalsRowDxfId="7990">
      <calculatedColumnFormula>O352/C352</calculatedColumnFormula>
      <totalsRowFormula>AVERAGE(Table11025[Lower % Base])</totalsRowFormula>
    </tableColumn>
    <tableColumn id="19" name="Unf Lower Value" dataDxfId="7989" totalsRowDxfId="7988"/>
    <tableColumn id="49" name="UnfLower Sq Ft" dataDxfId="7987" totalsRowDxfId="7986"/>
    <tableColumn id="14" name="UnfLowVal/SqFt2" dataDxfId="7985" totalsRowDxfId="7984">
      <calculatedColumnFormula>Q352/R352</calculatedColumnFormula>
    </tableColumn>
    <tableColumn id="33" name="Unf Lower % Base" totalsRowFunction="custom" dataDxfId="7983" totalsRowDxfId="7982">
      <calculatedColumnFormula>S352/C352</calculatedColumnFormula>
      <totalsRowFormula>AVERAGE(Table11025[Unf Lower % Base])</totalsRowFormula>
    </tableColumn>
    <tableColumn id="20" name="1/2 Story Value" dataDxfId="7981" totalsRowDxfId="7980"/>
    <tableColumn id="50" name="1/2 Story Sq Ft" dataDxfId="7979" totalsRowDxfId="7978"/>
    <tableColumn id="5" name="1/2 StoryVal/SqFt" dataDxfId="7977" totalsRowDxfId="7976">
      <calculatedColumnFormula>U352/V352</calculatedColumnFormula>
    </tableColumn>
    <tableColumn id="34" name="1/2 Story % Base" totalsRowFunction="custom" dataDxfId="7975" totalsRowDxfId="7974">
      <calculatedColumnFormula>W352/C352</calculatedColumnFormula>
      <totalsRowFormula>AVERAGE(Table11025[1/2 Story % Base])</totalsRowFormula>
    </tableColumn>
    <tableColumn id="21" name="2nd Story Value" dataDxfId="7973" totalsRowDxfId="7972"/>
    <tableColumn id="51" name="2nd Sty Sq Ft" dataDxfId="7971" totalsRowDxfId="7970"/>
    <tableColumn id="6" name="2ndStyVal/Sqft" dataDxfId="7969" totalsRowDxfId="7968">
      <calculatedColumnFormula>Y352/Z352</calculatedColumnFormula>
    </tableColumn>
    <tableColumn id="35" name="2nd Story % Base" totalsRowFunction="custom" dataDxfId="7967" totalsRowDxfId="7966">
      <calculatedColumnFormula>AA352/C352</calculatedColumnFormula>
      <totalsRowFormula>AVERAGE(Table11025[2nd Story % Base])</totalsRowFormula>
    </tableColumn>
    <tableColumn id="22" name="Att Gar Value" dataDxfId="7965" totalsRowDxfId="7964"/>
    <tableColumn id="52" name="Att Gar Sq Ft" dataDxfId="7963" totalsRowDxfId="7962"/>
    <tableColumn id="7" name="AttGarVal/SqFt" totalsRowFunction="custom" dataDxfId="7961" totalsRowDxfId="7960">
      <calculatedColumnFormula>AC352/AD352</calculatedColumnFormula>
      <totalsRowFormula>AVERAGE(Table11025[AttGarVal/SqFt])</totalsRowFormula>
    </tableColumn>
    <tableColumn id="36" name="Att Gar % Base" totalsRowFunction="custom" dataDxfId="7959" totalsRowDxfId="7958">
      <calculatedColumnFormula>AE352/C352</calculatedColumnFormula>
      <totalsRowFormula>AVERAGE(Table11025[Att Gar % Base])</totalsRowFormula>
    </tableColumn>
    <tableColumn id="23" name="Porch Value" dataDxfId="7957" totalsRowDxfId="7956"/>
    <tableColumn id="53" name="Porch Sq Ft" dataDxfId="7955" totalsRowDxfId="7954"/>
    <tableColumn id="8" name="PorchVal/SqFt" dataDxfId="7953" totalsRowDxfId="7952">
      <calculatedColumnFormula>AG352/AH352</calculatedColumnFormula>
    </tableColumn>
    <tableColumn id="37" name="Porch % Base" totalsRowFunction="custom" dataDxfId="7951" totalsRowDxfId="7950">
      <calculatedColumnFormula>AI352/C352</calculatedColumnFormula>
      <totalsRowFormula>AVERAGE(Table11025[Porch % Base])</totalsRowFormula>
    </tableColumn>
    <tableColumn id="24" name="Cov Porch Value" dataDxfId="7949" totalsRowDxfId="7948"/>
    <tableColumn id="54" name="Cov Porch Sq Ft" dataDxfId="7947" totalsRowDxfId="7946"/>
    <tableColumn id="9" name="CovPrVal/SqFt" dataDxfId="7945" totalsRowDxfId="7944">
      <calculatedColumnFormula>AK352/AL352</calculatedColumnFormula>
    </tableColumn>
    <tableColumn id="38" name="Cov Porch % Base" totalsRowFunction="custom" dataDxfId="7943" totalsRowDxfId="7942">
      <calculatedColumnFormula>AM352/C352</calculatedColumnFormula>
      <totalsRowFormula>AVERAGE(Table11025[Cov Porch % Base])</totalsRowFormula>
    </tableColumn>
    <tableColumn id="25" name="Deck Value" dataDxfId="7941" totalsRowDxfId="7940"/>
    <tableColumn id="55" name="Deck Sq Ft" dataDxfId="7939" totalsRowDxfId="7938"/>
    <tableColumn id="10" name="DeckVal/SqFt" dataDxfId="7937" totalsRowDxfId="7936">
      <calculatedColumnFormula>AO352/AP352</calculatedColumnFormula>
    </tableColumn>
    <tableColumn id="39" name="Deck % Base" totalsRowFunction="custom" dataDxfId="7935" totalsRowDxfId="7934">
      <calculatedColumnFormula>AQ352/C352</calculatedColumnFormula>
      <totalsRowFormula>AVERAGE(Table11025[Deck % Base])</totalsRowFormula>
    </tableColumn>
    <tableColumn id="26" name="Cov Deck Value" dataDxfId="7933" totalsRowDxfId="7932"/>
    <tableColumn id="56" name="CovDeck Sq Ft" dataDxfId="7931" totalsRowDxfId="7930"/>
    <tableColumn id="11" name="CovDeckVal/SqFt" totalsRowFunction="custom" dataDxfId="7929" totalsRowDxfId="7928">
      <calculatedColumnFormula>AS352/AT352</calculatedColumnFormula>
      <totalsRowFormula>AVERAGE(Table11025[CovDeckVal/SqFt])</totalsRowFormula>
    </tableColumn>
    <tableColumn id="40" name="CovDeck % Base" totalsRowFunction="custom" dataDxfId="7927" totalsRowDxfId="7926">
      <calculatedColumnFormula>AU352/C352</calculatedColumnFormula>
      <totalsRowFormula>AVERAGE(Table11025[CovDeck % Base])</totalsRowFormula>
    </tableColumn>
    <tableColumn id="27" name="CarP Value" dataDxfId="7925" totalsRowDxfId="7924"/>
    <tableColumn id="57" name="CarP Sq Ft" dataDxfId="7923" totalsRowDxfId="7922"/>
    <tableColumn id="12" name="CarPVal/SqFt" dataDxfId="7921" totalsRowDxfId="7920">
      <calculatedColumnFormula>AW352/AX352</calculatedColumnFormula>
    </tableColumn>
    <tableColumn id="41" name="CarP % Base" totalsRowFunction="custom" dataDxfId="7919" totalsRowDxfId="7918">
      <calculatedColumnFormula>AY352/C352</calculatedColumnFormula>
      <totalsRowFormula>AVERAGE(Table11025[CarP % Base])</totalsRowFormula>
    </tableColumn>
    <tableColumn id="28" name="EFP Value" dataDxfId="7917" totalsRowDxfId="7916"/>
    <tableColumn id="58" name="EFP Sq Ft" dataDxfId="7915" totalsRowDxfId="7914"/>
    <tableColumn id="15" name="EFPVal/SqFt" dataDxfId="7913" totalsRowDxfId="7912">
      <calculatedColumnFormula>BA352/BB352</calculatedColumnFormula>
    </tableColumn>
    <tableColumn id="29" name="EFP % Base" totalsRowFunction="custom" dataDxfId="7911" totalsRowDxfId="7910">
      <calculatedColumnFormula>BC352/C352</calculatedColumnFormula>
      <totalsRowFormula>AVERAGE(Table11025[EFP % Base])</totalsRowFormula>
    </tableColumn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id="32" name="Table11027" displayName="Table11027" ref="A363:BD371" totalsRowCount="1" headerRowDxfId="7909">
  <tableColumns count="56">
    <tableColumn id="1" name="  Grade" dataDxfId="7908" totalsRowDxfId="7907"/>
    <tableColumn id="13" name="Main Area $" dataDxfId="7906" totalsRowDxfId="7905"/>
    <tableColumn id="45" name="MA $/Sq Ft" totalsRowFunction="custom" dataDxfId="7904" totalsRowDxfId="7903">
      <calculatedColumnFormula>B364/F361</calculatedColumnFormula>
      <totalsRowFormula>AVERAGE(Table11027[MA $/Sq Ft])</totalsRowFormula>
    </tableColumn>
    <tableColumn id="16" name="Basic Allowance" totalsRowFunction="custom" dataDxfId="7902" totalsRowDxfId="7901">
      <totalsRowFormula>AVERAGE(Table11027[Basic Allowance])</totalsRowFormula>
    </tableColumn>
    <tableColumn id="43" name="BsmtVal" dataDxfId="7900" totalsRowDxfId="7899"/>
    <tableColumn id="46" name="Bsmt SqFt" dataDxfId="7898" totalsRowDxfId="7897"/>
    <tableColumn id="2" name="BsmtVal/Sq Ft" dataDxfId="7896" totalsRowDxfId="7895">
      <calculatedColumnFormula>E364/F364</calculatedColumnFormula>
    </tableColumn>
    <tableColumn id="17" name="Bsmt % Base" totalsRowFunction="custom" dataDxfId="7894" totalsRowDxfId="7893">
      <calculatedColumnFormula>G364/C364</calculatedColumnFormula>
      <totalsRowFormula>AVERAGE(Table11027[Bsmt % Base])</totalsRowFormula>
    </tableColumn>
    <tableColumn id="30" name="UnfBsmtVal" dataDxfId="7892" totalsRowDxfId="7891"/>
    <tableColumn id="47" name="UnfBsmt Sq Ft" dataDxfId="7890" totalsRowDxfId="7889"/>
    <tableColumn id="3" name="UnfBsmtVal/SqFt" dataDxfId="7888" totalsRowDxfId="7887">
      <calculatedColumnFormula>I364/J364</calculatedColumnFormula>
    </tableColumn>
    <tableColumn id="44" name="UnfBsmt % Base" totalsRowFunction="custom" dataDxfId="7886" totalsRowDxfId="7885">
      <calculatedColumnFormula>K364/C364</calculatedColumnFormula>
      <totalsRowFormula>AVERAGE(Table11027[[#Headers],[#Data],[UnfBsmt % Base]])</totalsRowFormula>
    </tableColumn>
    <tableColumn id="31" name="Lower Value" dataDxfId="7884" totalsRowDxfId="7883"/>
    <tableColumn id="48" name="Lower Sq Ft" dataDxfId="7882" totalsRowDxfId="7881"/>
    <tableColumn id="4" name="LowerVal/SqFt" totalsRowFunction="custom" dataDxfId="7880" totalsRowDxfId="7879">
      <calculatedColumnFormula>M364/N364</calculatedColumnFormula>
      <totalsRowFormula>AVERAGE(Table11027[LowerVal/SqFt])</totalsRowFormula>
    </tableColumn>
    <tableColumn id="32" name="Lower % Base" totalsRowFunction="custom" dataDxfId="7878" totalsRowDxfId="7877">
      <calculatedColumnFormula>O364/C364</calculatedColumnFormula>
      <totalsRowFormula>AVERAGE(Table11027[Lower % Base])</totalsRowFormula>
    </tableColumn>
    <tableColumn id="19" name="Unf Lower Value" dataDxfId="7876" totalsRowDxfId="7875"/>
    <tableColumn id="49" name="UnfLower Sq Ft" dataDxfId="7874" totalsRowDxfId="7873"/>
    <tableColumn id="14" name="UnfLowVal/SqFt2" dataDxfId="7872" totalsRowDxfId="7871">
      <calculatedColumnFormula>Q364/R364</calculatedColumnFormula>
    </tableColumn>
    <tableColumn id="33" name="Unf Lower % Base" totalsRowFunction="custom" dataDxfId="7870" totalsRowDxfId="7869">
      <calculatedColumnFormula>S364/C364</calculatedColumnFormula>
      <totalsRowFormula>AVERAGE(Table11027[Unf Lower % Base])</totalsRowFormula>
    </tableColumn>
    <tableColumn id="20" name="1/2 Story Value" dataDxfId="7868" totalsRowDxfId="7867"/>
    <tableColumn id="50" name="1/2 Story Sq Ft" dataDxfId="7866" totalsRowDxfId="7865"/>
    <tableColumn id="5" name="1/2 StoryVal/SqFt" dataDxfId="7864" totalsRowDxfId="7863">
      <calculatedColumnFormula>U364/V364</calculatedColumnFormula>
    </tableColumn>
    <tableColumn id="34" name="1/2 Story % Base" totalsRowFunction="custom" dataDxfId="7862" totalsRowDxfId="7861">
      <calculatedColumnFormula>W364/C364</calculatedColumnFormula>
      <totalsRowFormula>AVERAGE(Table11027[1/2 Story % Base])</totalsRowFormula>
    </tableColumn>
    <tableColumn id="21" name="2nd Story Value" dataDxfId="7860" totalsRowDxfId="7859"/>
    <tableColumn id="51" name="2nd Sty Sq Ft" dataDxfId="7858" totalsRowDxfId="7857"/>
    <tableColumn id="6" name="2ndStyVal/Sqft" dataDxfId="7856" totalsRowDxfId="7855">
      <calculatedColumnFormula>Y364/Z364</calculatedColumnFormula>
    </tableColumn>
    <tableColumn id="35" name="2nd Story % Base" totalsRowFunction="custom" dataDxfId="7854" totalsRowDxfId="7853">
      <calculatedColumnFormula>AA364/C364</calculatedColumnFormula>
      <totalsRowFormula>AVERAGE(Table11027[2nd Story % Base])</totalsRowFormula>
    </tableColumn>
    <tableColumn id="22" name="Att Gar Value" dataDxfId="7852" totalsRowDxfId="7851"/>
    <tableColumn id="52" name="Att Gar Sq Ft" dataDxfId="7850" totalsRowDxfId="7849"/>
    <tableColumn id="7" name="AttGarVal/SqFt" totalsRowFunction="custom" dataDxfId="7848" totalsRowDxfId="7847">
      <calculatedColumnFormula>AC364/AD364</calculatedColumnFormula>
      <totalsRowFormula>AVERAGE(Table11027[AttGarVal/SqFt])</totalsRowFormula>
    </tableColumn>
    <tableColumn id="36" name="Att Gar % Base" totalsRowFunction="custom" dataDxfId="7846" totalsRowDxfId="7845">
      <calculatedColumnFormula>AE364/C364</calculatedColumnFormula>
      <totalsRowFormula>AVERAGE(Table11027[Att Gar % Base])</totalsRowFormula>
    </tableColumn>
    <tableColumn id="23" name="Porch Value" dataDxfId="7844" totalsRowDxfId="7843"/>
    <tableColumn id="53" name="Porch Sq Ft" dataDxfId="7842" totalsRowDxfId="7841"/>
    <tableColumn id="8" name="PorchVal/SqFt" dataDxfId="7840" totalsRowDxfId="7839">
      <calculatedColumnFormula>AG364/AH364</calculatedColumnFormula>
    </tableColumn>
    <tableColumn id="37" name="Porch % Base" totalsRowFunction="custom" dataDxfId="7838" totalsRowDxfId="7837">
      <calculatedColumnFormula>AI364/C364</calculatedColumnFormula>
      <totalsRowFormula>AVERAGE(Table11027[Porch % Base])</totalsRowFormula>
    </tableColumn>
    <tableColumn id="24" name="Cov Porch Value" dataDxfId="7836" totalsRowDxfId="7835"/>
    <tableColumn id="54" name="Cov Porch Sq Ft" dataDxfId="7834" totalsRowDxfId="7833"/>
    <tableColumn id="9" name="CovPrVal/SqFt" dataDxfId="7832" totalsRowDxfId="7831">
      <calculatedColumnFormula>AK364/AL364</calculatedColumnFormula>
    </tableColumn>
    <tableColumn id="38" name="Cov Porch % Base" totalsRowFunction="custom" dataDxfId="7830" totalsRowDxfId="7829">
      <calculatedColumnFormula>AM364/C364</calculatedColumnFormula>
      <totalsRowFormula>AVERAGE(Table11027[Cov Porch % Base])</totalsRowFormula>
    </tableColumn>
    <tableColumn id="25" name="Deck Value" dataDxfId="7828" totalsRowDxfId="7827"/>
    <tableColumn id="55" name="Deck Sq Ft" dataDxfId="7826" totalsRowDxfId="7825"/>
    <tableColumn id="10" name="DeckVal/SqFt" dataDxfId="7824" totalsRowDxfId="7823">
      <calculatedColumnFormula>AO364/AP364</calculatedColumnFormula>
    </tableColumn>
    <tableColumn id="39" name="Deck % Base" totalsRowFunction="custom" dataDxfId="7822" totalsRowDxfId="7821">
      <calculatedColumnFormula>AQ364/C364</calculatedColumnFormula>
      <totalsRowFormula>AVERAGE(Table11027[Deck % Base])</totalsRowFormula>
    </tableColumn>
    <tableColumn id="26" name="Cov Deck Value" dataDxfId="7820" totalsRowDxfId="7819"/>
    <tableColumn id="56" name="CovDeck Sq Ft" dataDxfId="7818" totalsRowDxfId="7817"/>
    <tableColumn id="11" name="CovDeckVal/SqFt" totalsRowFunction="custom" dataDxfId="7816" totalsRowDxfId="7815">
      <calculatedColumnFormula>AS364/AT364</calculatedColumnFormula>
      <totalsRowFormula>AVERAGE(Table11027[CovDeckVal/SqFt])</totalsRowFormula>
    </tableColumn>
    <tableColumn id="40" name="CovDeck % Base" totalsRowFunction="custom" dataDxfId="7814" totalsRowDxfId="7813">
      <calculatedColumnFormula>AU364/C364</calculatedColumnFormula>
      <totalsRowFormula>AVERAGE(Table11027[CovDeck % Base])</totalsRowFormula>
    </tableColumn>
    <tableColumn id="27" name="CarP Value" dataDxfId="7812" totalsRowDxfId="7811"/>
    <tableColumn id="57" name="CarP Sq Ft" dataDxfId="7810" totalsRowDxfId="7809"/>
    <tableColumn id="12" name="CarPVal/SqFt" dataDxfId="7808" totalsRowDxfId="7807">
      <calculatedColumnFormula>AW364/AX364</calculatedColumnFormula>
    </tableColumn>
    <tableColumn id="41" name="CarP % Base" totalsRowFunction="custom" dataDxfId="7806" totalsRowDxfId="7805">
      <calculatedColumnFormula>AY364/C364</calculatedColumnFormula>
      <totalsRowFormula>AVERAGE(Table11027[CarP % Base])</totalsRowFormula>
    </tableColumn>
    <tableColumn id="28" name="EFP Value" dataDxfId="7804" totalsRowDxfId="7803"/>
    <tableColumn id="58" name="EFP Sq Ft" dataDxfId="7802" totalsRowDxfId="7801"/>
    <tableColumn id="15" name="EFPVal/SqFt" dataDxfId="7800" totalsRowDxfId="7799">
      <calculatedColumnFormula>BA364/BB364</calculatedColumnFormula>
    </tableColumn>
    <tableColumn id="29" name="EFP % Base" totalsRowFunction="custom" dataDxfId="7798" totalsRowDxfId="7797">
      <calculatedColumnFormula>BC364/C364</calculatedColumnFormula>
      <totalsRowFormula>AVERAGE(Table11027[EFP % Base])</totalsRowFormula>
    </tableColumn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id="33" name="Table11028" displayName="Table11028" ref="A375:BD383" totalsRowCount="1" headerRowDxfId="7796">
  <tableColumns count="56">
    <tableColumn id="1" name="  Grade" dataDxfId="7795" totalsRowDxfId="7794"/>
    <tableColumn id="13" name="Main Area $" dataDxfId="7793" totalsRowDxfId="7792"/>
    <tableColumn id="45" name="MA $/Sq Ft" totalsRowFunction="custom" dataDxfId="7791" totalsRowDxfId="7790">
      <calculatedColumnFormula>B376/F373</calculatedColumnFormula>
      <totalsRowFormula>AVERAGE(Table11028[MA $/Sq Ft])</totalsRowFormula>
    </tableColumn>
    <tableColumn id="16" name="Basic Allowance" totalsRowFunction="custom" dataDxfId="7789" totalsRowDxfId="7788">
      <totalsRowFormula>AVERAGE(Table11028[Basic Allowance])</totalsRowFormula>
    </tableColumn>
    <tableColumn id="43" name="BsmtVal" dataDxfId="7787" totalsRowDxfId="7786"/>
    <tableColumn id="46" name="Bsmt SqFt" dataDxfId="7785" totalsRowDxfId="7784"/>
    <tableColumn id="2" name="BsmtVal/Sq Ft" dataDxfId="7783" totalsRowDxfId="7782">
      <calculatedColumnFormula>E376/F376</calculatedColumnFormula>
    </tableColumn>
    <tableColumn id="17" name="Bsmt % Base" totalsRowFunction="custom" dataDxfId="7781" totalsRowDxfId="7780">
      <calculatedColumnFormula>G376/C376</calculatedColumnFormula>
      <totalsRowFormula>AVERAGE(Table11028[Bsmt % Base])</totalsRowFormula>
    </tableColumn>
    <tableColumn id="30" name="UnfBsmtVal" dataDxfId="7779" totalsRowDxfId="7778"/>
    <tableColumn id="47" name="UnfBsmt Sq Ft" dataDxfId="7777" totalsRowDxfId="7776"/>
    <tableColumn id="3" name="UnfBsmtVal/SqFt" dataDxfId="7775" totalsRowDxfId="7774">
      <calculatedColumnFormula>I376/J376</calculatedColumnFormula>
    </tableColumn>
    <tableColumn id="44" name="UnfBsmt % Base" totalsRowFunction="custom" dataDxfId="7773" totalsRowDxfId="7772">
      <calculatedColumnFormula>K376/C376</calculatedColumnFormula>
      <totalsRowFormula>AVERAGE(Table11028[[#Headers],[#Data],[UnfBsmt % Base]])</totalsRowFormula>
    </tableColumn>
    <tableColumn id="31" name="Lower Value" dataDxfId="7771" totalsRowDxfId="7770"/>
    <tableColumn id="48" name="Lower Sq Ft" dataDxfId="7769" totalsRowDxfId="7768"/>
    <tableColumn id="4" name="LowerVal/SqFt" totalsRowFunction="custom" dataDxfId="7767" totalsRowDxfId="7766">
      <calculatedColumnFormula>M376/N376</calculatedColumnFormula>
      <totalsRowFormula>AVERAGE(Table11028[LowerVal/SqFt])</totalsRowFormula>
    </tableColumn>
    <tableColumn id="32" name="Lower % Base" totalsRowFunction="custom" dataDxfId="7765" totalsRowDxfId="7764">
      <calculatedColumnFormula>O376/C376</calculatedColumnFormula>
      <totalsRowFormula>AVERAGE(Table11028[Lower % Base])</totalsRowFormula>
    </tableColumn>
    <tableColumn id="19" name="Unf Lower Value" dataDxfId="7763" totalsRowDxfId="7762"/>
    <tableColumn id="49" name="UnfLower Sq Ft" dataDxfId="7761" totalsRowDxfId="7760"/>
    <tableColumn id="14" name="UnfLowVal/SqFt2" dataDxfId="7759" totalsRowDxfId="7758">
      <calculatedColumnFormula>Q376/R376</calculatedColumnFormula>
    </tableColumn>
    <tableColumn id="33" name="Unf Lower % Base" totalsRowFunction="custom" dataDxfId="7757" totalsRowDxfId="7756">
      <calculatedColumnFormula>S376/C376</calculatedColumnFormula>
      <totalsRowFormula>AVERAGE(Table11028[Unf Lower % Base])</totalsRowFormula>
    </tableColumn>
    <tableColumn id="20" name="1/2 Story Value" dataDxfId="7755" totalsRowDxfId="7754"/>
    <tableColumn id="50" name="1/2 Story Sq Ft" dataDxfId="7753" totalsRowDxfId="7752"/>
    <tableColumn id="5" name="1/2 StoryVal/SqFt" dataDxfId="7751" totalsRowDxfId="7750">
      <calculatedColumnFormula>U376/V376</calculatedColumnFormula>
    </tableColumn>
    <tableColumn id="34" name="1/2 Story % Base" totalsRowFunction="custom" dataDxfId="7749" totalsRowDxfId="7748">
      <calculatedColumnFormula>W376/C376</calculatedColumnFormula>
      <totalsRowFormula>AVERAGE(Table11028[1/2 Story % Base])</totalsRowFormula>
    </tableColumn>
    <tableColumn id="21" name="2nd Story Value" dataDxfId="7747" totalsRowDxfId="7746"/>
    <tableColumn id="51" name="2nd Sty Sq Ft" dataDxfId="7745" totalsRowDxfId="7744"/>
    <tableColumn id="6" name="2ndStyVal/Sqft" dataDxfId="7743" totalsRowDxfId="7742">
      <calculatedColumnFormula>Y376/Z376</calculatedColumnFormula>
    </tableColumn>
    <tableColumn id="35" name="2nd Story % Base" totalsRowFunction="custom" dataDxfId="7741" totalsRowDxfId="7740">
      <calculatedColumnFormula>AA376/C376</calculatedColumnFormula>
      <totalsRowFormula>AVERAGE(Table11028[2nd Story % Base])</totalsRowFormula>
    </tableColumn>
    <tableColumn id="22" name="Att Gar Value" dataDxfId="7739" totalsRowDxfId="7738"/>
    <tableColumn id="52" name="Att Gar Sq Ft" dataDxfId="7737" totalsRowDxfId="7736"/>
    <tableColumn id="7" name="AttGarVal/SqFt" totalsRowFunction="custom" dataDxfId="7735" totalsRowDxfId="7734">
      <calculatedColumnFormula>AC376/AD376</calculatedColumnFormula>
      <totalsRowFormula>AVERAGE(Table11028[AttGarVal/SqFt])</totalsRowFormula>
    </tableColumn>
    <tableColumn id="36" name="Att Gar % Base" totalsRowFunction="custom" dataDxfId="7733" totalsRowDxfId="7732">
      <calculatedColumnFormula>AE376/C376</calculatedColumnFormula>
      <totalsRowFormula>AVERAGE(Table11028[Att Gar % Base])</totalsRowFormula>
    </tableColumn>
    <tableColumn id="23" name="Porch Value" dataDxfId="7731" totalsRowDxfId="7730"/>
    <tableColumn id="53" name="Porch Sq Ft" dataDxfId="7729" totalsRowDxfId="7728"/>
    <tableColumn id="8" name="PorchVal/SqFt" dataDxfId="7727" totalsRowDxfId="7726">
      <calculatedColumnFormula>AG376/AH376</calculatedColumnFormula>
    </tableColumn>
    <tableColumn id="37" name="Porch % Base" totalsRowFunction="custom" dataDxfId="7725" totalsRowDxfId="7724">
      <calculatedColumnFormula>AI376/C376</calculatedColumnFormula>
      <totalsRowFormula>AVERAGE(Table11028[Porch % Base])</totalsRowFormula>
    </tableColumn>
    <tableColumn id="24" name="Cov Porch Value" dataDxfId="7723" totalsRowDxfId="7722"/>
    <tableColumn id="54" name="Cov Porch Sq Ft" dataDxfId="7721" totalsRowDxfId="7720"/>
    <tableColumn id="9" name="CovPrVal/SqFt" dataDxfId="7719" totalsRowDxfId="7718">
      <calculatedColumnFormula>AK376/AL376</calculatedColumnFormula>
    </tableColumn>
    <tableColumn id="38" name="Cov Porch % Base" totalsRowFunction="custom" dataDxfId="7717" totalsRowDxfId="7716">
      <calculatedColumnFormula>AM376/C376</calculatedColumnFormula>
      <totalsRowFormula>AVERAGE(Table11028[Cov Porch % Base])</totalsRowFormula>
    </tableColumn>
    <tableColumn id="25" name="Deck Value" dataDxfId="7715" totalsRowDxfId="7714"/>
    <tableColumn id="55" name="Deck Sq Ft" dataDxfId="7713" totalsRowDxfId="7712"/>
    <tableColumn id="10" name="DeckVal/SqFt" dataDxfId="7711" totalsRowDxfId="7710">
      <calculatedColumnFormula>AO376/AP376</calculatedColumnFormula>
    </tableColumn>
    <tableColumn id="39" name="Deck % Base" totalsRowFunction="custom" dataDxfId="7709" totalsRowDxfId="7708">
      <calculatedColumnFormula>AQ376/C376</calculatedColumnFormula>
      <totalsRowFormula>AVERAGE(Table11028[Deck % Base])</totalsRowFormula>
    </tableColumn>
    <tableColumn id="26" name="Cov Deck Value" dataDxfId="7707" totalsRowDxfId="7706"/>
    <tableColumn id="56" name="CovDeck Sq Ft" dataDxfId="7705" totalsRowDxfId="7704"/>
    <tableColumn id="11" name="CovDeckVal/SqFt" totalsRowFunction="custom" dataDxfId="7703" totalsRowDxfId="7702">
      <calculatedColumnFormula>AS376/AT376</calculatedColumnFormula>
      <totalsRowFormula>AVERAGE(Table11028[CovDeckVal/SqFt])</totalsRowFormula>
    </tableColumn>
    <tableColumn id="40" name="CovDeck % Base" totalsRowFunction="custom" dataDxfId="7701" totalsRowDxfId="7700">
      <calculatedColumnFormula>AU376/C376</calculatedColumnFormula>
      <totalsRowFormula>AVERAGE(Table11028[CovDeck % Base])</totalsRowFormula>
    </tableColumn>
    <tableColumn id="27" name="CarP Value" dataDxfId="7699" totalsRowDxfId="7698"/>
    <tableColumn id="57" name="CarP Sq Ft" dataDxfId="7697" totalsRowDxfId="7696"/>
    <tableColumn id="12" name="CarPVal/SqFt" dataDxfId="7695" totalsRowDxfId="7694">
      <calculatedColumnFormula>AW376/AX376</calculatedColumnFormula>
    </tableColumn>
    <tableColumn id="41" name="CarP % Base" totalsRowFunction="custom" dataDxfId="7693" totalsRowDxfId="7692">
      <calculatedColumnFormula>AY376/C376</calculatedColumnFormula>
      <totalsRowFormula>AVERAGE(Table11028[CarP % Base])</totalsRowFormula>
    </tableColumn>
    <tableColumn id="28" name="EFP Value" dataDxfId="7691" totalsRowDxfId="7690"/>
    <tableColumn id="58" name="EFP Sq Ft" dataDxfId="7689" totalsRowDxfId="7688"/>
    <tableColumn id="15" name="EFPVal/SqFt" dataDxfId="7687" totalsRowDxfId="7686">
      <calculatedColumnFormula>BA376/BB376</calculatedColumnFormula>
    </tableColumn>
    <tableColumn id="29" name="EFP % Base" totalsRowFunction="custom" dataDxfId="7685" totalsRowDxfId="7684">
      <calculatedColumnFormula>BC376/C376</calculatedColumnFormula>
      <totalsRowFormula>AVERAGE(Table11028[EFP % Base])</totalsRowFormula>
    </tableColumn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id="34" name="Table11029" displayName="Table11029" ref="A387:BD395" totalsRowCount="1" headerRowDxfId="7683">
  <tableColumns count="56">
    <tableColumn id="1" name="  Grade" dataDxfId="7682" totalsRowDxfId="7681"/>
    <tableColumn id="13" name="Main Area $" dataDxfId="7680" totalsRowDxfId="7679"/>
    <tableColumn id="45" name="MA $/Sq Ft" totalsRowFunction="custom" dataDxfId="7678" totalsRowDxfId="7677">
      <calculatedColumnFormula>B388/F385</calculatedColumnFormula>
      <totalsRowFormula>AVERAGE(Table11029[MA $/Sq Ft])</totalsRowFormula>
    </tableColumn>
    <tableColumn id="16" name="Basic Allowance" totalsRowFunction="custom" dataDxfId="7676" totalsRowDxfId="7675">
      <totalsRowFormula>AVERAGE(Table11029[Basic Allowance])</totalsRowFormula>
    </tableColumn>
    <tableColumn id="43" name="BsmtVal" dataDxfId="7674" totalsRowDxfId="7673"/>
    <tableColumn id="46" name="Bsmt SqFt" dataDxfId="7672" totalsRowDxfId="7671"/>
    <tableColumn id="2" name="BsmtVal/Sq Ft" dataDxfId="7670" totalsRowDxfId="7669">
      <calculatedColumnFormula>E388/F388</calculatedColumnFormula>
    </tableColumn>
    <tableColumn id="17" name="Bsmt % Base" totalsRowFunction="custom" dataDxfId="7668" totalsRowDxfId="7667">
      <calculatedColumnFormula>G388/C388</calculatedColumnFormula>
      <totalsRowFormula>AVERAGE(Table11029[Bsmt % Base])</totalsRowFormula>
    </tableColumn>
    <tableColumn id="30" name="UnfBsmtVal" dataDxfId="7666" totalsRowDxfId="7665"/>
    <tableColumn id="47" name="UnfBsmt Sq Ft" dataDxfId="7664" totalsRowDxfId="7663"/>
    <tableColumn id="3" name="UnfBsmtVal/SqFt" dataDxfId="7662" totalsRowDxfId="7661">
      <calculatedColumnFormula>I388/J388</calculatedColumnFormula>
    </tableColumn>
    <tableColumn id="44" name="UnfBsmt % Base" totalsRowFunction="custom" dataDxfId="7660" totalsRowDxfId="7659">
      <calculatedColumnFormula>K388/C388</calculatedColumnFormula>
      <totalsRowFormula>AVERAGE(Table11029[[#Headers],[#Data],[UnfBsmt % Base]])</totalsRowFormula>
    </tableColumn>
    <tableColumn id="31" name="Lower Value" dataDxfId="7658" totalsRowDxfId="7657"/>
    <tableColumn id="48" name="Lower Sq Ft" dataDxfId="7656" totalsRowDxfId="7655"/>
    <tableColumn id="4" name="LowerVal/SqFt" totalsRowFunction="custom" dataDxfId="7654" totalsRowDxfId="7653">
      <calculatedColumnFormula>M388/N388</calculatedColumnFormula>
      <totalsRowFormula>AVERAGE(Table11029[LowerVal/SqFt])</totalsRowFormula>
    </tableColumn>
    <tableColumn id="32" name="Lower % Base" totalsRowFunction="custom" dataDxfId="7652" totalsRowDxfId="7651">
      <calculatedColumnFormula>O388/C388</calculatedColumnFormula>
      <totalsRowFormula>AVERAGE(Table11029[Lower % Base])</totalsRowFormula>
    </tableColumn>
    <tableColumn id="19" name="Unf Lower Value" dataDxfId="7650" totalsRowDxfId="7649"/>
    <tableColumn id="49" name="UnfLower Sq Ft" dataDxfId="7648" totalsRowDxfId="7647"/>
    <tableColumn id="14" name="UnfLowVal/SqFt2" dataDxfId="7646" totalsRowDxfId="7645">
      <calculatedColumnFormula>Q388/R388</calculatedColumnFormula>
    </tableColumn>
    <tableColumn id="33" name="Unf Lower % Base" totalsRowFunction="custom" dataDxfId="7644" totalsRowDxfId="7643">
      <calculatedColumnFormula>S388/C388</calculatedColumnFormula>
      <totalsRowFormula>AVERAGE(Table11029[Unf Lower % Base])</totalsRowFormula>
    </tableColumn>
    <tableColumn id="20" name="1/2 Story Value" dataDxfId="7642" totalsRowDxfId="7641"/>
    <tableColumn id="50" name="1/2 Story Sq Ft" dataDxfId="7640" totalsRowDxfId="7639"/>
    <tableColumn id="5" name="1/2 StoryVal/SqFt" dataDxfId="7638" totalsRowDxfId="7637">
      <calculatedColumnFormula>U388/V388</calculatedColumnFormula>
    </tableColumn>
    <tableColumn id="34" name="1/2 Story % Base" totalsRowFunction="custom" dataDxfId="7636" totalsRowDxfId="7635">
      <calculatedColumnFormula>W388/C388</calculatedColumnFormula>
      <totalsRowFormula>AVERAGE(Table11029[1/2 Story % Base])</totalsRowFormula>
    </tableColumn>
    <tableColumn id="21" name="2nd Story Value" dataDxfId="7634" totalsRowDxfId="7633"/>
    <tableColumn id="51" name="2nd Sty Sq Ft" dataDxfId="7632" totalsRowDxfId="7631"/>
    <tableColumn id="6" name="2ndStyVal/Sqft" dataDxfId="7630" totalsRowDxfId="7629">
      <calculatedColumnFormula>Y388/Z388</calculatedColumnFormula>
    </tableColumn>
    <tableColumn id="35" name="2nd Story % Base" totalsRowFunction="custom" dataDxfId="7628" totalsRowDxfId="7627">
      <calculatedColumnFormula>AA388/C388</calculatedColumnFormula>
      <totalsRowFormula>AVERAGE(Table11029[2nd Story % Base])</totalsRowFormula>
    </tableColumn>
    <tableColumn id="22" name="Att Gar Value" dataDxfId="7626" totalsRowDxfId="7625"/>
    <tableColumn id="52" name="Att Gar Sq Ft" dataDxfId="7624" totalsRowDxfId="7623"/>
    <tableColumn id="7" name="AttGarVal/SqFt" totalsRowFunction="custom" dataDxfId="7622" totalsRowDxfId="7621">
      <calculatedColumnFormula>AC388/AD388</calculatedColumnFormula>
      <totalsRowFormula>AVERAGE(Table11029[AttGarVal/SqFt])</totalsRowFormula>
    </tableColumn>
    <tableColumn id="36" name="Att Gar % Base" totalsRowFunction="custom" dataDxfId="7620" totalsRowDxfId="7619">
      <calculatedColumnFormula>AE388/C388</calculatedColumnFormula>
      <totalsRowFormula>AVERAGE(Table11029[Att Gar % Base])</totalsRowFormula>
    </tableColumn>
    <tableColumn id="23" name="Porch Value" dataDxfId="7618" totalsRowDxfId="7617"/>
    <tableColumn id="53" name="Porch Sq Ft" dataDxfId="7616" totalsRowDxfId="7615"/>
    <tableColumn id="8" name="PorchVal/SqFt" dataDxfId="7614" totalsRowDxfId="7613">
      <calculatedColumnFormula>AG388/AH388</calculatedColumnFormula>
    </tableColumn>
    <tableColumn id="37" name="Porch % Base" totalsRowFunction="custom" dataDxfId="7612" totalsRowDxfId="7611">
      <calculatedColumnFormula>AI388/C388</calculatedColumnFormula>
      <totalsRowFormula>AVERAGE(Table11029[Porch % Base])</totalsRowFormula>
    </tableColumn>
    <tableColumn id="24" name="Cov Porch Value" dataDxfId="7610" totalsRowDxfId="7609"/>
    <tableColumn id="54" name="Cov Porch Sq Ft" dataDxfId="7608" totalsRowDxfId="7607"/>
    <tableColumn id="9" name="CovPrVal/SqFt" dataDxfId="7606" totalsRowDxfId="7605">
      <calculatedColumnFormula>AK388/AL388</calculatedColumnFormula>
    </tableColumn>
    <tableColumn id="38" name="Cov Porch % Base" totalsRowFunction="custom" dataDxfId="7604" totalsRowDxfId="7603">
      <calculatedColumnFormula>AM388/C388</calculatedColumnFormula>
      <totalsRowFormula>AVERAGE(Table11029[Cov Porch % Base])</totalsRowFormula>
    </tableColumn>
    <tableColumn id="25" name="Deck Value" dataDxfId="7602" totalsRowDxfId="7601"/>
    <tableColumn id="55" name="Deck Sq Ft" dataDxfId="7600" totalsRowDxfId="7599"/>
    <tableColumn id="10" name="DeckVal/SqFt" dataDxfId="7598" totalsRowDxfId="7597">
      <calculatedColumnFormula>AO388/AP388</calculatedColumnFormula>
    </tableColumn>
    <tableColumn id="39" name="Deck % Base" totalsRowFunction="custom" dataDxfId="7596" totalsRowDxfId="7595">
      <calculatedColumnFormula>AQ388/C388</calculatedColumnFormula>
      <totalsRowFormula>AVERAGE(Table11029[Deck % Base])</totalsRowFormula>
    </tableColumn>
    <tableColumn id="26" name="Cov Deck Value" dataDxfId="7594" totalsRowDxfId="7593"/>
    <tableColumn id="56" name="CovDeck Sq Ft" dataDxfId="7592" totalsRowDxfId="7591"/>
    <tableColumn id="11" name="CovDeckVal/SqFt" totalsRowFunction="custom" dataDxfId="7590" totalsRowDxfId="7589">
      <calculatedColumnFormula>AS388/AT388</calculatedColumnFormula>
      <totalsRowFormula>AVERAGE(Table11029[CovDeckVal/SqFt])</totalsRowFormula>
    </tableColumn>
    <tableColumn id="40" name="CovDeck % Base" totalsRowFunction="custom" dataDxfId="7588" totalsRowDxfId="7587">
      <calculatedColumnFormula>AU388/C388</calculatedColumnFormula>
      <totalsRowFormula>AVERAGE(Table11029[CovDeck % Base])</totalsRowFormula>
    </tableColumn>
    <tableColumn id="27" name="CarP Value" dataDxfId="7586" totalsRowDxfId="7585"/>
    <tableColumn id="57" name="CarP Sq Ft" dataDxfId="7584" totalsRowDxfId="7583"/>
    <tableColumn id="12" name="CarPVal/SqFt" dataDxfId="7582" totalsRowDxfId="7581">
      <calculatedColumnFormula>AW388/AX388</calculatedColumnFormula>
    </tableColumn>
    <tableColumn id="41" name="CarP % Base" totalsRowFunction="custom" dataDxfId="7580" totalsRowDxfId="7579">
      <calculatedColumnFormula>AY388/C388</calculatedColumnFormula>
      <totalsRowFormula>AVERAGE(Table11029[CarP % Base])</totalsRowFormula>
    </tableColumn>
    <tableColumn id="28" name="EFP Value" dataDxfId="7578" totalsRowDxfId="7577"/>
    <tableColumn id="58" name="EFP Sq Ft" dataDxfId="7576" totalsRowDxfId="7575"/>
    <tableColumn id="15" name="EFPVal/SqFt" dataDxfId="7574" totalsRowDxfId="7573">
      <calculatedColumnFormula>BA388/BB388</calculatedColumnFormula>
    </tableColumn>
    <tableColumn id="29" name="EFP % Base" totalsRowFunction="custom" dataDxfId="7572" totalsRowDxfId="7571">
      <calculatedColumnFormula>BC388/C388</calculatedColumnFormula>
      <totalsRowFormula>AVERAGE(Table11029[EFP % Base])</totalsRowFormula>
    </tableColumn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id="35" name="Table11030" displayName="Table11030" ref="A399:BD407" totalsRowCount="1" headerRowDxfId="7570">
  <tableColumns count="56">
    <tableColumn id="1" name="  Grade" dataDxfId="7569" totalsRowDxfId="7568"/>
    <tableColumn id="13" name="Main Area $" dataDxfId="7567" totalsRowDxfId="7566"/>
    <tableColumn id="45" name="MA $/Sq Ft" totalsRowFunction="custom" dataDxfId="7565" totalsRowDxfId="7564">
      <calculatedColumnFormula>B400/F397</calculatedColumnFormula>
      <totalsRowFormula>AVERAGE(Table11030[MA $/Sq Ft])</totalsRowFormula>
    </tableColumn>
    <tableColumn id="16" name="Basic Allowance" totalsRowFunction="custom" dataDxfId="7563" totalsRowDxfId="7562">
      <totalsRowFormula>AVERAGE(Table11030[Basic Allowance])</totalsRowFormula>
    </tableColumn>
    <tableColumn id="43" name="BsmtVal" dataDxfId="7561" totalsRowDxfId="7560"/>
    <tableColumn id="46" name="Bsmt SqFt" dataDxfId="7559" totalsRowDxfId="7558"/>
    <tableColumn id="2" name="BsmtVal/Sq Ft" dataDxfId="7557" totalsRowDxfId="7556">
      <calculatedColumnFormula>E400/F400</calculatedColumnFormula>
    </tableColumn>
    <tableColumn id="17" name="Bsmt % Base" totalsRowFunction="custom" dataDxfId="7555" totalsRowDxfId="7554">
      <calculatedColumnFormula>G400/C400</calculatedColumnFormula>
      <totalsRowFormula>AVERAGE(Table11030[Bsmt % Base])</totalsRowFormula>
    </tableColumn>
    <tableColumn id="30" name="UnfBsmtVal" dataDxfId="7553" totalsRowDxfId="7552"/>
    <tableColumn id="47" name="UnfBsmt Sq Ft" dataDxfId="7551" totalsRowDxfId="7550"/>
    <tableColumn id="3" name="UnfBsmtVal/SqFt" dataDxfId="7549" totalsRowDxfId="7548">
      <calculatedColumnFormula>I400/J400</calculatedColumnFormula>
    </tableColumn>
    <tableColumn id="44" name="UnfBsmt % Base" totalsRowFunction="custom" dataDxfId="7547" totalsRowDxfId="7546">
      <calculatedColumnFormula>K400/C400</calculatedColumnFormula>
      <totalsRowFormula>AVERAGE(Table11030[[#Headers],[#Data],[UnfBsmt % Base]])</totalsRowFormula>
    </tableColumn>
    <tableColumn id="31" name="Lower Value" dataDxfId="7545" totalsRowDxfId="7544"/>
    <tableColumn id="48" name="Lower Sq Ft" dataDxfId="7543" totalsRowDxfId="7542"/>
    <tableColumn id="4" name="LowerVal/SqFt" totalsRowFunction="custom" dataDxfId="7541" totalsRowDxfId="7540">
      <calculatedColumnFormula>M400/N400</calculatedColumnFormula>
      <totalsRowFormula>AVERAGE(Table11030[LowerVal/SqFt])</totalsRowFormula>
    </tableColumn>
    <tableColumn id="32" name="Lower % Base" totalsRowFunction="custom" dataDxfId="7539" totalsRowDxfId="7538">
      <calculatedColumnFormula>O400/C400</calculatedColumnFormula>
      <totalsRowFormula>AVERAGE(Table11030[Lower % Base])</totalsRowFormula>
    </tableColumn>
    <tableColumn id="19" name="Unf Lower Value" dataDxfId="7537" totalsRowDxfId="7536"/>
    <tableColumn id="49" name="UnfLower Sq Ft" dataDxfId="7535" totalsRowDxfId="7534"/>
    <tableColumn id="14" name="UnfLowVal/SqFt2" dataDxfId="7533" totalsRowDxfId="7532">
      <calculatedColumnFormula>Q400/R400</calculatedColumnFormula>
    </tableColumn>
    <tableColumn id="33" name="Unf Lower % Base" totalsRowFunction="custom" dataDxfId="7531" totalsRowDxfId="7530">
      <calculatedColumnFormula>S400/C400</calculatedColumnFormula>
      <totalsRowFormula>AVERAGE(Table11030[Unf Lower % Base])</totalsRowFormula>
    </tableColumn>
    <tableColumn id="20" name="1/2 Story Value" dataDxfId="7529" totalsRowDxfId="7528"/>
    <tableColumn id="50" name="1/2 Story Sq Ft" dataDxfId="7527" totalsRowDxfId="7526"/>
    <tableColumn id="5" name="1/2 StoryVal/SqFt" dataDxfId="7525" totalsRowDxfId="7524">
      <calculatedColumnFormula>U400/V400</calculatedColumnFormula>
    </tableColumn>
    <tableColumn id="34" name="1/2 Story % Base" totalsRowFunction="custom" dataDxfId="7523" totalsRowDxfId="7522">
      <calculatedColumnFormula>W400/C400</calculatedColumnFormula>
      <totalsRowFormula>AVERAGE(Table11030[1/2 Story % Base])</totalsRowFormula>
    </tableColumn>
    <tableColumn id="21" name="2nd Story Value" dataDxfId="7521" totalsRowDxfId="7520"/>
    <tableColumn id="51" name="2nd Sty Sq Ft" dataDxfId="7519" totalsRowDxfId="7518"/>
    <tableColumn id="6" name="2ndStyVal/Sqft" dataDxfId="7517" totalsRowDxfId="7516">
      <calculatedColumnFormula>Y400/Z400</calculatedColumnFormula>
    </tableColumn>
    <tableColumn id="35" name="2nd Story % Base" totalsRowFunction="custom" dataDxfId="7515" totalsRowDxfId="7514">
      <calculatedColumnFormula>AA400/C400</calculatedColumnFormula>
      <totalsRowFormula>AVERAGE(Table11030[2nd Story % Base])</totalsRowFormula>
    </tableColumn>
    <tableColumn id="22" name="Att Gar Value" dataDxfId="7513" totalsRowDxfId="7512"/>
    <tableColumn id="52" name="Att Gar Sq Ft" dataDxfId="7511" totalsRowDxfId="7510"/>
    <tableColumn id="7" name="AttGarVal/SqFt" totalsRowFunction="custom" dataDxfId="7509" totalsRowDxfId="7508">
      <calculatedColumnFormula>AC400/AD400</calculatedColumnFormula>
      <totalsRowFormula>AVERAGE(Table11030[AttGarVal/SqFt])</totalsRowFormula>
    </tableColumn>
    <tableColumn id="36" name="Att Gar % Base" totalsRowFunction="custom" dataDxfId="7507" totalsRowDxfId="7506">
      <calculatedColumnFormula>AE400/C400</calculatedColumnFormula>
      <totalsRowFormula>AVERAGE(Table11030[Att Gar % Base])</totalsRowFormula>
    </tableColumn>
    <tableColumn id="23" name="Porch Value" dataDxfId="7505" totalsRowDxfId="7504"/>
    <tableColumn id="53" name="Porch Sq Ft" dataDxfId="7503" totalsRowDxfId="7502"/>
    <tableColumn id="8" name="PorchVal/SqFt" dataDxfId="7501" totalsRowDxfId="7500">
      <calculatedColumnFormula>AG400/AH400</calculatedColumnFormula>
    </tableColumn>
    <tableColumn id="37" name="Porch % Base" totalsRowFunction="custom" dataDxfId="7499" totalsRowDxfId="7498">
      <calculatedColumnFormula>AI400/C400</calculatedColumnFormula>
      <totalsRowFormula>AVERAGE(Table11030[Porch % Base])</totalsRowFormula>
    </tableColumn>
    <tableColumn id="24" name="Cov Porch Value" dataDxfId="7497" totalsRowDxfId="7496"/>
    <tableColumn id="54" name="Cov Porch Sq Ft" dataDxfId="7495" totalsRowDxfId="7494"/>
    <tableColumn id="9" name="CovPrVal/SqFt" dataDxfId="7493" totalsRowDxfId="7492">
      <calculatedColumnFormula>AK400/AL400</calculatedColumnFormula>
    </tableColumn>
    <tableColumn id="38" name="Cov Porch % Base" totalsRowFunction="custom" dataDxfId="7491" totalsRowDxfId="7490">
      <calculatedColumnFormula>AM400/C400</calculatedColumnFormula>
      <totalsRowFormula>AVERAGE(Table11030[Cov Porch % Base])</totalsRowFormula>
    </tableColumn>
    <tableColumn id="25" name="Deck Value" dataDxfId="7489" totalsRowDxfId="7488"/>
    <tableColumn id="55" name="Deck Sq Ft" dataDxfId="7487" totalsRowDxfId="7486"/>
    <tableColumn id="10" name="DeckVal/SqFt" dataDxfId="7485" totalsRowDxfId="7484">
      <calculatedColumnFormula>AO400/AP400</calculatedColumnFormula>
    </tableColumn>
    <tableColumn id="39" name="Deck % Base" totalsRowFunction="custom" dataDxfId="7483" totalsRowDxfId="7482">
      <calculatedColumnFormula>AQ400/C400</calculatedColumnFormula>
      <totalsRowFormula>AVERAGE(Table11030[Deck % Base])</totalsRowFormula>
    </tableColumn>
    <tableColumn id="26" name="Cov Deck Value" dataDxfId="7481" totalsRowDxfId="7480"/>
    <tableColumn id="56" name="CovDeck Sq Ft" dataDxfId="7479" totalsRowDxfId="7478"/>
    <tableColumn id="11" name="CovDeckVal/SqFt" totalsRowFunction="custom" dataDxfId="7477" totalsRowDxfId="7476">
      <calculatedColumnFormula>AS400/AT400</calculatedColumnFormula>
      <totalsRowFormula>AVERAGE(Table11030[CovDeckVal/SqFt])</totalsRowFormula>
    </tableColumn>
    <tableColumn id="40" name="CovDeck % Base" totalsRowFunction="custom" dataDxfId="7475" totalsRowDxfId="7474">
      <calculatedColumnFormula>AU400/C400</calculatedColumnFormula>
      <totalsRowFormula>AVERAGE(Table11030[CovDeck % Base])</totalsRowFormula>
    </tableColumn>
    <tableColumn id="27" name="CarP Value" dataDxfId="7473" totalsRowDxfId="7472"/>
    <tableColumn id="57" name="CarP Sq Ft" dataDxfId="7471" totalsRowDxfId="7470"/>
    <tableColumn id="12" name="CarPVal/SqFt" dataDxfId="7469" totalsRowDxfId="7468">
      <calculatedColumnFormula>AW400/AX400</calculatedColumnFormula>
    </tableColumn>
    <tableColumn id="41" name="CarP % Base" totalsRowFunction="custom" dataDxfId="7467" totalsRowDxfId="7466">
      <calculatedColumnFormula>AY400/C400</calculatedColumnFormula>
      <totalsRowFormula>AVERAGE(Table11030[CarP % Base])</totalsRowFormula>
    </tableColumn>
    <tableColumn id="28" name="EFP Value" dataDxfId="7465" totalsRowDxfId="7464"/>
    <tableColumn id="58" name="EFP Sq Ft" dataDxfId="7463" totalsRowDxfId="7462"/>
    <tableColumn id="15" name="EFPVal/SqFt" dataDxfId="7461" totalsRowDxfId="7460">
      <calculatedColumnFormula>BA400/BB400</calculatedColumnFormula>
    </tableColumn>
    <tableColumn id="29" name="EFP % Base" totalsRowFunction="custom" dataDxfId="7459" totalsRowDxfId="7458">
      <calculatedColumnFormula>BC400/C400</calculatedColumnFormula>
      <totalsRowFormula>AVERAGE(Table11030[EFP % Base])</totalsRowFormula>
    </tableColumn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id="36" name="Table11031" displayName="Table11031" ref="A411:BD419" totalsRowCount="1" headerRowDxfId="7457">
  <tableColumns count="56">
    <tableColumn id="1" name="  Grade" dataDxfId="7456" totalsRowDxfId="7455"/>
    <tableColumn id="13" name="Main Area $" dataDxfId="7454" totalsRowDxfId="7453"/>
    <tableColumn id="45" name="MA $/Sq Ft" totalsRowFunction="custom" dataDxfId="7452" totalsRowDxfId="7451">
      <calculatedColumnFormula>B412/F409</calculatedColumnFormula>
      <totalsRowFormula>AVERAGE(Table11031[MA $/Sq Ft])</totalsRowFormula>
    </tableColumn>
    <tableColumn id="16" name="Basic Allowance" totalsRowFunction="custom" dataDxfId="7450" totalsRowDxfId="7449">
      <totalsRowFormula>AVERAGE(Table11031[Basic Allowance])</totalsRowFormula>
    </tableColumn>
    <tableColumn id="43" name="BsmtVal" dataDxfId="7448" totalsRowDxfId="7447"/>
    <tableColumn id="46" name="Bsmt SqFt" dataDxfId="7446" totalsRowDxfId="7445"/>
    <tableColumn id="2" name="BsmtVal/Sq Ft" dataDxfId="7444" totalsRowDxfId="7443">
      <calculatedColumnFormula>E412/F412</calculatedColumnFormula>
    </tableColumn>
    <tableColumn id="17" name="Bsmt % Base" totalsRowFunction="custom" dataDxfId="7442" totalsRowDxfId="7441">
      <calculatedColumnFormula>G412/C412</calculatedColumnFormula>
      <totalsRowFormula>AVERAGE(Table11031[Bsmt % Base])</totalsRowFormula>
    </tableColumn>
    <tableColumn id="30" name="UnfBsmtVal" dataDxfId="7440" totalsRowDxfId="7439"/>
    <tableColumn id="47" name="UnfBsmt Sq Ft" dataDxfId="7438" totalsRowDxfId="7437"/>
    <tableColumn id="3" name="UnfBsmtVal/SqFt" dataDxfId="7436" totalsRowDxfId="7435">
      <calculatedColumnFormula>I412/J412</calculatedColumnFormula>
    </tableColumn>
    <tableColumn id="44" name="UnfBsmt % Base" totalsRowFunction="custom" dataDxfId="7434" totalsRowDxfId="7433">
      <calculatedColumnFormula>K412/C412</calculatedColumnFormula>
      <totalsRowFormula>AVERAGE(Table11031[[#Headers],[#Data],[UnfBsmt % Base]])</totalsRowFormula>
    </tableColumn>
    <tableColumn id="31" name="Lower Value" dataDxfId="7432" totalsRowDxfId="7431"/>
    <tableColumn id="48" name="Lower Sq Ft" dataDxfId="7430" totalsRowDxfId="7429"/>
    <tableColumn id="4" name="LowerVal/SqFt" totalsRowFunction="custom" dataDxfId="7428" totalsRowDxfId="7427">
      <calculatedColumnFormula>M412/N412</calculatedColumnFormula>
      <totalsRowFormula>AVERAGE(Table11031[LowerVal/SqFt])</totalsRowFormula>
    </tableColumn>
    <tableColumn id="32" name="Lower % Base" totalsRowFunction="custom" dataDxfId="7426" totalsRowDxfId="7425">
      <calculatedColumnFormula>O412/C412</calculatedColumnFormula>
      <totalsRowFormula>AVERAGE(Table11031[Lower % Base])</totalsRowFormula>
    </tableColumn>
    <tableColumn id="19" name="Unf Lower Value" dataDxfId="7424" totalsRowDxfId="7423"/>
    <tableColumn id="49" name="UnfLower Sq Ft" dataDxfId="7422" totalsRowDxfId="7421"/>
    <tableColumn id="14" name="UnfLowVal/SqFt2" dataDxfId="7420" totalsRowDxfId="7419">
      <calculatedColumnFormula>Q412/R412</calculatedColumnFormula>
    </tableColumn>
    <tableColumn id="33" name="Unf Lower % Base" totalsRowFunction="custom" dataDxfId="7418" totalsRowDxfId="7417">
      <calculatedColumnFormula>S412/C412</calculatedColumnFormula>
      <totalsRowFormula>AVERAGE(Table11031[Unf Lower % Base])</totalsRowFormula>
    </tableColumn>
    <tableColumn id="20" name="1/2 Story Value" dataDxfId="7416" totalsRowDxfId="7415"/>
    <tableColumn id="50" name="1/2 Story Sq Ft" dataDxfId="7414" totalsRowDxfId="7413"/>
    <tableColumn id="5" name="1/2 StoryVal/SqFt" dataDxfId="7412" totalsRowDxfId="7411">
      <calculatedColumnFormula>U412/V412</calculatedColumnFormula>
    </tableColumn>
    <tableColumn id="34" name="1/2 Story % Base" totalsRowFunction="custom" dataDxfId="7410" totalsRowDxfId="7409">
      <calculatedColumnFormula>W412/C412</calculatedColumnFormula>
      <totalsRowFormula>AVERAGE(Table11031[1/2 Story % Base])</totalsRowFormula>
    </tableColumn>
    <tableColumn id="21" name="2nd Story Value" dataDxfId="7408" totalsRowDxfId="7407"/>
    <tableColumn id="51" name="2nd Sty Sq Ft" dataDxfId="7406" totalsRowDxfId="7405"/>
    <tableColumn id="6" name="2ndStyVal/Sqft" dataDxfId="7404" totalsRowDxfId="7403">
      <calculatedColumnFormula>Y412/Z412</calculatedColumnFormula>
    </tableColumn>
    <tableColumn id="35" name="2nd Story % Base" totalsRowFunction="custom" dataDxfId="7402" totalsRowDxfId="7401">
      <calculatedColumnFormula>AA412/C412</calculatedColumnFormula>
      <totalsRowFormula>AVERAGE(Table11031[2nd Story % Base])</totalsRowFormula>
    </tableColumn>
    <tableColumn id="22" name="Att Gar Value" dataDxfId="7400" totalsRowDxfId="7399"/>
    <tableColumn id="52" name="Att Gar Sq Ft" dataDxfId="7398" totalsRowDxfId="7397"/>
    <tableColumn id="7" name="AttGarVal/SqFt" totalsRowFunction="custom" dataDxfId="7396" totalsRowDxfId="7395">
      <calculatedColumnFormula>AC412/AD412</calculatedColumnFormula>
      <totalsRowFormula>AVERAGE(Table11031[AttGarVal/SqFt])</totalsRowFormula>
    </tableColumn>
    <tableColumn id="36" name="Att Gar % Base" totalsRowFunction="custom" dataDxfId="7394" totalsRowDxfId="7393">
      <calculatedColumnFormula>AE412/C412</calculatedColumnFormula>
      <totalsRowFormula>AVERAGE(Table11031[Att Gar % Base])</totalsRowFormula>
    </tableColumn>
    <tableColumn id="23" name="Porch Value" dataDxfId="7392" totalsRowDxfId="7391"/>
    <tableColumn id="53" name="Porch Sq Ft" dataDxfId="7390" totalsRowDxfId="7389"/>
    <tableColumn id="8" name="PorchVal/SqFt" dataDxfId="7388" totalsRowDxfId="7387">
      <calculatedColumnFormula>AG412/AH412</calculatedColumnFormula>
    </tableColumn>
    <tableColumn id="37" name="Porch % Base" totalsRowFunction="custom" dataDxfId="7386" totalsRowDxfId="7385">
      <calculatedColumnFormula>AI412/C412</calculatedColumnFormula>
      <totalsRowFormula>AVERAGE(Table11031[Porch % Base])</totalsRowFormula>
    </tableColumn>
    <tableColumn id="24" name="Cov Porch Value" dataDxfId="7384" totalsRowDxfId="7383"/>
    <tableColumn id="54" name="Cov Porch Sq Ft" dataDxfId="7382" totalsRowDxfId="7381"/>
    <tableColumn id="9" name="CovPrVal/SqFt" dataDxfId="7380" totalsRowDxfId="7379">
      <calculatedColumnFormula>AK412/AL412</calculatedColumnFormula>
    </tableColumn>
    <tableColumn id="38" name="Cov Porch % Base" totalsRowFunction="custom" dataDxfId="7378" totalsRowDxfId="7377">
      <calculatedColumnFormula>AM412/C412</calculatedColumnFormula>
      <totalsRowFormula>AVERAGE(Table11031[Cov Porch % Base])</totalsRowFormula>
    </tableColumn>
    <tableColumn id="25" name="Deck Value" dataDxfId="7376" totalsRowDxfId="7375"/>
    <tableColumn id="55" name="Deck Sq Ft" dataDxfId="7374" totalsRowDxfId="7373"/>
    <tableColumn id="10" name="DeckVal/SqFt" dataDxfId="7372" totalsRowDxfId="7371">
      <calculatedColumnFormula>AO412/AP412</calculatedColumnFormula>
    </tableColumn>
    <tableColumn id="39" name="Deck % Base" totalsRowFunction="custom" dataDxfId="7370" totalsRowDxfId="7369">
      <calculatedColumnFormula>AQ412/C412</calculatedColumnFormula>
      <totalsRowFormula>AVERAGE(Table11031[Deck % Base])</totalsRowFormula>
    </tableColumn>
    <tableColumn id="26" name="Cov Deck Value" dataDxfId="7368" totalsRowDxfId="7367"/>
    <tableColumn id="56" name="CovDeck Sq Ft" dataDxfId="7366" totalsRowDxfId="7365"/>
    <tableColumn id="11" name="CovDeckVal/SqFt" totalsRowFunction="custom" dataDxfId="7364" totalsRowDxfId="7363">
      <calculatedColumnFormula>AS412/AT412</calculatedColumnFormula>
      <totalsRowFormula>AVERAGE(Table11031[CovDeckVal/SqFt])</totalsRowFormula>
    </tableColumn>
    <tableColumn id="40" name="CovDeck % Base" totalsRowFunction="custom" dataDxfId="7362" totalsRowDxfId="7361">
      <calculatedColumnFormula>AU412/C412</calculatedColumnFormula>
      <totalsRowFormula>AVERAGE(Table11031[CovDeck % Base])</totalsRowFormula>
    </tableColumn>
    <tableColumn id="27" name="CarP Value" dataDxfId="7360" totalsRowDxfId="7359"/>
    <tableColumn id="57" name="CarP Sq Ft" dataDxfId="7358" totalsRowDxfId="7357"/>
    <tableColumn id="12" name="CarPVal/SqFt" dataDxfId="7356" totalsRowDxfId="7355">
      <calculatedColumnFormula>AW412/AX412</calculatedColumnFormula>
    </tableColumn>
    <tableColumn id="41" name="CarP % Base" totalsRowFunction="custom" dataDxfId="7354" totalsRowDxfId="7353">
      <calculatedColumnFormula>AY412/C412</calculatedColumnFormula>
      <totalsRowFormula>AVERAGE(Table11031[CarP % Base])</totalsRowFormula>
    </tableColumn>
    <tableColumn id="28" name="EFP Value" dataDxfId="7352" totalsRowDxfId="7351"/>
    <tableColumn id="58" name="EFP Sq Ft" dataDxfId="7350" totalsRowDxfId="7349"/>
    <tableColumn id="15" name="EFPVal/SqFt" dataDxfId="7348" totalsRowDxfId="7347">
      <calculatedColumnFormula>BA412/BB412</calculatedColumnFormula>
    </tableColumn>
    <tableColumn id="29" name="EFP % Base" totalsRowFunction="custom" dataDxfId="7346" totalsRowDxfId="7345">
      <calculatedColumnFormula>BC412/C412</calculatedColumnFormula>
      <totalsRowFormula>AVERAGE(Table11031[EFP % Base])</totalsRowFormula>
    </tableColumn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id="37" name="Table11032" displayName="Table11032" ref="A423:BD431" totalsRowCount="1" headerRowDxfId="7344">
  <tableColumns count="56">
    <tableColumn id="1" name="  Grade" dataDxfId="7343" totalsRowDxfId="7342"/>
    <tableColumn id="13" name="Main Area $" dataDxfId="7341" totalsRowDxfId="7340"/>
    <tableColumn id="45" name="MA $/Sq Ft" totalsRowFunction="custom" dataDxfId="7339" totalsRowDxfId="7338">
      <calculatedColumnFormula>B424/F421</calculatedColumnFormula>
      <totalsRowFormula>AVERAGE(Table11032[MA $/Sq Ft])</totalsRowFormula>
    </tableColumn>
    <tableColumn id="16" name="Basic Allowance" totalsRowFunction="custom" dataDxfId="7337" totalsRowDxfId="7336">
      <totalsRowFormula>AVERAGE(Table11032[Basic Allowance])</totalsRowFormula>
    </tableColumn>
    <tableColumn id="43" name="BsmtVal" dataDxfId="7335" totalsRowDxfId="7334"/>
    <tableColumn id="46" name="Bsmt SqFt" dataDxfId="7333" totalsRowDxfId="7332"/>
    <tableColumn id="2" name="BsmtVal/Sq Ft" dataDxfId="7331" totalsRowDxfId="7330">
      <calculatedColumnFormula>E424/F424</calculatedColumnFormula>
    </tableColumn>
    <tableColumn id="17" name="Bsmt % Base" totalsRowFunction="custom" dataDxfId="7329" totalsRowDxfId="7328">
      <calculatedColumnFormula>G424/C424</calculatedColumnFormula>
      <totalsRowFormula>AVERAGE(Table11032[Bsmt % Base])</totalsRowFormula>
    </tableColumn>
    <tableColumn id="30" name="UnfBsmtVal" dataDxfId="7327" totalsRowDxfId="7326"/>
    <tableColumn id="47" name="UnfBsmt Sq Ft" dataDxfId="7325" totalsRowDxfId="7324"/>
    <tableColumn id="3" name="UnfBsmtVal/SqFt" dataDxfId="7323" totalsRowDxfId="7322">
      <calculatedColumnFormula>I424/J424</calculatedColumnFormula>
    </tableColumn>
    <tableColumn id="44" name="UnfBsmt % Base" totalsRowFunction="custom" dataDxfId="7321" totalsRowDxfId="7320">
      <calculatedColumnFormula>K424/C424</calculatedColumnFormula>
      <totalsRowFormula>AVERAGE(Table11032[[#Headers],[#Data],[UnfBsmt % Base]])</totalsRowFormula>
    </tableColumn>
    <tableColumn id="31" name="Lower Value" dataDxfId="7319" totalsRowDxfId="7318"/>
    <tableColumn id="48" name="Lower Sq Ft" dataDxfId="7317" totalsRowDxfId="7316"/>
    <tableColumn id="4" name="LowerVal/SqFt" totalsRowFunction="custom" dataDxfId="7315" totalsRowDxfId="7314">
      <calculatedColumnFormula>M424/N424</calculatedColumnFormula>
      <totalsRowFormula>AVERAGE(Table11032[LowerVal/SqFt])</totalsRowFormula>
    </tableColumn>
    <tableColumn id="32" name="Lower % Base" totalsRowFunction="custom" dataDxfId="7313" totalsRowDxfId="7312">
      <calculatedColumnFormula>O424/C424</calculatedColumnFormula>
      <totalsRowFormula>AVERAGE(Table11032[Lower % Base])</totalsRowFormula>
    </tableColumn>
    <tableColumn id="19" name="Unf Lower Value" dataDxfId="7311" totalsRowDxfId="7310"/>
    <tableColumn id="49" name="UnfLower Sq Ft" dataDxfId="7309" totalsRowDxfId="7308"/>
    <tableColumn id="14" name="UnfLowVal/SqFt2" dataDxfId="7307" totalsRowDxfId="7306">
      <calculatedColumnFormula>Q424/R424</calculatedColumnFormula>
    </tableColumn>
    <tableColumn id="33" name="Unf Lower % Base" totalsRowFunction="custom" dataDxfId="7305" totalsRowDxfId="7304">
      <calculatedColumnFormula>S424/C424</calculatedColumnFormula>
      <totalsRowFormula>AVERAGE(Table11032[Unf Lower % Base])</totalsRowFormula>
    </tableColumn>
    <tableColumn id="20" name="1/2 Story Value" dataDxfId="7303" totalsRowDxfId="7302"/>
    <tableColumn id="50" name="1/2 Story Sq Ft" dataDxfId="7301" totalsRowDxfId="7300"/>
    <tableColumn id="5" name="1/2 StoryVal/SqFt" dataDxfId="7299" totalsRowDxfId="7298">
      <calculatedColumnFormula>U424/V424</calculatedColumnFormula>
    </tableColumn>
    <tableColumn id="34" name="1/2 Story % Base" totalsRowFunction="custom" dataDxfId="7297" totalsRowDxfId="7296">
      <calculatedColumnFormula>W424/C424</calculatedColumnFormula>
      <totalsRowFormula>AVERAGE(Table11032[1/2 Story % Base])</totalsRowFormula>
    </tableColumn>
    <tableColumn id="21" name="2nd Story Value" dataDxfId="7295" totalsRowDxfId="7294"/>
    <tableColumn id="51" name="2nd Sty Sq Ft" dataDxfId="7293" totalsRowDxfId="7292"/>
    <tableColumn id="6" name="2ndStyVal/Sqft" dataDxfId="7291" totalsRowDxfId="7290">
      <calculatedColumnFormula>Y424/Z424</calculatedColumnFormula>
    </tableColumn>
    <tableColumn id="35" name="2nd Story % Base" totalsRowFunction="custom" dataDxfId="7289" totalsRowDxfId="7288">
      <calculatedColumnFormula>AA424/C424</calculatedColumnFormula>
      <totalsRowFormula>AVERAGE(Table11032[2nd Story % Base])</totalsRowFormula>
    </tableColumn>
    <tableColumn id="22" name="Att Gar Value" dataDxfId="7287" totalsRowDxfId="7286"/>
    <tableColumn id="52" name="Att Gar Sq Ft" dataDxfId="7285" totalsRowDxfId="7284"/>
    <tableColumn id="7" name="AttGarVal/SqFt" totalsRowFunction="custom" dataDxfId="7283" totalsRowDxfId="7282">
      <calculatedColumnFormula>AC424/AD424</calculatedColumnFormula>
      <totalsRowFormula>AVERAGE(Table11032[AttGarVal/SqFt])</totalsRowFormula>
    </tableColumn>
    <tableColumn id="36" name="Att Gar % Base" totalsRowFunction="custom" dataDxfId="7281" totalsRowDxfId="7280">
      <calculatedColumnFormula>AE424/C424</calculatedColumnFormula>
      <totalsRowFormula>AVERAGE(Table11032[Att Gar % Base])</totalsRowFormula>
    </tableColumn>
    <tableColumn id="23" name="Porch Value" dataDxfId="7279" totalsRowDxfId="7278"/>
    <tableColumn id="53" name="Porch Sq Ft" dataDxfId="7277" totalsRowDxfId="7276"/>
    <tableColumn id="8" name="PorchVal/SqFt" dataDxfId="7275" totalsRowDxfId="7274">
      <calculatedColumnFormula>AG424/AH424</calculatedColumnFormula>
    </tableColumn>
    <tableColumn id="37" name="Porch % Base" totalsRowFunction="custom" dataDxfId="7273" totalsRowDxfId="7272">
      <calculatedColumnFormula>AI424/C424</calculatedColumnFormula>
      <totalsRowFormula>AVERAGE(Table11032[Porch % Base])</totalsRowFormula>
    </tableColumn>
    <tableColumn id="24" name="Cov Porch Value" dataDxfId="7271" totalsRowDxfId="7270"/>
    <tableColumn id="54" name="Cov Porch Sq Ft" dataDxfId="7269" totalsRowDxfId="7268"/>
    <tableColumn id="9" name="CovPrVal/SqFt" dataDxfId="7267" totalsRowDxfId="7266">
      <calculatedColumnFormula>AK424/AL424</calculatedColumnFormula>
    </tableColumn>
    <tableColumn id="38" name="Cov Porch % Base" totalsRowFunction="custom" dataDxfId="7265" totalsRowDxfId="7264">
      <calculatedColumnFormula>AM424/C424</calculatedColumnFormula>
      <totalsRowFormula>AVERAGE(Table11032[Cov Porch % Base])</totalsRowFormula>
    </tableColumn>
    <tableColumn id="25" name="Deck Value" dataDxfId="7263" totalsRowDxfId="7262"/>
    <tableColumn id="55" name="Deck Sq Ft" dataDxfId="7261" totalsRowDxfId="7260"/>
    <tableColumn id="10" name="DeckVal/SqFt" dataDxfId="7259" totalsRowDxfId="7258">
      <calculatedColumnFormula>AO424/AP424</calculatedColumnFormula>
    </tableColumn>
    <tableColumn id="39" name="Deck % Base" totalsRowFunction="custom" dataDxfId="7257" totalsRowDxfId="7256">
      <calculatedColumnFormula>AQ424/C424</calculatedColumnFormula>
      <totalsRowFormula>AVERAGE(Table11032[Deck % Base])</totalsRowFormula>
    </tableColumn>
    <tableColumn id="26" name="Cov Deck Value" dataDxfId="7255" totalsRowDxfId="7254"/>
    <tableColumn id="56" name="CovDeck Sq Ft" dataDxfId="7253" totalsRowDxfId="7252"/>
    <tableColumn id="11" name="CovDeckVal/SqFt" totalsRowFunction="custom" dataDxfId="7251" totalsRowDxfId="7250">
      <calculatedColumnFormula>AS424/AT424</calculatedColumnFormula>
      <totalsRowFormula>AVERAGE(Table11032[CovDeckVal/SqFt])</totalsRowFormula>
    </tableColumn>
    <tableColumn id="40" name="CovDeck % Base" totalsRowFunction="custom" dataDxfId="7249" totalsRowDxfId="7248">
      <calculatedColumnFormula>AU424/C424</calculatedColumnFormula>
      <totalsRowFormula>AVERAGE(Table11032[CovDeck % Base])</totalsRowFormula>
    </tableColumn>
    <tableColumn id="27" name="CarP Value" dataDxfId="7247" totalsRowDxfId="7246"/>
    <tableColumn id="57" name="CarP Sq Ft" dataDxfId="7245" totalsRowDxfId="7244"/>
    <tableColumn id="12" name="CarPVal/SqFt" dataDxfId="7243" totalsRowDxfId="7242">
      <calculatedColumnFormula>AW424/AX424</calculatedColumnFormula>
    </tableColumn>
    <tableColumn id="41" name="CarP % Base" totalsRowFunction="custom" dataDxfId="7241" totalsRowDxfId="7240">
      <calculatedColumnFormula>AY424/C424</calculatedColumnFormula>
      <totalsRowFormula>AVERAGE(Table11032[CarP % Base])</totalsRowFormula>
    </tableColumn>
    <tableColumn id="28" name="EFP Value" dataDxfId="7239" totalsRowDxfId="7238"/>
    <tableColumn id="58" name="EFP Sq Ft" dataDxfId="7237" totalsRowDxfId="7236"/>
    <tableColumn id="15" name="EFPVal/SqFt" dataDxfId="7235" totalsRowDxfId="7234">
      <calculatedColumnFormula>BA424/BB424</calculatedColumnFormula>
    </tableColumn>
    <tableColumn id="29" name="EFP % Base" totalsRowFunction="custom" dataDxfId="7233" totalsRowDxfId="7232">
      <calculatedColumnFormula>BC424/C424</calculatedColumnFormula>
      <totalsRowFormula>AVERAGE(Table11032[EFP % Base])</totalsRowFormula>
    </tableColumn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id="38" name="Table11033" displayName="Table11033" ref="A435:BD443" totalsRowCount="1" headerRowDxfId="7231">
  <tableColumns count="56">
    <tableColumn id="1" name="  Grade" dataDxfId="7230" totalsRowDxfId="7229"/>
    <tableColumn id="13" name="Main Area $" dataDxfId="7228" totalsRowDxfId="7227"/>
    <tableColumn id="45" name="MA $/Sq Ft" totalsRowFunction="custom" dataDxfId="7226" totalsRowDxfId="7225">
      <calculatedColumnFormula>B436/F433</calculatedColumnFormula>
      <totalsRowFormula>AVERAGE(Table11033[MA $/Sq Ft])</totalsRowFormula>
    </tableColumn>
    <tableColumn id="16" name="Basic Allowance" totalsRowFunction="custom" dataDxfId="7224" totalsRowDxfId="7223">
      <totalsRowFormula>AVERAGE(Table11033[Basic Allowance])</totalsRowFormula>
    </tableColumn>
    <tableColumn id="43" name="BsmtVal" dataDxfId="7222" totalsRowDxfId="7221"/>
    <tableColumn id="46" name="Bsmt SqFt" dataDxfId="7220" totalsRowDxfId="7219"/>
    <tableColumn id="2" name="BsmtVal/Sq Ft" dataDxfId="7218" totalsRowDxfId="7217">
      <calculatedColumnFormula>E436/F436</calculatedColumnFormula>
    </tableColumn>
    <tableColumn id="17" name="Bsmt % Base" totalsRowFunction="custom" dataDxfId="7216" totalsRowDxfId="7215">
      <calculatedColumnFormula>G436/C436</calculatedColumnFormula>
      <totalsRowFormula>AVERAGE(Table11033[Bsmt % Base])</totalsRowFormula>
    </tableColumn>
    <tableColumn id="30" name="UnfBsmtVal" dataDxfId="7214" totalsRowDxfId="7213"/>
    <tableColumn id="47" name="UnfBsmt Sq Ft" dataDxfId="7212" totalsRowDxfId="7211"/>
    <tableColumn id="3" name="UnfBsmtVal/SqFt" dataDxfId="7210" totalsRowDxfId="7209">
      <calculatedColumnFormula>I436/J436</calculatedColumnFormula>
    </tableColumn>
    <tableColumn id="44" name="UnfBsmt % Base" totalsRowFunction="custom" dataDxfId="7208" totalsRowDxfId="7207">
      <calculatedColumnFormula>K436/C436</calculatedColumnFormula>
      <totalsRowFormula>AVERAGE(Table11033[[#Headers],[#Data],[UnfBsmt % Base]])</totalsRowFormula>
    </tableColumn>
    <tableColumn id="31" name="Lower Value" dataDxfId="7206" totalsRowDxfId="7205"/>
    <tableColumn id="48" name="Lower Sq Ft" dataDxfId="7204" totalsRowDxfId="7203"/>
    <tableColumn id="4" name="LowerVal/SqFt" totalsRowFunction="custom" dataDxfId="7202" totalsRowDxfId="7201">
      <calculatedColumnFormula>M436/N436</calculatedColumnFormula>
      <totalsRowFormula>AVERAGE(Table11033[LowerVal/SqFt])</totalsRowFormula>
    </tableColumn>
    <tableColumn id="32" name="Lower % Base" totalsRowFunction="custom" dataDxfId="7200" totalsRowDxfId="7199">
      <calculatedColumnFormula>O436/C436</calculatedColumnFormula>
      <totalsRowFormula>AVERAGE(Table11033[Lower % Base])</totalsRowFormula>
    </tableColumn>
    <tableColumn id="19" name="Unf Lower Value" dataDxfId="7198" totalsRowDxfId="7197"/>
    <tableColumn id="49" name="UnfLower Sq Ft" dataDxfId="7196" totalsRowDxfId="7195"/>
    <tableColumn id="14" name="UnfLowVal/SqFt2" dataDxfId="7194" totalsRowDxfId="7193">
      <calculatedColumnFormula>Q436/R436</calculatedColumnFormula>
    </tableColumn>
    <tableColumn id="33" name="Unf Lower % Base" totalsRowFunction="custom" dataDxfId="7192" totalsRowDxfId="7191">
      <calculatedColumnFormula>S436/C436</calculatedColumnFormula>
      <totalsRowFormula>AVERAGE(Table11033[Unf Lower % Base])</totalsRowFormula>
    </tableColumn>
    <tableColumn id="20" name="1/2 Story Value" dataDxfId="7190" totalsRowDxfId="7189"/>
    <tableColumn id="50" name="1/2 Story Sq Ft" dataDxfId="7188" totalsRowDxfId="7187"/>
    <tableColumn id="5" name="1/2 StoryVal/SqFt" dataDxfId="7186" totalsRowDxfId="7185">
      <calculatedColumnFormula>U436/V436</calculatedColumnFormula>
    </tableColumn>
    <tableColumn id="34" name="1/2 Story % Base" totalsRowFunction="custom" dataDxfId="7184" totalsRowDxfId="7183">
      <calculatedColumnFormula>W436/C436</calculatedColumnFormula>
      <totalsRowFormula>AVERAGE(Table11033[1/2 Story % Base])</totalsRowFormula>
    </tableColumn>
    <tableColumn id="21" name="2nd Story Value" dataDxfId="7182" totalsRowDxfId="7181"/>
    <tableColumn id="51" name="2nd Sty Sq Ft" dataDxfId="7180" totalsRowDxfId="7179"/>
    <tableColumn id="6" name="2ndStyVal/Sqft" dataDxfId="7178" totalsRowDxfId="7177">
      <calculatedColumnFormula>Y436/Z436</calculatedColumnFormula>
    </tableColumn>
    <tableColumn id="35" name="2nd Story % Base" totalsRowFunction="custom" dataDxfId="7176" totalsRowDxfId="7175">
      <calculatedColumnFormula>AA436/C436</calculatedColumnFormula>
      <totalsRowFormula>AVERAGE(Table11033[2nd Story % Base])</totalsRowFormula>
    </tableColumn>
    <tableColumn id="22" name="Att Gar Value" dataDxfId="7174" totalsRowDxfId="7173"/>
    <tableColumn id="52" name="Att Gar Sq Ft" dataDxfId="7172" totalsRowDxfId="7171"/>
    <tableColumn id="7" name="AttGarVal/SqFt" totalsRowFunction="custom" dataDxfId="7170" totalsRowDxfId="7169">
      <calculatedColumnFormula>AC436/AD436</calculatedColumnFormula>
      <totalsRowFormula>AVERAGE(Table11033[AttGarVal/SqFt])</totalsRowFormula>
    </tableColumn>
    <tableColumn id="36" name="Att Gar % Base" totalsRowFunction="custom" dataDxfId="7168" totalsRowDxfId="7167">
      <calculatedColumnFormula>AE436/C436</calculatedColumnFormula>
      <totalsRowFormula>AVERAGE(Table11033[Att Gar % Base])</totalsRowFormula>
    </tableColumn>
    <tableColumn id="23" name="Porch Value" dataDxfId="7166" totalsRowDxfId="7165"/>
    <tableColumn id="53" name="Porch Sq Ft" dataDxfId="7164" totalsRowDxfId="7163"/>
    <tableColumn id="8" name="PorchVal/SqFt" dataDxfId="7162" totalsRowDxfId="7161">
      <calculatedColumnFormula>AG436/AH436</calculatedColumnFormula>
    </tableColumn>
    <tableColumn id="37" name="Porch % Base" totalsRowFunction="custom" dataDxfId="7160" totalsRowDxfId="7159">
      <calculatedColumnFormula>AI436/C436</calculatedColumnFormula>
      <totalsRowFormula>AVERAGE(Table11033[Porch % Base])</totalsRowFormula>
    </tableColumn>
    <tableColumn id="24" name="Cov Porch Value" dataDxfId="7158" totalsRowDxfId="7157"/>
    <tableColumn id="54" name="Cov Porch Sq Ft" dataDxfId="7156" totalsRowDxfId="7155"/>
    <tableColumn id="9" name="CovPrVal/SqFt" dataDxfId="7154" totalsRowDxfId="7153">
      <calculatedColumnFormula>AK436/AL436</calculatedColumnFormula>
    </tableColumn>
    <tableColumn id="38" name="Cov Porch % Base" totalsRowFunction="custom" dataDxfId="7152" totalsRowDxfId="7151">
      <calculatedColumnFormula>AM436/C436</calculatedColumnFormula>
      <totalsRowFormula>AVERAGE(Table11033[Cov Porch % Base])</totalsRowFormula>
    </tableColumn>
    <tableColumn id="25" name="Deck Value" dataDxfId="7150" totalsRowDxfId="7149"/>
    <tableColumn id="55" name="Deck Sq Ft" dataDxfId="7148" totalsRowDxfId="7147"/>
    <tableColumn id="10" name="DeckVal/SqFt" dataDxfId="7146" totalsRowDxfId="7145">
      <calculatedColumnFormula>AO436/AP436</calculatedColumnFormula>
    </tableColumn>
    <tableColumn id="39" name="Deck % Base" totalsRowFunction="custom" dataDxfId="7144" totalsRowDxfId="7143">
      <calculatedColumnFormula>AQ436/C436</calculatedColumnFormula>
      <totalsRowFormula>AVERAGE(Table11033[Deck % Base])</totalsRowFormula>
    </tableColumn>
    <tableColumn id="26" name="Cov Deck Value" dataDxfId="7142" totalsRowDxfId="7141"/>
    <tableColumn id="56" name="CovDeck Sq Ft" dataDxfId="7140" totalsRowDxfId="7139"/>
    <tableColumn id="11" name="CovDeckVal/SqFt" totalsRowFunction="custom" dataDxfId="7138" totalsRowDxfId="7137">
      <calculatedColumnFormula>AS436/AT436</calculatedColumnFormula>
      <totalsRowFormula>AVERAGE(Table11033[CovDeckVal/SqFt])</totalsRowFormula>
    </tableColumn>
    <tableColumn id="40" name="CovDeck % Base" totalsRowFunction="custom" dataDxfId="7136" totalsRowDxfId="7135">
      <calculatedColumnFormula>AU436/C436</calculatedColumnFormula>
      <totalsRowFormula>AVERAGE(Table11033[CovDeck % Base])</totalsRowFormula>
    </tableColumn>
    <tableColumn id="27" name="CarP Value" dataDxfId="7134" totalsRowDxfId="7133"/>
    <tableColumn id="57" name="CarP Sq Ft" dataDxfId="7132" totalsRowDxfId="7131"/>
    <tableColumn id="12" name="CarPVal/SqFt" dataDxfId="7130" totalsRowDxfId="7129">
      <calculatedColumnFormula>AW436/AX436</calculatedColumnFormula>
    </tableColumn>
    <tableColumn id="41" name="CarP % Base" totalsRowFunction="custom" dataDxfId="7128" totalsRowDxfId="7127">
      <calculatedColumnFormula>AY436/C436</calculatedColumnFormula>
      <totalsRowFormula>AVERAGE(Table11033[CarP % Base])</totalsRowFormula>
    </tableColumn>
    <tableColumn id="28" name="EFP Value" dataDxfId="7126" totalsRowDxfId="7125"/>
    <tableColumn id="58" name="EFP Sq Ft" dataDxfId="7124" totalsRowDxfId="7123"/>
    <tableColumn id="15" name="EFPVal/SqFt" dataDxfId="7122" totalsRowDxfId="7121">
      <calculatedColumnFormula>BA436/BB436</calculatedColumnFormula>
    </tableColumn>
    <tableColumn id="29" name="EFP % Base" totalsRowFunction="custom" dataDxfId="7120" totalsRowDxfId="7119">
      <calculatedColumnFormula>BC436/C436</calculatedColumnFormula>
      <totalsRowFormula>AVERAGE(Table11033[EFP % Base])</totalsRowFormula>
    </tableColumn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id="39" name="Table11034" displayName="Table11034" ref="A447:BD455" totalsRowCount="1" headerRowDxfId="7118">
  <tableColumns count="56">
    <tableColumn id="1" name="  Grade" dataDxfId="7117" totalsRowDxfId="7116"/>
    <tableColumn id="13" name="Main Area $" dataDxfId="7115" totalsRowDxfId="7114"/>
    <tableColumn id="45" name="MA $/Sq Ft" totalsRowFunction="custom" dataDxfId="7113" totalsRowDxfId="7112">
      <calculatedColumnFormula>B448/F445</calculatedColumnFormula>
      <totalsRowFormula>AVERAGE(Table11034[MA $/Sq Ft])</totalsRowFormula>
    </tableColumn>
    <tableColumn id="16" name="Basic Allowance" totalsRowFunction="custom" dataDxfId="7111" totalsRowDxfId="7110">
      <totalsRowFormula>AVERAGE(Table11034[Basic Allowance])</totalsRowFormula>
    </tableColumn>
    <tableColumn id="43" name="BsmtVal" dataDxfId="7109" totalsRowDxfId="7108"/>
    <tableColumn id="46" name="Bsmt SqFt" dataDxfId="7107" totalsRowDxfId="7106"/>
    <tableColumn id="2" name="BsmtVal/Sq Ft" dataDxfId="7105" totalsRowDxfId="7104">
      <calculatedColumnFormula>E448/F448</calculatedColumnFormula>
    </tableColumn>
    <tableColumn id="17" name="Bsmt % Base" totalsRowFunction="custom" dataDxfId="7103" totalsRowDxfId="7102">
      <calculatedColumnFormula>G448/C448</calculatedColumnFormula>
      <totalsRowFormula>AVERAGE(Table11034[Bsmt % Base])</totalsRowFormula>
    </tableColumn>
    <tableColumn id="30" name="UnfBsmtVal" dataDxfId="7101" totalsRowDxfId="7100"/>
    <tableColumn id="47" name="UnfBsmt Sq Ft" dataDxfId="7099" totalsRowDxfId="7098"/>
    <tableColumn id="3" name="UnfBsmtVal/SqFt" dataDxfId="7097" totalsRowDxfId="7096">
      <calculatedColumnFormula>I448/J448</calculatedColumnFormula>
    </tableColumn>
    <tableColumn id="44" name="UnfBsmt % Base" totalsRowFunction="custom" dataDxfId="7095" totalsRowDxfId="7094">
      <calculatedColumnFormula>K448/C448</calculatedColumnFormula>
      <totalsRowFormula>AVERAGE(Table11034[[#Headers],[#Data],[UnfBsmt % Base]])</totalsRowFormula>
    </tableColumn>
    <tableColumn id="31" name="Lower Value" dataDxfId="7093" totalsRowDxfId="7092"/>
    <tableColumn id="48" name="Lower Sq Ft" dataDxfId="7091" totalsRowDxfId="7090"/>
    <tableColumn id="4" name="LowerVal/SqFt" totalsRowFunction="custom" dataDxfId="7089" totalsRowDxfId="7088">
      <calculatedColumnFormula>M448/N448</calculatedColumnFormula>
      <totalsRowFormula>AVERAGE(Table11034[LowerVal/SqFt])</totalsRowFormula>
    </tableColumn>
    <tableColumn id="32" name="Lower % Base" totalsRowFunction="custom" dataDxfId="7087" totalsRowDxfId="7086">
      <calculatedColumnFormula>O448/C448</calculatedColumnFormula>
      <totalsRowFormula>AVERAGE(Table11034[Lower % Base])</totalsRowFormula>
    </tableColumn>
    <tableColumn id="19" name="Unf Lower Value" dataDxfId="7085" totalsRowDxfId="7084"/>
    <tableColumn id="49" name="UnfLower Sq Ft" dataDxfId="7083" totalsRowDxfId="7082"/>
    <tableColumn id="14" name="UnfLowVal/SqFt2" dataDxfId="7081" totalsRowDxfId="7080">
      <calculatedColumnFormula>Q448/R448</calculatedColumnFormula>
    </tableColumn>
    <tableColumn id="33" name="Unf Lower % Base" totalsRowFunction="custom" dataDxfId="7079" totalsRowDxfId="7078">
      <calculatedColumnFormula>S448/C448</calculatedColumnFormula>
      <totalsRowFormula>AVERAGE(Table11034[Unf Lower % Base])</totalsRowFormula>
    </tableColumn>
    <tableColumn id="20" name="1/2 Story Value" dataDxfId="7077" totalsRowDxfId="7076"/>
    <tableColumn id="50" name="1/2 Story Sq Ft" dataDxfId="7075" totalsRowDxfId="7074"/>
    <tableColumn id="5" name="1/2 StoryVal/SqFt" dataDxfId="7073" totalsRowDxfId="7072">
      <calculatedColumnFormula>U448/V448</calculatedColumnFormula>
    </tableColumn>
    <tableColumn id="34" name="1/2 Story % Base" totalsRowFunction="custom" dataDxfId="7071" totalsRowDxfId="7070">
      <calculatedColumnFormula>W448/C448</calculatedColumnFormula>
      <totalsRowFormula>AVERAGE(Table11034[1/2 Story % Base])</totalsRowFormula>
    </tableColumn>
    <tableColumn id="21" name="2nd Story Value" dataDxfId="7069" totalsRowDxfId="7068"/>
    <tableColumn id="51" name="2nd Sty Sq Ft" dataDxfId="7067" totalsRowDxfId="7066"/>
    <tableColumn id="6" name="2ndStyVal/Sqft" dataDxfId="7065" totalsRowDxfId="7064">
      <calculatedColumnFormula>Y448/Z448</calculatedColumnFormula>
    </tableColumn>
    <tableColumn id="35" name="2nd Story % Base" totalsRowFunction="custom" dataDxfId="7063" totalsRowDxfId="7062">
      <calculatedColumnFormula>AA448/C448</calculatedColumnFormula>
      <totalsRowFormula>AVERAGE(Table11034[2nd Story % Base])</totalsRowFormula>
    </tableColumn>
    <tableColumn id="22" name="Att Gar Value" dataDxfId="7061" totalsRowDxfId="7060"/>
    <tableColumn id="52" name="Att Gar Sq Ft" dataDxfId="7059" totalsRowDxfId="7058"/>
    <tableColumn id="7" name="AttGarVal/SqFt" totalsRowFunction="custom" dataDxfId="7057" totalsRowDxfId="7056">
      <calculatedColumnFormula>AC448/AD448</calculatedColumnFormula>
      <totalsRowFormula>AVERAGE(Table11034[AttGarVal/SqFt])</totalsRowFormula>
    </tableColumn>
    <tableColumn id="36" name="Att Gar % Base" totalsRowFunction="custom" dataDxfId="7055" totalsRowDxfId="7054">
      <calculatedColumnFormula>AE448/C448</calculatedColumnFormula>
      <totalsRowFormula>AVERAGE(Table11034[Att Gar % Base])</totalsRowFormula>
    </tableColumn>
    <tableColumn id="23" name="Porch Value" dataDxfId="7053" totalsRowDxfId="7052"/>
    <tableColumn id="53" name="Porch Sq Ft" dataDxfId="7051" totalsRowDxfId="7050"/>
    <tableColumn id="8" name="PorchVal/SqFt" dataDxfId="7049" totalsRowDxfId="7048">
      <calculatedColumnFormula>AG448/AH448</calculatedColumnFormula>
    </tableColumn>
    <tableColumn id="37" name="Porch % Base" totalsRowFunction="custom" dataDxfId="7047" totalsRowDxfId="7046">
      <calculatedColumnFormula>AI448/C448</calculatedColumnFormula>
      <totalsRowFormula>AVERAGE(Table11034[Porch % Base])</totalsRowFormula>
    </tableColumn>
    <tableColumn id="24" name="Cov Porch Value" dataDxfId="7045" totalsRowDxfId="7044"/>
    <tableColumn id="54" name="Cov Porch Sq Ft" dataDxfId="7043" totalsRowDxfId="7042"/>
    <tableColumn id="9" name="CovPrVal/SqFt" dataDxfId="7041" totalsRowDxfId="7040">
      <calculatedColumnFormula>AK448/AL448</calculatedColumnFormula>
    </tableColumn>
    <tableColumn id="38" name="Cov Porch % Base" totalsRowFunction="custom" dataDxfId="7039" totalsRowDxfId="7038">
      <calculatedColumnFormula>AM448/C448</calculatedColumnFormula>
      <totalsRowFormula>AVERAGE(Table11034[Cov Porch % Base])</totalsRowFormula>
    </tableColumn>
    <tableColumn id="25" name="Deck Value" dataDxfId="7037" totalsRowDxfId="7036"/>
    <tableColumn id="55" name="Deck Sq Ft" dataDxfId="7035" totalsRowDxfId="7034"/>
    <tableColumn id="10" name="DeckVal/SqFt" dataDxfId="7033" totalsRowDxfId="7032">
      <calculatedColumnFormula>AO448/AP448</calculatedColumnFormula>
    </tableColumn>
    <tableColumn id="39" name="Deck % Base" totalsRowFunction="custom" dataDxfId="7031" totalsRowDxfId="7030">
      <calculatedColumnFormula>AQ448/C448</calculatedColumnFormula>
      <totalsRowFormula>AVERAGE(Table11034[Deck % Base])</totalsRowFormula>
    </tableColumn>
    <tableColumn id="26" name="Cov Deck Value" dataDxfId="7029" totalsRowDxfId="7028"/>
    <tableColumn id="56" name="CovDeck Sq Ft" dataDxfId="7027" totalsRowDxfId="7026"/>
    <tableColumn id="11" name="CovDeckVal/SqFt" totalsRowFunction="custom" dataDxfId="7025" totalsRowDxfId="7024">
      <calculatedColumnFormula>AS448/AT448</calculatedColumnFormula>
      <totalsRowFormula>AVERAGE(Table11034[CovDeckVal/SqFt])</totalsRowFormula>
    </tableColumn>
    <tableColumn id="40" name="CovDeck % Base" totalsRowFunction="custom" dataDxfId="7023" totalsRowDxfId="7022">
      <calculatedColumnFormula>AU448/C448</calculatedColumnFormula>
      <totalsRowFormula>AVERAGE(Table11034[CovDeck % Base])</totalsRowFormula>
    </tableColumn>
    <tableColumn id="27" name="CarP Value" dataDxfId="7021" totalsRowDxfId="7020"/>
    <tableColumn id="57" name="CarP Sq Ft" dataDxfId="7019" totalsRowDxfId="7018"/>
    <tableColumn id="12" name="CarPVal/SqFt" dataDxfId="7017" totalsRowDxfId="7016">
      <calculatedColumnFormula>AW448/AX448</calculatedColumnFormula>
    </tableColumn>
    <tableColumn id="41" name="CarP % Base" totalsRowFunction="custom" dataDxfId="7015" totalsRowDxfId="7014">
      <calculatedColumnFormula>AY448/C448</calculatedColumnFormula>
      <totalsRowFormula>AVERAGE(Table11034[CarP % Base])</totalsRowFormula>
    </tableColumn>
    <tableColumn id="28" name="EFP Value" dataDxfId="7013" totalsRowDxfId="7012"/>
    <tableColumn id="58" name="EFP Sq Ft" dataDxfId="7011" totalsRowDxfId="7010"/>
    <tableColumn id="15" name="EFPVal/SqFt" dataDxfId="7009" totalsRowDxfId="7008">
      <calculatedColumnFormula>BA448/BB448</calculatedColumnFormula>
    </tableColumn>
    <tableColumn id="29" name="EFP % Base" totalsRowFunction="custom" dataDxfId="7007" totalsRowDxfId="7006">
      <calculatedColumnFormula>BC448/C448</calculatedColumnFormula>
      <totalsRowFormula>AVERAGE(Table11034[EFP % Base])</totalsRowFormula>
    </tableColumn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id="40" name="Table11035" displayName="Table11035" ref="A459:BD467" totalsRowCount="1" headerRowDxfId="7005">
  <tableColumns count="56">
    <tableColumn id="1" name="  Grade" dataDxfId="7004" totalsRowDxfId="7003"/>
    <tableColumn id="13" name="Main Area $" dataDxfId="7002" totalsRowDxfId="7001"/>
    <tableColumn id="45" name="MA $/Sq Ft" totalsRowFunction="custom" dataDxfId="7000" totalsRowDxfId="6999">
      <calculatedColumnFormula>B460/F457</calculatedColumnFormula>
      <totalsRowFormula>AVERAGE(Table11035[MA $/Sq Ft])</totalsRowFormula>
    </tableColumn>
    <tableColumn id="16" name="Basic Allowance" totalsRowFunction="custom" dataDxfId="6998" totalsRowDxfId="6997">
      <totalsRowFormula>AVERAGE(Table11035[Basic Allowance])</totalsRowFormula>
    </tableColumn>
    <tableColumn id="43" name="BsmtVal" dataDxfId="6996" totalsRowDxfId="6995"/>
    <tableColumn id="46" name="Bsmt SqFt" dataDxfId="6994" totalsRowDxfId="6993"/>
    <tableColumn id="2" name="BsmtVal/Sq Ft" dataDxfId="6992" totalsRowDxfId="6991">
      <calculatedColumnFormula>E460/F460</calculatedColumnFormula>
    </tableColumn>
    <tableColumn id="17" name="Bsmt % Base" totalsRowFunction="custom" dataDxfId="6990" totalsRowDxfId="6989">
      <calculatedColumnFormula>G460/C460</calculatedColumnFormula>
      <totalsRowFormula>AVERAGE(Table11035[Bsmt % Base])</totalsRowFormula>
    </tableColumn>
    <tableColumn id="30" name="UnfBsmtVal" dataDxfId="6988" totalsRowDxfId="6987"/>
    <tableColumn id="47" name="UnfBsmt Sq Ft" dataDxfId="6986" totalsRowDxfId="6985"/>
    <tableColumn id="3" name="UnfBsmtVal/SqFt" dataDxfId="6984" totalsRowDxfId="6983">
      <calculatedColumnFormula>I460/J460</calculatedColumnFormula>
    </tableColumn>
    <tableColumn id="44" name="UnfBsmt % Base" totalsRowFunction="custom" dataDxfId="6982" totalsRowDxfId="6981">
      <calculatedColumnFormula>K460/C460</calculatedColumnFormula>
      <totalsRowFormula>AVERAGE(Table11035[[#Headers],[#Data],[UnfBsmt % Base]])</totalsRowFormula>
    </tableColumn>
    <tableColumn id="31" name="Lower Value" dataDxfId="6980" totalsRowDxfId="6979"/>
    <tableColumn id="48" name="Lower Sq Ft" dataDxfId="6978" totalsRowDxfId="6977"/>
    <tableColumn id="4" name="LowerVal/SqFt" totalsRowFunction="custom" dataDxfId="6976" totalsRowDxfId="6975">
      <calculatedColumnFormula>M460/N460</calculatedColumnFormula>
      <totalsRowFormula>AVERAGE(Table11035[LowerVal/SqFt])</totalsRowFormula>
    </tableColumn>
    <tableColumn id="32" name="Lower % Base" totalsRowFunction="custom" dataDxfId="6974" totalsRowDxfId="6973">
      <calculatedColumnFormula>O460/C460</calculatedColumnFormula>
      <totalsRowFormula>AVERAGE(Table11035[Lower % Base])</totalsRowFormula>
    </tableColumn>
    <tableColumn id="19" name="Unf Lower Value" dataDxfId="6972" totalsRowDxfId="6971"/>
    <tableColumn id="49" name="UnfLower Sq Ft" dataDxfId="6970" totalsRowDxfId="6969"/>
    <tableColumn id="14" name="UnfLowVal/SqFt2" dataDxfId="6968" totalsRowDxfId="6967">
      <calculatedColumnFormula>Q460/R460</calculatedColumnFormula>
    </tableColumn>
    <tableColumn id="33" name="Unf Lower % Base" totalsRowFunction="custom" dataDxfId="6966" totalsRowDxfId="6965">
      <calculatedColumnFormula>S460/C460</calculatedColumnFormula>
      <totalsRowFormula>AVERAGE(Table11035[Unf Lower % Base])</totalsRowFormula>
    </tableColumn>
    <tableColumn id="20" name="1/2 Story Value" dataDxfId="6964" totalsRowDxfId="6963"/>
    <tableColumn id="50" name="1/2 Story Sq Ft" dataDxfId="6962" totalsRowDxfId="6961"/>
    <tableColumn id="5" name="1/2 StoryVal/SqFt" dataDxfId="6960" totalsRowDxfId="6959">
      <calculatedColumnFormula>U460/V460</calculatedColumnFormula>
    </tableColumn>
    <tableColumn id="34" name="1/2 Story % Base" totalsRowFunction="custom" dataDxfId="6958" totalsRowDxfId="6957">
      <calculatedColumnFormula>W460/C460</calculatedColumnFormula>
      <totalsRowFormula>AVERAGE(Table11035[1/2 Story % Base])</totalsRowFormula>
    </tableColumn>
    <tableColumn id="21" name="2nd Story Value" dataDxfId="6956" totalsRowDxfId="6955"/>
    <tableColumn id="51" name="2nd Sty Sq Ft" dataDxfId="6954" totalsRowDxfId="6953"/>
    <tableColumn id="6" name="2ndStyVal/Sqft" dataDxfId="6952" totalsRowDxfId="6951">
      <calculatedColumnFormula>Y460/Z460</calculatedColumnFormula>
    </tableColumn>
    <tableColumn id="35" name="2nd Story % Base" totalsRowFunction="custom" dataDxfId="6950" totalsRowDxfId="6949">
      <calculatedColumnFormula>AA460/C460</calculatedColumnFormula>
      <totalsRowFormula>AVERAGE(Table11035[2nd Story % Base])</totalsRowFormula>
    </tableColumn>
    <tableColumn id="22" name="Att Gar Value" dataDxfId="6948" totalsRowDxfId="6947"/>
    <tableColumn id="52" name="Att Gar Sq Ft" dataDxfId="6946" totalsRowDxfId="6945"/>
    <tableColumn id="7" name="AttGarVal/SqFt" totalsRowFunction="custom" dataDxfId="6944" totalsRowDxfId="6943">
      <calculatedColumnFormula>AC460/AD460</calculatedColumnFormula>
      <totalsRowFormula>AVERAGE(Table11035[AttGarVal/SqFt])</totalsRowFormula>
    </tableColumn>
    <tableColumn id="36" name="Att Gar % Base" totalsRowFunction="custom" dataDxfId="6942" totalsRowDxfId="6941">
      <calculatedColumnFormula>AE460/C460</calculatedColumnFormula>
      <totalsRowFormula>AVERAGE(Table11035[Att Gar % Base])</totalsRowFormula>
    </tableColumn>
    <tableColumn id="23" name="Porch Value" dataDxfId="6940" totalsRowDxfId="6939"/>
    <tableColumn id="53" name="Porch Sq Ft" dataDxfId="6938" totalsRowDxfId="6937"/>
    <tableColumn id="8" name="PorchVal/SqFt" dataDxfId="6936" totalsRowDxfId="6935">
      <calculatedColumnFormula>AG460/AH460</calculatedColumnFormula>
    </tableColumn>
    <tableColumn id="37" name="Porch % Base" totalsRowFunction="custom" dataDxfId="6934" totalsRowDxfId="6933">
      <calculatedColumnFormula>AI460/C460</calculatedColumnFormula>
      <totalsRowFormula>AVERAGE(Table11035[Porch % Base])</totalsRowFormula>
    </tableColumn>
    <tableColumn id="24" name="Cov Porch Value" dataDxfId="6932" totalsRowDxfId="6931"/>
    <tableColumn id="54" name="Cov Porch Sq Ft" dataDxfId="6930" totalsRowDxfId="6929"/>
    <tableColumn id="9" name="CovPrVal/SqFt" dataDxfId="6928" totalsRowDxfId="6927">
      <calculatedColumnFormula>AK460/AL460</calculatedColumnFormula>
    </tableColumn>
    <tableColumn id="38" name="Cov Porch % Base" totalsRowFunction="custom" dataDxfId="6926" totalsRowDxfId="6925">
      <calculatedColumnFormula>AM460/C460</calculatedColumnFormula>
      <totalsRowFormula>AVERAGE(Table11035[Cov Porch % Base])</totalsRowFormula>
    </tableColumn>
    <tableColumn id="25" name="Deck Value" dataDxfId="6924" totalsRowDxfId="6923"/>
    <tableColumn id="55" name="Deck Sq Ft" dataDxfId="6922" totalsRowDxfId="6921"/>
    <tableColumn id="10" name="DeckVal/SqFt" dataDxfId="6920" totalsRowDxfId="6919">
      <calculatedColumnFormula>AO460/AP460</calculatedColumnFormula>
    </tableColumn>
    <tableColumn id="39" name="Deck % Base" totalsRowFunction="custom" dataDxfId="6918" totalsRowDxfId="6917">
      <calculatedColumnFormula>AQ460/C460</calculatedColumnFormula>
      <totalsRowFormula>AVERAGE(Table11035[Deck % Base])</totalsRowFormula>
    </tableColumn>
    <tableColumn id="26" name="Cov Deck Value" dataDxfId="6916" totalsRowDxfId="6915"/>
    <tableColumn id="56" name="CovDeck Sq Ft" dataDxfId="6914" totalsRowDxfId="6913"/>
    <tableColumn id="11" name="CovDeckVal/SqFt" totalsRowFunction="custom" dataDxfId="6912" totalsRowDxfId="6911">
      <calculatedColumnFormula>AS460/AT460</calculatedColumnFormula>
      <totalsRowFormula>AVERAGE(Table11035[CovDeckVal/SqFt])</totalsRowFormula>
    </tableColumn>
    <tableColumn id="40" name="CovDeck % Base" totalsRowFunction="custom" dataDxfId="6910" totalsRowDxfId="6909">
      <calculatedColumnFormula>AU460/C460</calculatedColumnFormula>
      <totalsRowFormula>AVERAGE(Table11035[CovDeck % Base])</totalsRowFormula>
    </tableColumn>
    <tableColumn id="27" name="CarP Value" dataDxfId="6908" totalsRowDxfId="6907"/>
    <tableColumn id="57" name="CarP Sq Ft" dataDxfId="6906" totalsRowDxfId="6905"/>
    <tableColumn id="12" name="CarPVal/SqFt" dataDxfId="6904" totalsRowDxfId="6903">
      <calculatedColumnFormula>AW460/AX460</calculatedColumnFormula>
    </tableColumn>
    <tableColumn id="41" name="CarP % Base" totalsRowFunction="custom" dataDxfId="6902" totalsRowDxfId="6901">
      <calculatedColumnFormula>AY460/C460</calculatedColumnFormula>
      <totalsRowFormula>AVERAGE(Table11035[CarP % Base])</totalsRowFormula>
    </tableColumn>
    <tableColumn id="28" name="EFP Value" dataDxfId="6900" totalsRowDxfId="6899"/>
    <tableColumn id="58" name="EFP Sq Ft" dataDxfId="6898" totalsRowDxfId="6897"/>
    <tableColumn id="15" name="EFPVal/SqFt" dataDxfId="6896" totalsRowDxfId="6895">
      <calculatedColumnFormula>BA460/BB460</calculatedColumnFormula>
    </tableColumn>
    <tableColumn id="29" name="EFP % Base" totalsRowFunction="custom" dataDxfId="6894" totalsRowDxfId="6893">
      <calculatedColumnFormula>BC460/C460</calculatedColumnFormula>
      <totalsRowFormula>AVERAGE(Table11035[EFP % Base])</totalsRowFormula>
    </tableColumn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id="41" name="Table11036" displayName="Table11036" ref="A471:BD479" totalsRowCount="1" headerRowDxfId="6892">
  <tableColumns count="56">
    <tableColumn id="1" name="  Grade" dataDxfId="6891" totalsRowDxfId="6890"/>
    <tableColumn id="13" name="Main Area $" dataDxfId="6889" totalsRowDxfId="6888"/>
    <tableColumn id="45" name="MA $/Sq Ft" totalsRowFunction="custom" dataDxfId="6887" totalsRowDxfId="6886">
      <calculatedColumnFormula>B472/F469</calculatedColumnFormula>
      <totalsRowFormula>AVERAGE(Table11036[MA $/Sq Ft])</totalsRowFormula>
    </tableColumn>
    <tableColumn id="16" name="Basic Allowance" totalsRowFunction="custom" dataDxfId="6885" totalsRowDxfId="6884">
      <totalsRowFormula>AVERAGE(Table11036[Basic Allowance])</totalsRowFormula>
    </tableColumn>
    <tableColumn id="43" name="BsmtVal" dataDxfId="6883" totalsRowDxfId="6882"/>
    <tableColumn id="46" name="Bsmt SqFt" dataDxfId="6881" totalsRowDxfId="6880"/>
    <tableColumn id="2" name="BsmtVal/Sq Ft" dataDxfId="6879" totalsRowDxfId="6878">
      <calculatedColumnFormula>E472/F472</calculatedColumnFormula>
    </tableColumn>
    <tableColumn id="17" name="Bsmt % Base" totalsRowFunction="custom" dataDxfId="6877" totalsRowDxfId="6876">
      <calculatedColumnFormula>G472/C472</calculatedColumnFormula>
      <totalsRowFormula>AVERAGE(Table11036[Bsmt % Base])</totalsRowFormula>
    </tableColumn>
    <tableColumn id="30" name="UnfBsmtVal" dataDxfId="6875" totalsRowDxfId="6874"/>
    <tableColumn id="47" name="UnfBsmt Sq Ft" dataDxfId="6873" totalsRowDxfId="6872"/>
    <tableColumn id="3" name="UnfBsmtVal/SqFt" dataDxfId="6871" totalsRowDxfId="6870">
      <calculatedColumnFormula>I472/J472</calculatedColumnFormula>
    </tableColumn>
    <tableColumn id="44" name="UnfBsmt % Base" totalsRowFunction="custom" dataDxfId="6869" totalsRowDxfId="6868">
      <calculatedColumnFormula>K472/C472</calculatedColumnFormula>
      <totalsRowFormula>AVERAGE(Table11036[[#Headers],[#Data],[UnfBsmt % Base]])</totalsRowFormula>
    </tableColumn>
    <tableColumn id="31" name="Lower Value" dataDxfId="6867" totalsRowDxfId="6866"/>
    <tableColumn id="48" name="Lower Sq Ft" dataDxfId="6865" totalsRowDxfId="6864"/>
    <tableColumn id="4" name="LowerVal/SqFt" totalsRowFunction="custom" dataDxfId="6863" totalsRowDxfId="6862">
      <calculatedColumnFormula>M472/N472</calculatedColumnFormula>
      <totalsRowFormula>AVERAGE(Table11036[LowerVal/SqFt])</totalsRowFormula>
    </tableColumn>
    <tableColumn id="32" name="Lower % Base" totalsRowFunction="custom" dataDxfId="6861" totalsRowDxfId="6860">
      <calculatedColumnFormula>O472/C472</calculatedColumnFormula>
      <totalsRowFormula>AVERAGE(Table11036[Lower % Base])</totalsRowFormula>
    </tableColumn>
    <tableColumn id="19" name="Unf Lower Value" dataDxfId="6859" totalsRowDxfId="6858"/>
    <tableColumn id="49" name="UnfLower Sq Ft" dataDxfId="6857" totalsRowDxfId="6856"/>
    <tableColumn id="14" name="UnfLowVal/SqFt2" dataDxfId="6855" totalsRowDxfId="6854">
      <calculatedColumnFormula>Q472/R472</calculatedColumnFormula>
    </tableColumn>
    <tableColumn id="33" name="Unf Lower % Base" totalsRowFunction="custom" dataDxfId="6853" totalsRowDxfId="6852">
      <calculatedColumnFormula>S472/C472</calculatedColumnFormula>
      <totalsRowFormula>AVERAGE(Table11036[Unf Lower % Base])</totalsRowFormula>
    </tableColumn>
    <tableColumn id="20" name="1/2 Story Value" dataDxfId="6851" totalsRowDxfId="6850"/>
    <tableColumn id="50" name="1/2 Story Sq Ft" dataDxfId="6849" totalsRowDxfId="6848"/>
    <tableColumn id="5" name="1/2 StoryVal/SqFt" dataDxfId="6847" totalsRowDxfId="6846">
      <calculatedColumnFormula>U472/V472</calculatedColumnFormula>
    </tableColumn>
    <tableColumn id="34" name="1/2 Story % Base" totalsRowFunction="custom" dataDxfId="6845" totalsRowDxfId="6844">
      <calculatedColumnFormula>W472/C472</calculatedColumnFormula>
      <totalsRowFormula>AVERAGE(Table11036[1/2 Story % Base])</totalsRowFormula>
    </tableColumn>
    <tableColumn id="21" name="2nd Story Value" dataDxfId="6843" totalsRowDxfId="6842"/>
    <tableColumn id="51" name="2nd Sty Sq Ft" dataDxfId="6841" totalsRowDxfId="6840"/>
    <tableColumn id="6" name="2ndStyVal/Sqft" dataDxfId="6839" totalsRowDxfId="6838">
      <calculatedColumnFormula>Y472/Z472</calculatedColumnFormula>
    </tableColumn>
    <tableColumn id="35" name="2nd Story % Base" totalsRowFunction="custom" dataDxfId="6837" totalsRowDxfId="6836">
      <calculatedColumnFormula>AA472/C472</calculatedColumnFormula>
      <totalsRowFormula>AVERAGE(Table11036[2nd Story % Base])</totalsRowFormula>
    </tableColumn>
    <tableColumn id="22" name="Att Gar Value" dataDxfId="6835" totalsRowDxfId="6834"/>
    <tableColumn id="52" name="Att Gar Sq Ft" dataDxfId="6833" totalsRowDxfId="6832"/>
    <tableColumn id="7" name="AttGarVal/SqFt" totalsRowFunction="custom" dataDxfId="6831" totalsRowDxfId="6830">
      <calculatedColumnFormula>AC472/AD472</calculatedColumnFormula>
      <totalsRowFormula>AVERAGE(Table11036[AttGarVal/SqFt])</totalsRowFormula>
    </tableColumn>
    <tableColumn id="36" name="Att Gar % Base" totalsRowFunction="custom" dataDxfId="6829" totalsRowDxfId="6828">
      <calculatedColumnFormula>AE472/C472</calculatedColumnFormula>
      <totalsRowFormula>AVERAGE(Table11036[Att Gar % Base])</totalsRowFormula>
    </tableColumn>
    <tableColumn id="23" name="Porch Value" dataDxfId="6827" totalsRowDxfId="6826"/>
    <tableColumn id="53" name="Porch Sq Ft" dataDxfId="6825" totalsRowDxfId="6824"/>
    <tableColumn id="8" name="PorchVal/SqFt" dataDxfId="6823" totalsRowDxfId="6822">
      <calculatedColumnFormula>AG472/AH472</calculatedColumnFormula>
    </tableColumn>
    <tableColumn id="37" name="Porch % Base" totalsRowFunction="custom" dataDxfId="6821" totalsRowDxfId="6820">
      <calculatedColumnFormula>AI472/C472</calculatedColumnFormula>
      <totalsRowFormula>AVERAGE(Table11036[Porch % Base])</totalsRowFormula>
    </tableColumn>
    <tableColumn id="24" name="Cov Porch Value" dataDxfId="6819" totalsRowDxfId="6818"/>
    <tableColumn id="54" name="Cov Porch Sq Ft" dataDxfId="6817" totalsRowDxfId="6816"/>
    <tableColumn id="9" name="CovPrVal/SqFt" dataDxfId="6815" totalsRowDxfId="6814">
      <calculatedColumnFormula>AK472/AL472</calculatedColumnFormula>
    </tableColumn>
    <tableColumn id="38" name="Cov Porch % Base" totalsRowFunction="custom" dataDxfId="6813" totalsRowDxfId="6812">
      <calculatedColumnFormula>AM472/C472</calculatedColumnFormula>
      <totalsRowFormula>AVERAGE(Table11036[Cov Porch % Base])</totalsRowFormula>
    </tableColumn>
    <tableColumn id="25" name="Deck Value" dataDxfId="6811" totalsRowDxfId="6810"/>
    <tableColumn id="55" name="Deck Sq Ft" dataDxfId="6809" totalsRowDxfId="6808"/>
    <tableColumn id="10" name="DeckVal/SqFt" dataDxfId="6807" totalsRowDxfId="6806">
      <calculatedColumnFormula>AO472/AP472</calculatedColumnFormula>
    </tableColumn>
    <tableColumn id="39" name="Deck % Base" totalsRowFunction="custom" dataDxfId="6805" totalsRowDxfId="6804">
      <calculatedColumnFormula>AQ472/C472</calculatedColumnFormula>
      <totalsRowFormula>AVERAGE(Table11036[Deck % Base])</totalsRowFormula>
    </tableColumn>
    <tableColumn id="26" name="Cov Deck Value" dataDxfId="6803" totalsRowDxfId="6802"/>
    <tableColumn id="56" name="CovDeck Sq Ft" dataDxfId="6801" totalsRowDxfId="6800"/>
    <tableColumn id="11" name="CovDeckVal/SqFt" totalsRowFunction="custom" dataDxfId="6799" totalsRowDxfId="6798">
      <calculatedColumnFormula>AS472/AT472</calculatedColumnFormula>
      <totalsRowFormula>AVERAGE(Table11036[CovDeckVal/SqFt])</totalsRowFormula>
    </tableColumn>
    <tableColumn id="40" name="CovDeck % Base" totalsRowFunction="custom" dataDxfId="6797" totalsRowDxfId="6796">
      <calculatedColumnFormula>AU472/C472</calculatedColumnFormula>
      <totalsRowFormula>AVERAGE(Table11036[CovDeck % Base])</totalsRowFormula>
    </tableColumn>
    <tableColumn id="27" name="CarP Value" dataDxfId="6795" totalsRowDxfId="6794"/>
    <tableColumn id="57" name="CarP Sq Ft" dataDxfId="6793" totalsRowDxfId="6792"/>
    <tableColumn id="12" name="CarPVal/SqFt" dataDxfId="6791" totalsRowDxfId="6790">
      <calculatedColumnFormula>AW472/AX472</calculatedColumnFormula>
    </tableColumn>
    <tableColumn id="41" name="CarP % Base" totalsRowFunction="custom" dataDxfId="6789" totalsRowDxfId="6788">
      <calculatedColumnFormula>AY472/C472</calculatedColumnFormula>
      <totalsRowFormula>AVERAGE(Table11036[CarP % Base])</totalsRowFormula>
    </tableColumn>
    <tableColumn id="28" name="EFP Value" dataDxfId="6787" totalsRowDxfId="6786"/>
    <tableColumn id="58" name="EFP Sq Ft" dataDxfId="6785" totalsRowDxfId="6784"/>
    <tableColumn id="15" name="EFPVal/SqFt" dataDxfId="6783" totalsRowDxfId="6782">
      <calculatedColumnFormula>BA472/BB472</calculatedColumnFormula>
    </tableColumn>
    <tableColumn id="29" name="EFP % Base" totalsRowFunction="custom" dataDxfId="6781" totalsRowDxfId="6780">
      <calculatedColumnFormula>BC472/C472</calculatedColumnFormula>
      <totalsRowFormula>AVERAGE(Table11036[EFP % Base])</totalsRowFormula>
    </tableColumn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id="42" name="Table11037" displayName="Table11037" ref="A483:BD491" totalsRowCount="1" headerRowDxfId="6779">
  <tableColumns count="56">
    <tableColumn id="1" name="  Grade" dataDxfId="6778" totalsRowDxfId="6777"/>
    <tableColumn id="13" name="Main Area $" dataDxfId="6776" totalsRowDxfId="6775"/>
    <tableColumn id="45" name="MA $/Sq Ft" totalsRowFunction="custom" dataDxfId="6774" totalsRowDxfId="6773">
      <calculatedColumnFormula>B484/F481</calculatedColumnFormula>
      <totalsRowFormula>AVERAGE(Table11037[MA $/Sq Ft])</totalsRowFormula>
    </tableColumn>
    <tableColumn id="16" name="Basic Allowance" totalsRowFunction="custom" dataDxfId="6772" totalsRowDxfId="6771">
      <totalsRowFormula>AVERAGE(Table11037[Basic Allowance])</totalsRowFormula>
    </tableColumn>
    <tableColumn id="43" name="BsmtVal" dataDxfId="6770" totalsRowDxfId="6769"/>
    <tableColumn id="46" name="Bsmt SqFt" dataDxfId="6768" totalsRowDxfId="6767"/>
    <tableColumn id="2" name="BsmtVal/Sq Ft" dataDxfId="6766" totalsRowDxfId="6765">
      <calculatedColumnFormula>E484/F484</calculatedColumnFormula>
    </tableColumn>
    <tableColumn id="17" name="Bsmt % Base" totalsRowFunction="custom" dataDxfId="6764" totalsRowDxfId="6763">
      <calculatedColumnFormula>G484/C484</calculatedColumnFormula>
      <totalsRowFormula>AVERAGE(Table11037[Bsmt % Base])</totalsRowFormula>
    </tableColumn>
    <tableColumn id="30" name="UnfBsmtVal" dataDxfId="6762" totalsRowDxfId="6761"/>
    <tableColumn id="47" name="UnfBsmt Sq Ft" dataDxfId="6760" totalsRowDxfId="6759"/>
    <tableColumn id="3" name="UnfBsmtVal/SqFt" dataDxfId="6758" totalsRowDxfId="6757">
      <calculatedColumnFormula>I484/J484</calculatedColumnFormula>
    </tableColumn>
    <tableColumn id="44" name="UnfBsmt % Base" totalsRowFunction="custom" dataDxfId="6756" totalsRowDxfId="6755">
      <calculatedColumnFormula>K484/C484</calculatedColumnFormula>
      <totalsRowFormula>AVERAGE(Table11037[[#Headers],[#Data],[UnfBsmt % Base]])</totalsRowFormula>
    </tableColumn>
    <tableColumn id="31" name="Lower Value" dataDxfId="6754" totalsRowDxfId="6753"/>
    <tableColumn id="48" name="Lower Sq Ft" dataDxfId="6752" totalsRowDxfId="6751"/>
    <tableColumn id="4" name="LowerVal/SqFt" totalsRowFunction="custom" dataDxfId="6750" totalsRowDxfId="6749">
      <calculatedColumnFormula>M484/N484</calculatedColumnFormula>
      <totalsRowFormula>AVERAGE(Table11037[LowerVal/SqFt])</totalsRowFormula>
    </tableColumn>
    <tableColumn id="32" name="Lower % Base" totalsRowFunction="custom" dataDxfId="6748" totalsRowDxfId="6747">
      <calculatedColumnFormula>O484/C484</calculatedColumnFormula>
      <totalsRowFormula>AVERAGE(Table11037[Lower % Base])</totalsRowFormula>
    </tableColumn>
    <tableColumn id="19" name="Unf Lower Value" dataDxfId="6746" totalsRowDxfId="6745"/>
    <tableColumn id="49" name="UnfLower Sq Ft" dataDxfId="6744" totalsRowDxfId="6743"/>
    <tableColumn id="14" name="UnfLowVal/SqFt2" dataDxfId="6742" totalsRowDxfId="6741">
      <calculatedColumnFormula>Q484/R484</calculatedColumnFormula>
    </tableColumn>
    <tableColumn id="33" name="Unf Lower % Base" totalsRowFunction="custom" dataDxfId="6740" totalsRowDxfId="6739">
      <calculatedColumnFormula>S484/C484</calculatedColumnFormula>
      <totalsRowFormula>AVERAGE(Table11037[Unf Lower % Base])</totalsRowFormula>
    </tableColumn>
    <tableColumn id="20" name="1/2 Story Value" dataDxfId="6738" totalsRowDxfId="6737"/>
    <tableColumn id="50" name="1/2 Story Sq Ft" dataDxfId="6736" totalsRowDxfId="6735"/>
    <tableColumn id="5" name="1/2 StoryVal/SqFt" dataDxfId="6734" totalsRowDxfId="6733">
      <calculatedColumnFormula>U484/V484</calculatedColumnFormula>
    </tableColumn>
    <tableColumn id="34" name="1/2 Story % Base" totalsRowFunction="custom" dataDxfId="6732" totalsRowDxfId="6731">
      <calculatedColumnFormula>W484/C484</calculatedColumnFormula>
      <totalsRowFormula>AVERAGE(Table11037[1/2 Story % Base])</totalsRowFormula>
    </tableColumn>
    <tableColumn id="21" name="2nd Story Value" dataDxfId="6730" totalsRowDxfId="6729"/>
    <tableColumn id="51" name="2nd Sty Sq Ft" dataDxfId="6728" totalsRowDxfId="6727"/>
    <tableColumn id="6" name="2ndStyVal/Sqft" dataDxfId="6726" totalsRowDxfId="6725">
      <calculatedColumnFormula>Y484/Z484</calculatedColumnFormula>
    </tableColumn>
    <tableColumn id="35" name="2nd Story % Base" totalsRowFunction="custom" dataDxfId="6724" totalsRowDxfId="6723">
      <calculatedColumnFormula>AA484/C484</calculatedColumnFormula>
      <totalsRowFormula>AVERAGE(Table11037[2nd Story % Base])</totalsRowFormula>
    </tableColumn>
    <tableColumn id="22" name="Att Gar Value" dataDxfId="6722" totalsRowDxfId="6721"/>
    <tableColumn id="52" name="Att Gar Sq Ft" dataDxfId="6720" totalsRowDxfId="6719"/>
    <tableColumn id="7" name="AttGarVal/SqFt" totalsRowFunction="custom" dataDxfId="6718" totalsRowDxfId="6717">
      <calculatedColumnFormula>AC484/AD484</calculatedColumnFormula>
      <totalsRowFormula>AVERAGE(Table11037[AttGarVal/SqFt])</totalsRowFormula>
    </tableColumn>
    <tableColumn id="36" name="Att Gar % Base" totalsRowFunction="custom" dataDxfId="6716" totalsRowDxfId="6715">
      <calculatedColumnFormula>AE484/C484</calculatedColumnFormula>
      <totalsRowFormula>AVERAGE(Table11037[Att Gar % Base])</totalsRowFormula>
    </tableColumn>
    <tableColumn id="23" name="Porch Value" dataDxfId="6714" totalsRowDxfId="6713"/>
    <tableColumn id="53" name="Porch Sq Ft" dataDxfId="6712" totalsRowDxfId="6711"/>
    <tableColumn id="8" name="PorchVal/SqFt" dataDxfId="6710" totalsRowDxfId="6709">
      <calculatedColumnFormula>AG484/AH484</calculatedColumnFormula>
    </tableColumn>
    <tableColumn id="37" name="Porch % Base" totalsRowFunction="custom" dataDxfId="6708" totalsRowDxfId="6707">
      <calculatedColumnFormula>AI484/C484</calculatedColumnFormula>
      <totalsRowFormula>AVERAGE(Table11037[Porch % Base])</totalsRowFormula>
    </tableColumn>
    <tableColumn id="24" name="Cov Porch Value" dataDxfId="6706" totalsRowDxfId="6705"/>
    <tableColumn id="54" name="Cov Porch Sq Ft" dataDxfId="6704" totalsRowDxfId="6703"/>
    <tableColumn id="9" name="CovPrVal/SqFt" dataDxfId="6702" totalsRowDxfId="6701">
      <calculatedColumnFormula>AK484/AL484</calculatedColumnFormula>
    </tableColumn>
    <tableColumn id="38" name="Cov Porch % Base" totalsRowFunction="custom" dataDxfId="6700" totalsRowDxfId="6699">
      <calculatedColumnFormula>AM484/C484</calculatedColumnFormula>
      <totalsRowFormula>AVERAGE(Table11037[Cov Porch % Base])</totalsRowFormula>
    </tableColumn>
    <tableColumn id="25" name="Deck Value" dataDxfId="6698" totalsRowDxfId="6697"/>
    <tableColumn id="55" name="Deck Sq Ft" dataDxfId="6696" totalsRowDxfId="6695"/>
    <tableColumn id="10" name="DeckVal/SqFt" dataDxfId="6694" totalsRowDxfId="6693">
      <calculatedColumnFormula>AO484/AP484</calculatedColumnFormula>
    </tableColumn>
    <tableColumn id="39" name="Deck % Base" totalsRowFunction="custom" dataDxfId="6692" totalsRowDxfId="6691">
      <calculatedColumnFormula>AQ484/C484</calculatedColumnFormula>
      <totalsRowFormula>AVERAGE(Table11037[Deck % Base])</totalsRowFormula>
    </tableColumn>
    <tableColumn id="26" name="Cov Deck Value" dataDxfId="6690" totalsRowDxfId="6689"/>
    <tableColumn id="56" name="CovDeck Sq Ft" dataDxfId="6688" totalsRowDxfId="6687"/>
    <tableColumn id="11" name="CovDeckVal/SqFt" totalsRowFunction="custom" dataDxfId="6686" totalsRowDxfId="6685">
      <calculatedColumnFormula>AS484/AT484</calculatedColumnFormula>
      <totalsRowFormula>AVERAGE(Table11037[CovDeckVal/SqFt])</totalsRowFormula>
    </tableColumn>
    <tableColumn id="40" name="CovDeck % Base" totalsRowFunction="custom" dataDxfId="6684" totalsRowDxfId="6683">
      <calculatedColumnFormula>AU484/C484</calculatedColumnFormula>
      <totalsRowFormula>AVERAGE(Table11037[CovDeck % Base])</totalsRowFormula>
    </tableColumn>
    <tableColumn id="27" name="CarP Value" dataDxfId="6682" totalsRowDxfId="6681"/>
    <tableColumn id="57" name="CarP Sq Ft" dataDxfId="6680" totalsRowDxfId="6679"/>
    <tableColumn id="12" name="CarPVal/SqFt" dataDxfId="6678" totalsRowDxfId="6677">
      <calculatedColumnFormula>AW484/AX484</calculatedColumnFormula>
    </tableColumn>
    <tableColumn id="41" name="CarP % Base" totalsRowFunction="custom" dataDxfId="6676" totalsRowDxfId="6675">
      <calculatedColumnFormula>AY484/C484</calculatedColumnFormula>
      <totalsRowFormula>AVERAGE(Table11037[CarP % Base])</totalsRowFormula>
    </tableColumn>
    <tableColumn id="28" name="EFP Value" dataDxfId="6674" totalsRowDxfId="6673"/>
    <tableColumn id="58" name="EFP Sq Ft" dataDxfId="6672" totalsRowDxfId="6671"/>
    <tableColumn id="15" name="EFPVal/SqFt" dataDxfId="6670" totalsRowDxfId="6669">
      <calculatedColumnFormula>BA484/BB484</calculatedColumnFormula>
    </tableColumn>
    <tableColumn id="29" name="EFP % Base" totalsRowFunction="custom" dataDxfId="6668" totalsRowDxfId="6667">
      <calculatedColumnFormula>BC484/C484</calculatedColumnFormula>
      <totalsRowFormula>AVERAGE(Table11037[EFP % Base])</totalsRowFormula>
    </tableColumn>
  </tableColumns>
  <tableStyleInfo name="TableStyleMedium1" showFirstColumn="0" showLastColumn="0" showRowStripes="1" showColumnStripes="0"/>
</table>
</file>

<file path=xl/tables/table42.xml><?xml version="1.0" encoding="utf-8"?>
<table xmlns="http://schemas.openxmlformats.org/spreadsheetml/2006/main" id="43" name="Table11038" displayName="Table11038" ref="A495:BD503" totalsRowCount="1" headerRowDxfId="6666">
  <tableColumns count="56">
    <tableColumn id="1" name="  Grade" dataDxfId="6665" totalsRowDxfId="6664"/>
    <tableColumn id="13" name="Main Area $" dataDxfId="6663" totalsRowDxfId="6662"/>
    <tableColumn id="45" name="MA $/Sq Ft" totalsRowFunction="custom" dataDxfId="6661" totalsRowDxfId="6660">
      <calculatedColumnFormula>B496/F493</calculatedColumnFormula>
      <totalsRowFormula>AVERAGE(Table11038[MA $/Sq Ft])</totalsRowFormula>
    </tableColumn>
    <tableColumn id="16" name="Basic Allowance" totalsRowFunction="custom" dataDxfId="6659" totalsRowDxfId="6658">
      <totalsRowFormula>AVERAGE(Table11038[Basic Allowance])</totalsRowFormula>
    </tableColumn>
    <tableColumn id="43" name="BsmtVal" dataDxfId="6657" totalsRowDxfId="6656"/>
    <tableColumn id="46" name="Bsmt SqFt" dataDxfId="6655" totalsRowDxfId="6654"/>
    <tableColumn id="2" name="BsmtVal/Sq Ft" dataDxfId="6653" totalsRowDxfId="6652">
      <calculatedColumnFormula>E496/F496</calculatedColumnFormula>
    </tableColumn>
    <tableColumn id="17" name="Bsmt % Base" totalsRowFunction="custom" dataDxfId="6651" totalsRowDxfId="6650">
      <calculatedColumnFormula>G496/C496</calculatedColumnFormula>
      <totalsRowFormula>AVERAGE(Table11038[Bsmt % Base])</totalsRowFormula>
    </tableColumn>
    <tableColumn id="30" name="UnfBsmtVal" dataDxfId="6649" totalsRowDxfId="6648"/>
    <tableColumn id="47" name="UnfBsmt Sq Ft" dataDxfId="6647" totalsRowDxfId="6646"/>
    <tableColumn id="3" name="UnfBsmtVal/SqFt" dataDxfId="6645" totalsRowDxfId="6644">
      <calculatedColumnFormula>I496/J496</calculatedColumnFormula>
    </tableColumn>
    <tableColumn id="44" name="UnfBsmt % Base" totalsRowFunction="custom" dataDxfId="6643" totalsRowDxfId="6642">
      <calculatedColumnFormula>K496/C496</calculatedColumnFormula>
      <totalsRowFormula>AVERAGE(Table11038[[#Headers],[#Data],[UnfBsmt % Base]])</totalsRowFormula>
    </tableColumn>
    <tableColumn id="31" name="Lower Value" dataDxfId="6641" totalsRowDxfId="6640"/>
    <tableColumn id="48" name="Lower Sq Ft" dataDxfId="6639" totalsRowDxfId="6638"/>
    <tableColumn id="4" name="LowerVal/SqFt" totalsRowFunction="custom" dataDxfId="6637" totalsRowDxfId="6636">
      <calculatedColumnFormula>M496/N496</calculatedColumnFormula>
      <totalsRowFormula>AVERAGE(Table11038[LowerVal/SqFt])</totalsRowFormula>
    </tableColumn>
    <tableColumn id="32" name="Lower % Base" totalsRowFunction="custom" dataDxfId="6635" totalsRowDxfId="6634">
      <calculatedColumnFormula>O496/C496</calculatedColumnFormula>
      <totalsRowFormula>AVERAGE(Table11038[Lower % Base])</totalsRowFormula>
    </tableColumn>
    <tableColumn id="19" name="Unf Lower Value" dataDxfId="6633" totalsRowDxfId="6632"/>
    <tableColumn id="49" name="UnfLower Sq Ft" dataDxfId="6631" totalsRowDxfId="6630"/>
    <tableColumn id="14" name="UnfLowVal/SqFt2" dataDxfId="6629" totalsRowDxfId="6628">
      <calculatedColumnFormula>Q496/R496</calculatedColumnFormula>
    </tableColumn>
    <tableColumn id="33" name="Unf Lower % Base" totalsRowFunction="custom" dataDxfId="6627" totalsRowDxfId="6626">
      <calculatedColumnFormula>S496/C496</calculatedColumnFormula>
      <totalsRowFormula>AVERAGE(Table11038[Unf Lower % Base])</totalsRowFormula>
    </tableColumn>
    <tableColumn id="20" name="1/2 Story Value" dataDxfId="6625" totalsRowDxfId="6624"/>
    <tableColumn id="50" name="1/2 Story Sq Ft" dataDxfId="6623" totalsRowDxfId="6622"/>
    <tableColumn id="5" name="1/2 StoryVal/SqFt" dataDxfId="6621" totalsRowDxfId="6620">
      <calculatedColumnFormula>U496/V496</calculatedColumnFormula>
    </tableColumn>
    <tableColumn id="34" name="1/2 Story % Base" totalsRowFunction="custom" dataDxfId="6619" totalsRowDxfId="6618">
      <calculatedColumnFormula>W496/C496</calculatedColumnFormula>
      <totalsRowFormula>AVERAGE(Table11038[1/2 Story % Base])</totalsRowFormula>
    </tableColumn>
    <tableColumn id="21" name="2nd Story Value" dataDxfId="6617" totalsRowDxfId="6616"/>
    <tableColumn id="51" name="2nd Sty Sq Ft" dataDxfId="6615" totalsRowDxfId="6614"/>
    <tableColumn id="6" name="2ndStyVal/Sqft" dataDxfId="6613" totalsRowDxfId="6612">
      <calculatedColumnFormula>Y496/Z496</calculatedColumnFormula>
    </tableColumn>
    <tableColumn id="35" name="2nd Story % Base" totalsRowFunction="custom" dataDxfId="6611" totalsRowDxfId="6610">
      <calculatedColumnFormula>AA496/C496</calculatedColumnFormula>
      <totalsRowFormula>AVERAGE(Table11038[2nd Story % Base])</totalsRowFormula>
    </tableColumn>
    <tableColumn id="22" name="Att Gar Value" dataDxfId="6609" totalsRowDxfId="6608"/>
    <tableColumn id="52" name="Att Gar Sq Ft" dataDxfId="6607" totalsRowDxfId="6606"/>
    <tableColumn id="7" name="AttGarVal/SqFt" totalsRowFunction="custom" dataDxfId="6605" totalsRowDxfId="6604">
      <calculatedColumnFormula>AC496/AD496</calculatedColumnFormula>
      <totalsRowFormula>AVERAGE(Table11038[AttGarVal/SqFt])</totalsRowFormula>
    </tableColumn>
    <tableColumn id="36" name="Att Gar % Base" totalsRowFunction="custom" dataDxfId="6603" totalsRowDxfId="6602">
      <calculatedColumnFormula>AE496/C496</calculatedColumnFormula>
      <totalsRowFormula>AVERAGE(Table11038[Att Gar % Base])</totalsRowFormula>
    </tableColumn>
    <tableColumn id="23" name="Porch Value" dataDxfId="6601" totalsRowDxfId="6600"/>
    <tableColumn id="53" name="Porch Sq Ft" dataDxfId="6599" totalsRowDxfId="6598"/>
    <tableColumn id="8" name="PorchVal/SqFt" dataDxfId="6597" totalsRowDxfId="6596">
      <calculatedColumnFormula>AG496/AH496</calculatedColumnFormula>
    </tableColumn>
    <tableColumn id="37" name="Porch % Base" totalsRowFunction="custom" dataDxfId="6595" totalsRowDxfId="6594">
      <calculatedColumnFormula>AI496/C496</calculatedColumnFormula>
      <totalsRowFormula>AVERAGE(Table11038[Porch % Base])</totalsRowFormula>
    </tableColumn>
    <tableColumn id="24" name="Cov Porch Value" dataDxfId="6593" totalsRowDxfId="6592"/>
    <tableColumn id="54" name="Cov Porch Sq Ft" dataDxfId="6591" totalsRowDxfId="6590"/>
    <tableColumn id="9" name="CovPrVal/SqFt" dataDxfId="6589" totalsRowDxfId="6588">
      <calculatedColumnFormula>AK496/AL496</calculatedColumnFormula>
    </tableColumn>
    <tableColumn id="38" name="Cov Porch % Base" totalsRowFunction="custom" dataDxfId="6587" totalsRowDxfId="6586">
      <calculatedColumnFormula>AM496/C496</calculatedColumnFormula>
      <totalsRowFormula>AVERAGE(Table11038[Cov Porch % Base])</totalsRowFormula>
    </tableColumn>
    <tableColumn id="25" name="Deck Value" dataDxfId="6585" totalsRowDxfId="6584"/>
    <tableColumn id="55" name="Deck Sq Ft" dataDxfId="6583" totalsRowDxfId="6582"/>
    <tableColumn id="10" name="DeckVal/SqFt" dataDxfId="6581" totalsRowDxfId="6580">
      <calculatedColumnFormula>AO496/AP496</calculatedColumnFormula>
    </tableColumn>
    <tableColumn id="39" name="Deck % Base" totalsRowFunction="custom" dataDxfId="6579" totalsRowDxfId="6578">
      <calculatedColumnFormula>AQ496/C496</calculatedColumnFormula>
      <totalsRowFormula>AVERAGE(Table11038[Deck % Base])</totalsRowFormula>
    </tableColumn>
    <tableColumn id="26" name="Cov Deck Value" dataDxfId="6577" totalsRowDxfId="6576"/>
    <tableColumn id="56" name="CovDeck Sq Ft" dataDxfId="6575" totalsRowDxfId="6574"/>
    <tableColumn id="11" name="CovDeckVal/SqFt" totalsRowFunction="custom" dataDxfId="6573" totalsRowDxfId="6572">
      <calculatedColumnFormula>AS496/AT496</calculatedColumnFormula>
      <totalsRowFormula>AVERAGE(Table11038[CovDeckVal/SqFt])</totalsRowFormula>
    </tableColumn>
    <tableColumn id="40" name="CovDeck % Base" totalsRowFunction="custom" dataDxfId="6571" totalsRowDxfId="6570">
      <calculatedColumnFormula>AU496/C496</calculatedColumnFormula>
      <totalsRowFormula>AVERAGE(Table11038[CovDeck % Base])</totalsRowFormula>
    </tableColumn>
    <tableColumn id="27" name="CarP Value" dataDxfId="6569" totalsRowDxfId="6568"/>
    <tableColumn id="57" name="CarP Sq Ft" dataDxfId="6567" totalsRowDxfId="6566"/>
    <tableColumn id="12" name="CarPVal/SqFt" dataDxfId="6565" totalsRowDxfId="6564">
      <calculatedColumnFormula>AW496/AX496</calculatedColumnFormula>
    </tableColumn>
    <tableColumn id="41" name="CarP % Base" totalsRowFunction="custom" dataDxfId="6563" totalsRowDxfId="6562">
      <calculatedColumnFormula>AY496/C496</calculatedColumnFormula>
      <totalsRowFormula>AVERAGE(Table11038[CarP % Base])</totalsRowFormula>
    </tableColumn>
    <tableColumn id="28" name="EFP Value" dataDxfId="6561" totalsRowDxfId="6560"/>
    <tableColumn id="58" name="EFP Sq Ft" dataDxfId="6559" totalsRowDxfId="6558"/>
    <tableColumn id="15" name="EFPVal/SqFt" dataDxfId="6557" totalsRowDxfId="6556">
      <calculatedColumnFormula>BA496/BB496</calculatedColumnFormula>
    </tableColumn>
    <tableColumn id="29" name="EFP % Base" totalsRowFunction="custom" dataDxfId="6555" totalsRowDxfId="6554">
      <calculatedColumnFormula>BC496/C496</calculatedColumnFormula>
      <totalsRowFormula>AVERAGE(Table11038[EFP % Base])</totalsRowFormula>
    </tableColumn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id="44" name="Table11039" displayName="Table11039" ref="A507:BD515" totalsRowCount="1" headerRowDxfId="6553">
  <tableColumns count="56">
    <tableColumn id="1" name="  Grade" dataDxfId="6552" totalsRowDxfId="6551"/>
    <tableColumn id="13" name="Main Area $" dataDxfId="6550" totalsRowDxfId="6549"/>
    <tableColumn id="45" name="MA $/Sq Ft" totalsRowFunction="custom" dataDxfId="6548" totalsRowDxfId="6547">
      <calculatedColumnFormula>B508/F505</calculatedColumnFormula>
      <totalsRowFormula>AVERAGE(Table11039[MA $/Sq Ft])</totalsRowFormula>
    </tableColumn>
    <tableColumn id="16" name="Basic Allowance" totalsRowFunction="custom" dataDxfId="6546" totalsRowDxfId="6545">
      <totalsRowFormula>AVERAGE(Table11039[Basic Allowance])</totalsRowFormula>
    </tableColumn>
    <tableColumn id="43" name="BsmtVal" dataDxfId="6544" totalsRowDxfId="6543"/>
    <tableColumn id="46" name="Bsmt SqFt" dataDxfId="6542" totalsRowDxfId="6541"/>
    <tableColumn id="2" name="BsmtVal/Sq Ft" dataDxfId="6540" totalsRowDxfId="6539">
      <calculatedColumnFormula>E508/F508</calculatedColumnFormula>
    </tableColumn>
    <tableColumn id="17" name="Bsmt % Base" totalsRowFunction="custom" dataDxfId="6538" totalsRowDxfId="6537">
      <calculatedColumnFormula>G508/C508</calculatedColumnFormula>
      <totalsRowFormula>AVERAGE(Table11039[Bsmt % Base])</totalsRowFormula>
    </tableColumn>
    <tableColumn id="30" name="UnfBsmtVal" dataDxfId="6536" totalsRowDxfId="6535"/>
    <tableColumn id="47" name="UnfBsmt Sq Ft" dataDxfId="6534" totalsRowDxfId="6533"/>
    <tableColumn id="3" name="UnfBsmtVal/SqFt" dataDxfId="6532" totalsRowDxfId="6531">
      <calculatedColumnFormula>I508/J508</calculatedColumnFormula>
    </tableColumn>
    <tableColumn id="44" name="UnfBsmt % Base" totalsRowFunction="custom" dataDxfId="6530" totalsRowDxfId="6529">
      <calculatedColumnFormula>K508/C508</calculatedColumnFormula>
      <totalsRowFormula>AVERAGE(Table11039[[#Headers],[#Data],[UnfBsmt % Base]])</totalsRowFormula>
    </tableColumn>
    <tableColumn id="31" name="Lower Value" dataDxfId="6528" totalsRowDxfId="6527"/>
    <tableColumn id="48" name="Lower Sq Ft" dataDxfId="6526" totalsRowDxfId="6525"/>
    <tableColumn id="4" name="LowerVal/SqFt" totalsRowFunction="custom" dataDxfId="6524" totalsRowDxfId="6523">
      <calculatedColumnFormula>M508/N508</calculatedColumnFormula>
      <totalsRowFormula>AVERAGE(Table11039[LowerVal/SqFt])</totalsRowFormula>
    </tableColumn>
    <tableColumn id="32" name="Lower % Base" totalsRowFunction="custom" dataDxfId="6522" totalsRowDxfId="6521">
      <calculatedColumnFormula>O508/C508</calculatedColumnFormula>
      <totalsRowFormula>AVERAGE(Table11039[Lower % Base])</totalsRowFormula>
    </tableColumn>
    <tableColumn id="19" name="Unf Lower Value" dataDxfId="6520" totalsRowDxfId="6519"/>
    <tableColumn id="49" name="UnfLower Sq Ft" dataDxfId="6518" totalsRowDxfId="6517"/>
    <tableColumn id="14" name="UnfLowVal/SqFt2" dataDxfId="6516" totalsRowDxfId="6515">
      <calculatedColumnFormula>Q508/R508</calculatedColumnFormula>
    </tableColumn>
    <tableColumn id="33" name="Unf Lower % Base" totalsRowFunction="custom" dataDxfId="6514" totalsRowDxfId="6513">
      <calculatedColumnFormula>S508/C508</calculatedColumnFormula>
      <totalsRowFormula>AVERAGE(Table11039[Unf Lower % Base])</totalsRowFormula>
    </tableColumn>
    <tableColumn id="20" name="1/2 Story Value" dataDxfId="6512" totalsRowDxfId="6511"/>
    <tableColumn id="50" name="1/2 Story Sq Ft" dataDxfId="6510" totalsRowDxfId="6509"/>
    <tableColumn id="5" name="1/2 StoryVal/SqFt" dataDxfId="6508" totalsRowDxfId="6507">
      <calculatedColumnFormula>U508/V508</calculatedColumnFormula>
    </tableColumn>
    <tableColumn id="34" name="1/2 Story % Base" totalsRowFunction="custom" dataDxfId="6506" totalsRowDxfId="6505">
      <calculatedColumnFormula>W508/C508</calculatedColumnFormula>
      <totalsRowFormula>AVERAGE(Table11039[1/2 Story % Base])</totalsRowFormula>
    </tableColumn>
    <tableColumn id="21" name="2nd Story Value" dataDxfId="6504" totalsRowDxfId="6503"/>
    <tableColumn id="51" name="2nd Sty Sq Ft" dataDxfId="6502" totalsRowDxfId="6501"/>
    <tableColumn id="6" name="2ndStyVal/Sqft" dataDxfId="6500" totalsRowDxfId="6499">
      <calculatedColumnFormula>Y508/Z508</calculatedColumnFormula>
    </tableColumn>
    <tableColumn id="35" name="2nd Story % Base" totalsRowFunction="custom" dataDxfId="6498" totalsRowDxfId="6497">
      <calculatedColumnFormula>AA508/C508</calculatedColumnFormula>
      <totalsRowFormula>AVERAGE(Table11039[2nd Story % Base])</totalsRowFormula>
    </tableColumn>
    <tableColumn id="22" name="Att Gar Value" dataDxfId="6496" totalsRowDxfId="6495"/>
    <tableColumn id="52" name="Att Gar Sq Ft" dataDxfId="6494" totalsRowDxfId="6493"/>
    <tableColumn id="7" name="AttGarVal/SqFt" totalsRowFunction="custom" dataDxfId="6492" totalsRowDxfId="6491">
      <calculatedColumnFormula>AC508/AD508</calculatedColumnFormula>
      <totalsRowFormula>AVERAGE(Table11039[AttGarVal/SqFt])</totalsRowFormula>
    </tableColumn>
    <tableColumn id="36" name="Att Gar % Base" totalsRowFunction="custom" dataDxfId="6490" totalsRowDxfId="6489">
      <calculatedColumnFormula>AE508/C508</calculatedColumnFormula>
      <totalsRowFormula>AVERAGE(Table11039[Att Gar % Base])</totalsRowFormula>
    </tableColumn>
    <tableColumn id="23" name="Porch Value" dataDxfId="6488" totalsRowDxfId="6487"/>
    <tableColumn id="53" name="Porch Sq Ft" dataDxfId="6486" totalsRowDxfId="6485"/>
    <tableColumn id="8" name="PorchVal/SqFt" dataDxfId="6484" totalsRowDxfId="6483">
      <calculatedColumnFormula>AG508/AH508</calculatedColumnFormula>
    </tableColumn>
    <tableColumn id="37" name="Porch % Base" totalsRowFunction="custom" dataDxfId="6482" totalsRowDxfId="6481">
      <calculatedColumnFormula>AI508/C508</calculatedColumnFormula>
      <totalsRowFormula>AVERAGE(Table11039[Porch % Base])</totalsRowFormula>
    </tableColumn>
    <tableColumn id="24" name="Cov Porch Value" dataDxfId="6480" totalsRowDxfId="6479"/>
    <tableColumn id="54" name="Cov Porch Sq Ft" dataDxfId="6478" totalsRowDxfId="6477"/>
    <tableColumn id="9" name="CovPrVal/SqFt" dataDxfId="6476" totalsRowDxfId="6475">
      <calculatedColumnFormula>AK508/AL508</calculatedColumnFormula>
    </tableColumn>
    <tableColumn id="38" name="Cov Porch % Base" totalsRowFunction="custom" dataDxfId="6474" totalsRowDxfId="6473">
      <calculatedColumnFormula>AM508/C508</calculatedColumnFormula>
      <totalsRowFormula>AVERAGE(Table11039[Cov Porch % Base])</totalsRowFormula>
    </tableColumn>
    <tableColumn id="25" name="Deck Value" dataDxfId="6472" totalsRowDxfId="6471"/>
    <tableColumn id="55" name="Deck Sq Ft" dataDxfId="6470" totalsRowDxfId="6469"/>
    <tableColumn id="10" name="DeckVal/SqFt" dataDxfId="6468" totalsRowDxfId="6467">
      <calculatedColumnFormula>AO508/AP508</calculatedColumnFormula>
    </tableColumn>
    <tableColumn id="39" name="Deck % Base" totalsRowFunction="custom" dataDxfId="6466" totalsRowDxfId="6465">
      <calculatedColumnFormula>AQ508/C508</calculatedColumnFormula>
      <totalsRowFormula>AVERAGE(Table11039[Deck % Base])</totalsRowFormula>
    </tableColumn>
    <tableColumn id="26" name="Cov Deck Value" dataDxfId="6464" totalsRowDxfId="6463"/>
    <tableColumn id="56" name="CovDeck Sq Ft" dataDxfId="6462" totalsRowDxfId="6461"/>
    <tableColumn id="11" name="CovDeckVal/SqFt" totalsRowFunction="custom" dataDxfId="6460" totalsRowDxfId="6459">
      <calculatedColumnFormula>AS508/AT508</calculatedColumnFormula>
      <totalsRowFormula>AVERAGE(Table11039[CovDeckVal/SqFt])</totalsRowFormula>
    </tableColumn>
    <tableColumn id="40" name="CovDeck % Base" totalsRowFunction="custom" dataDxfId="6458" totalsRowDxfId="6457">
      <calculatedColumnFormula>AU508/C508</calculatedColumnFormula>
      <totalsRowFormula>AVERAGE(Table11039[CovDeck % Base])</totalsRowFormula>
    </tableColumn>
    <tableColumn id="27" name="CarP Value" dataDxfId="6456" totalsRowDxfId="6455"/>
    <tableColumn id="57" name="CarP Sq Ft" dataDxfId="6454" totalsRowDxfId="6453"/>
    <tableColumn id="12" name="CarPVal/SqFt" dataDxfId="6452" totalsRowDxfId="6451">
      <calculatedColumnFormula>AW508/AX508</calculatedColumnFormula>
    </tableColumn>
    <tableColumn id="41" name="CarP % Base" totalsRowFunction="custom" dataDxfId="6450" totalsRowDxfId="6449">
      <calculatedColumnFormula>AY508/C508</calculatedColumnFormula>
      <totalsRowFormula>AVERAGE(Table11039[CarP % Base])</totalsRowFormula>
    </tableColumn>
    <tableColumn id="28" name="EFP Value" dataDxfId="6448" totalsRowDxfId="6447"/>
    <tableColumn id="58" name="EFP Sq Ft" dataDxfId="6446" totalsRowDxfId="6445"/>
    <tableColumn id="15" name="EFPVal/SqFt" dataDxfId="6444" totalsRowDxfId="6443">
      <calculatedColumnFormula>BA508/BB508</calculatedColumnFormula>
    </tableColumn>
    <tableColumn id="29" name="EFP % Base" totalsRowFunction="custom" dataDxfId="6442" totalsRowDxfId="6441">
      <calculatedColumnFormula>BC508/C508</calculatedColumnFormula>
      <totalsRowFormula>AVERAGE(Table11039[EFP % Base])</totalsRowFormula>
    </tableColumn>
  </tableColumns>
  <tableStyleInfo name="TableStyleMedium1" showFirstColumn="0" showLastColumn="0" showRowStripes="1" showColumnStripes="0"/>
</table>
</file>

<file path=xl/tables/table44.xml><?xml version="1.0" encoding="utf-8"?>
<table xmlns="http://schemas.openxmlformats.org/spreadsheetml/2006/main" id="45" name="Table11040" displayName="Table11040" ref="A519:BD527" totalsRowCount="1" headerRowDxfId="6440">
  <tableColumns count="56">
    <tableColumn id="1" name="  Grade" dataDxfId="6439" totalsRowDxfId="6438"/>
    <tableColumn id="13" name="Main Area $" dataDxfId="6437" totalsRowDxfId="6436"/>
    <tableColumn id="45" name="MA $/Sq Ft" totalsRowFunction="custom" dataDxfId="6435" totalsRowDxfId="6434">
      <calculatedColumnFormula>B520/F517</calculatedColumnFormula>
      <totalsRowFormula>AVERAGE(Table11040[MA $/Sq Ft])</totalsRowFormula>
    </tableColumn>
    <tableColumn id="16" name="Basic Allowance" totalsRowFunction="custom" dataDxfId="6433" totalsRowDxfId="6432">
      <totalsRowFormula>AVERAGE(Table11040[Basic Allowance])</totalsRowFormula>
    </tableColumn>
    <tableColumn id="43" name="BsmtVal" dataDxfId="6431" totalsRowDxfId="6430"/>
    <tableColumn id="46" name="Bsmt SqFt" dataDxfId="6429" totalsRowDxfId="6428"/>
    <tableColumn id="2" name="BsmtVal/Sq Ft" dataDxfId="6427" totalsRowDxfId="6426">
      <calculatedColumnFormula>E520/F520</calculatedColumnFormula>
    </tableColumn>
    <tableColumn id="17" name="Bsmt % Base" totalsRowFunction="custom" dataDxfId="6425" totalsRowDxfId="6424">
      <calculatedColumnFormula>G520/C520</calculatedColumnFormula>
      <totalsRowFormula>AVERAGE(Table11040[Bsmt % Base])</totalsRowFormula>
    </tableColumn>
    <tableColumn id="30" name="UnfBsmtVal" dataDxfId="6423" totalsRowDxfId="6422"/>
    <tableColumn id="47" name="UnfBsmt Sq Ft" dataDxfId="6421" totalsRowDxfId="6420"/>
    <tableColumn id="3" name="UnfBsmtVal/SqFt" dataDxfId="6419" totalsRowDxfId="6418">
      <calculatedColumnFormula>I520/J520</calculatedColumnFormula>
    </tableColumn>
    <tableColumn id="44" name="UnfBsmt % Base" totalsRowFunction="custom" dataDxfId="6417" totalsRowDxfId="6416">
      <calculatedColumnFormula>K520/C520</calculatedColumnFormula>
      <totalsRowFormula>AVERAGE(Table11040[[#Headers],[#Data],[UnfBsmt % Base]])</totalsRowFormula>
    </tableColumn>
    <tableColumn id="31" name="Lower Value" dataDxfId="6415" totalsRowDxfId="6414"/>
    <tableColumn id="48" name="Lower Sq Ft" dataDxfId="6413" totalsRowDxfId="6412"/>
    <tableColumn id="4" name="LowerVal/SqFt" totalsRowFunction="custom" dataDxfId="6411" totalsRowDxfId="6410">
      <calculatedColumnFormula>M520/N520</calculatedColumnFormula>
      <totalsRowFormula>AVERAGE(Table11040[LowerVal/SqFt])</totalsRowFormula>
    </tableColumn>
    <tableColumn id="32" name="Lower % Base" totalsRowFunction="custom" dataDxfId="6409" totalsRowDxfId="6408">
      <calculatedColumnFormula>O520/C520</calculatedColumnFormula>
      <totalsRowFormula>AVERAGE(Table11040[Lower % Base])</totalsRowFormula>
    </tableColumn>
    <tableColumn id="19" name="Unf Lower Value" dataDxfId="6407" totalsRowDxfId="6406"/>
    <tableColumn id="49" name="UnfLower Sq Ft" dataDxfId="6405" totalsRowDxfId="6404"/>
    <tableColumn id="14" name="UnfLowVal/SqFt2" dataDxfId="6403" totalsRowDxfId="6402">
      <calculatedColumnFormula>Q520/R520</calculatedColumnFormula>
    </tableColumn>
    <tableColumn id="33" name="Unf Lower % Base" totalsRowFunction="custom" dataDxfId="6401" totalsRowDxfId="6400">
      <calculatedColumnFormula>S520/C520</calculatedColumnFormula>
      <totalsRowFormula>AVERAGE(Table11040[Unf Lower % Base])</totalsRowFormula>
    </tableColumn>
    <tableColumn id="20" name="1/2 Story Value" dataDxfId="6399" totalsRowDxfId="6398"/>
    <tableColumn id="50" name="1/2 Story Sq Ft" dataDxfId="6397" totalsRowDxfId="6396"/>
    <tableColumn id="5" name="1/2 StoryVal/SqFt" dataDxfId="6395" totalsRowDxfId="6394">
      <calculatedColumnFormula>U520/V520</calculatedColumnFormula>
    </tableColumn>
    <tableColumn id="34" name="1/2 Story % Base" totalsRowFunction="custom" dataDxfId="6393" totalsRowDxfId="6392">
      <calculatedColumnFormula>W520/C520</calculatedColumnFormula>
      <totalsRowFormula>AVERAGE(Table11040[1/2 Story % Base])</totalsRowFormula>
    </tableColumn>
    <tableColumn id="21" name="2nd Story Value" dataDxfId="6391" totalsRowDxfId="6390"/>
    <tableColumn id="51" name="2nd Sty Sq Ft" dataDxfId="6389" totalsRowDxfId="6388"/>
    <tableColumn id="6" name="2ndStyVal/Sqft" dataDxfId="6387" totalsRowDxfId="6386">
      <calculatedColumnFormula>Y520/Z520</calculatedColumnFormula>
    </tableColumn>
    <tableColumn id="35" name="2nd Story % Base" totalsRowFunction="custom" dataDxfId="6385" totalsRowDxfId="6384">
      <calculatedColumnFormula>AA520/C520</calculatedColumnFormula>
      <totalsRowFormula>AVERAGE(Table11040[2nd Story % Base])</totalsRowFormula>
    </tableColumn>
    <tableColumn id="22" name="Att Gar Value" dataDxfId="6383" totalsRowDxfId="6382"/>
    <tableColumn id="52" name="Att Gar Sq Ft" dataDxfId="6381" totalsRowDxfId="6380"/>
    <tableColumn id="7" name="AttGarVal/SqFt" totalsRowFunction="custom" dataDxfId="6379" totalsRowDxfId="6378">
      <calculatedColumnFormula>AC520/AD520</calculatedColumnFormula>
      <totalsRowFormula>AVERAGE(Table11040[AttGarVal/SqFt])</totalsRowFormula>
    </tableColumn>
    <tableColumn id="36" name="Att Gar % Base" totalsRowFunction="custom" dataDxfId="6377" totalsRowDxfId="6376">
      <calculatedColumnFormula>AE520/C520</calculatedColumnFormula>
      <totalsRowFormula>AVERAGE(Table11040[Att Gar % Base])</totalsRowFormula>
    </tableColumn>
    <tableColumn id="23" name="Porch Value" dataDxfId="6375" totalsRowDxfId="6374"/>
    <tableColumn id="53" name="Porch Sq Ft" dataDxfId="6373" totalsRowDxfId="6372"/>
    <tableColumn id="8" name="PorchVal/SqFt" dataDxfId="6371" totalsRowDxfId="6370">
      <calculatedColumnFormula>AG520/AH520</calculatedColumnFormula>
    </tableColumn>
    <tableColumn id="37" name="Porch % Base" totalsRowFunction="custom" dataDxfId="6369" totalsRowDxfId="6368">
      <calculatedColumnFormula>AI520/C520</calculatedColumnFormula>
      <totalsRowFormula>AVERAGE(Table11040[Porch % Base])</totalsRowFormula>
    </tableColumn>
    <tableColumn id="24" name="Cov Porch Value" dataDxfId="6367" totalsRowDxfId="6366"/>
    <tableColumn id="54" name="Cov Porch Sq Ft" dataDxfId="6365" totalsRowDxfId="6364"/>
    <tableColumn id="9" name="CovPrVal/SqFt" dataDxfId="6363" totalsRowDxfId="6362">
      <calculatedColumnFormula>AK520/AL520</calculatedColumnFormula>
    </tableColumn>
    <tableColumn id="38" name="Cov Porch % Base" totalsRowFunction="custom" dataDxfId="6361" totalsRowDxfId="6360">
      <calculatedColumnFormula>AM520/C520</calculatedColumnFormula>
      <totalsRowFormula>AVERAGE(Table11040[Cov Porch % Base])</totalsRowFormula>
    </tableColumn>
    <tableColumn id="25" name="Deck Value" dataDxfId="6359" totalsRowDxfId="6358"/>
    <tableColumn id="55" name="Deck Sq Ft" dataDxfId="6357" totalsRowDxfId="6356"/>
    <tableColumn id="10" name="DeckVal/SqFt" dataDxfId="6355" totalsRowDxfId="6354">
      <calculatedColumnFormula>AO520/AP520</calculatedColumnFormula>
    </tableColumn>
    <tableColumn id="39" name="Deck % Base" totalsRowFunction="custom" dataDxfId="6353" totalsRowDxfId="6352">
      <calculatedColumnFormula>AQ520/C520</calculatedColumnFormula>
      <totalsRowFormula>AVERAGE(Table11040[Deck % Base])</totalsRowFormula>
    </tableColumn>
    <tableColumn id="26" name="Cov Deck Value" dataDxfId="6351" totalsRowDxfId="6350"/>
    <tableColumn id="56" name="CovDeck Sq Ft" dataDxfId="6349" totalsRowDxfId="6348"/>
    <tableColumn id="11" name="CovDeckVal/SqFt" totalsRowFunction="custom" dataDxfId="6347" totalsRowDxfId="6346">
      <calculatedColumnFormula>AS520/AT520</calculatedColumnFormula>
      <totalsRowFormula>AVERAGE(Table11040[CovDeckVal/SqFt])</totalsRowFormula>
    </tableColumn>
    <tableColumn id="40" name="CovDeck % Base" totalsRowFunction="custom" dataDxfId="6345" totalsRowDxfId="6344">
      <calculatedColumnFormula>AU520/C520</calculatedColumnFormula>
      <totalsRowFormula>AVERAGE(Table11040[CovDeck % Base])</totalsRowFormula>
    </tableColumn>
    <tableColumn id="27" name="CarP Value" dataDxfId="6343" totalsRowDxfId="6342"/>
    <tableColumn id="57" name="CarP Sq Ft" dataDxfId="6341" totalsRowDxfId="6340"/>
    <tableColumn id="12" name="CarPVal/SqFt" dataDxfId="6339" totalsRowDxfId="6338">
      <calculatedColumnFormula>AW520/AX520</calculatedColumnFormula>
    </tableColumn>
    <tableColumn id="41" name="CarP % Base" totalsRowFunction="custom" dataDxfId="6337" totalsRowDxfId="6336">
      <calculatedColumnFormula>AY520/C520</calculatedColumnFormula>
      <totalsRowFormula>AVERAGE(Table11040[CarP % Base])</totalsRowFormula>
    </tableColumn>
    <tableColumn id="28" name="EFP Value" dataDxfId="6335" totalsRowDxfId="6334"/>
    <tableColumn id="58" name="EFP Sq Ft" dataDxfId="6333" totalsRowDxfId="6332"/>
    <tableColumn id="15" name="EFPVal/SqFt" dataDxfId="6331" totalsRowDxfId="6330">
      <calculatedColumnFormula>BA520/BB520</calculatedColumnFormula>
    </tableColumn>
    <tableColumn id="29" name="EFP % Base" totalsRowFunction="custom" dataDxfId="6329" totalsRowDxfId="6328">
      <calculatedColumnFormula>BC520/C520</calculatedColumnFormula>
      <totalsRowFormula>AVERAGE(Table11040[EFP % Base])</totalsRowFormula>
    </tableColumn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id="46" name="Table11041" displayName="Table11041" ref="A531:BD539" totalsRowCount="1" headerRowDxfId="6327">
  <tableColumns count="56">
    <tableColumn id="1" name="  Grade" dataDxfId="6326" totalsRowDxfId="6325"/>
    <tableColumn id="13" name="Main Area $" dataDxfId="6324" totalsRowDxfId="6323"/>
    <tableColumn id="45" name="MA $/Sq Ft" totalsRowFunction="custom" dataDxfId="6322" totalsRowDxfId="6321">
      <calculatedColumnFormula>B532/F529</calculatedColumnFormula>
      <totalsRowFormula>AVERAGE(Table11041[MA $/Sq Ft])</totalsRowFormula>
    </tableColumn>
    <tableColumn id="16" name="Basic Allowance" totalsRowFunction="custom" dataDxfId="6320" totalsRowDxfId="6319">
      <totalsRowFormula>AVERAGE(Table11041[Basic Allowance])</totalsRowFormula>
    </tableColumn>
    <tableColumn id="43" name="BsmtVal" dataDxfId="6318" totalsRowDxfId="6317"/>
    <tableColumn id="46" name="Bsmt SqFt" dataDxfId="6316" totalsRowDxfId="6315"/>
    <tableColumn id="2" name="BsmtVal/Sq Ft" dataDxfId="6314" totalsRowDxfId="6313">
      <calculatedColumnFormula>E532/F532</calculatedColumnFormula>
    </tableColumn>
    <tableColumn id="17" name="Bsmt % Base" totalsRowFunction="custom" dataDxfId="6312" totalsRowDxfId="6311">
      <calculatedColumnFormula>G532/C532</calculatedColumnFormula>
      <totalsRowFormula>AVERAGE(Table11041[Bsmt % Base])</totalsRowFormula>
    </tableColumn>
    <tableColumn id="30" name="UnfBsmtVal" dataDxfId="6310" totalsRowDxfId="6309"/>
    <tableColumn id="47" name="UnfBsmt Sq Ft" dataDxfId="6308" totalsRowDxfId="6307"/>
    <tableColumn id="3" name="UnfBsmtVal/SqFt" dataDxfId="6306" totalsRowDxfId="6305">
      <calculatedColumnFormula>I532/J532</calculatedColumnFormula>
    </tableColumn>
    <tableColumn id="44" name="UnfBsmt % Base" totalsRowFunction="custom" dataDxfId="6304" totalsRowDxfId="6303">
      <calculatedColumnFormula>K532/C532</calculatedColumnFormula>
      <totalsRowFormula>AVERAGE(Table11041[[#Headers],[#Data],[UnfBsmt % Base]])</totalsRowFormula>
    </tableColumn>
    <tableColumn id="31" name="Lower Value" dataDxfId="6302" totalsRowDxfId="6301"/>
    <tableColumn id="48" name="Lower Sq Ft" dataDxfId="6300" totalsRowDxfId="6299"/>
    <tableColumn id="4" name="LowerVal/SqFt" totalsRowFunction="custom" dataDxfId="6298" totalsRowDxfId="6297">
      <calculatedColumnFormula>M532/N532</calculatedColumnFormula>
      <totalsRowFormula>AVERAGE(Table11041[LowerVal/SqFt])</totalsRowFormula>
    </tableColumn>
    <tableColumn id="32" name="Lower % Base" totalsRowFunction="custom" dataDxfId="6296" totalsRowDxfId="6295">
      <calculatedColumnFormula>O532/C532</calculatedColumnFormula>
      <totalsRowFormula>AVERAGE(Table11041[Lower % Base])</totalsRowFormula>
    </tableColumn>
    <tableColumn id="19" name="Unf Lower Value" dataDxfId="6294" totalsRowDxfId="6293"/>
    <tableColumn id="49" name="UnfLower Sq Ft" dataDxfId="6292" totalsRowDxfId="6291"/>
    <tableColumn id="14" name="UnfLowVal/SqFt2" dataDxfId="6290" totalsRowDxfId="6289">
      <calculatedColumnFormula>Q532/R532</calculatedColumnFormula>
    </tableColumn>
    <tableColumn id="33" name="Unf Lower % Base" totalsRowFunction="custom" dataDxfId="6288" totalsRowDxfId="6287">
      <calculatedColumnFormula>S532/C532</calculatedColumnFormula>
      <totalsRowFormula>AVERAGE(Table11041[Unf Lower % Base])</totalsRowFormula>
    </tableColumn>
    <tableColumn id="20" name="1/2 Story Value" dataDxfId="6286" totalsRowDxfId="6285"/>
    <tableColumn id="50" name="1/2 Story Sq Ft" dataDxfId="6284" totalsRowDxfId="6283"/>
    <tableColumn id="5" name="1/2 StoryVal/SqFt" dataDxfId="6282" totalsRowDxfId="6281">
      <calculatedColumnFormula>U532/V532</calculatedColumnFormula>
    </tableColumn>
    <tableColumn id="34" name="1/2 Story % Base" totalsRowFunction="custom" dataDxfId="6280" totalsRowDxfId="6279">
      <calculatedColumnFormula>W532/C532</calculatedColumnFormula>
      <totalsRowFormula>AVERAGE(Table11041[1/2 Story % Base])</totalsRowFormula>
    </tableColumn>
    <tableColumn id="21" name="2nd Story Value" dataDxfId="6278" totalsRowDxfId="6277"/>
    <tableColumn id="51" name="2nd Sty Sq Ft" dataDxfId="6276" totalsRowDxfId="6275"/>
    <tableColumn id="6" name="2ndStyVal/Sqft" dataDxfId="6274" totalsRowDxfId="6273">
      <calculatedColumnFormula>Y532/Z532</calculatedColumnFormula>
    </tableColumn>
    <tableColumn id="35" name="2nd Story % Base" totalsRowFunction="custom" dataDxfId="6272" totalsRowDxfId="6271">
      <calculatedColumnFormula>AA532/C532</calculatedColumnFormula>
      <totalsRowFormula>AVERAGE(Table11041[2nd Story % Base])</totalsRowFormula>
    </tableColumn>
    <tableColumn id="22" name="Att Gar Value" dataDxfId="6270" totalsRowDxfId="6269"/>
    <tableColumn id="52" name="Att Gar Sq Ft" dataDxfId="6268" totalsRowDxfId="6267"/>
    <tableColumn id="7" name="AttGarVal/SqFt" totalsRowFunction="custom" dataDxfId="6266" totalsRowDxfId="6265">
      <calculatedColumnFormula>AC532/AD532</calculatedColumnFormula>
      <totalsRowFormula>AVERAGE(Table11041[AttGarVal/SqFt])</totalsRowFormula>
    </tableColumn>
    <tableColumn id="36" name="Att Gar % Base" totalsRowFunction="custom" dataDxfId="6264" totalsRowDxfId="6263">
      <calculatedColumnFormula>AE532/C532</calculatedColumnFormula>
      <totalsRowFormula>AVERAGE(Table11041[Att Gar % Base])</totalsRowFormula>
    </tableColumn>
    <tableColumn id="23" name="Porch Value" dataDxfId="6262" totalsRowDxfId="6261"/>
    <tableColumn id="53" name="Porch Sq Ft" dataDxfId="6260" totalsRowDxfId="6259"/>
    <tableColumn id="8" name="PorchVal/SqFt" dataDxfId="6258" totalsRowDxfId="6257">
      <calculatedColumnFormula>AG532/AH532</calculatedColumnFormula>
    </tableColumn>
    <tableColumn id="37" name="Porch % Base" totalsRowFunction="custom" dataDxfId="6256" totalsRowDxfId="6255">
      <calculatedColumnFormula>AI532/C532</calculatedColumnFormula>
      <totalsRowFormula>AVERAGE(Table11041[Porch % Base])</totalsRowFormula>
    </tableColumn>
    <tableColumn id="24" name="Cov Porch Value" dataDxfId="6254" totalsRowDxfId="6253"/>
    <tableColumn id="54" name="Cov Porch Sq Ft" dataDxfId="6252" totalsRowDxfId="6251"/>
    <tableColumn id="9" name="CovPrVal/SqFt" dataDxfId="6250" totalsRowDxfId="6249">
      <calculatedColumnFormula>AK532/AL532</calculatedColumnFormula>
    </tableColumn>
    <tableColumn id="38" name="Cov Porch % Base" totalsRowFunction="custom" dataDxfId="6248" totalsRowDxfId="6247">
      <calculatedColumnFormula>AM532/C532</calculatedColumnFormula>
      <totalsRowFormula>AVERAGE(Table11041[Cov Porch % Base])</totalsRowFormula>
    </tableColumn>
    <tableColumn id="25" name="Deck Value" dataDxfId="6246" totalsRowDxfId="6245"/>
    <tableColumn id="55" name="Deck Sq Ft" dataDxfId="6244" totalsRowDxfId="6243"/>
    <tableColumn id="10" name="DeckVal/SqFt" dataDxfId="6242" totalsRowDxfId="6241">
      <calculatedColumnFormula>AO532/AP532</calculatedColumnFormula>
    </tableColumn>
    <tableColumn id="39" name="Deck % Base" totalsRowFunction="custom" dataDxfId="6240" totalsRowDxfId="6239">
      <calculatedColumnFormula>AQ532/C532</calculatedColumnFormula>
      <totalsRowFormula>AVERAGE(Table11041[Deck % Base])</totalsRowFormula>
    </tableColumn>
    <tableColumn id="26" name="Cov Deck Value" dataDxfId="6238" totalsRowDxfId="6237"/>
    <tableColumn id="56" name="CovDeck Sq Ft" dataDxfId="6236" totalsRowDxfId="6235"/>
    <tableColumn id="11" name="CovDeckVal/SqFt" totalsRowFunction="custom" dataDxfId="6234" totalsRowDxfId="6233">
      <calculatedColumnFormula>AS532/AT532</calculatedColumnFormula>
      <totalsRowFormula>AVERAGE(Table11041[CovDeckVal/SqFt])</totalsRowFormula>
    </tableColumn>
    <tableColumn id="40" name="CovDeck % Base" totalsRowFunction="custom" dataDxfId="6232" totalsRowDxfId="6231">
      <calculatedColumnFormula>AU532/C532</calculatedColumnFormula>
      <totalsRowFormula>AVERAGE(Table11041[CovDeck % Base])</totalsRowFormula>
    </tableColumn>
    <tableColumn id="27" name="CarP Value" dataDxfId="6230" totalsRowDxfId="6229"/>
    <tableColumn id="57" name="CarP Sq Ft" dataDxfId="6228" totalsRowDxfId="6227"/>
    <tableColumn id="12" name="CarPVal/SqFt" dataDxfId="6226" totalsRowDxfId="6225">
      <calculatedColumnFormula>AW532/AX532</calculatedColumnFormula>
    </tableColumn>
    <tableColumn id="41" name="CarP % Base" totalsRowFunction="custom" dataDxfId="6224" totalsRowDxfId="6223">
      <calculatedColumnFormula>AY532/C532</calculatedColumnFormula>
      <totalsRowFormula>AVERAGE(Table11041[CarP % Base])</totalsRowFormula>
    </tableColumn>
    <tableColumn id="28" name="EFP Value" dataDxfId="6222" totalsRowDxfId="6221"/>
    <tableColumn id="58" name="EFP Sq Ft" dataDxfId="6220" totalsRowDxfId="6219"/>
    <tableColumn id="15" name="EFPVal/SqFt" dataDxfId="6218" totalsRowDxfId="6217">
      <calculatedColumnFormula>BA532/BB532</calculatedColumnFormula>
    </tableColumn>
    <tableColumn id="29" name="EFP % Base" totalsRowFunction="custom" dataDxfId="6216" totalsRowDxfId="6215">
      <calculatedColumnFormula>BC532/C532</calculatedColumnFormula>
      <totalsRowFormula>AVERAGE(Table11041[EFP % Base])</totalsRowFormula>
    </tableColumn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id="47" name="Table11042" displayName="Table11042" ref="A543:BD551" totalsRowCount="1" headerRowDxfId="6214">
  <tableColumns count="56">
    <tableColumn id="1" name="  Grade" dataDxfId="6213" totalsRowDxfId="6212"/>
    <tableColumn id="13" name="Main Area $" dataDxfId="6211" totalsRowDxfId="6210"/>
    <tableColumn id="45" name="MA $/Sq Ft" totalsRowFunction="custom" dataDxfId="6209" totalsRowDxfId="6208">
      <calculatedColumnFormula>B544/F541</calculatedColumnFormula>
      <totalsRowFormula>AVERAGE(Table11042[MA $/Sq Ft])</totalsRowFormula>
    </tableColumn>
    <tableColumn id="16" name="Basic Allowance" totalsRowFunction="custom" dataDxfId="6207" totalsRowDxfId="6206">
      <totalsRowFormula>AVERAGE(Table11042[Basic Allowance])</totalsRowFormula>
    </tableColumn>
    <tableColumn id="43" name="BsmtVal" dataDxfId="6205" totalsRowDxfId="6204"/>
    <tableColumn id="46" name="Bsmt SqFt" dataDxfId="6203" totalsRowDxfId="6202"/>
    <tableColumn id="2" name="BsmtVal/Sq Ft" dataDxfId="6201" totalsRowDxfId="6200">
      <calculatedColumnFormula>E544/F544</calculatedColumnFormula>
    </tableColumn>
    <tableColumn id="17" name="Bsmt % Base" totalsRowFunction="custom" dataDxfId="6199" totalsRowDxfId="6198">
      <calculatedColumnFormula>G544/C544</calculatedColumnFormula>
      <totalsRowFormula>AVERAGE(Table11042[Bsmt % Base])</totalsRowFormula>
    </tableColumn>
    <tableColumn id="30" name="UnfBsmtVal" dataDxfId="6197" totalsRowDxfId="6196"/>
    <tableColumn id="47" name="UnfBsmt Sq Ft" dataDxfId="6195" totalsRowDxfId="6194"/>
    <tableColumn id="3" name="UnfBsmtVal/SqFt" dataDxfId="6193" totalsRowDxfId="6192">
      <calculatedColumnFormula>I544/J544</calculatedColumnFormula>
    </tableColumn>
    <tableColumn id="44" name="UnfBsmt % Base" totalsRowFunction="custom" dataDxfId="6191" totalsRowDxfId="6190">
      <calculatedColumnFormula>K544/C544</calculatedColumnFormula>
      <totalsRowFormula>AVERAGE(Table11042[[#Headers],[#Data],[UnfBsmt % Base]])</totalsRowFormula>
    </tableColumn>
    <tableColumn id="31" name="Lower Value" dataDxfId="6189" totalsRowDxfId="6188"/>
    <tableColumn id="48" name="Lower Sq Ft" dataDxfId="6187" totalsRowDxfId="6186"/>
    <tableColumn id="4" name="LowerVal/SqFt" totalsRowFunction="custom" dataDxfId="6185" totalsRowDxfId="6184">
      <calculatedColumnFormula>M544/N544</calculatedColumnFormula>
      <totalsRowFormula>AVERAGE(Table11042[LowerVal/SqFt])</totalsRowFormula>
    </tableColumn>
    <tableColumn id="32" name="Lower % Base" totalsRowFunction="custom" dataDxfId="6183" totalsRowDxfId="6182">
      <calculatedColumnFormula>O544/C544</calculatedColumnFormula>
      <totalsRowFormula>AVERAGE(Table11042[Lower % Base])</totalsRowFormula>
    </tableColumn>
    <tableColumn id="19" name="Unf Lower Value" dataDxfId="6181" totalsRowDxfId="6180"/>
    <tableColumn id="49" name="UnfLower Sq Ft" dataDxfId="6179" totalsRowDxfId="6178"/>
    <tableColumn id="14" name="UnfLowVal/SqFt2" dataDxfId="6177" totalsRowDxfId="6176">
      <calculatedColumnFormula>Q544/R544</calculatedColumnFormula>
    </tableColumn>
    <tableColumn id="33" name="Unf Lower % Base" totalsRowFunction="custom" dataDxfId="6175" totalsRowDxfId="6174">
      <calculatedColumnFormula>S544/C544</calculatedColumnFormula>
      <totalsRowFormula>AVERAGE(Table11042[Unf Lower % Base])</totalsRowFormula>
    </tableColumn>
    <tableColumn id="20" name="1/2 Story Value" dataDxfId="6173" totalsRowDxfId="6172"/>
    <tableColumn id="50" name="1/2 Story Sq Ft" dataDxfId="6171" totalsRowDxfId="6170"/>
    <tableColumn id="5" name="1/2 StoryVal/SqFt" dataDxfId="6169" totalsRowDxfId="6168">
      <calculatedColumnFormula>U544/V544</calculatedColumnFormula>
    </tableColumn>
    <tableColumn id="34" name="1/2 Story % Base" totalsRowFunction="custom" dataDxfId="6167" totalsRowDxfId="6166">
      <calculatedColumnFormula>W544/C544</calculatedColumnFormula>
      <totalsRowFormula>AVERAGE(Table11042[1/2 Story % Base])</totalsRowFormula>
    </tableColumn>
    <tableColumn id="21" name="2nd Story Value" dataDxfId="6165" totalsRowDxfId="6164"/>
    <tableColumn id="51" name="2nd Sty Sq Ft" dataDxfId="6163" totalsRowDxfId="6162"/>
    <tableColumn id="6" name="2ndStyVal/Sqft" dataDxfId="6161" totalsRowDxfId="6160">
      <calculatedColumnFormula>Y544/Z544</calculatedColumnFormula>
    </tableColumn>
    <tableColumn id="35" name="2nd Story % Base" totalsRowFunction="custom" dataDxfId="6159" totalsRowDxfId="6158">
      <calculatedColumnFormula>AA544/C544</calculatedColumnFormula>
      <totalsRowFormula>AVERAGE(Table11042[2nd Story % Base])</totalsRowFormula>
    </tableColumn>
    <tableColumn id="22" name="Att Gar Value" dataDxfId="6157" totalsRowDxfId="6156"/>
    <tableColumn id="52" name="Att Gar Sq Ft" dataDxfId="6155" totalsRowDxfId="6154"/>
    <tableColumn id="7" name="AttGarVal/SqFt" totalsRowFunction="custom" dataDxfId="6153" totalsRowDxfId="6152">
      <calculatedColumnFormula>AC544/AD544</calculatedColumnFormula>
      <totalsRowFormula>AVERAGE(Table11042[AttGarVal/SqFt])</totalsRowFormula>
    </tableColumn>
    <tableColumn id="36" name="Att Gar % Base" totalsRowFunction="custom" dataDxfId="6151" totalsRowDxfId="6150">
      <calculatedColumnFormula>AE544/C544</calculatedColumnFormula>
      <totalsRowFormula>AVERAGE(Table11042[Att Gar % Base])</totalsRowFormula>
    </tableColumn>
    <tableColumn id="23" name="Porch Value" dataDxfId="6149" totalsRowDxfId="6148"/>
    <tableColumn id="53" name="Porch Sq Ft" dataDxfId="6147" totalsRowDxfId="6146"/>
    <tableColumn id="8" name="PorchVal/SqFt" dataDxfId="6145" totalsRowDxfId="6144">
      <calculatedColumnFormula>AG544/AH544</calculatedColumnFormula>
    </tableColumn>
    <tableColumn id="37" name="Porch % Base" totalsRowFunction="custom" dataDxfId="6143" totalsRowDxfId="6142">
      <calculatedColumnFormula>AI544/C544</calculatedColumnFormula>
      <totalsRowFormula>AVERAGE(Table11042[Porch % Base])</totalsRowFormula>
    </tableColumn>
    <tableColumn id="24" name="Cov Porch Value" dataDxfId="6141" totalsRowDxfId="6140"/>
    <tableColumn id="54" name="Cov Porch Sq Ft" dataDxfId="6139" totalsRowDxfId="6138"/>
    <tableColumn id="9" name="CovPrVal/SqFt" dataDxfId="6137" totalsRowDxfId="6136">
      <calculatedColumnFormula>AK544/AL544</calculatedColumnFormula>
    </tableColumn>
    <tableColumn id="38" name="Cov Porch % Base" totalsRowFunction="custom" dataDxfId="6135" totalsRowDxfId="6134">
      <calculatedColumnFormula>AM544/C544</calculatedColumnFormula>
      <totalsRowFormula>AVERAGE(Table11042[Cov Porch % Base])</totalsRowFormula>
    </tableColumn>
    <tableColumn id="25" name="Deck Value" dataDxfId="6133" totalsRowDxfId="6132"/>
    <tableColumn id="55" name="Deck Sq Ft" dataDxfId="6131" totalsRowDxfId="6130"/>
    <tableColumn id="10" name="DeckVal/SqFt" dataDxfId="6129" totalsRowDxfId="6128">
      <calculatedColumnFormula>AO544/AP544</calculatedColumnFormula>
    </tableColumn>
    <tableColumn id="39" name="Deck % Base" totalsRowFunction="custom" dataDxfId="6127" totalsRowDxfId="6126">
      <calculatedColumnFormula>AQ544/C544</calculatedColumnFormula>
      <totalsRowFormula>AVERAGE(Table11042[Deck % Base])</totalsRowFormula>
    </tableColumn>
    <tableColumn id="26" name="Cov Deck Value" dataDxfId="6125" totalsRowDxfId="6124"/>
    <tableColumn id="56" name="CovDeck Sq Ft" dataDxfId="6123" totalsRowDxfId="6122"/>
    <tableColumn id="11" name="CovDeckVal/SqFt" totalsRowFunction="custom" dataDxfId="6121" totalsRowDxfId="6120">
      <calculatedColumnFormula>AS544/AT544</calculatedColumnFormula>
      <totalsRowFormula>AVERAGE(Table11042[CovDeckVal/SqFt])</totalsRowFormula>
    </tableColumn>
    <tableColumn id="40" name="CovDeck % Base" totalsRowFunction="custom" dataDxfId="6119" totalsRowDxfId="6118">
      <calculatedColumnFormula>AU544/C544</calculatedColumnFormula>
      <totalsRowFormula>AVERAGE(Table11042[CovDeck % Base])</totalsRowFormula>
    </tableColumn>
    <tableColumn id="27" name="CarP Value" dataDxfId="6117" totalsRowDxfId="6116"/>
    <tableColumn id="57" name="CarP Sq Ft" dataDxfId="6115" totalsRowDxfId="6114"/>
    <tableColumn id="12" name="CarPVal/SqFt" dataDxfId="6113" totalsRowDxfId="6112">
      <calculatedColumnFormula>AW544/AX544</calculatedColumnFormula>
    </tableColumn>
    <tableColumn id="41" name="CarP % Base" totalsRowFunction="custom" dataDxfId="6111" totalsRowDxfId="6110">
      <calculatedColumnFormula>AY544/C544</calculatedColumnFormula>
      <totalsRowFormula>AVERAGE(Table11042[CarP % Base])</totalsRowFormula>
    </tableColumn>
    <tableColumn id="28" name="EFP Value" dataDxfId="6109" totalsRowDxfId="6108"/>
    <tableColumn id="58" name="EFP Sq Ft" dataDxfId="6107" totalsRowDxfId="6106"/>
    <tableColumn id="15" name="EFPVal/SqFt" dataDxfId="6105" totalsRowDxfId="6104">
      <calculatedColumnFormula>BA544/BB544</calculatedColumnFormula>
    </tableColumn>
    <tableColumn id="29" name="EFP % Base" totalsRowFunction="custom" dataDxfId="6103" totalsRowDxfId="6102">
      <calculatedColumnFormula>BC544/C544</calculatedColumnFormula>
      <totalsRowFormula>AVERAGE(Table11042[EFP % Base])</totalsRowFormula>
    </tableColumn>
  </tableColumns>
  <tableStyleInfo name="TableStyleMedium1" showFirstColumn="0" showLastColumn="0" showRowStripes="1" showColumnStripes="0"/>
</table>
</file>

<file path=xl/tables/table47.xml><?xml version="1.0" encoding="utf-8"?>
<table xmlns="http://schemas.openxmlformats.org/spreadsheetml/2006/main" id="48" name="Table11043" displayName="Table11043" ref="A555:BD563" totalsRowCount="1" headerRowDxfId="6101">
  <tableColumns count="56">
    <tableColumn id="1" name="  Grade" dataDxfId="6100" totalsRowDxfId="6099"/>
    <tableColumn id="13" name="Main Area $" dataDxfId="6098" totalsRowDxfId="6097"/>
    <tableColumn id="45" name="MA $/Sq Ft" totalsRowFunction="custom" dataDxfId="6096" totalsRowDxfId="6095">
      <calculatedColumnFormula>B556/F553</calculatedColumnFormula>
      <totalsRowFormula>AVERAGE(Table11043[MA $/Sq Ft])</totalsRowFormula>
    </tableColumn>
    <tableColumn id="16" name="Basic Allowance" totalsRowFunction="custom" dataDxfId="6094" totalsRowDxfId="6093">
      <totalsRowFormula>AVERAGE(Table11043[Basic Allowance])</totalsRowFormula>
    </tableColumn>
    <tableColumn id="43" name="BsmtVal" dataDxfId="6092" totalsRowDxfId="6091"/>
    <tableColumn id="46" name="Bsmt SqFt" dataDxfId="6090" totalsRowDxfId="6089"/>
    <tableColumn id="2" name="BsmtVal/Sq Ft" dataDxfId="6088" totalsRowDxfId="6087">
      <calculatedColumnFormula>E556/F556</calculatedColumnFormula>
    </tableColumn>
    <tableColumn id="17" name="Bsmt % Base" totalsRowFunction="custom" dataDxfId="6086" totalsRowDxfId="6085">
      <calculatedColumnFormula>G556/C556</calculatedColumnFormula>
      <totalsRowFormula>AVERAGE(Table11043[Bsmt % Base])</totalsRowFormula>
    </tableColumn>
    <tableColumn id="30" name="UnfBsmtVal" dataDxfId="6084" totalsRowDxfId="6083"/>
    <tableColumn id="47" name="UnfBsmt Sq Ft" dataDxfId="6082" totalsRowDxfId="6081"/>
    <tableColumn id="3" name="UnfBsmtVal/SqFt" dataDxfId="6080" totalsRowDxfId="6079">
      <calculatedColumnFormula>I556/J556</calculatedColumnFormula>
    </tableColumn>
    <tableColumn id="44" name="UnfBsmt % Base" totalsRowFunction="custom" dataDxfId="6078" totalsRowDxfId="6077">
      <calculatedColumnFormula>K556/C556</calculatedColumnFormula>
      <totalsRowFormula>AVERAGE(Table11043[[#Headers],[#Data],[UnfBsmt % Base]])</totalsRowFormula>
    </tableColumn>
    <tableColumn id="31" name="Lower Value" dataDxfId="6076" totalsRowDxfId="6075"/>
    <tableColumn id="48" name="Lower Sq Ft" dataDxfId="6074" totalsRowDxfId="6073"/>
    <tableColumn id="4" name="LowerVal/SqFt" totalsRowFunction="custom" dataDxfId="6072" totalsRowDxfId="6071">
      <calculatedColumnFormula>M556/N556</calculatedColumnFormula>
      <totalsRowFormula>AVERAGE(Table11043[LowerVal/SqFt])</totalsRowFormula>
    </tableColumn>
    <tableColumn id="32" name="Lower % Base" totalsRowFunction="custom" dataDxfId="6070" totalsRowDxfId="6069">
      <calculatedColumnFormula>O556/C556</calculatedColumnFormula>
      <totalsRowFormula>AVERAGE(Table11043[Lower % Base])</totalsRowFormula>
    </tableColumn>
    <tableColumn id="19" name="Unf Lower Value" dataDxfId="6068" totalsRowDxfId="6067"/>
    <tableColumn id="49" name="UnfLower Sq Ft" dataDxfId="6066" totalsRowDxfId="6065"/>
    <tableColumn id="14" name="UnfLowVal/SqFt2" dataDxfId="6064" totalsRowDxfId="6063">
      <calculatedColumnFormula>Q556/R556</calculatedColumnFormula>
    </tableColumn>
    <tableColumn id="33" name="Unf Lower % Base" totalsRowFunction="custom" dataDxfId="6062" totalsRowDxfId="6061">
      <calculatedColumnFormula>S556/C556</calculatedColumnFormula>
      <totalsRowFormula>AVERAGE(Table11043[Unf Lower % Base])</totalsRowFormula>
    </tableColumn>
    <tableColumn id="20" name="1/2 Story Value" dataDxfId="6060" totalsRowDxfId="6059"/>
    <tableColumn id="50" name="1/2 Story Sq Ft" dataDxfId="6058" totalsRowDxfId="6057"/>
    <tableColumn id="5" name="1/2 StoryVal/SqFt" dataDxfId="6056" totalsRowDxfId="6055">
      <calculatedColumnFormula>U556/V556</calculatedColumnFormula>
    </tableColumn>
    <tableColumn id="34" name="1/2 Story % Base" totalsRowFunction="custom" dataDxfId="6054" totalsRowDxfId="6053">
      <calculatedColumnFormula>W556/C556</calculatedColumnFormula>
      <totalsRowFormula>AVERAGE(Table11043[1/2 Story % Base])</totalsRowFormula>
    </tableColumn>
    <tableColumn id="21" name="2nd Story Value" dataDxfId="6052" totalsRowDxfId="6051"/>
    <tableColumn id="51" name="2nd Sty Sq Ft" dataDxfId="6050" totalsRowDxfId="6049"/>
    <tableColumn id="6" name="2ndStyVal/Sqft" dataDxfId="6048" totalsRowDxfId="6047">
      <calculatedColumnFormula>Y556/Z556</calculatedColumnFormula>
    </tableColumn>
    <tableColumn id="35" name="2nd Story % Base" totalsRowFunction="custom" dataDxfId="6046" totalsRowDxfId="6045">
      <calculatedColumnFormula>AA556/C556</calculatedColumnFormula>
      <totalsRowFormula>AVERAGE(Table11043[2nd Story % Base])</totalsRowFormula>
    </tableColumn>
    <tableColumn id="22" name="Att Gar Value" dataDxfId="6044" totalsRowDxfId="6043"/>
    <tableColumn id="52" name="Att Gar Sq Ft" dataDxfId="6042" totalsRowDxfId="6041"/>
    <tableColumn id="7" name="AttGarVal/SqFt" totalsRowFunction="custom" dataDxfId="6040" totalsRowDxfId="6039">
      <calculatedColumnFormula>AC556/AD556</calculatedColumnFormula>
      <totalsRowFormula>AVERAGE(Table11043[AttGarVal/SqFt])</totalsRowFormula>
    </tableColumn>
    <tableColumn id="36" name="Att Gar % Base" totalsRowFunction="custom" dataDxfId="6038" totalsRowDxfId="6037">
      <calculatedColumnFormula>AE556/C556</calculatedColumnFormula>
      <totalsRowFormula>AVERAGE(Table11043[Att Gar % Base])</totalsRowFormula>
    </tableColumn>
    <tableColumn id="23" name="Porch Value" dataDxfId="6036" totalsRowDxfId="6035"/>
    <tableColumn id="53" name="Porch Sq Ft" dataDxfId="6034" totalsRowDxfId="6033"/>
    <tableColumn id="8" name="PorchVal/SqFt" dataDxfId="6032" totalsRowDxfId="6031">
      <calculatedColumnFormula>AG556/AH556</calculatedColumnFormula>
    </tableColumn>
    <tableColumn id="37" name="Porch % Base" totalsRowFunction="custom" dataDxfId="6030" totalsRowDxfId="6029">
      <calculatedColumnFormula>AI556/C556</calculatedColumnFormula>
      <totalsRowFormula>AVERAGE(Table11043[Porch % Base])</totalsRowFormula>
    </tableColumn>
    <tableColumn id="24" name="Cov Porch Value" dataDxfId="6028" totalsRowDxfId="6027"/>
    <tableColumn id="54" name="Cov Porch Sq Ft" dataDxfId="6026" totalsRowDxfId="6025"/>
    <tableColumn id="9" name="CovPrVal/SqFt" dataDxfId="6024" totalsRowDxfId="6023">
      <calculatedColumnFormula>AK556/AL556</calculatedColumnFormula>
    </tableColumn>
    <tableColumn id="38" name="Cov Porch % Base" totalsRowFunction="custom" dataDxfId="6022" totalsRowDxfId="6021">
      <calculatedColumnFormula>AM556/C556</calculatedColumnFormula>
      <totalsRowFormula>AVERAGE(Table11043[Cov Porch % Base])</totalsRowFormula>
    </tableColumn>
    <tableColumn id="25" name="Deck Value" dataDxfId="6020" totalsRowDxfId="6019"/>
    <tableColumn id="55" name="Deck Sq Ft" dataDxfId="6018" totalsRowDxfId="6017"/>
    <tableColumn id="10" name="DeckVal/SqFt" dataDxfId="6016" totalsRowDxfId="6015">
      <calculatedColumnFormula>AO556/AP556</calculatedColumnFormula>
    </tableColumn>
    <tableColumn id="39" name="Deck % Base" totalsRowFunction="custom" dataDxfId="6014" totalsRowDxfId="6013">
      <calculatedColumnFormula>AQ556/C556</calculatedColumnFormula>
      <totalsRowFormula>AVERAGE(Table11043[Deck % Base])</totalsRowFormula>
    </tableColumn>
    <tableColumn id="26" name="Cov Deck Value" dataDxfId="6012" totalsRowDxfId="6011"/>
    <tableColumn id="56" name="CovDeck Sq Ft" dataDxfId="6010" totalsRowDxfId="6009"/>
    <tableColumn id="11" name="CovDeckVal/SqFt" totalsRowFunction="custom" dataDxfId="6008" totalsRowDxfId="6007">
      <calculatedColumnFormula>AS556/AT556</calculatedColumnFormula>
      <totalsRowFormula>AVERAGE(Table11043[CovDeckVal/SqFt])</totalsRowFormula>
    </tableColumn>
    <tableColumn id="40" name="CovDeck % Base" totalsRowFunction="custom" dataDxfId="6006" totalsRowDxfId="6005">
      <calculatedColumnFormula>AU556/C556</calculatedColumnFormula>
      <totalsRowFormula>AVERAGE(Table11043[CovDeck % Base])</totalsRowFormula>
    </tableColumn>
    <tableColumn id="27" name="CarP Value" dataDxfId="6004" totalsRowDxfId="6003"/>
    <tableColumn id="57" name="CarP Sq Ft" dataDxfId="6002" totalsRowDxfId="6001"/>
    <tableColumn id="12" name="CarPVal/SqFt" dataDxfId="6000" totalsRowDxfId="5999">
      <calculatedColumnFormula>AW556/AX556</calculatedColumnFormula>
    </tableColumn>
    <tableColumn id="41" name="CarP % Base" totalsRowFunction="custom" dataDxfId="5998" totalsRowDxfId="5997">
      <calculatedColumnFormula>AY556/C556</calculatedColumnFormula>
      <totalsRowFormula>AVERAGE(Table11043[CarP % Base])</totalsRowFormula>
    </tableColumn>
    <tableColumn id="28" name="EFP Value" dataDxfId="5996" totalsRowDxfId="5995"/>
    <tableColumn id="58" name="EFP Sq Ft" dataDxfId="5994" totalsRowDxfId="5993"/>
    <tableColumn id="15" name="EFPVal/SqFt" dataDxfId="5992" totalsRowDxfId="5991">
      <calculatedColumnFormula>BA556/BB556</calculatedColumnFormula>
    </tableColumn>
    <tableColumn id="29" name="EFP % Base" totalsRowFunction="custom" dataDxfId="5990" totalsRowDxfId="5989">
      <calculatedColumnFormula>BC556/C556</calculatedColumnFormula>
      <totalsRowFormula>AVERAGE(Table11043[EFP % Base])</totalsRowFormula>
    </tableColumn>
  </tableColumns>
  <tableStyleInfo name="TableStyleMedium1" showFirstColumn="0" showLastColumn="0" showRowStripes="1" showColumnStripes="0"/>
</table>
</file>

<file path=xl/tables/table48.xml><?xml version="1.0" encoding="utf-8"?>
<table xmlns="http://schemas.openxmlformats.org/spreadsheetml/2006/main" id="49" name="Table11044" displayName="Table11044" ref="A567:BD575" totalsRowCount="1" headerRowDxfId="5988">
  <tableColumns count="56">
    <tableColumn id="1" name="  Grade" dataDxfId="5987" totalsRowDxfId="5986"/>
    <tableColumn id="13" name="Main Area $" dataDxfId="5985" totalsRowDxfId="5984"/>
    <tableColumn id="45" name="MA $/Sq Ft" totalsRowFunction="custom" dataDxfId="5983" totalsRowDxfId="5982">
      <calculatedColumnFormula>B568/F565</calculatedColumnFormula>
      <totalsRowFormula>AVERAGE(Table11044[MA $/Sq Ft])</totalsRowFormula>
    </tableColumn>
    <tableColumn id="16" name="Basic Allowance" totalsRowFunction="custom" dataDxfId="5981" totalsRowDxfId="5980">
      <totalsRowFormula>AVERAGE(Table11044[Basic Allowance])</totalsRowFormula>
    </tableColumn>
    <tableColumn id="43" name="BsmtVal" dataDxfId="5979" totalsRowDxfId="5978"/>
    <tableColumn id="46" name="Bsmt SqFt" dataDxfId="5977" totalsRowDxfId="5976"/>
    <tableColumn id="2" name="BsmtVal/Sq Ft" dataDxfId="5975" totalsRowDxfId="5974">
      <calculatedColumnFormula>E568/F568</calculatedColumnFormula>
    </tableColumn>
    <tableColumn id="17" name="Bsmt % Base" totalsRowFunction="custom" dataDxfId="5973" totalsRowDxfId="5972">
      <calculatedColumnFormula>G568/C568</calculatedColumnFormula>
      <totalsRowFormula>AVERAGE(Table11044[Bsmt % Base])</totalsRowFormula>
    </tableColumn>
    <tableColumn id="30" name="UnfBsmtVal" dataDxfId="5971" totalsRowDxfId="5970"/>
    <tableColumn id="47" name="UnfBsmt Sq Ft" dataDxfId="5969" totalsRowDxfId="5968"/>
    <tableColumn id="3" name="UnfBsmtVal/SqFt" dataDxfId="5967" totalsRowDxfId="5966">
      <calculatedColumnFormula>I568/J568</calculatedColumnFormula>
    </tableColumn>
    <tableColumn id="44" name="UnfBsmt % Base" totalsRowFunction="custom" dataDxfId="5965" totalsRowDxfId="5964">
      <calculatedColumnFormula>K568/C568</calculatedColumnFormula>
      <totalsRowFormula>AVERAGE(Table11044[[#Headers],[#Data],[UnfBsmt % Base]])</totalsRowFormula>
    </tableColumn>
    <tableColumn id="31" name="Lower Value" dataDxfId="5963" totalsRowDxfId="5962"/>
    <tableColumn id="48" name="Lower Sq Ft" dataDxfId="5961" totalsRowDxfId="5960"/>
    <tableColumn id="4" name="LowerVal/SqFt" totalsRowFunction="custom" dataDxfId="5959" totalsRowDxfId="5958">
      <calculatedColumnFormula>M568/N568</calculatedColumnFormula>
      <totalsRowFormula>AVERAGE(Table11044[LowerVal/SqFt])</totalsRowFormula>
    </tableColumn>
    <tableColumn id="32" name="Lower % Base" totalsRowFunction="custom" dataDxfId="5957" totalsRowDxfId="5956">
      <calculatedColumnFormula>O568/C568</calculatedColumnFormula>
      <totalsRowFormula>AVERAGE(Table11044[Lower % Base])</totalsRowFormula>
    </tableColumn>
    <tableColumn id="19" name="Unf Lower Value" dataDxfId="5955" totalsRowDxfId="5954"/>
    <tableColumn id="49" name="UnfLower Sq Ft" dataDxfId="5953" totalsRowDxfId="5952"/>
    <tableColumn id="14" name="UnfLowVal/SqFt2" dataDxfId="5951" totalsRowDxfId="5950">
      <calculatedColumnFormula>Q568/R568</calculatedColumnFormula>
    </tableColumn>
    <tableColumn id="33" name="Unf Lower % Base" totalsRowFunction="custom" dataDxfId="5949" totalsRowDxfId="5948">
      <calculatedColumnFormula>S568/C568</calculatedColumnFormula>
      <totalsRowFormula>AVERAGE(Table11044[Unf Lower % Base])</totalsRowFormula>
    </tableColumn>
    <tableColumn id="20" name="1/2 Story Value" dataDxfId="5947" totalsRowDxfId="5946"/>
    <tableColumn id="50" name="1/2 Story Sq Ft" dataDxfId="5945" totalsRowDxfId="5944"/>
    <tableColumn id="5" name="1/2 StoryVal/SqFt" dataDxfId="5943" totalsRowDxfId="5942">
      <calculatedColumnFormula>U568/V568</calculatedColumnFormula>
    </tableColumn>
    <tableColumn id="34" name="1/2 Story % Base" totalsRowFunction="custom" dataDxfId="5941" totalsRowDxfId="5940">
      <calculatedColumnFormula>W568/C568</calculatedColumnFormula>
      <totalsRowFormula>AVERAGE(Table11044[1/2 Story % Base])</totalsRowFormula>
    </tableColumn>
    <tableColumn id="21" name="2nd Story Value" dataDxfId="5939" totalsRowDxfId="5938"/>
    <tableColumn id="51" name="2nd Sty Sq Ft" dataDxfId="5937" totalsRowDxfId="5936"/>
    <tableColumn id="6" name="2ndStyVal/Sqft" dataDxfId="5935" totalsRowDxfId="5934">
      <calculatedColumnFormula>Y568/Z568</calculatedColumnFormula>
    </tableColumn>
    <tableColumn id="35" name="2nd Story % Base" totalsRowFunction="custom" dataDxfId="5933" totalsRowDxfId="5932">
      <calculatedColumnFormula>AA568/C568</calculatedColumnFormula>
      <totalsRowFormula>AVERAGE(Table11044[2nd Story % Base])</totalsRowFormula>
    </tableColumn>
    <tableColumn id="22" name="Att Gar Value" dataDxfId="5931" totalsRowDxfId="5930"/>
    <tableColumn id="52" name="Att Gar Sq Ft" dataDxfId="5929" totalsRowDxfId="5928"/>
    <tableColumn id="7" name="AttGarVal/SqFt" totalsRowFunction="custom" dataDxfId="5927" totalsRowDxfId="5926">
      <calculatedColumnFormula>AC568/AD568</calculatedColumnFormula>
      <totalsRowFormula>AVERAGE(Table11044[AttGarVal/SqFt])</totalsRowFormula>
    </tableColumn>
    <tableColumn id="36" name="Att Gar % Base" totalsRowFunction="custom" dataDxfId="5925" totalsRowDxfId="5924">
      <calculatedColumnFormula>AE568/C568</calculatedColumnFormula>
      <totalsRowFormula>AVERAGE(Table11044[Att Gar % Base])</totalsRowFormula>
    </tableColumn>
    <tableColumn id="23" name="Porch Value" dataDxfId="5923" totalsRowDxfId="5922"/>
    <tableColumn id="53" name="Porch Sq Ft" dataDxfId="5921" totalsRowDxfId="5920"/>
    <tableColumn id="8" name="PorchVal/SqFt" dataDxfId="5919" totalsRowDxfId="5918">
      <calculatedColumnFormula>AG568/AH568</calculatedColumnFormula>
    </tableColumn>
    <tableColumn id="37" name="Porch % Base" totalsRowFunction="custom" dataDxfId="5917" totalsRowDxfId="5916">
      <calculatedColumnFormula>AI568/C568</calculatedColumnFormula>
      <totalsRowFormula>AVERAGE(Table11044[Porch % Base])</totalsRowFormula>
    </tableColumn>
    <tableColumn id="24" name="Cov Porch Value" dataDxfId="5915" totalsRowDxfId="5914"/>
    <tableColumn id="54" name="Cov Porch Sq Ft" dataDxfId="5913" totalsRowDxfId="5912"/>
    <tableColumn id="9" name="CovPrVal/SqFt" dataDxfId="5911" totalsRowDxfId="5910">
      <calculatedColumnFormula>AK568/AL568</calculatedColumnFormula>
    </tableColumn>
    <tableColumn id="38" name="Cov Porch % Base" totalsRowFunction="custom" dataDxfId="5909" totalsRowDxfId="5908">
      <calculatedColumnFormula>AM568/C568</calculatedColumnFormula>
      <totalsRowFormula>AVERAGE(Table11044[Cov Porch % Base])</totalsRowFormula>
    </tableColumn>
    <tableColumn id="25" name="Deck Value" dataDxfId="5907" totalsRowDxfId="5906"/>
    <tableColumn id="55" name="Deck Sq Ft" dataDxfId="5905" totalsRowDxfId="5904"/>
    <tableColumn id="10" name="DeckVal/SqFt" dataDxfId="5903" totalsRowDxfId="5902">
      <calculatedColumnFormula>AO568/AP568</calculatedColumnFormula>
    </tableColumn>
    <tableColumn id="39" name="Deck % Base" totalsRowFunction="custom" dataDxfId="5901" totalsRowDxfId="5900">
      <calculatedColumnFormula>AQ568/C568</calculatedColumnFormula>
      <totalsRowFormula>AVERAGE(Table11044[Deck % Base])</totalsRowFormula>
    </tableColumn>
    <tableColumn id="26" name="Cov Deck Value" dataDxfId="5899" totalsRowDxfId="5898"/>
    <tableColumn id="56" name="CovDeck Sq Ft" dataDxfId="5897" totalsRowDxfId="5896"/>
    <tableColumn id="11" name="CovDeckVal/SqFt" totalsRowFunction="custom" dataDxfId="5895" totalsRowDxfId="5894">
      <calculatedColumnFormula>AS568/AT568</calculatedColumnFormula>
      <totalsRowFormula>AVERAGE(Table11044[CovDeckVal/SqFt])</totalsRowFormula>
    </tableColumn>
    <tableColumn id="40" name="CovDeck % Base" totalsRowFunction="custom" dataDxfId="5893" totalsRowDxfId="5892">
      <calculatedColumnFormula>AU568/C568</calculatedColumnFormula>
      <totalsRowFormula>AVERAGE(Table11044[CovDeck % Base])</totalsRowFormula>
    </tableColumn>
    <tableColumn id="27" name="CarP Value" dataDxfId="5891" totalsRowDxfId="5890"/>
    <tableColumn id="57" name="CarP Sq Ft" dataDxfId="5889" totalsRowDxfId="5888"/>
    <tableColumn id="12" name="CarPVal/SqFt" dataDxfId="5887" totalsRowDxfId="5886">
      <calculatedColumnFormula>AW568/AX568</calculatedColumnFormula>
    </tableColumn>
    <tableColumn id="41" name="CarP % Base" totalsRowFunction="custom" dataDxfId="5885" totalsRowDxfId="5884">
      <calculatedColumnFormula>AY568/C568</calculatedColumnFormula>
      <totalsRowFormula>AVERAGE(Table11044[CarP % Base])</totalsRowFormula>
    </tableColumn>
    <tableColumn id="28" name="EFP Value" dataDxfId="5883" totalsRowDxfId="5882"/>
    <tableColumn id="58" name="EFP Sq Ft" dataDxfId="5881" totalsRowDxfId="5880"/>
    <tableColumn id="15" name="EFPVal/SqFt" dataDxfId="5879" totalsRowDxfId="5878">
      <calculatedColumnFormula>BA568/BB568</calculatedColumnFormula>
    </tableColumn>
    <tableColumn id="29" name="EFP % Base" totalsRowFunction="custom" dataDxfId="5877" totalsRowDxfId="5876">
      <calculatedColumnFormula>BC568/C568</calculatedColumnFormula>
      <totalsRowFormula>AVERAGE(Table11044[EFP % Base])</totalsRowFormula>
    </tableColumn>
  </tableColumns>
  <tableStyleInfo name="TableStyleMedium1" showFirstColumn="0" showLastColumn="0" showRowStripes="1" showColumnStripes="0"/>
</table>
</file>

<file path=xl/tables/table49.xml><?xml version="1.0" encoding="utf-8"?>
<table xmlns="http://schemas.openxmlformats.org/spreadsheetml/2006/main" id="50" name="Table11045" displayName="Table11045" ref="A579:BD587" totalsRowCount="1" headerRowDxfId="5875">
  <tableColumns count="56">
    <tableColumn id="1" name="  Grade" dataDxfId="5874" totalsRowDxfId="5873"/>
    <tableColumn id="13" name="Main Area $" dataDxfId="5872" totalsRowDxfId="5871"/>
    <tableColumn id="45" name="MA $/Sq Ft" totalsRowFunction="custom" dataDxfId="5870" totalsRowDxfId="5869">
      <calculatedColumnFormula>B580/F577</calculatedColumnFormula>
      <totalsRowFormula>AVERAGE(Table11045[MA $/Sq Ft])</totalsRowFormula>
    </tableColumn>
    <tableColumn id="16" name="Basic Allowance" totalsRowFunction="custom" dataDxfId="5868" totalsRowDxfId="5867">
      <totalsRowFormula>AVERAGE(Table11045[Basic Allowance])</totalsRowFormula>
    </tableColumn>
    <tableColumn id="43" name="BsmtVal" dataDxfId="5866" totalsRowDxfId="5865"/>
    <tableColumn id="46" name="Bsmt SqFt" dataDxfId="5864" totalsRowDxfId="5863"/>
    <tableColumn id="2" name="BsmtVal/Sq Ft" dataDxfId="5862" totalsRowDxfId="5861">
      <calculatedColumnFormula>E580/F580</calculatedColumnFormula>
    </tableColumn>
    <tableColumn id="17" name="Bsmt % Base" totalsRowFunction="custom" dataDxfId="5860" totalsRowDxfId="5859">
      <calculatedColumnFormula>G580/C580</calculatedColumnFormula>
      <totalsRowFormula>AVERAGE(Table11045[Bsmt % Base])</totalsRowFormula>
    </tableColumn>
    <tableColumn id="30" name="UnfBsmtVal" dataDxfId="5858" totalsRowDxfId="5857"/>
    <tableColumn id="47" name="UnfBsmt Sq Ft" dataDxfId="5856" totalsRowDxfId="5855"/>
    <tableColumn id="3" name="UnfBsmtVal/SqFt" dataDxfId="5854" totalsRowDxfId="5853">
      <calculatedColumnFormula>I580/J580</calculatedColumnFormula>
    </tableColumn>
    <tableColumn id="44" name="UnfBsmt % Base" totalsRowFunction="custom" dataDxfId="5852" totalsRowDxfId="5851">
      <calculatedColumnFormula>K580/C580</calculatedColumnFormula>
      <totalsRowFormula>AVERAGE(Table11045[[#Headers],[#Data],[UnfBsmt % Base]])</totalsRowFormula>
    </tableColumn>
    <tableColumn id="31" name="Lower Value" dataDxfId="5850" totalsRowDxfId="5849"/>
    <tableColumn id="48" name="Lower Sq Ft" dataDxfId="5848" totalsRowDxfId="5847"/>
    <tableColumn id="4" name="LowerVal/SqFt" totalsRowFunction="custom" dataDxfId="5846" totalsRowDxfId="5845">
      <calculatedColumnFormula>M580/N580</calculatedColumnFormula>
      <totalsRowFormula>AVERAGE(Table11045[LowerVal/SqFt])</totalsRowFormula>
    </tableColumn>
    <tableColumn id="32" name="Lower % Base" totalsRowFunction="custom" dataDxfId="5844" totalsRowDxfId="5843">
      <calculatedColumnFormula>O580/C580</calculatedColumnFormula>
      <totalsRowFormula>AVERAGE(Table11045[Lower % Base])</totalsRowFormula>
    </tableColumn>
    <tableColumn id="19" name="Unf Lower Value" dataDxfId="5842" totalsRowDxfId="5841"/>
    <tableColumn id="49" name="UnfLower Sq Ft" dataDxfId="5840" totalsRowDxfId="5839"/>
    <tableColumn id="14" name="UnfLowVal/SqFt2" dataDxfId="5838" totalsRowDxfId="5837">
      <calculatedColumnFormula>Q580/R580</calculatedColumnFormula>
    </tableColumn>
    <tableColumn id="33" name="Unf Lower % Base" totalsRowFunction="custom" dataDxfId="5836" totalsRowDxfId="5835">
      <calculatedColumnFormula>S580/C580</calculatedColumnFormula>
      <totalsRowFormula>AVERAGE(Table11045[Unf Lower % Base])</totalsRowFormula>
    </tableColumn>
    <tableColumn id="20" name="1/2 Story Value" dataDxfId="5834" totalsRowDxfId="5833"/>
    <tableColumn id="50" name="1/2 Story Sq Ft" dataDxfId="5832" totalsRowDxfId="5831"/>
    <tableColumn id="5" name="1/2 StoryVal/SqFt" dataDxfId="5830" totalsRowDxfId="5829">
      <calculatedColumnFormula>U580/V580</calculatedColumnFormula>
    </tableColumn>
    <tableColumn id="34" name="1/2 Story % Base" totalsRowFunction="custom" dataDxfId="5828" totalsRowDxfId="5827">
      <calculatedColumnFormula>W580/C580</calculatedColumnFormula>
      <totalsRowFormula>AVERAGE(Table11045[1/2 Story % Base])</totalsRowFormula>
    </tableColumn>
    <tableColumn id="21" name="2nd Story Value" dataDxfId="5826" totalsRowDxfId="5825"/>
    <tableColumn id="51" name="2nd Sty Sq Ft" dataDxfId="5824" totalsRowDxfId="5823"/>
    <tableColumn id="6" name="2ndStyVal/Sqft" dataDxfId="5822" totalsRowDxfId="5821">
      <calculatedColumnFormula>Y580/Z580</calculatedColumnFormula>
    </tableColumn>
    <tableColumn id="35" name="2nd Story % Base" totalsRowFunction="custom" dataDxfId="5820" totalsRowDxfId="5819">
      <calculatedColumnFormula>AA580/C580</calculatedColumnFormula>
      <totalsRowFormula>AVERAGE(Table11045[2nd Story % Base])</totalsRowFormula>
    </tableColumn>
    <tableColumn id="22" name="Att Gar Value" dataDxfId="5818" totalsRowDxfId="5817"/>
    <tableColumn id="52" name="Att Gar Sq Ft" dataDxfId="5816" totalsRowDxfId="5815"/>
    <tableColumn id="7" name="AttGarVal/SqFt" totalsRowFunction="custom" dataDxfId="5814" totalsRowDxfId="5813">
      <calculatedColumnFormula>AC580/AD580</calculatedColumnFormula>
      <totalsRowFormula>AVERAGE(Table11045[AttGarVal/SqFt])</totalsRowFormula>
    </tableColumn>
    <tableColumn id="36" name="Att Gar % Base" totalsRowFunction="custom" dataDxfId="5812" totalsRowDxfId="5811">
      <calculatedColumnFormula>AE580/C580</calculatedColumnFormula>
      <totalsRowFormula>AVERAGE(Table11045[Att Gar % Base])</totalsRowFormula>
    </tableColumn>
    <tableColumn id="23" name="Porch Value" dataDxfId="5810" totalsRowDxfId="5809"/>
    <tableColumn id="53" name="Porch Sq Ft" dataDxfId="5808" totalsRowDxfId="5807"/>
    <tableColumn id="8" name="PorchVal/SqFt" dataDxfId="5806" totalsRowDxfId="5805">
      <calculatedColumnFormula>AG580/AH580</calculatedColumnFormula>
    </tableColumn>
    <tableColumn id="37" name="Porch % Base" totalsRowFunction="custom" dataDxfId="5804" totalsRowDxfId="5803">
      <calculatedColumnFormula>AI580/C580</calculatedColumnFormula>
      <totalsRowFormula>AVERAGE(Table11045[Porch % Base])</totalsRowFormula>
    </tableColumn>
    <tableColumn id="24" name="Cov Porch Value" dataDxfId="5802" totalsRowDxfId="5801"/>
    <tableColumn id="54" name="Cov Porch Sq Ft" dataDxfId="5800" totalsRowDxfId="5799"/>
    <tableColumn id="9" name="CovPrVal/SqFt" dataDxfId="5798" totalsRowDxfId="5797">
      <calculatedColumnFormula>AK580/AL580</calculatedColumnFormula>
    </tableColumn>
    <tableColumn id="38" name="Cov Porch % Base" totalsRowFunction="custom" dataDxfId="5796" totalsRowDxfId="5795">
      <calculatedColumnFormula>AM580/C580</calculatedColumnFormula>
      <totalsRowFormula>AVERAGE(Table11045[Cov Porch % Base])</totalsRowFormula>
    </tableColumn>
    <tableColumn id="25" name="Deck Value" dataDxfId="5794" totalsRowDxfId="5793"/>
    <tableColumn id="55" name="Deck Sq Ft" dataDxfId="5792" totalsRowDxfId="5791"/>
    <tableColumn id="10" name="DeckVal/SqFt" dataDxfId="5790" totalsRowDxfId="5789">
      <calculatedColumnFormula>AO580/AP580</calculatedColumnFormula>
    </tableColumn>
    <tableColumn id="39" name="Deck % Base" totalsRowFunction="custom" dataDxfId="5788" totalsRowDxfId="5787">
      <calculatedColumnFormula>AQ580/C580</calculatedColumnFormula>
      <totalsRowFormula>AVERAGE(Table11045[Deck % Base])</totalsRowFormula>
    </tableColumn>
    <tableColumn id="26" name="Cov Deck Value" dataDxfId="5786" totalsRowDxfId="5785"/>
    <tableColumn id="56" name="CovDeck Sq Ft" dataDxfId="5784" totalsRowDxfId="5783"/>
    <tableColumn id="11" name="CovDeckVal/SqFt" totalsRowFunction="custom" dataDxfId="5782" totalsRowDxfId="5781">
      <calculatedColumnFormula>AS580/AT580</calculatedColumnFormula>
      <totalsRowFormula>AVERAGE(Table11045[CovDeckVal/SqFt])</totalsRowFormula>
    </tableColumn>
    <tableColumn id="40" name="CovDeck % Base" totalsRowFunction="custom" dataDxfId="5780" totalsRowDxfId="5779">
      <calculatedColumnFormula>AU580/C580</calculatedColumnFormula>
      <totalsRowFormula>AVERAGE(Table11045[CovDeck % Base])</totalsRowFormula>
    </tableColumn>
    <tableColumn id="27" name="CarP Value" dataDxfId="5778" totalsRowDxfId="5777"/>
    <tableColumn id="57" name="CarP Sq Ft" dataDxfId="5776" totalsRowDxfId="5775"/>
    <tableColumn id="12" name="CarPVal/SqFt" dataDxfId="5774" totalsRowDxfId="5773">
      <calculatedColumnFormula>AW580/AX580</calculatedColumnFormula>
    </tableColumn>
    <tableColumn id="41" name="CarP % Base" totalsRowFunction="custom" dataDxfId="5772" totalsRowDxfId="5771">
      <calculatedColumnFormula>AY580/C580</calculatedColumnFormula>
      <totalsRowFormula>AVERAGE(Table11045[CarP % Base])</totalsRowFormula>
    </tableColumn>
    <tableColumn id="28" name="EFP Value" dataDxfId="5770" totalsRowDxfId="5769"/>
    <tableColumn id="58" name="EFP Sq Ft" dataDxfId="5768" totalsRowDxfId="5767"/>
    <tableColumn id="15" name="EFPVal/SqFt" dataDxfId="5766" totalsRowDxfId="5765">
      <calculatedColumnFormula>BA580/BB580</calculatedColumnFormula>
    </tableColumn>
    <tableColumn id="29" name="EFP % Base" totalsRowFunction="custom" dataDxfId="5764" totalsRowDxfId="5763">
      <calculatedColumnFormula>BC580/C580</calculatedColumnFormula>
      <totalsRowFormula>AVERAGE(Table11045[EFP % Base])</totalsRowFormula>
    </tableColumn>
  </tableColumns>
  <tableStyleInfo name="TableStyleMedium1" showFirstColumn="0" showLastColumn="0" showRowStripes="1" showColumnStripes="0"/>
</table>
</file>

<file path=xl/tables/table50.xml><?xml version="1.0" encoding="utf-8"?>
<table xmlns="http://schemas.openxmlformats.org/spreadsheetml/2006/main" id="51" name="Table11052" displayName="Table11052" ref="A591:BD599" totalsRowCount="1" headerRowDxfId="5762">
  <tableColumns count="56">
    <tableColumn id="1" name="  Grade" dataDxfId="5761" totalsRowDxfId="5760"/>
    <tableColumn id="13" name="Main Area $" dataDxfId="5759" totalsRowDxfId="5758"/>
    <tableColumn id="45" name="MA $/Sq Ft" totalsRowFunction="custom" dataDxfId="5757" totalsRowDxfId="5756">
      <calculatedColumnFormula>B592/F589</calculatedColumnFormula>
      <totalsRowFormula>AVERAGE(Table11052[MA $/Sq Ft])</totalsRowFormula>
    </tableColumn>
    <tableColumn id="16" name="Basic Allowance" totalsRowFunction="custom" dataDxfId="5755" totalsRowDxfId="5754">
      <totalsRowFormula>AVERAGE(Table11052[Basic Allowance])</totalsRowFormula>
    </tableColumn>
    <tableColumn id="43" name="BsmtVal" dataDxfId="5753" totalsRowDxfId="5752"/>
    <tableColumn id="46" name="Bsmt SqFt" dataDxfId="5751" totalsRowDxfId="5750"/>
    <tableColumn id="2" name="BsmtVal/Sq Ft" dataDxfId="5749" totalsRowDxfId="5748">
      <calculatedColumnFormula>E592/F592</calculatedColumnFormula>
    </tableColumn>
    <tableColumn id="17" name="Bsmt % Base" totalsRowFunction="custom" dataDxfId="5747" totalsRowDxfId="5746">
      <calculatedColumnFormula>G592/C592</calculatedColumnFormula>
      <totalsRowFormula>AVERAGE(Table11052[Bsmt % Base])</totalsRowFormula>
    </tableColumn>
    <tableColumn id="30" name="UnfBsmtVal" dataDxfId="5745" totalsRowDxfId="5744"/>
    <tableColumn id="47" name="UnfBsmt Sq Ft" dataDxfId="5743" totalsRowDxfId="5742"/>
    <tableColumn id="3" name="UnfBsmtVal/SqFt" dataDxfId="5741" totalsRowDxfId="5740">
      <calculatedColumnFormula>I592/J592</calculatedColumnFormula>
    </tableColumn>
    <tableColumn id="44" name="UnfBsmt % Base" totalsRowFunction="custom" dataDxfId="5739" totalsRowDxfId="5738">
      <calculatedColumnFormula>K592/C592</calculatedColumnFormula>
      <totalsRowFormula>AVERAGE(Table11052[[#Headers],[#Data],[UnfBsmt % Base]])</totalsRowFormula>
    </tableColumn>
    <tableColumn id="31" name="Lower Value" dataDxfId="5737" totalsRowDxfId="5736"/>
    <tableColumn id="48" name="Lower Sq Ft" dataDxfId="5735" totalsRowDxfId="5734"/>
    <tableColumn id="4" name="LowerVal/SqFt" totalsRowFunction="custom" dataDxfId="5733" totalsRowDxfId="5732">
      <calculatedColumnFormula>M592/N592</calculatedColumnFormula>
      <totalsRowFormula>AVERAGE(Table11052[LowerVal/SqFt])</totalsRowFormula>
    </tableColumn>
    <tableColumn id="32" name="Lower % Base" totalsRowFunction="custom" dataDxfId="5731" totalsRowDxfId="5730">
      <calculatedColumnFormula>O592/C592</calculatedColumnFormula>
      <totalsRowFormula>AVERAGE(Table11052[Lower % Base])</totalsRowFormula>
    </tableColumn>
    <tableColumn id="19" name="Unf Lower Value" dataDxfId="5729" totalsRowDxfId="5728"/>
    <tableColumn id="49" name="UnfLower Sq Ft" dataDxfId="5727" totalsRowDxfId="5726"/>
    <tableColumn id="14" name="UnfLowVal/SqFt2" dataDxfId="5725" totalsRowDxfId="5724">
      <calculatedColumnFormula>Q592/R592</calculatedColumnFormula>
    </tableColumn>
    <tableColumn id="33" name="Unf Lower % Base" totalsRowFunction="custom" dataDxfId="5723" totalsRowDxfId="5722">
      <calculatedColumnFormula>S592/C592</calculatedColumnFormula>
      <totalsRowFormula>AVERAGE(Table11052[Unf Lower % Base])</totalsRowFormula>
    </tableColumn>
    <tableColumn id="20" name="1/2 Story Value" dataDxfId="5721" totalsRowDxfId="5720"/>
    <tableColumn id="50" name="1/2 Story Sq Ft" dataDxfId="5719" totalsRowDxfId="5718"/>
    <tableColumn id="5" name="1/2 StoryVal/SqFt" dataDxfId="5717" totalsRowDxfId="5716">
      <calculatedColumnFormula>U592/V592</calculatedColumnFormula>
    </tableColumn>
    <tableColumn id="34" name="1/2 Story % Base" totalsRowFunction="custom" dataDxfId="5715" totalsRowDxfId="5714">
      <calculatedColumnFormula>W592/C592</calculatedColumnFormula>
      <totalsRowFormula>AVERAGE(Table11052[1/2 Story % Base])</totalsRowFormula>
    </tableColumn>
    <tableColumn id="21" name="2nd Story Value" dataDxfId="5713" totalsRowDxfId="5712"/>
    <tableColumn id="51" name="2nd Sty Sq Ft" dataDxfId="5711" totalsRowDxfId="5710"/>
    <tableColumn id="6" name="2ndStyVal/Sqft" dataDxfId="5709" totalsRowDxfId="5708">
      <calculatedColumnFormula>Y592/Z592</calculatedColumnFormula>
    </tableColumn>
    <tableColumn id="35" name="2nd Story % Base" totalsRowFunction="custom" dataDxfId="5707" totalsRowDxfId="5706">
      <calculatedColumnFormula>AA592/C592</calculatedColumnFormula>
      <totalsRowFormula>AVERAGE(Table11052[2nd Story % Base])</totalsRowFormula>
    </tableColumn>
    <tableColumn id="22" name="Att Gar Value" dataDxfId="5705" totalsRowDxfId="5704"/>
    <tableColumn id="52" name="Att Gar Sq Ft" dataDxfId="5703" totalsRowDxfId="5702"/>
    <tableColumn id="7" name="AttGarVal/SqFt" totalsRowFunction="custom" dataDxfId="5701" totalsRowDxfId="5700">
      <calculatedColumnFormula>AC592/AD592</calculatedColumnFormula>
      <totalsRowFormula>AVERAGE(Table11052[AttGarVal/SqFt])</totalsRowFormula>
    </tableColumn>
    <tableColumn id="36" name="Att Gar % Base" totalsRowFunction="custom" dataDxfId="5699" totalsRowDxfId="5698">
      <calculatedColumnFormula>AE592/C592</calculatedColumnFormula>
      <totalsRowFormula>AVERAGE(Table11052[Att Gar % Base])</totalsRowFormula>
    </tableColumn>
    <tableColumn id="23" name="Porch Value" dataDxfId="5697" totalsRowDxfId="5696"/>
    <tableColumn id="53" name="Porch Sq Ft" dataDxfId="5695" totalsRowDxfId="5694"/>
    <tableColumn id="8" name="PorchVal/SqFt" dataDxfId="5693" totalsRowDxfId="5692">
      <calculatedColumnFormula>AG592/AH592</calculatedColumnFormula>
    </tableColumn>
    <tableColumn id="37" name="Porch % Base" totalsRowFunction="custom" dataDxfId="5691" totalsRowDxfId="5690">
      <calculatedColumnFormula>AI592/C592</calculatedColumnFormula>
      <totalsRowFormula>AVERAGE(Table11052[Porch % Base])</totalsRowFormula>
    </tableColumn>
    <tableColumn id="24" name="Cov Porch Value" dataDxfId="5689" totalsRowDxfId="5688"/>
    <tableColumn id="54" name="Cov Porch Sq Ft" dataDxfId="5687" totalsRowDxfId="5686"/>
    <tableColumn id="9" name="CovPrVal/SqFt" dataDxfId="5685" totalsRowDxfId="5684">
      <calculatedColumnFormula>AK592/AL592</calculatedColumnFormula>
    </tableColumn>
    <tableColumn id="38" name="Cov Porch % Base" totalsRowFunction="custom" dataDxfId="5683" totalsRowDxfId="5682">
      <calculatedColumnFormula>AM592/C592</calculatedColumnFormula>
      <totalsRowFormula>AVERAGE(Table11052[Cov Porch % Base])</totalsRowFormula>
    </tableColumn>
    <tableColumn id="25" name="Deck Value" dataDxfId="5681" totalsRowDxfId="5680"/>
    <tableColumn id="55" name="Deck Sq Ft" dataDxfId="5679" totalsRowDxfId="5678"/>
    <tableColumn id="10" name="DeckVal/SqFt" dataDxfId="5677" totalsRowDxfId="5676">
      <calculatedColumnFormula>AO592/AP592</calculatedColumnFormula>
    </tableColumn>
    <tableColumn id="39" name="Deck % Base" totalsRowFunction="custom" dataDxfId="5675" totalsRowDxfId="5674">
      <calculatedColumnFormula>AQ592/C592</calculatedColumnFormula>
      <totalsRowFormula>AVERAGE(Table11052[Deck % Base])</totalsRowFormula>
    </tableColumn>
    <tableColumn id="26" name="Cov Deck Value" dataDxfId="5673" totalsRowDxfId="5672"/>
    <tableColumn id="56" name="CovDeck Sq Ft" dataDxfId="5671" totalsRowDxfId="5670"/>
    <tableColumn id="11" name="CovDeckVal/SqFt" totalsRowFunction="custom" dataDxfId="5669" totalsRowDxfId="5668">
      <calculatedColumnFormula>AS592/AT592</calculatedColumnFormula>
      <totalsRowFormula>AVERAGE(Table11052[CovDeckVal/SqFt])</totalsRowFormula>
    </tableColumn>
    <tableColumn id="40" name="CovDeck % Base" totalsRowFunction="custom" dataDxfId="5667" totalsRowDxfId="5666">
      <calculatedColumnFormula>AU592/C592</calculatedColumnFormula>
      <totalsRowFormula>AVERAGE(Table11052[CovDeck % Base])</totalsRowFormula>
    </tableColumn>
    <tableColumn id="27" name="CarP Value" dataDxfId="5665" totalsRowDxfId="5664"/>
    <tableColumn id="57" name="CarP Sq Ft" dataDxfId="5663" totalsRowDxfId="5662"/>
    <tableColumn id="12" name="CarPVal/SqFt" dataDxfId="5661" totalsRowDxfId="5660">
      <calculatedColumnFormula>AW592/AX592</calculatedColumnFormula>
    </tableColumn>
    <tableColumn id="41" name="CarP % Base" totalsRowFunction="custom" dataDxfId="5659" totalsRowDxfId="5658">
      <calculatedColumnFormula>AY592/C592</calculatedColumnFormula>
      <totalsRowFormula>AVERAGE(Table11052[CarP % Base])</totalsRowFormula>
    </tableColumn>
    <tableColumn id="28" name="EFP Value" dataDxfId="5657" totalsRowDxfId="5656"/>
    <tableColumn id="58" name="EFP Sq Ft" dataDxfId="5655" totalsRowDxfId="5654"/>
    <tableColumn id="15" name="EFPVal/SqFt" dataDxfId="5653" totalsRowDxfId="5652">
      <calculatedColumnFormula>BA592/BB592</calculatedColumnFormula>
    </tableColumn>
    <tableColumn id="29" name="EFP % Base" totalsRowFunction="custom" dataDxfId="5651" totalsRowDxfId="5650">
      <calculatedColumnFormula>BC592/C592</calculatedColumnFormula>
      <totalsRowFormula>AVERAGE(Table11052[EFP % Base])</totalsRowFormula>
    </tableColumn>
  </tableColumns>
  <tableStyleInfo name="TableStyleMedium1" showFirstColumn="0" showLastColumn="0" showRowStripes="1" showColumnStripes="0"/>
</table>
</file>

<file path=xl/tables/table51.xml><?xml version="1.0" encoding="utf-8"?>
<table xmlns="http://schemas.openxmlformats.org/spreadsheetml/2006/main" id="52" name="Table11053" displayName="Table11053" ref="A603:BD611" totalsRowCount="1" headerRowDxfId="5649">
  <tableColumns count="56">
    <tableColumn id="1" name="  Grade" dataDxfId="5648" totalsRowDxfId="5647"/>
    <tableColumn id="13" name="Main Area $" dataDxfId="5646" totalsRowDxfId="5645"/>
    <tableColumn id="45" name="MA $/Sq Ft" totalsRowFunction="custom" dataDxfId="5644" totalsRowDxfId="5643">
      <calculatedColumnFormula>B604/F601</calculatedColumnFormula>
      <totalsRowFormula>AVERAGE(Table11053[MA $/Sq Ft])</totalsRowFormula>
    </tableColumn>
    <tableColumn id="16" name="Basic Allowance" totalsRowFunction="custom" dataDxfId="5642" totalsRowDxfId="5641">
      <totalsRowFormula>AVERAGE(Table11053[Basic Allowance])</totalsRowFormula>
    </tableColumn>
    <tableColumn id="43" name="BsmtVal" dataDxfId="5640" totalsRowDxfId="5639"/>
    <tableColumn id="46" name="Bsmt SqFt" dataDxfId="5638" totalsRowDxfId="5637"/>
    <tableColumn id="2" name="BsmtVal/Sq Ft" dataDxfId="5636" totalsRowDxfId="5635">
      <calculatedColumnFormula>E604/F604</calculatedColumnFormula>
    </tableColumn>
    <tableColumn id="17" name="Bsmt % Base" totalsRowFunction="custom" dataDxfId="5634" totalsRowDxfId="5633">
      <calculatedColumnFormula>G604/C604</calculatedColumnFormula>
      <totalsRowFormula>AVERAGE(Table11053[Bsmt % Base])</totalsRowFormula>
    </tableColumn>
    <tableColumn id="30" name="UnfBsmtVal" dataDxfId="5632" totalsRowDxfId="5631"/>
    <tableColumn id="47" name="UnfBsmt Sq Ft" dataDxfId="5630" totalsRowDxfId="5629"/>
    <tableColumn id="3" name="UnfBsmtVal/SqFt" dataDxfId="5628" totalsRowDxfId="5627">
      <calculatedColumnFormula>I604/J604</calculatedColumnFormula>
    </tableColumn>
    <tableColumn id="44" name="UnfBsmt % Base" totalsRowFunction="custom" dataDxfId="5626" totalsRowDxfId="5625">
      <calculatedColumnFormula>K604/C604</calculatedColumnFormula>
      <totalsRowFormula>AVERAGE(Table11053[[#Headers],[#Data],[UnfBsmt % Base]])</totalsRowFormula>
    </tableColumn>
    <tableColumn id="31" name="Lower Value" dataDxfId="5624" totalsRowDxfId="5623"/>
    <tableColumn id="48" name="Lower Sq Ft" dataDxfId="5622" totalsRowDxfId="5621"/>
    <tableColumn id="4" name="LowerVal/SqFt" totalsRowFunction="custom" dataDxfId="5620" totalsRowDxfId="5619">
      <calculatedColumnFormula>M604/N604</calculatedColumnFormula>
      <totalsRowFormula>AVERAGE(Table11053[LowerVal/SqFt])</totalsRowFormula>
    </tableColumn>
    <tableColumn id="32" name="Lower % Base" totalsRowFunction="custom" dataDxfId="5618" totalsRowDxfId="5617">
      <calculatedColumnFormula>O604/C604</calculatedColumnFormula>
      <totalsRowFormula>AVERAGE(Table11053[Lower % Base])</totalsRowFormula>
    </tableColumn>
    <tableColumn id="19" name="Unf Lower Value" dataDxfId="5616" totalsRowDxfId="5615"/>
    <tableColumn id="49" name="UnfLower Sq Ft" dataDxfId="5614" totalsRowDxfId="5613"/>
    <tableColumn id="14" name="UnfLowVal/SqFt2" dataDxfId="5612" totalsRowDxfId="5611">
      <calculatedColumnFormula>Q604/R604</calculatedColumnFormula>
    </tableColumn>
    <tableColumn id="33" name="Unf Lower % Base" totalsRowFunction="custom" dataDxfId="5610" totalsRowDxfId="5609">
      <calculatedColumnFormula>S604/C604</calculatedColumnFormula>
      <totalsRowFormula>AVERAGE(Table11053[Unf Lower % Base])</totalsRowFormula>
    </tableColumn>
    <tableColumn id="20" name="1/2 Story Value" dataDxfId="5608" totalsRowDxfId="5607"/>
    <tableColumn id="50" name="1/2 Story Sq Ft" dataDxfId="5606" totalsRowDxfId="5605"/>
    <tableColumn id="5" name="1/2 StoryVal/SqFt" dataDxfId="5604" totalsRowDxfId="5603">
      <calculatedColumnFormula>U604/V604</calculatedColumnFormula>
    </tableColumn>
    <tableColumn id="34" name="1/2 Story % Base" totalsRowFunction="custom" dataDxfId="5602" totalsRowDxfId="5601">
      <calculatedColumnFormula>W604/C604</calculatedColumnFormula>
      <totalsRowFormula>AVERAGE(Table11053[1/2 Story % Base])</totalsRowFormula>
    </tableColumn>
    <tableColumn id="21" name="2nd Story Value" dataDxfId="5600" totalsRowDxfId="5599"/>
    <tableColumn id="51" name="2nd Sty Sq Ft" dataDxfId="5598" totalsRowDxfId="5597"/>
    <tableColumn id="6" name="2ndStyVal/Sqft" dataDxfId="5596" totalsRowDxfId="5595">
      <calculatedColumnFormula>Y604/Z604</calculatedColumnFormula>
    </tableColumn>
    <tableColumn id="35" name="2nd Story % Base" totalsRowFunction="custom" dataDxfId="5594" totalsRowDxfId="5593">
      <calculatedColumnFormula>AA604/C604</calculatedColumnFormula>
      <totalsRowFormula>AVERAGE(Table11053[2nd Story % Base])</totalsRowFormula>
    </tableColumn>
    <tableColumn id="22" name="Att Gar Value" dataDxfId="5592" totalsRowDxfId="5591"/>
    <tableColumn id="52" name="Att Gar Sq Ft" dataDxfId="5590" totalsRowDxfId="5589"/>
    <tableColumn id="7" name="AttGarVal/SqFt" totalsRowFunction="custom" dataDxfId="5588" totalsRowDxfId="5587">
      <calculatedColumnFormula>AC604/AD604</calculatedColumnFormula>
      <totalsRowFormula>AVERAGE(Table11053[AttGarVal/SqFt])</totalsRowFormula>
    </tableColumn>
    <tableColumn id="36" name="Att Gar % Base" totalsRowFunction="custom" dataDxfId="5586" totalsRowDxfId="5585">
      <calculatedColumnFormula>AE604/C604</calculatedColumnFormula>
      <totalsRowFormula>AVERAGE(Table11053[Att Gar % Base])</totalsRowFormula>
    </tableColumn>
    <tableColumn id="23" name="Porch Value" dataDxfId="5584" totalsRowDxfId="5583"/>
    <tableColumn id="53" name="Porch Sq Ft" dataDxfId="5582" totalsRowDxfId="5581"/>
    <tableColumn id="8" name="PorchVal/SqFt" dataDxfId="5580" totalsRowDxfId="5579">
      <calculatedColumnFormula>AG604/AH604</calculatedColumnFormula>
    </tableColumn>
    <tableColumn id="37" name="Porch % Base" totalsRowFunction="custom" dataDxfId="5578" totalsRowDxfId="5577">
      <calculatedColumnFormula>AI604/C604</calculatedColumnFormula>
      <totalsRowFormula>AVERAGE(Table11053[Porch % Base])</totalsRowFormula>
    </tableColumn>
    <tableColumn id="24" name="Cov Porch Value" dataDxfId="5576" totalsRowDxfId="5575"/>
    <tableColumn id="54" name="Cov Porch Sq Ft" dataDxfId="5574" totalsRowDxfId="5573"/>
    <tableColumn id="9" name="CovPrVal/SqFt" dataDxfId="5572" totalsRowDxfId="5571">
      <calculatedColumnFormula>AK604/AL604</calculatedColumnFormula>
    </tableColumn>
    <tableColumn id="38" name="Cov Porch % Base" totalsRowFunction="custom" dataDxfId="5570" totalsRowDxfId="5569">
      <calculatedColumnFormula>AM604/C604</calculatedColumnFormula>
      <totalsRowFormula>AVERAGE(Table11053[Cov Porch % Base])</totalsRowFormula>
    </tableColumn>
    <tableColumn id="25" name="Deck Value" dataDxfId="5568" totalsRowDxfId="5567"/>
    <tableColumn id="55" name="Deck Sq Ft" dataDxfId="5566" totalsRowDxfId="5565"/>
    <tableColumn id="10" name="DeckVal/SqFt" dataDxfId="5564" totalsRowDxfId="5563">
      <calculatedColumnFormula>AO604/AP604</calculatedColumnFormula>
    </tableColumn>
    <tableColumn id="39" name="Deck % Base" totalsRowFunction="custom" dataDxfId="5562" totalsRowDxfId="5561">
      <calculatedColumnFormula>AQ604/C604</calculatedColumnFormula>
      <totalsRowFormula>AVERAGE(Table11053[Deck % Base])</totalsRowFormula>
    </tableColumn>
    <tableColumn id="26" name="Cov Deck Value" dataDxfId="5560" totalsRowDxfId="5559"/>
    <tableColumn id="56" name="CovDeck Sq Ft" dataDxfId="5558" totalsRowDxfId="5557"/>
    <tableColumn id="11" name="CovDeckVal/SqFt" totalsRowFunction="custom" dataDxfId="5556" totalsRowDxfId="5555">
      <calculatedColumnFormula>AS604/AT604</calculatedColumnFormula>
      <totalsRowFormula>AVERAGE(Table11053[CovDeckVal/SqFt])</totalsRowFormula>
    </tableColumn>
    <tableColumn id="40" name="CovDeck % Base" totalsRowFunction="custom" dataDxfId="5554" totalsRowDxfId="5553">
      <calculatedColumnFormula>AU604/C604</calculatedColumnFormula>
      <totalsRowFormula>AVERAGE(Table11053[CovDeck % Base])</totalsRowFormula>
    </tableColumn>
    <tableColumn id="27" name="CarP Value" dataDxfId="5552" totalsRowDxfId="5551"/>
    <tableColumn id="57" name="CarP Sq Ft" dataDxfId="5550" totalsRowDxfId="5549"/>
    <tableColumn id="12" name="CarPVal/SqFt" dataDxfId="5548" totalsRowDxfId="5547">
      <calculatedColumnFormula>AW604/AX604</calculatedColumnFormula>
    </tableColumn>
    <tableColumn id="41" name="CarP % Base" totalsRowFunction="custom" dataDxfId="5546" totalsRowDxfId="5545">
      <calculatedColumnFormula>AY604/C604</calculatedColumnFormula>
      <totalsRowFormula>AVERAGE(Table11053[CarP % Base])</totalsRowFormula>
    </tableColumn>
    <tableColumn id="28" name="EFP Value" dataDxfId="5544" totalsRowDxfId="5543"/>
    <tableColumn id="58" name="EFP Sq Ft" dataDxfId="5542" totalsRowDxfId="5541"/>
    <tableColumn id="15" name="EFPVal/SqFt" dataDxfId="5540" totalsRowDxfId="5539">
      <calculatedColumnFormula>BA604/BB604</calculatedColumnFormula>
    </tableColumn>
    <tableColumn id="29" name="EFP % Base" totalsRowFunction="custom" dataDxfId="5538" totalsRowDxfId="5537">
      <calculatedColumnFormula>BC604/C604</calculatedColumnFormula>
      <totalsRowFormula>AVERAGE(Table11053[EFP % Base])</totalsRowFormula>
    </tableColumn>
  </tableColumns>
  <tableStyleInfo name="TableStyleMedium1" showFirstColumn="0" showLastColumn="0" showRowStripes="1" showColumnStripes="0"/>
</table>
</file>

<file path=xl/tables/table52.xml><?xml version="1.0" encoding="utf-8"?>
<table xmlns="http://schemas.openxmlformats.org/spreadsheetml/2006/main" id="53" name="Table1102" displayName="Table1102" ref="A615:BD623" totalsRowCount="1" headerRowDxfId="5536">
  <tableColumns count="56">
    <tableColumn id="1" name="  Grade" dataDxfId="5535" totalsRowDxfId="5534"/>
    <tableColumn id="13" name="Main Area $" dataDxfId="5533" totalsRowDxfId="5532"/>
    <tableColumn id="45" name="MA $/Sq Ft" totalsRowFunction="custom" dataDxfId="5531" totalsRowDxfId="5530">
      <calculatedColumnFormula>B616/F613</calculatedColumnFormula>
      <totalsRowFormula>AVERAGE(Table1102[MA $/Sq Ft])</totalsRowFormula>
    </tableColumn>
    <tableColumn id="16" name="Basic Allowance" totalsRowFunction="custom" dataDxfId="5529" totalsRowDxfId="5528">
      <totalsRowFormula>AVERAGE(Table1102[Basic Allowance])</totalsRowFormula>
    </tableColumn>
    <tableColumn id="43" name="BsmtVal" dataDxfId="5527" totalsRowDxfId="5526"/>
    <tableColumn id="46" name="Bsmt SqFt" dataDxfId="5525" totalsRowDxfId="5524"/>
    <tableColumn id="2" name="BsmtVal/Sq Ft" dataDxfId="5523" totalsRowDxfId="5522">
      <calculatedColumnFormula>E616/F616</calculatedColumnFormula>
    </tableColumn>
    <tableColumn id="17" name="Bsmt % Base" totalsRowFunction="custom" dataDxfId="5521" totalsRowDxfId="5520">
      <calculatedColumnFormula>G616/C616</calculatedColumnFormula>
      <totalsRowFormula>AVERAGE(Table1102[Bsmt % Base])</totalsRowFormula>
    </tableColumn>
    <tableColumn id="30" name="UnfBsmtVal" dataDxfId="5519" totalsRowDxfId="5518"/>
    <tableColumn id="47" name="UnfBsmt Sq Ft" dataDxfId="5517" totalsRowDxfId="5516"/>
    <tableColumn id="3" name="UnfBsmtVal/SqFt" dataDxfId="5515" totalsRowDxfId="5514">
      <calculatedColumnFormula>I616/J616</calculatedColumnFormula>
    </tableColumn>
    <tableColumn id="44" name="UnfBsmt % Base" totalsRowFunction="custom" dataDxfId="5513" totalsRowDxfId="5512">
      <calculatedColumnFormula>K616/C616</calculatedColumnFormula>
      <totalsRowFormula>AVERAGE(Table1102[[#Headers],[#Data],[UnfBsmt % Base]])</totalsRowFormula>
    </tableColumn>
    <tableColumn id="31" name="Lower Value" dataDxfId="5511" totalsRowDxfId="5510"/>
    <tableColumn id="48" name="Lower Sq Ft" dataDxfId="5509" totalsRowDxfId="5508"/>
    <tableColumn id="4" name="LowerVal/SqFt" totalsRowFunction="custom" dataDxfId="5507" totalsRowDxfId="5506">
      <calculatedColumnFormula>M616/N616</calculatedColumnFormula>
      <totalsRowFormula>AVERAGE(Table1102[LowerVal/SqFt])</totalsRowFormula>
    </tableColumn>
    <tableColumn id="32" name="Lower % Base" totalsRowFunction="custom" dataDxfId="5505" totalsRowDxfId="5504">
      <calculatedColumnFormula>O616/C616</calculatedColumnFormula>
      <totalsRowFormula>AVERAGE(Table1102[Lower % Base])</totalsRowFormula>
    </tableColumn>
    <tableColumn id="19" name="Unf Lower Value" dataDxfId="5503" totalsRowDxfId="5502"/>
    <tableColumn id="49" name="UnfLower Sq Ft" dataDxfId="5501" totalsRowDxfId="5500"/>
    <tableColumn id="14" name="UnfLowVal/SqFt2" dataDxfId="5499" totalsRowDxfId="5498">
      <calculatedColumnFormula>Q616/R616</calculatedColumnFormula>
    </tableColumn>
    <tableColumn id="33" name="Unf Lower % Base" totalsRowFunction="custom" dataDxfId="5497" totalsRowDxfId="5496">
      <calculatedColumnFormula>S616/C616</calculatedColumnFormula>
      <totalsRowFormula>AVERAGE(Table1102[Unf Lower % Base])</totalsRowFormula>
    </tableColumn>
    <tableColumn id="20" name="1/2 Story Value" dataDxfId="5495" totalsRowDxfId="5494"/>
    <tableColumn id="50" name="1/2 Story Sq Ft" dataDxfId="5493" totalsRowDxfId="5492"/>
    <tableColumn id="5" name="1/2 StoryVal/SqFt" dataDxfId="5491" totalsRowDxfId="5490">
      <calculatedColumnFormula>U616/V616</calculatedColumnFormula>
    </tableColumn>
    <tableColumn id="34" name="1/2 Story % Base" totalsRowFunction="custom" dataDxfId="5489" totalsRowDxfId="5488">
      <calculatedColumnFormula>W616/C616</calculatedColumnFormula>
      <totalsRowFormula>AVERAGE(Table1102[1/2 Story % Base])</totalsRowFormula>
    </tableColumn>
    <tableColumn id="21" name="2nd Story Value" dataDxfId="5487" totalsRowDxfId="5486"/>
    <tableColumn id="51" name="2nd Sty Sq Ft" dataDxfId="5485" totalsRowDxfId="5484"/>
    <tableColumn id="6" name="2ndStyVal/Sqft" dataDxfId="5483" totalsRowDxfId="5482">
      <calculatedColumnFormula>Y616/Z616</calculatedColumnFormula>
    </tableColumn>
    <tableColumn id="35" name="2nd Story % Base" totalsRowFunction="custom" dataDxfId="5481" totalsRowDxfId="5480">
      <calculatedColumnFormula>AA616/C616</calculatedColumnFormula>
      <totalsRowFormula>AVERAGE(Table1102[2nd Story % Base])</totalsRowFormula>
    </tableColumn>
    <tableColumn id="22" name="Att Gar Value" dataDxfId="5479" totalsRowDxfId="5478"/>
    <tableColumn id="52" name="Att Gar Sq Ft" dataDxfId="5477" totalsRowDxfId="5476"/>
    <tableColumn id="7" name="AttGarVal/SqFt" totalsRowFunction="custom" dataDxfId="5475" totalsRowDxfId="5474">
      <calculatedColumnFormula>AC616/AD616</calculatedColumnFormula>
      <totalsRowFormula>AVERAGE(Table1102[AttGarVal/SqFt])</totalsRowFormula>
    </tableColumn>
    <tableColumn id="36" name="Att Gar % Base" totalsRowFunction="custom" dataDxfId="5473" totalsRowDxfId="5472">
      <calculatedColumnFormula>AE616/C616</calculatedColumnFormula>
      <totalsRowFormula>AVERAGE(Table1102[Att Gar % Base])</totalsRowFormula>
    </tableColumn>
    <tableColumn id="23" name="Porch Value" dataDxfId="5471" totalsRowDxfId="5470"/>
    <tableColumn id="53" name="Porch Sq Ft" dataDxfId="5469" totalsRowDxfId="5468"/>
    <tableColumn id="8" name="PorchVal/SqFt" dataDxfId="5467" totalsRowDxfId="5466">
      <calculatedColumnFormula>AG616/AH616</calculatedColumnFormula>
    </tableColumn>
    <tableColumn id="37" name="Porch % Base" totalsRowFunction="custom" dataDxfId="5465" totalsRowDxfId="5464">
      <calculatedColumnFormula>AI616/C616</calculatedColumnFormula>
      <totalsRowFormula>AVERAGE(Table1102[Porch % Base])</totalsRowFormula>
    </tableColumn>
    <tableColumn id="24" name="Cov Porch Value" dataDxfId="5463" totalsRowDxfId="5462"/>
    <tableColumn id="54" name="Cov Porch Sq Ft" dataDxfId="5461" totalsRowDxfId="5460"/>
    <tableColumn id="9" name="CovPrVal/SqFt" dataDxfId="5459" totalsRowDxfId="5458">
      <calculatedColumnFormula>AK616/AL616</calculatedColumnFormula>
    </tableColumn>
    <tableColumn id="38" name="Cov Porch % Base" totalsRowFunction="custom" dataDxfId="5457" totalsRowDxfId="5456">
      <calculatedColumnFormula>AM616/C616</calculatedColumnFormula>
      <totalsRowFormula>AVERAGE(Table1102[Cov Porch % Base])</totalsRowFormula>
    </tableColumn>
    <tableColumn id="25" name="Deck Value" dataDxfId="5455" totalsRowDxfId="5454"/>
    <tableColumn id="55" name="Deck Sq Ft" dataDxfId="5453" totalsRowDxfId="5452"/>
    <tableColumn id="10" name="DeckVal/SqFt" dataDxfId="5451" totalsRowDxfId="5450">
      <calculatedColumnFormula>AO616/AP616</calculatedColumnFormula>
    </tableColumn>
    <tableColumn id="39" name="Deck % Base" totalsRowFunction="custom" dataDxfId="5449" totalsRowDxfId="5448">
      <calculatedColumnFormula>AQ616/C616</calculatedColumnFormula>
      <totalsRowFormula>AVERAGE(Table1102[Deck % Base])</totalsRowFormula>
    </tableColumn>
    <tableColumn id="26" name="Cov Deck Value" dataDxfId="5447" totalsRowDxfId="5446"/>
    <tableColumn id="56" name="CovDeck Sq Ft" dataDxfId="5445" totalsRowDxfId="5444"/>
    <tableColumn id="11" name="CovDeckVal/SqFt" totalsRowFunction="custom" dataDxfId="5443" totalsRowDxfId="5442">
      <calculatedColumnFormula>AS616/AT616</calculatedColumnFormula>
      <totalsRowFormula>AVERAGE(Table1102[CovDeckVal/SqFt])</totalsRowFormula>
    </tableColumn>
    <tableColumn id="40" name="CovDeck % Base" totalsRowFunction="custom" dataDxfId="5441" totalsRowDxfId="5440">
      <calculatedColumnFormula>AU616/C616</calculatedColumnFormula>
      <totalsRowFormula>AVERAGE(Table1102[CovDeck % Base])</totalsRowFormula>
    </tableColumn>
    <tableColumn id="27" name="CarP Value" dataDxfId="5439" totalsRowDxfId="5438"/>
    <tableColumn id="57" name="CarP Sq Ft" dataDxfId="5437" totalsRowDxfId="5436"/>
    <tableColumn id="12" name="CarPVal/SqFt" dataDxfId="5435" totalsRowDxfId="5434">
      <calculatedColumnFormula>AW616/AX616</calculatedColumnFormula>
    </tableColumn>
    <tableColumn id="41" name="CarP % Base" totalsRowFunction="custom" dataDxfId="5433" totalsRowDxfId="5432">
      <calculatedColumnFormula>AY616/C616</calculatedColumnFormula>
      <totalsRowFormula>AVERAGE(Table1102[CarP % Base])</totalsRowFormula>
    </tableColumn>
    <tableColumn id="28" name="EFP Value" dataDxfId="5431" totalsRowDxfId="5430"/>
    <tableColumn id="58" name="EFP Sq Ft" dataDxfId="5429" totalsRowDxfId="5428"/>
    <tableColumn id="15" name="EFPVal/SqFt" dataDxfId="5427" totalsRowDxfId="5426">
      <calculatedColumnFormula>BA616/BB616</calculatedColumnFormula>
    </tableColumn>
    <tableColumn id="29" name="EFP % Base" totalsRowFunction="custom" dataDxfId="5425" totalsRowDxfId="5424">
      <calculatedColumnFormula>BC616/C616</calculatedColumnFormula>
      <totalsRowFormula>AVERAGE(Table1102[EFP % Base])</totalsRowFormula>
    </tableColumn>
  </tableColumns>
  <tableStyleInfo name="TableStyleMedium1" showFirstColumn="0" showLastColumn="0" showRowStripes="1" showColumnStripes="0"/>
</table>
</file>

<file path=xl/tables/table53.xml><?xml version="1.0" encoding="utf-8"?>
<table xmlns="http://schemas.openxmlformats.org/spreadsheetml/2006/main" id="54" name="Table11026" displayName="Table11026" ref="A627:BD635" totalsRowCount="1" headerRowDxfId="5423">
  <tableColumns count="56">
    <tableColumn id="1" name="  Grade" dataDxfId="5422" totalsRowDxfId="5421"/>
    <tableColumn id="13" name="Main Area $" dataDxfId="5420" totalsRowDxfId="5419"/>
    <tableColumn id="45" name="MA $/Sq Ft" totalsRowFunction="custom" dataDxfId="5418" totalsRowDxfId="5417">
      <calculatedColumnFormula>B628/F625</calculatedColumnFormula>
      <totalsRowFormula>AVERAGE(Table11026[MA $/Sq Ft])</totalsRowFormula>
    </tableColumn>
    <tableColumn id="16" name="Basic Allowance" totalsRowFunction="custom" dataDxfId="5416" totalsRowDxfId="5415">
      <totalsRowFormula>AVERAGE(Table11026[Basic Allowance])</totalsRowFormula>
    </tableColumn>
    <tableColumn id="43" name="BsmtVal" dataDxfId="5414" totalsRowDxfId="5413"/>
    <tableColumn id="46" name="Bsmt SqFt" dataDxfId="5412" totalsRowDxfId="5411"/>
    <tableColumn id="2" name="BsmtVal/Sq Ft" dataDxfId="5410" totalsRowDxfId="5409">
      <calculatedColumnFormula>E628/F628</calculatedColumnFormula>
    </tableColumn>
    <tableColumn id="17" name="Bsmt % Base" totalsRowFunction="custom" dataDxfId="5408" totalsRowDxfId="5407">
      <calculatedColumnFormula>G628/C628</calculatedColumnFormula>
      <totalsRowFormula>AVERAGE(Table11026[Bsmt % Base])</totalsRowFormula>
    </tableColumn>
    <tableColumn id="30" name="UnfBsmtVal" dataDxfId="5406" totalsRowDxfId="5405"/>
    <tableColumn id="47" name="UnfBsmt Sq Ft" dataDxfId="5404" totalsRowDxfId="5403"/>
    <tableColumn id="3" name="UnfBsmtVal/SqFt" dataDxfId="5402" totalsRowDxfId="5401">
      <calculatedColumnFormula>I628/J628</calculatedColumnFormula>
    </tableColumn>
    <tableColumn id="44" name="UnfBsmt % Base" totalsRowFunction="custom" dataDxfId="5400" totalsRowDxfId="5399">
      <calculatedColumnFormula>K628/C628</calculatedColumnFormula>
      <totalsRowFormula>AVERAGE(Table11026[[#Headers],[#Data],[UnfBsmt % Base]])</totalsRowFormula>
    </tableColumn>
    <tableColumn id="31" name="Lower Value" dataDxfId="5398" totalsRowDxfId="5397"/>
    <tableColumn id="48" name="Lower Sq Ft" dataDxfId="5396" totalsRowDxfId="5395"/>
    <tableColumn id="4" name="LowerVal/SqFt" totalsRowFunction="custom" dataDxfId="5394" totalsRowDxfId="5393">
      <calculatedColumnFormula>M628/N628</calculatedColumnFormula>
      <totalsRowFormula>AVERAGE(Table11026[LowerVal/SqFt])</totalsRowFormula>
    </tableColumn>
    <tableColumn id="32" name="Lower % Base" totalsRowFunction="custom" dataDxfId="5392" totalsRowDxfId="5391">
      <calculatedColumnFormula>O628/C628</calculatedColumnFormula>
      <totalsRowFormula>AVERAGE(Table11026[Lower % Base])</totalsRowFormula>
    </tableColumn>
    <tableColumn id="19" name="Unf Lower Value" dataDxfId="5390" totalsRowDxfId="5389"/>
    <tableColumn id="49" name="UnfLower Sq Ft" dataDxfId="5388" totalsRowDxfId="5387"/>
    <tableColumn id="14" name="UnfLowVal/SqFt2" dataDxfId="5386" totalsRowDxfId="5385">
      <calculatedColumnFormula>Q628/R628</calculatedColumnFormula>
    </tableColumn>
    <tableColumn id="33" name="Unf Lower % Base" totalsRowFunction="custom" dataDxfId="5384" totalsRowDxfId="5383">
      <calculatedColumnFormula>S628/C628</calculatedColumnFormula>
      <totalsRowFormula>AVERAGE(Table11026[Unf Lower % Base])</totalsRowFormula>
    </tableColumn>
    <tableColumn id="20" name="1/2 Story Value" dataDxfId="5382" totalsRowDxfId="5381"/>
    <tableColumn id="50" name="1/2 Story Sq Ft" dataDxfId="5380" totalsRowDxfId="5379"/>
    <tableColumn id="5" name="1/2 StoryVal/SqFt" dataDxfId="5378" totalsRowDxfId="5377">
      <calculatedColumnFormula>U628/V628</calculatedColumnFormula>
    </tableColumn>
    <tableColumn id="34" name="1/2 Story % Base" totalsRowFunction="custom" dataDxfId="5376" totalsRowDxfId="5375">
      <calculatedColumnFormula>W628/C628</calculatedColumnFormula>
      <totalsRowFormula>AVERAGE(Table11026[1/2 Story % Base])</totalsRowFormula>
    </tableColumn>
    <tableColumn id="21" name="2nd Story Value" dataDxfId="5374" totalsRowDxfId="5373"/>
    <tableColumn id="51" name="2nd Sty Sq Ft" dataDxfId="5372" totalsRowDxfId="5371"/>
    <tableColumn id="6" name="2ndStyVal/Sqft" dataDxfId="5370" totalsRowDxfId="5369">
      <calculatedColumnFormula>Y628/Z628</calculatedColumnFormula>
    </tableColumn>
    <tableColumn id="35" name="2nd Story % Base" totalsRowFunction="custom" dataDxfId="5368" totalsRowDxfId="5367">
      <calculatedColumnFormula>AA628/C628</calculatedColumnFormula>
      <totalsRowFormula>AVERAGE(Table11026[2nd Story % Base])</totalsRowFormula>
    </tableColumn>
    <tableColumn id="22" name="Att Gar Value" dataDxfId="5366" totalsRowDxfId="5365"/>
    <tableColumn id="52" name="Att Gar Sq Ft" dataDxfId="5364" totalsRowDxfId="5363"/>
    <tableColumn id="7" name="AttGarVal/SqFt" totalsRowFunction="custom" dataDxfId="5362" totalsRowDxfId="5361">
      <calculatedColumnFormula>AC628/AD628</calculatedColumnFormula>
      <totalsRowFormula>AVERAGE(Table11026[AttGarVal/SqFt])</totalsRowFormula>
    </tableColumn>
    <tableColumn id="36" name="Att Gar % Base" totalsRowFunction="custom" dataDxfId="5360" totalsRowDxfId="5359">
      <calculatedColumnFormula>AE628/C628</calculatedColumnFormula>
      <totalsRowFormula>AVERAGE(Table11026[Att Gar % Base])</totalsRowFormula>
    </tableColumn>
    <tableColumn id="23" name="Porch Value" dataDxfId="5358" totalsRowDxfId="5357"/>
    <tableColumn id="53" name="Porch Sq Ft" dataDxfId="5356" totalsRowDxfId="5355"/>
    <tableColumn id="8" name="PorchVal/SqFt" dataDxfId="5354" totalsRowDxfId="5353">
      <calculatedColumnFormula>AG628/AH628</calculatedColumnFormula>
    </tableColumn>
    <tableColumn id="37" name="Porch % Base" totalsRowFunction="custom" dataDxfId="5352" totalsRowDxfId="5351">
      <calculatedColumnFormula>AI628/C628</calculatedColumnFormula>
      <totalsRowFormula>AVERAGE(Table11026[Porch % Base])</totalsRowFormula>
    </tableColumn>
    <tableColumn id="24" name="Cov Porch Value" dataDxfId="5350" totalsRowDxfId="5349"/>
    <tableColumn id="54" name="Cov Porch Sq Ft" dataDxfId="5348" totalsRowDxfId="5347"/>
    <tableColumn id="9" name="CovPrVal/SqFt" dataDxfId="5346" totalsRowDxfId="5345">
      <calculatedColumnFormula>AK628/AL628</calculatedColumnFormula>
    </tableColumn>
    <tableColumn id="38" name="Cov Porch % Base" totalsRowFunction="custom" dataDxfId="5344" totalsRowDxfId="5343">
      <calculatedColumnFormula>AM628/C628</calculatedColumnFormula>
      <totalsRowFormula>AVERAGE(Table11026[Cov Porch % Base])</totalsRowFormula>
    </tableColumn>
    <tableColumn id="25" name="Deck Value" dataDxfId="5342" totalsRowDxfId="5341"/>
    <tableColumn id="55" name="Deck Sq Ft" dataDxfId="5340" totalsRowDxfId="5339"/>
    <tableColumn id="10" name="DeckVal/SqFt" dataDxfId="5338" totalsRowDxfId="5337">
      <calculatedColumnFormula>AO628/AP628</calculatedColumnFormula>
    </tableColumn>
    <tableColumn id="39" name="Deck % Base" totalsRowFunction="custom" dataDxfId="5336" totalsRowDxfId="5335">
      <calculatedColumnFormula>AQ628/C628</calculatedColumnFormula>
      <totalsRowFormula>AVERAGE(Table11026[Deck % Base])</totalsRowFormula>
    </tableColumn>
    <tableColumn id="26" name="Cov Deck Value" dataDxfId="5334" totalsRowDxfId="5333"/>
    <tableColumn id="56" name="CovDeck Sq Ft" dataDxfId="5332" totalsRowDxfId="5331"/>
    <tableColumn id="11" name="CovDeckVal/SqFt" totalsRowFunction="custom" dataDxfId="5330" totalsRowDxfId="5329">
      <calculatedColumnFormula>AS628/AT628</calculatedColumnFormula>
      <totalsRowFormula>AVERAGE(Table11026[CovDeckVal/SqFt])</totalsRowFormula>
    </tableColumn>
    <tableColumn id="40" name="CovDeck % Base" totalsRowFunction="custom" dataDxfId="5328" totalsRowDxfId="5327">
      <calculatedColumnFormula>AU628/C628</calculatedColumnFormula>
      <totalsRowFormula>AVERAGE(Table11026[CovDeck % Base])</totalsRowFormula>
    </tableColumn>
    <tableColumn id="27" name="CarP Value" dataDxfId="5326" totalsRowDxfId="5325"/>
    <tableColumn id="57" name="CarP Sq Ft" dataDxfId="5324" totalsRowDxfId="5323"/>
    <tableColumn id="12" name="CarPVal/SqFt" dataDxfId="5322" totalsRowDxfId="5321">
      <calculatedColumnFormula>AW628/AX628</calculatedColumnFormula>
    </tableColumn>
    <tableColumn id="41" name="CarP % Base" totalsRowFunction="custom" dataDxfId="5320" totalsRowDxfId="5319">
      <calculatedColumnFormula>AY628/C628</calculatedColumnFormula>
      <totalsRowFormula>AVERAGE(Table11026[CarP % Base])</totalsRowFormula>
    </tableColumn>
    <tableColumn id="28" name="EFP Value" dataDxfId="5318" totalsRowDxfId="5317"/>
    <tableColumn id="58" name="EFP Sq Ft" dataDxfId="5316" totalsRowDxfId="5315"/>
    <tableColumn id="15" name="EFPVal/SqFt" dataDxfId="5314" totalsRowDxfId="5313">
      <calculatedColumnFormula>BA628/BB628</calculatedColumnFormula>
    </tableColumn>
    <tableColumn id="29" name="EFP % Base" totalsRowFunction="custom" dataDxfId="5312" totalsRowDxfId="5311">
      <calculatedColumnFormula>BC628/C628</calculatedColumnFormula>
      <totalsRowFormula>AVERAGE(Table11026[EFP % Base])</totalsRowFormula>
    </tableColumn>
  </tableColumns>
  <tableStyleInfo name="TableStyleMedium1" showFirstColumn="0" showLastColumn="0" showRowStripes="1" showColumnStripes="0"/>
</table>
</file>

<file path=xl/tables/table54.xml><?xml version="1.0" encoding="utf-8"?>
<table xmlns="http://schemas.openxmlformats.org/spreadsheetml/2006/main" id="55" name="Table11046" displayName="Table11046" ref="A639:BD647" totalsRowCount="1" headerRowDxfId="5310">
  <tableColumns count="56">
    <tableColumn id="1" name="  Grade" dataDxfId="5309" totalsRowDxfId="5308"/>
    <tableColumn id="13" name="Main Area $" dataDxfId="5307" totalsRowDxfId="5306"/>
    <tableColumn id="45" name="MA $/Sq Ft" totalsRowFunction="custom" dataDxfId="5305" totalsRowDxfId="5304">
      <calculatedColumnFormula>B640/F637</calculatedColumnFormula>
      <totalsRowFormula>AVERAGE(Table11046[MA $/Sq Ft])</totalsRowFormula>
    </tableColumn>
    <tableColumn id="16" name="Basic Allowance" totalsRowFunction="custom" dataDxfId="5303" totalsRowDxfId="5302">
      <totalsRowFormula>AVERAGE(Table11046[Basic Allowance])</totalsRowFormula>
    </tableColumn>
    <tableColumn id="43" name="BsmtVal" dataDxfId="5301" totalsRowDxfId="5300"/>
    <tableColumn id="46" name="Bsmt SqFt" dataDxfId="5299" totalsRowDxfId="5298"/>
    <tableColumn id="2" name="BsmtVal/Sq Ft" dataDxfId="5297" totalsRowDxfId="5296">
      <calculatedColumnFormula>E640/F640</calculatedColumnFormula>
    </tableColumn>
    <tableColumn id="17" name="Bsmt % Base" totalsRowFunction="custom" dataDxfId="5295" totalsRowDxfId="5294">
      <calculatedColumnFormula>G640/C640</calculatedColumnFormula>
      <totalsRowFormula>AVERAGE(Table11046[Bsmt % Base])</totalsRowFormula>
    </tableColumn>
    <tableColumn id="30" name="UnfBsmtVal" dataDxfId="5293" totalsRowDxfId="5292"/>
    <tableColumn id="47" name="UnfBsmt Sq Ft" dataDxfId="5291" totalsRowDxfId="5290"/>
    <tableColumn id="3" name="UnfBsmtVal/SqFt" dataDxfId="5289" totalsRowDxfId="5288">
      <calculatedColumnFormula>I640/J640</calculatedColumnFormula>
    </tableColumn>
    <tableColumn id="44" name="UnfBsmt % Base" totalsRowFunction="custom" dataDxfId="5287" totalsRowDxfId="5286">
      <calculatedColumnFormula>K640/C640</calculatedColumnFormula>
      <totalsRowFormula>AVERAGE(Table11046[[#Headers],[#Data],[UnfBsmt % Base]])</totalsRowFormula>
    </tableColumn>
    <tableColumn id="31" name="Lower Value" dataDxfId="5285" totalsRowDxfId="5284"/>
    <tableColumn id="48" name="Lower Sq Ft" dataDxfId="5283" totalsRowDxfId="5282"/>
    <tableColumn id="4" name="LowerVal/SqFt" totalsRowFunction="custom" dataDxfId="5281" totalsRowDxfId="5280">
      <calculatedColumnFormula>M640/N640</calculatedColumnFormula>
      <totalsRowFormula>AVERAGE(Table11046[LowerVal/SqFt])</totalsRowFormula>
    </tableColumn>
    <tableColumn id="32" name="Lower % Base" totalsRowFunction="custom" dataDxfId="5279" totalsRowDxfId="5278">
      <calculatedColumnFormula>O640/C640</calculatedColumnFormula>
      <totalsRowFormula>AVERAGE(Table11046[Lower % Base])</totalsRowFormula>
    </tableColumn>
    <tableColumn id="19" name="Unf Lower Value" dataDxfId="5277" totalsRowDxfId="5276"/>
    <tableColumn id="49" name="UnfLower Sq Ft" dataDxfId="5275" totalsRowDxfId="5274"/>
    <tableColumn id="14" name="UnfLowVal/SqFt2" dataDxfId="5273" totalsRowDxfId="5272">
      <calculatedColumnFormula>Q640/R640</calculatedColumnFormula>
    </tableColumn>
    <tableColumn id="33" name="Unf Lower % Base" totalsRowFunction="custom" dataDxfId="5271" totalsRowDxfId="5270">
      <calculatedColumnFormula>S640/C640</calculatedColumnFormula>
      <totalsRowFormula>AVERAGE(Table11046[Unf Lower % Base])</totalsRowFormula>
    </tableColumn>
    <tableColumn id="20" name="1/2 Story Value" dataDxfId="5269" totalsRowDxfId="5268"/>
    <tableColumn id="50" name="1/2 Story Sq Ft" dataDxfId="5267" totalsRowDxfId="5266"/>
    <tableColumn id="5" name="1/2 StoryVal/SqFt" dataDxfId="5265" totalsRowDxfId="5264">
      <calculatedColumnFormula>U640/V640</calculatedColumnFormula>
    </tableColumn>
    <tableColumn id="34" name="1/2 Story % Base" totalsRowFunction="custom" dataDxfId="5263" totalsRowDxfId="5262">
      <calculatedColumnFormula>W640/C640</calculatedColumnFormula>
      <totalsRowFormula>AVERAGE(Table11046[1/2 Story % Base])</totalsRowFormula>
    </tableColumn>
    <tableColumn id="21" name="2nd Story Value" dataDxfId="5261" totalsRowDxfId="5260"/>
    <tableColumn id="51" name="2nd Sty Sq Ft" dataDxfId="5259" totalsRowDxfId="5258"/>
    <tableColumn id="6" name="2ndStyVal/Sqft" dataDxfId="5257" totalsRowDxfId="5256">
      <calculatedColumnFormula>Y640/Z640</calculatedColumnFormula>
    </tableColumn>
    <tableColumn id="35" name="2nd Story % Base" totalsRowFunction="custom" dataDxfId="5255" totalsRowDxfId="5254">
      <calculatedColumnFormula>AA640/C640</calculatedColumnFormula>
      <totalsRowFormula>AVERAGE(Table11046[2nd Story % Base])</totalsRowFormula>
    </tableColumn>
    <tableColumn id="22" name="Att Gar Value" dataDxfId="5253" totalsRowDxfId="5252"/>
    <tableColumn id="52" name="Att Gar Sq Ft" dataDxfId="5251" totalsRowDxfId="5250"/>
    <tableColumn id="7" name="AttGarVal/SqFt" totalsRowFunction="custom" dataDxfId="5249" totalsRowDxfId="5248">
      <calculatedColumnFormula>AC640/AD640</calculatedColumnFormula>
      <totalsRowFormula>AVERAGE(Table11046[AttGarVal/SqFt])</totalsRowFormula>
    </tableColumn>
    <tableColumn id="36" name="Att Gar % Base" totalsRowFunction="custom" dataDxfId="5247" totalsRowDxfId="5246">
      <calculatedColumnFormula>AE640/C640</calculatedColumnFormula>
      <totalsRowFormula>AVERAGE(Table11046[Att Gar % Base])</totalsRowFormula>
    </tableColumn>
    <tableColumn id="23" name="Porch Value" dataDxfId="5245" totalsRowDxfId="5244"/>
    <tableColumn id="53" name="Porch Sq Ft" dataDxfId="5243" totalsRowDxfId="5242"/>
    <tableColumn id="8" name="PorchVal/SqFt" dataDxfId="5241" totalsRowDxfId="5240">
      <calculatedColumnFormula>AG640/AH640</calculatedColumnFormula>
    </tableColumn>
    <tableColumn id="37" name="Porch % Base" totalsRowFunction="custom" dataDxfId="5239" totalsRowDxfId="5238">
      <calculatedColumnFormula>AI640/C640</calculatedColumnFormula>
      <totalsRowFormula>AVERAGE(Table11046[Porch % Base])</totalsRowFormula>
    </tableColumn>
    <tableColumn id="24" name="Cov Porch Value" dataDxfId="5237" totalsRowDxfId="5236"/>
    <tableColumn id="54" name="Cov Porch Sq Ft" dataDxfId="5235" totalsRowDxfId="5234"/>
    <tableColumn id="9" name="CovPrVal/SqFt" dataDxfId="5233" totalsRowDxfId="5232">
      <calculatedColumnFormula>AK640/AL640</calculatedColumnFormula>
    </tableColumn>
    <tableColumn id="38" name="Cov Porch % Base" totalsRowFunction="custom" dataDxfId="5231" totalsRowDxfId="5230">
      <calculatedColumnFormula>AM640/C640</calculatedColumnFormula>
      <totalsRowFormula>AVERAGE(Table11046[Cov Porch % Base])</totalsRowFormula>
    </tableColumn>
    <tableColumn id="25" name="Deck Value" dataDxfId="5229" totalsRowDxfId="5228"/>
    <tableColumn id="55" name="Deck Sq Ft" dataDxfId="5227" totalsRowDxfId="5226"/>
    <tableColumn id="10" name="DeckVal/SqFt" dataDxfId="5225" totalsRowDxfId="5224">
      <calculatedColumnFormula>AO640/AP640</calculatedColumnFormula>
    </tableColumn>
    <tableColumn id="39" name="Deck % Base" totalsRowFunction="custom" dataDxfId="5223" totalsRowDxfId="5222">
      <calculatedColumnFormula>AQ640/C640</calculatedColumnFormula>
      <totalsRowFormula>AVERAGE(Table11046[Deck % Base])</totalsRowFormula>
    </tableColumn>
    <tableColumn id="26" name="Cov Deck Value" dataDxfId="5221" totalsRowDxfId="5220"/>
    <tableColumn id="56" name="CovDeck Sq Ft" dataDxfId="5219" totalsRowDxfId="5218"/>
    <tableColumn id="11" name="CovDeckVal/SqFt" totalsRowFunction="custom" dataDxfId="5217" totalsRowDxfId="5216">
      <calculatedColumnFormula>AS640/AT640</calculatedColumnFormula>
      <totalsRowFormula>AVERAGE(Table11046[CovDeckVal/SqFt])</totalsRowFormula>
    </tableColumn>
    <tableColumn id="40" name="CovDeck % Base" totalsRowFunction="custom" dataDxfId="5215" totalsRowDxfId="5214">
      <calculatedColumnFormula>AU640/C640</calculatedColumnFormula>
      <totalsRowFormula>AVERAGE(Table11046[CovDeck % Base])</totalsRowFormula>
    </tableColumn>
    <tableColumn id="27" name="CarP Value" dataDxfId="5213" totalsRowDxfId="5212"/>
    <tableColumn id="57" name="CarP Sq Ft" dataDxfId="5211" totalsRowDxfId="5210"/>
    <tableColumn id="12" name="CarPVal/SqFt" dataDxfId="5209" totalsRowDxfId="5208">
      <calculatedColumnFormula>AW640/AX640</calculatedColumnFormula>
    </tableColumn>
    <tableColumn id="41" name="CarP % Base" totalsRowFunction="custom" dataDxfId="5207" totalsRowDxfId="5206">
      <calculatedColumnFormula>AY640/C640</calculatedColumnFormula>
      <totalsRowFormula>AVERAGE(Table11046[CarP % Base])</totalsRowFormula>
    </tableColumn>
    <tableColumn id="28" name="EFP Value" dataDxfId="5205" totalsRowDxfId="5204"/>
    <tableColumn id="58" name="EFP Sq Ft" dataDxfId="5203" totalsRowDxfId="5202"/>
    <tableColumn id="15" name="EFPVal/SqFt" dataDxfId="5201" totalsRowDxfId="5200">
      <calculatedColumnFormula>BA640/BB640</calculatedColumnFormula>
    </tableColumn>
    <tableColumn id="29" name="EFP % Base" totalsRowFunction="custom" dataDxfId="5199" totalsRowDxfId="5198">
      <calculatedColumnFormula>BC640/C640</calculatedColumnFormula>
      <totalsRowFormula>AVERAGE(Table11046[EFP % Base])</totalsRowFormula>
    </tableColumn>
  </tableColumns>
  <tableStyleInfo name="TableStyleMedium1" showFirstColumn="0" showLastColumn="0" showRowStripes="1" showColumnStripes="0"/>
</table>
</file>

<file path=xl/tables/table55.xml><?xml version="1.0" encoding="utf-8"?>
<table xmlns="http://schemas.openxmlformats.org/spreadsheetml/2006/main" id="56" name="Table11047" displayName="Table11047" ref="A651:BD659" totalsRowCount="1" headerRowDxfId="5197">
  <tableColumns count="56">
    <tableColumn id="1" name="  Grade" dataDxfId="5196" totalsRowDxfId="5195"/>
    <tableColumn id="13" name="Main Area $" dataDxfId="5194" totalsRowDxfId="5193"/>
    <tableColumn id="45" name="MA $/Sq Ft" totalsRowFunction="custom" dataDxfId="5192" totalsRowDxfId="5191">
      <calculatedColumnFormula>B652/F649</calculatedColumnFormula>
      <totalsRowFormula>AVERAGE(Table11047[MA $/Sq Ft])</totalsRowFormula>
    </tableColumn>
    <tableColumn id="16" name="Basic Allowance" totalsRowFunction="custom" dataDxfId="5190" totalsRowDxfId="5189">
      <totalsRowFormula>AVERAGE(Table11047[Basic Allowance])</totalsRowFormula>
    </tableColumn>
    <tableColumn id="43" name="BsmtVal" dataDxfId="5188" totalsRowDxfId="5187"/>
    <tableColumn id="46" name="Bsmt SqFt" dataDxfId="5186" totalsRowDxfId="5185"/>
    <tableColumn id="2" name="BsmtVal/Sq Ft" dataDxfId="5184" totalsRowDxfId="5183">
      <calculatedColumnFormula>E652/F652</calculatedColumnFormula>
    </tableColumn>
    <tableColumn id="17" name="Bsmt % Base" totalsRowFunction="custom" dataDxfId="5182" totalsRowDxfId="5181">
      <calculatedColumnFormula>G652/C652</calculatedColumnFormula>
      <totalsRowFormula>AVERAGE(Table11047[Bsmt % Base])</totalsRowFormula>
    </tableColumn>
    <tableColumn id="30" name="UnfBsmtVal" dataDxfId="5180" totalsRowDxfId="5179"/>
    <tableColumn id="47" name="UnfBsmt Sq Ft" dataDxfId="5178" totalsRowDxfId="5177"/>
    <tableColumn id="3" name="UnfBsmtVal/SqFt" dataDxfId="5176" totalsRowDxfId="5175">
      <calculatedColumnFormula>I652/J652</calculatedColumnFormula>
    </tableColumn>
    <tableColumn id="44" name="UnfBsmt % Base" totalsRowFunction="custom" dataDxfId="5174" totalsRowDxfId="5173">
      <calculatedColumnFormula>K652/C652</calculatedColumnFormula>
      <totalsRowFormula>AVERAGE(Table11047[[#Headers],[#Data],[UnfBsmt % Base]])</totalsRowFormula>
    </tableColumn>
    <tableColumn id="31" name="Lower Value" dataDxfId="5172" totalsRowDxfId="5171"/>
    <tableColumn id="48" name="Lower Sq Ft" dataDxfId="5170" totalsRowDxfId="5169"/>
    <tableColumn id="4" name="LowerVal/SqFt" totalsRowFunction="custom" dataDxfId="5168" totalsRowDxfId="5167">
      <calculatedColumnFormula>M652/N652</calculatedColumnFormula>
      <totalsRowFormula>AVERAGE(Table11047[LowerVal/SqFt])</totalsRowFormula>
    </tableColumn>
    <tableColumn id="32" name="Lower % Base" totalsRowFunction="custom" dataDxfId="5166" totalsRowDxfId="5165">
      <calculatedColumnFormula>O652/C652</calculatedColumnFormula>
      <totalsRowFormula>AVERAGE(Table11047[Lower % Base])</totalsRowFormula>
    </tableColumn>
    <tableColumn id="19" name="Unf Lower Value" dataDxfId="5164" totalsRowDxfId="5163"/>
    <tableColumn id="49" name="UnfLower Sq Ft" dataDxfId="5162" totalsRowDxfId="5161"/>
    <tableColumn id="14" name="UnfLowVal/SqFt2" dataDxfId="5160" totalsRowDxfId="5159">
      <calculatedColumnFormula>Q652/R652</calculatedColumnFormula>
    </tableColumn>
    <tableColumn id="33" name="Unf Lower % Base" totalsRowFunction="custom" dataDxfId="5158" totalsRowDxfId="5157">
      <calculatedColumnFormula>S652/C652</calculatedColumnFormula>
      <totalsRowFormula>AVERAGE(Table11047[Unf Lower % Base])</totalsRowFormula>
    </tableColumn>
    <tableColumn id="20" name="1/2 Story Value" dataDxfId="5156" totalsRowDxfId="5155"/>
    <tableColumn id="50" name="1/2 Story Sq Ft" dataDxfId="5154" totalsRowDxfId="5153"/>
    <tableColumn id="5" name="1/2 StoryVal/SqFt" dataDxfId="5152" totalsRowDxfId="5151">
      <calculatedColumnFormula>U652/V652</calculatedColumnFormula>
    </tableColumn>
    <tableColumn id="34" name="1/2 Story % Base" totalsRowFunction="custom" dataDxfId="5150" totalsRowDxfId="5149">
      <calculatedColumnFormula>W652/C652</calculatedColumnFormula>
      <totalsRowFormula>AVERAGE(Table11047[1/2 Story % Base])</totalsRowFormula>
    </tableColumn>
    <tableColumn id="21" name="2nd Story Value" dataDxfId="5148" totalsRowDxfId="5147"/>
    <tableColumn id="51" name="2nd Sty Sq Ft" dataDxfId="5146" totalsRowDxfId="5145"/>
    <tableColumn id="6" name="2ndStyVal/Sqft" dataDxfId="5144" totalsRowDxfId="5143">
      <calculatedColumnFormula>Y652/Z652</calculatedColumnFormula>
    </tableColumn>
    <tableColumn id="35" name="2nd Story % Base" totalsRowFunction="custom" dataDxfId="5142" totalsRowDxfId="5141">
      <calculatedColumnFormula>AA652/C652</calculatedColumnFormula>
      <totalsRowFormula>AVERAGE(Table11047[2nd Story % Base])</totalsRowFormula>
    </tableColumn>
    <tableColumn id="22" name="Att Gar Value" dataDxfId="5140" totalsRowDxfId="5139"/>
    <tableColumn id="52" name="Att Gar Sq Ft" dataDxfId="5138" totalsRowDxfId="5137"/>
    <tableColumn id="7" name="AttGarVal/SqFt" totalsRowFunction="custom" dataDxfId="5136" totalsRowDxfId="5135">
      <calculatedColumnFormula>AC652/AD652</calculatedColumnFormula>
      <totalsRowFormula>AVERAGE(Table11047[AttGarVal/SqFt])</totalsRowFormula>
    </tableColumn>
    <tableColumn id="36" name="Att Gar % Base" totalsRowFunction="custom" dataDxfId="5134" totalsRowDxfId="5133">
      <calculatedColumnFormula>AE652/C652</calculatedColumnFormula>
      <totalsRowFormula>AVERAGE(Table11047[Att Gar % Base])</totalsRowFormula>
    </tableColumn>
    <tableColumn id="23" name="Porch Value" dataDxfId="5132" totalsRowDxfId="5131"/>
    <tableColumn id="53" name="Porch Sq Ft" dataDxfId="5130" totalsRowDxfId="5129"/>
    <tableColumn id="8" name="PorchVal/SqFt" dataDxfId="5128" totalsRowDxfId="5127">
      <calculatedColumnFormula>AG652/AH652</calculatedColumnFormula>
    </tableColumn>
    <tableColumn id="37" name="Porch % Base" totalsRowFunction="custom" dataDxfId="5126" totalsRowDxfId="5125">
      <calculatedColumnFormula>AI652/C652</calculatedColumnFormula>
      <totalsRowFormula>AVERAGE(Table11047[Porch % Base])</totalsRowFormula>
    </tableColumn>
    <tableColumn id="24" name="Cov Porch Value" dataDxfId="5124" totalsRowDxfId="5123"/>
    <tableColumn id="54" name="Cov Porch Sq Ft" dataDxfId="5122" totalsRowDxfId="5121"/>
    <tableColumn id="9" name="CovPrVal/SqFt" dataDxfId="5120" totalsRowDxfId="5119">
      <calculatedColumnFormula>AK652/AL652</calculatedColumnFormula>
    </tableColumn>
    <tableColumn id="38" name="Cov Porch % Base" totalsRowFunction="custom" dataDxfId="5118" totalsRowDxfId="5117">
      <calculatedColumnFormula>AM652/C652</calculatedColumnFormula>
      <totalsRowFormula>AVERAGE(Table11047[Cov Porch % Base])</totalsRowFormula>
    </tableColumn>
    <tableColumn id="25" name="Deck Value" dataDxfId="5116" totalsRowDxfId="5115"/>
    <tableColumn id="55" name="Deck Sq Ft" dataDxfId="5114" totalsRowDxfId="5113"/>
    <tableColumn id="10" name="DeckVal/SqFt" dataDxfId="5112" totalsRowDxfId="5111">
      <calculatedColumnFormula>AO652/AP652</calculatedColumnFormula>
    </tableColumn>
    <tableColumn id="39" name="Deck % Base" totalsRowFunction="custom" dataDxfId="5110" totalsRowDxfId="5109">
      <calculatedColumnFormula>AQ652/C652</calculatedColumnFormula>
      <totalsRowFormula>AVERAGE(Table11047[Deck % Base])</totalsRowFormula>
    </tableColumn>
    <tableColumn id="26" name="Cov Deck Value" dataDxfId="5108" totalsRowDxfId="5107"/>
    <tableColumn id="56" name="CovDeck Sq Ft" dataDxfId="5106" totalsRowDxfId="5105"/>
    <tableColumn id="11" name="CovDeckVal/SqFt" totalsRowFunction="custom" dataDxfId="5104" totalsRowDxfId="5103">
      <calculatedColumnFormula>AS652/AT652</calculatedColumnFormula>
      <totalsRowFormula>AVERAGE(Table11047[CovDeckVal/SqFt])</totalsRowFormula>
    </tableColumn>
    <tableColumn id="40" name="CovDeck % Base" totalsRowFunction="custom" dataDxfId="5102" totalsRowDxfId="5101">
      <calculatedColumnFormula>AU652/C652</calculatedColumnFormula>
      <totalsRowFormula>AVERAGE(Table11047[CovDeck % Base])</totalsRowFormula>
    </tableColumn>
    <tableColumn id="27" name="CarP Value" dataDxfId="5100" totalsRowDxfId="5099"/>
    <tableColumn id="57" name="CarP Sq Ft" dataDxfId="5098" totalsRowDxfId="5097"/>
    <tableColumn id="12" name="CarPVal/SqFt" dataDxfId="5096" totalsRowDxfId="5095">
      <calculatedColumnFormula>AW652/AX652</calculatedColumnFormula>
    </tableColumn>
    <tableColumn id="41" name="CarP % Base" totalsRowFunction="custom" dataDxfId="5094" totalsRowDxfId="5093">
      <calculatedColumnFormula>AY652/C652</calculatedColumnFormula>
      <totalsRowFormula>AVERAGE(Table11047[CarP % Base])</totalsRowFormula>
    </tableColumn>
    <tableColumn id="28" name="EFP Value" dataDxfId="5092" totalsRowDxfId="5091"/>
    <tableColumn id="58" name="EFP Sq Ft" dataDxfId="5090" totalsRowDxfId="5089"/>
    <tableColumn id="15" name="EFPVal/SqFt" dataDxfId="5088" totalsRowDxfId="5087">
      <calculatedColumnFormula>BA652/BB652</calculatedColumnFormula>
    </tableColumn>
    <tableColumn id="29" name="EFP % Base" totalsRowFunction="custom" dataDxfId="5086" totalsRowDxfId="5085">
      <calculatedColumnFormula>BC652/C652</calculatedColumnFormula>
      <totalsRowFormula>AVERAGE(Table11047[EFP % Base])</totalsRowFormula>
    </tableColumn>
  </tableColumns>
  <tableStyleInfo name="TableStyleMedium1" showFirstColumn="0" showLastColumn="0" showRowStripes="1" showColumnStripes="0"/>
</table>
</file>

<file path=xl/tables/table56.xml><?xml version="1.0" encoding="utf-8"?>
<table xmlns="http://schemas.openxmlformats.org/spreadsheetml/2006/main" id="58" name="Table11049" displayName="Table11049" ref="A663:BD671" totalsRowCount="1" headerRowDxfId="5084">
  <tableColumns count="56">
    <tableColumn id="1" name="  Grade" dataDxfId="5083" totalsRowDxfId="5082"/>
    <tableColumn id="13" name="Main Area $" dataDxfId="5081" totalsRowDxfId="5080"/>
    <tableColumn id="45" name="MA $/Sq Ft" totalsRowFunction="custom" dataDxfId="5079" totalsRowDxfId="5078">
      <calculatedColumnFormula>B664/F661</calculatedColumnFormula>
      <totalsRowFormula>AVERAGE(Table11049[MA $/Sq Ft])</totalsRowFormula>
    </tableColumn>
    <tableColumn id="16" name="Basic Allowance" totalsRowFunction="custom" dataDxfId="5077" totalsRowDxfId="5076">
      <totalsRowFormula>AVERAGE(Table11049[Basic Allowance])</totalsRowFormula>
    </tableColumn>
    <tableColumn id="43" name="BsmtVal" dataDxfId="5075" totalsRowDxfId="5074"/>
    <tableColumn id="46" name="Bsmt SqFt" dataDxfId="5073" totalsRowDxfId="5072"/>
    <tableColumn id="2" name="BsmtVal/Sq Ft" dataDxfId="5071" totalsRowDxfId="5070">
      <calculatedColumnFormula>E664/F664</calculatedColumnFormula>
    </tableColumn>
    <tableColumn id="17" name="Bsmt % Base" totalsRowFunction="custom" dataDxfId="5069" totalsRowDxfId="5068">
      <calculatedColumnFormula>G664/C664</calculatedColumnFormula>
      <totalsRowFormula>AVERAGE(Table11049[Bsmt % Base])</totalsRowFormula>
    </tableColumn>
    <tableColumn id="30" name="UnfBsmtVal" dataDxfId="5067" totalsRowDxfId="5066"/>
    <tableColumn id="47" name="UnfBsmt Sq Ft" dataDxfId="5065" totalsRowDxfId="5064"/>
    <tableColumn id="3" name="UnfBsmtVal/SqFt" dataDxfId="5063" totalsRowDxfId="5062">
      <calculatedColumnFormula>I664/J664</calculatedColumnFormula>
    </tableColumn>
    <tableColumn id="44" name="UnfBsmt % Base" totalsRowFunction="custom" dataDxfId="5061" totalsRowDxfId="5060">
      <calculatedColumnFormula>K664/C664</calculatedColumnFormula>
      <totalsRowFormula>AVERAGE(Table11049[[#Headers],[#Data],[UnfBsmt % Base]])</totalsRowFormula>
    </tableColumn>
    <tableColumn id="31" name="Lower Value" dataDxfId="5059" totalsRowDxfId="5058"/>
    <tableColumn id="48" name="Lower Sq Ft" dataDxfId="5057" totalsRowDxfId="5056"/>
    <tableColumn id="4" name="LowerVal/SqFt" totalsRowFunction="custom" dataDxfId="5055" totalsRowDxfId="5054">
      <calculatedColumnFormula>M664/N664</calculatedColumnFormula>
      <totalsRowFormula>AVERAGE(Table11049[LowerVal/SqFt])</totalsRowFormula>
    </tableColumn>
    <tableColumn id="32" name="Lower % Base" totalsRowFunction="custom" dataDxfId="5053" totalsRowDxfId="5052">
      <calculatedColumnFormula>O664/C664</calculatedColumnFormula>
      <totalsRowFormula>AVERAGE(Table11049[Lower % Base])</totalsRowFormula>
    </tableColumn>
    <tableColumn id="19" name="Unf Lower Value" dataDxfId="5051" totalsRowDxfId="5050"/>
    <tableColumn id="49" name="UnfLower Sq Ft" dataDxfId="5049" totalsRowDxfId="5048"/>
    <tableColumn id="14" name="UnfLowVal/SqFt2" dataDxfId="5047" totalsRowDxfId="5046">
      <calculatedColumnFormula>Q664/R664</calculatedColumnFormula>
    </tableColumn>
    <tableColumn id="33" name="Unf Lower % Base" totalsRowFunction="custom" dataDxfId="5045" totalsRowDxfId="5044">
      <calculatedColumnFormula>S664/C664</calculatedColumnFormula>
      <totalsRowFormula>AVERAGE(Table11049[Unf Lower % Base])</totalsRowFormula>
    </tableColumn>
    <tableColumn id="20" name="1/2 Story Value" dataDxfId="5043" totalsRowDxfId="5042"/>
    <tableColumn id="50" name="1/2 Story Sq Ft" dataDxfId="5041" totalsRowDxfId="5040"/>
    <tableColumn id="5" name="1/2 StoryVal/SqFt" dataDxfId="5039" totalsRowDxfId="5038">
      <calculatedColumnFormula>U664/V664</calculatedColumnFormula>
    </tableColumn>
    <tableColumn id="34" name="1/2 Story % Base" totalsRowFunction="custom" dataDxfId="5037" totalsRowDxfId="5036">
      <calculatedColumnFormula>W664/C664</calculatedColumnFormula>
      <totalsRowFormula>AVERAGE(Table11049[1/2 Story % Base])</totalsRowFormula>
    </tableColumn>
    <tableColumn id="21" name="2nd Story Value" dataDxfId="5035" totalsRowDxfId="5034"/>
    <tableColumn id="51" name="2nd Sty Sq Ft" dataDxfId="5033" totalsRowDxfId="5032"/>
    <tableColumn id="6" name="2ndStyVal/Sqft" dataDxfId="5031" totalsRowDxfId="5030">
      <calculatedColumnFormula>Y664/Z664</calculatedColumnFormula>
    </tableColumn>
    <tableColumn id="35" name="2nd Story % Base" totalsRowFunction="custom" dataDxfId="5029" totalsRowDxfId="5028">
      <calculatedColumnFormula>AA664/C664</calculatedColumnFormula>
      <totalsRowFormula>AVERAGE(Table11049[2nd Story % Base])</totalsRowFormula>
    </tableColumn>
    <tableColumn id="22" name="Att Gar Value" dataDxfId="5027" totalsRowDxfId="5026"/>
    <tableColumn id="52" name="Att Gar Sq Ft" dataDxfId="5025" totalsRowDxfId="5024"/>
    <tableColumn id="7" name="AttGarVal/SqFt" totalsRowFunction="custom" dataDxfId="5023" totalsRowDxfId="5022">
      <calculatedColumnFormula>AC664/AD664</calculatedColumnFormula>
      <totalsRowFormula>AVERAGE(Table11049[AttGarVal/SqFt])</totalsRowFormula>
    </tableColumn>
    <tableColumn id="36" name="Att Gar % Base" totalsRowFunction="custom" dataDxfId="5021" totalsRowDxfId="5020">
      <calculatedColumnFormula>AE664/C664</calculatedColumnFormula>
      <totalsRowFormula>AVERAGE(Table11049[Att Gar % Base])</totalsRowFormula>
    </tableColumn>
    <tableColumn id="23" name="Porch Value" dataDxfId="5019" totalsRowDxfId="5018"/>
    <tableColumn id="53" name="Porch Sq Ft" dataDxfId="5017" totalsRowDxfId="5016"/>
    <tableColumn id="8" name="PorchVal/SqFt" dataDxfId="5015" totalsRowDxfId="5014">
      <calculatedColumnFormula>AG664/AH664</calculatedColumnFormula>
    </tableColumn>
    <tableColumn id="37" name="Porch % Base" totalsRowFunction="custom" dataDxfId="5013" totalsRowDxfId="5012">
      <calculatedColumnFormula>AI664/C664</calculatedColumnFormula>
      <totalsRowFormula>AVERAGE(Table11049[Porch % Base])</totalsRowFormula>
    </tableColumn>
    <tableColumn id="24" name="Cov Porch Value" dataDxfId="5011" totalsRowDxfId="5010"/>
    <tableColumn id="54" name="Cov Porch Sq Ft" dataDxfId="5009" totalsRowDxfId="5008"/>
    <tableColumn id="9" name="CovPrVal/SqFt" dataDxfId="5007" totalsRowDxfId="5006">
      <calculatedColumnFormula>AK664/AL664</calculatedColumnFormula>
    </tableColumn>
    <tableColumn id="38" name="Cov Porch % Base" totalsRowFunction="custom" dataDxfId="5005" totalsRowDxfId="5004">
      <calculatedColumnFormula>AM664/C664</calculatedColumnFormula>
      <totalsRowFormula>AVERAGE(Table11049[Cov Porch % Base])</totalsRowFormula>
    </tableColumn>
    <tableColumn id="25" name="Deck Value" dataDxfId="5003" totalsRowDxfId="5002"/>
    <tableColumn id="55" name="Deck Sq Ft" dataDxfId="5001" totalsRowDxfId="5000"/>
    <tableColumn id="10" name="DeckVal/SqFt" dataDxfId="4999" totalsRowDxfId="4998">
      <calculatedColumnFormula>AO664/AP664</calculatedColumnFormula>
    </tableColumn>
    <tableColumn id="39" name="Deck % Base" totalsRowFunction="custom" dataDxfId="4997" totalsRowDxfId="4996">
      <calculatedColumnFormula>AQ664/C664</calculatedColumnFormula>
      <totalsRowFormula>AVERAGE(Table11049[Deck % Base])</totalsRowFormula>
    </tableColumn>
    <tableColumn id="26" name="Cov Deck Value" dataDxfId="4995" totalsRowDxfId="4994"/>
    <tableColumn id="56" name="CovDeck Sq Ft" dataDxfId="4993" totalsRowDxfId="4992"/>
    <tableColumn id="11" name="CovDeckVal/SqFt" totalsRowFunction="custom" dataDxfId="4991" totalsRowDxfId="4990">
      <calculatedColumnFormula>AS664/AT664</calculatedColumnFormula>
      <totalsRowFormula>AVERAGE(Table11049[CovDeckVal/SqFt])</totalsRowFormula>
    </tableColumn>
    <tableColumn id="40" name="CovDeck % Base" totalsRowFunction="custom" dataDxfId="4989" totalsRowDxfId="4988">
      <calculatedColumnFormula>AU664/C664</calculatedColumnFormula>
      <totalsRowFormula>AVERAGE(Table11049[CovDeck % Base])</totalsRowFormula>
    </tableColumn>
    <tableColumn id="27" name="CarP Value" dataDxfId="4987" totalsRowDxfId="4986"/>
    <tableColumn id="57" name="CarP Sq Ft" dataDxfId="4985" totalsRowDxfId="4984"/>
    <tableColumn id="12" name="CarPVal/SqFt" dataDxfId="4983" totalsRowDxfId="4982">
      <calculatedColumnFormula>AW664/AX664</calculatedColumnFormula>
    </tableColumn>
    <tableColumn id="41" name="CarP % Base" totalsRowFunction="custom" dataDxfId="4981" totalsRowDxfId="4980">
      <calculatedColumnFormula>AY664/C664</calculatedColumnFormula>
      <totalsRowFormula>AVERAGE(Table11049[CarP % Base])</totalsRowFormula>
    </tableColumn>
    <tableColumn id="28" name="EFP Value" dataDxfId="4979" totalsRowDxfId="4978"/>
    <tableColumn id="58" name="EFP Sq Ft" dataDxfId="4977" totalsRowDxfId="4976"/>
    <tableColumn id="15" name="EFPVal/SqFt" dataDxfId="4975" totalsRowDxfId="4974">
      <calculatedColumnFormula>BA664/BB664</calculatedColumnFormula>
    </tableColumn>
    <tableColumn id="29" name="EFP % Base" totalsRowFunction="custom" dataDxfId="4973" totalsRowDxfId="4972">
      <calculatedColumnFormula>BC664/C664</calculatedColumnFormula>
      <totalsRowFormula>AVERAGE(Table11049[EFP % Base])</totalsRowFormula>
    </tableColumn>
  </tableColumns>
  <tableStyleInfo name="TableStyleMedium1" showFirstColumn="0" showLastColumn="0" showRowStripes="1" showColumnStripes="0"/>
</table>
</file>

<file path=xl/tables/table57.xml><?xml version="1.0" encoding="utf-8"?>
<table xmlns="http://schemas.openxmlformats.org/spreadsheetml/2006/main" id="59" name="Table11050" displayName="Table11050" ref="A675:BD683" totalsRowCount="1" headerRowDxfId="4971">
  <tableColumns count="56">
    <tableColumn id="1" name="  Grade" dataDxfId="4970" totalsRowDxfId="4969"/>
    <tableColumn id="13" name="Main Area $" dataDxfId="4968" totalsRowDxfId="4967"/>
    <tableColumn id="45" name="MA $/Sq Ft" totalsRowFunction="custom" dataDxfId="4966" totalsRowDxfId="4965">
      <calculatedColumnFormula>B676/F673</calculatedColumnFormula>
      <totalsRowFormula>AVERAGE(Table11050[MA $/Sq Ft])</totalsRowFormula>
    </tableColumn>
    <tableColumn id="16" name="Basic Allowance" totalsRowFunction="custom" dataDxfId="4964" totalsRowDxfId="4963">
      <totalsRowFormula>AVERAGE(Table11050[Basic Allowance])</totalsRowFormula>
    </tableColumn>
    <tableColumn id="43" name="BsmtVal" dataDxfId="4962" totalsRowDxfId="4961"/>
    <tableColumn id="46" name="Bsmt SqFt" dataDxfId="4960" totalsRowDxfId="4959"/>
    <tableColumn id="2" name="BsmtVal/Sq Ft" dataDxfId="4958" totalsRowDxfId="4957">
      <calculatedColumnFormula>E676/F676</calculatedColumnFormula>
    </tableColumn>
    <tableColumn id="17" name="Bsmt % Base" totalsRowFunction="custom" dataDxfId="4956" totalsRowDxfId="4955">
      <calculatedColumnFormula>G676/C676</calculatedColumnFormula>
      <totalsRowFormula>AVERAGE(Table11050[Bsmt % Base])</totalsRowFormula>
    </tableColumn>
    <tableColumn id="30" name="UnfBsmtVal" dataDxfId="4954" totalsRowDxfId="4953"/>
    <tableColumn id="47" name="UnfBsmt Sq Ft" dataDxfId="4952" totalsRowDxfId="4951"/>
    <tableColumn id="3" name="UnfBsmtVal/SqFt" dataDxfId="4950" totalsRowDxfId="4949">
      <calculatedColumnFormula>I676/J676</calculatedColumnFormula>
    </tableColumn>
    <tableColumn id="44" name="UnfBsmt % Base" totalsRowFunction="custom" dataDxfId="4948" totalsRowDxfId="4947">
      <calculatedColumnFormula>K676/C676</calculatedColumnFormula>
      <totalsRowFormula>AVERAGE(Table11050[[#Headers],[#Data],[UnfBsmt % Base]])</totalsRowFormula>
    </tableColumn>
    <tableColumn id="31" name="Lower Value" dataDxfId="4946" totalsRowDxfId="4945"/>
    <tableColumn id="48" name="Lower Sq Ft" dataDxfId="4944" totalsRowDxfId="4943"/>
    <tableColumn id="4" name="LowerVal/SqFt" totalsRowFunction="custom" dataDxfId="4942" totalsRowDxfId="4941">
      <calculatedColumnFormula>M676/N676</calculatedColumnFormula>
      <totalsRowFormula>AVERAGE(Table11050[LowerVal/SqFt])</totalsRowFormula>
    </tableColumn>
    <tableColumn id="32" name="Lower % Base" totalsRowFunction="custom" dataDxfId="4940" totalsRowDxfId="4939">
      <calculatedColumnFormula>O676/C676</calculatedColumnFormula>
      <totalsRowFormula>AVERAGE(Table11050[Lower % Base])</totalsRowFormula>
    </tableColumn>
    <tableColumn id="19" name="Unf Lower Value" dataDxfId="4938" totalsRowDxfId="4937"/>
    <tableColumn id="49" name="UnfLower Sq Ft" dataDxfId="4936" totalsRowDxfId="4935"/>
    <tableColumn id="14" name="UnfLowVal/SqFt2" dataDxfId="4934" totalsRowDxfId="4933">
      <calculatedColumnFormula>Q676/R676</calculatedColumnFormula>
    </tableColumn>
    <tableColumn id="33" name="Unf Lower % Base" totalsRowFunction="custom" dataDxfId="4932" totalsRowDxfId="4931">
      <calculatedColumnFormula>S676/C676</calculatedColumnFormula>
      <totalsRowFormula>AVERAGE(Table11050[Unf Lower % Base])</totalsRowFormula>
    </tableColumn>
    <tableColumn id="20" name="1/2 Story Value" dataDxfId="4930" totalsRowDxfId="4929"/>
    <tableColumn id="50" name="1/2 Story Sq Ft" dataDxfId="4928" totalsRowDxfId="4927"/>
    <tableColumn id="5" name="1/2 StoryVal/SqFt" dataDxfId="4926" totalsRowDxfId="4925">
      <calculatedColumnFormula>U676/V676</calculatedColumnFormula>
    </tableColumn>
    <tableColumn id="34" name="1/2 Story % Base" totalsRowFunction="custom" dataDxfId="4924" totalsRowDxfId="4923">
      <calculatedColumnFormula>W676/C676</calculatedColumnFormula>
      <totalsRowFormula>AVERAGE(Table11050[1/2 Story % Base])</totalsRowFormula>
    </tableColumn>
    <tableColumn id="21" name="2nd Story Value" dataDxfId="4922" totalsRowDxfId="4921"/>
    <tableColumn id="51" name="2nd Sty Sq Ft" dataDxfId="4920" totalsRowDxfId="4919"/>
    <tableColumn id="6" name="2ndStyVal/Sqft" dataDxfId="4918" totalsRowDxfId="4917">
      <calculatedColumnFormula>Y676/Z676</calculatedColumnFormula>
    </tableColumn>
    <tableColumn id="35" name="2nd Story % Base" totalsRowFunction="custom" dataDxfId="4916" totalsRowDxfId="4915">
      <calculatedColumnFormula>AA676/C676</calculatedColumnFormula>
      <totalsRowFormula>AVERAGE(Table11050[2nd Story % Base])</totalsRowFormula>
    </tableColumn>
    <tableColumn id="22" name="Att Gar Value" dataDxfId="4914" totalsRowDxfId="4913"/>
    <tableColumn id="52" name="Att Gar Sq Ft" dataDxfId="4912" totalsRowDxfId="4911"/>
    <tableColumn id="7" name="AttGarVal/SqFt" totalsRowFunction="custom" dataDxfId="4910" totalsRowDxfId="4909">
      <calculatedColumnFormula>AC676/AD676</calculatedColumnFormula>
      <totalsRowFormula>AVERAGE(Table11050[AttGarVal/SqFt])</totalsRowFormula>
    </tableColumn>
    <tableColumn id="36" name="Att Gar % Base" totalsRowFunction="custom" dataDxfId="4908" totalsRowDxfId="4907">
      <calculatedColumnFormula>AE676/C676</calculatedColumnFormula>
      <totalsRowFormula>AVERAGE(Table11050[Att Gar % Base])</totalsRowFormula>
    </tableColumn>
    <tableColumn id="23" name="Porch Value" dataDxfId="4906" totalsRowDxfId="4905"/>
    <tableColumn id="53" name="Porch Sq Ft" dataDxfId="4904" totalsRowDxfId="4903"/>
    <tableColumn id="8" name="PorchVal/SqFt" dataDxfId="4902" totalsRowDxfId="4901">
      <calculatedColumnFormula>AG676/AH676</calculatedColumnFormula>
    </tableColumn>
    <tableColumn id="37" name="Porch % Base" totalsRowFunction="custom" dataDxfId="4900" totalsRowDxfId="4899">
      <calculatedColumnFormula>AI676/C676</calculatedColumnFormula>
      <totalsRowFormula>AVERAGE(Table11050[Porch % Base])</totalsRowFormula>
    </tableColumn>
    <tableColumn id="24" name="Cov Porch Value" dataDxfId="4898" totalsRowDxfId="4897"/>
    <tableColumn id="54" name="Cov Porch Sq Ft" dataDxfId="4896" totalsRowDxfId="4895"/>
    <tableColumn id="9" name="CovPrVal/SqFt" dataDxfId="4894" totalsRowDxfId="4893">
      <calculatedColumnFormula>AK676/AL676</calculatedColumnFormula>
    </tableColumn>
    <tableColumn id="38" name="Cov Porch % Base" totalsRowFunction="custom" dataDxfId="4892" totalsRowDxfId="4891">
      <calculatedColumnFormula>AM676/C676</calculatedColumnFormula>
      <totalsRowFormula>AVERAGE(Table11050[Cov Porch % Base])</totalsRowFormula>
    </tableColumn>
    <tableColumn id="25" name="Deck Value" dataDxfId="4890" totalsRowDxfId="4889"/>
    <tableColumn id="55" name="Deck Sq Ft" dataDxfId="4888" totalsRowDxfId="4887"/>
    <tableColumn id="10" name="DeckVal/SqFt" dataDxfId="4886" totalsRowDxfId="4885">
      <calculatedColumnFormula>AO676/AP676</calculatedColumnFormula>
    </tableColumn>
    <tableColumn id="39" name="Deck % Base" totalsRowFunction="custom" dataDxfId="4884" totalsRowDxfId="4883">
      <calculatedColumnFormula>AQ676/C676</calculatedColumnFormula>
      <totalsRowFormula>AVERAGE(Table11050[Deck % Base])</totalsRowFormula>
    </tableColumn>
    <tableColumn id="26" name="Cov Deck Value" dataDxfId="4882" totalsRowDxfId="4881"/>
    <tableColumn id="56" name="CovDeck Sq Ft" dataDxfId="4880" totalsRowDxfId="4879"/>
    <tableColumn id="11" name="CovDeckVal/SqFt" totalsRowFunction="custom" dataDxfId="4878" totalsRowDxfId="4877">
      <calculatedColumnFormula>AS676/AT676</calculatedColumnFormula>
      <totalsRowFormula>AVERAGE(Table11050[CovDeckVal/SqFt])</totalsRowFormula>
    </tableColumn>
    <tableColumn id="40" name="CovDeck % Base" totalsRowFunction="custom" dataDxfId="4876" totalsRowDxfId="4875">
      <calculatedColumnFormula>AU676/C676</calculatedColumnFormula>
      <totalsRowFormula>AVERAGE(Table11050[CovDeck % Base])</totalsRowFormula>
    </tableColumn>
    <tableColumn id="27" name="CarP Value" dataDxfId="4874" totalsRowDxfId="4873"/>
    <tableColumn id="57" name="CarP Sq Ft" dataDxfId="4872" totalsRowDxfId="4871"/>
    <tableColumn id="12" name="CarPVal/SqFt" dataDxfId="4870" totalsRowDxfId="4869">
      <calculatedColumnFormula>AW676/AX676</calculatedColumnFormula>
    </tableColumn>
    <tableColumn id="41" name="CarP % Base" totalsRowFunction="custom" dataDxfId="4868" totalsRowDxfId="4867">
      <calculatedColumnFormula>AY676/C676</calculatedColumnFormula>
      <totalsRowFormula>AVERAGE(Table11050[CarP % Base])</totalsRowFormula>
    </tableColumn>
    <tableColumn id="28" name="EFP Value" dataDxfId="4866" totalsRowDxfId="4865"/>
    <tableColumn id="58" name="EFP Sq Ft" dataDxfId="4864" totalsRowDxfId="4863"/>
    <tableColumn id="15" name="EFPVal/SqFt" dataDxfId="4862" totalsRowDxfId="4861">
      <calculatedColumnFormula>BA676/BB676</calculatedColumnFormula>
    </tableColumn>
    <tableColumn id="29" name="EFP % Base" totalsRowFunction="custom" dataDxfId="4860" totalsRowDxfId="4859">
      <calculatedColumnFormula>BC676/C676</calculatedColumnFormula>
      <totalsRowFormula>AVERAGE(Table11050[EFP % Base])</totalsRowFormula>
    </tableColumn>
  </tableColumns>
  <tableStyleInfo name="TableStyleMedium1" showFirstColumn="0" showLastColumn="0" showRowStripes="1" showColumnStripes="0"/>
</table>
</file>

<file path=xl/tables/table58.xml><?xml version="1.0" encoding="utf-8"?>
<table xmlns="http://schemas.openxmlformats.org/spreadsheetml/2006/main" id="60" name="Table11051" displayName="Table11051" ref="A687:BD695" totalsRowCount="1" headerRowDxfId="4858">
  <tableColumns count="56">
    <tableColumn id="1" name="  Grade" dataDxfId="4857" totalsRowDxfId="4856"/>
    <tableColumn id="13" name="Main Area $" dataDxfId="4855" totalsRowDxfId="4854"/>
    <tableColumn id="45" name="MA $/Sq Ft" totalsRowFunction="custom" dataDxfId="4853" totalsRowDxfId="4852">
      <calculatedColumnFormula>B688/F685</calculatedColumnFormula>
      <totalsRowFormula>AVERAGE(Table11051[MA $/Sq Ft])</totalsRowFormula>
    </tableColumn>
    <tableColumn id="16" name="Basic Allowance" totalsRowFunction="custom" dataDxfId="4851" totalsRowDxfId="4850">
      <totalsRowFormula>AVERAGE(Table11051[Basic Allowance])</totalsRowFormula>
    </tableColumn>
    <tableColumn id="43" name="BsmtVal" dataDxfId="4849" totalsRowDxfId="4848"/>
    <tableColumn id="46" name="Bsmt SqFt" dataDxfId="4847" totalsRowDxfId="4846"/>
    <tableColumn id="2" name="BsmtVal/Sq Ft" dataDxfId="4845" totalsRowDxfId="4844">
      <calculatedColumnFormula>E688/F688</calculatedColumnFormula>
    </tableColumn>
    <tableColumn id="17" name="Bsmt % Base" totalsRowFunction="custom" dataDxfId="4843" totalsRowDxfId="4842">
      <calculatedColumnFormula>G688/C688</calculatedColumnFormula>
      <totalsRowFormula>AVERAGE(Table11051[Bsmt % Base])</totalsRowFormula>
    </tableColumn>
    <tableColumn id="30" name="UnfBsmtVal" dataDxfId="4841" totalsRowDxfId="4840"/>
    <tableColumn id="47" name="UnfBsmt Sq Ft" dataDxfId="4839" totalsRowDxfId="4838"/>
    <tableColumn id="3" name="UnfBsmtVal/SqFt" dataDxfId="4837" totalsRowDxfId="4836">
      <calculatedColumnFormula>I688/J688</calculatedColumnFormula>
    </tableColumn>
    <tableColumn id="44" name="UnfBsmt % Base" totalsRowFunction="custom" dataDxfId="4835" totalsRowDxfId="4834">
      <calculatedColumnFormula>K688/C688</calculatedColumnFormula>
      <totalsRowFormula>AVERAGE(Table11051[[#Headers],[#Data],[UnfBsmt % Base]])</totalsRowFormula>
    </tableColumn>
    <tableColumn id="31" name="Lower Value" dataDxfId="4833" totalsRowDxfId="4832"/>
    <tableColumn id="48" name="Lower Sq Ft" dataDxfId="4831" totalsRowDxfId="4830"/>
    <tableColumn id="4" name="LowerVal/SqFt" totalsRowFunction="custom" dataDxfId="4829" totalsRowDxfId="4828">
      <calculatedColumnFormula>M688/N688</calculatedColumnFormula>
      <totalsRowFormula>AVERAGE(Table11051[LowerVal/SqFt])</totalsRowFormula>
    </tableColumn>
    <tableColumn id="32" name="Lower % Base" totalsRowFunction="custom" dataDxfId="4827" totalsRowDxfId="4826">
      <calculatedColumnFormula>O688/C688</calculatedColumnFormula>
      <totalsRowFormula>AVERAGE(Table11051[Lower % Base])</totalsRowFormula>
    </tableColumn>
    <tableColumn id="19" name="Unf Lower Value" dataDxfId="4825" totalsRowDxfId="4824"/>
    <tableColumn id="49" name="UnfLower Sq Ft" dataDxfId="4823" totalsRowDxfId="4822"/>
    <tableColumn id="14" name="UnfLowVal/SqFt2" dataDxfId="4821" totalsRowDxfId="4820">
      <calculatedColumnFormula>Q688/R688</calculatedColumnFormula>
    </tableColumn>
    <tableColumn id="33" name="Unf Lower % Base" totalsRowFunction="custom" dataDxfId="4819" totalsRowDxfId="4818">
      <calculatedColumnFormula>S688/C688</calculatedColumnFormula>
      <totalsRowFormula>AVERAGE(Table11051[Unf Lower % Base])</totalsRowFormula>
    </tableColumn>
    <tableColumn id="20" name="1/2 Story Value" dataDxfId="4817" totalsRowDxfId="4816"/>
    <tableColumn id="50" name="1/2 Story Sq Ft" dataDxfId="4815" totalsRowDxfId="4814"/>
    <tableColumn id="5" name="1/2 StoryVal/SqFt" dataDxfId="4813" totalsRowDxfId="4812">
      <calculatedColumnFormula>U688/V688</calculatedColumnFormula>
    </tableColumn>
    <tableColumn id="34" name="1/2 Story % Base" totalsRowFunction="custom" dataDxfId="4811" totalsRowDxfId="4810">
      <calculatedColumnFormula>W688/C688</calculatedColumnFormula>
      <totalsRowFormula>AVERAGE(Table11051[1/2 Story % Base])</totalsRowFormula>
    </tableColumn>
    <tableColumn id="21" name="2nd Story Value" dataDxfId="4809" totalsRowDxfId="4808"/>
    <tableColumn id="51" name="2nd Sty Sq Ft" dataDxfId="4807" totalsRowDxfId="4806"/>
    <tableColumn id="6" name="2ndStyVal/Sqft" dataDxfId="4805" totalsRowDxfId="4804">
      <calculatedColumnFormula>Y688/Z688</calculatedColumnFormula>
    </tableColumn>
    <tableColumn id="35" name="2nd Story % Base" totalsRowFunction="custom" dataDxfId="4803" totalsRowDxfId="4802">
      <calculatedColumnFormula>AA688/C688</calculatedColumnFormula>
      <totalsRowFormula>AVERAGE(Table11051[2nd Story % Base])</totalsRowFormula>
    </tableColumn>
    <tableColumn id="22" name="Att Gar Value" dataDxfId="4801" totalsRowDxfId="4800"/>
    <tableColumn id="52" name="Att Gar Sq Ft" dataDxfId="4799" totalsRowDxfId="4798"/>
    <tableColumn id="7" name="AttGarVal/SqFt" totalsRowFunction="custom" dataDxfId="4797" totalsRowDxfId="4796">
      <calculatedColumnFormula>AC688/AD688</calculatedColumnFormula>
      <totalsRowFormula>AVERAGE(Table11051[AttGarVal/SqFt])</totalsRowFormula>
    </tableColumn>
    <tableColumn id="36" name="Att Gar % Base" totalsRowFunction="custom" dataDxfId="4795" totalsRowDxfId="4794">
      <calculatedColumnFormula>AE688/C688</calculatedColumnFormula>
      <totalsRowFormula>AVERAGE(Table11051[Att Gar % Base])</totalsRowFormula>
    </tableColumn>
    <tableColumn id="23" name="Porch Value" dataDxfId="4793" totalsRowDxfId="4792"/>
    <tableColumn id="53" name="Porch Sq Ft" dataDxfId="4791" totalsRowDxfId="4790"/>
    <tableColumn id="8" name="PorchVal/SqFt" dataDxfId="4789" totalsRowDxfId="4788">
      <calculatedColumnFormula>AG688/AH688</calculatedColumnFormula>
    </tableColumn>
    <tableColumn id="37" name="Porch % Base" totalsRowFunction="custom" dataDxfId="4787" totalsRowDxfId="4786">
      <calculatedColumnFormula>AI688/C688</calculatedColumnFormula>
      <totalsRowFormula>AVERAGE(Table11051[Porch % Base])</totalsRowFormula>
    </tableColumn>
    <tableColumn id="24" name="Cov Porch Value" dataDxfId="4785" totalsRowDxfId="4784"/>
    <tableColumn id="54" name="Cov Porch Sq Ft" dataDxfId="4783" totalsRowDxfId="4782"/>
    <tableColumn id="9" name="CovPrVal/SqFt" dataDxfId="4781" totalsRowDxfId="4780">
      <calculatedColumnFormula>AK688/AL688</calculatedColumnFormula>
    </tableColumn>
    <tableColumn id="38" name="Cov Porch % Base" totalsRowFunction="custom" dataDxfId="4779" totalsRowDxfId="4778">
      <calculatedColumnFormula>AM688/C688</calculatedColumnFormula>
      <totalsRowFormula>AVERAGE(Table11051[Cov Porch % Base])</totalsRowFormula>
    </tableColumn>
    <tableColumn id="25" name="Deck Value" dataDxfId="4777" totalsRowDxfId="4776"/>
    <tableColumn id="55" name="Deck Sq Ft" dataDxfId="4775" totalsRowDxfId="4774"/>
    <tableColumn id="10" name="DeckVal/SqFt" dataDxfId="4773" totalsRowDxfId="4772">
      <calculatedColumnFormula>AO688/AP688</calculatedColumnFormula>
    </tableColumn>
    <tableColumn id="39" name="Deck % Base" totalsRowFunction="custom" dataDxfId="4771" totalsRowDxfId="4770">
      <calculatedColumnFormula>AQ688/C688</calculatedColumnFormula>
      <totalsRowFormula>AVERAGE(Table11051[Deck % Base])</totalsRowFormula>
    </tableColumn>
    <tableColumn id="26" name="Cov Deck Value" dataDxfId="4769" totalsRowDxfId="4768"/>
    <tableColumn id="56" name="CovDeck Sq Ft" dataDxfId="4767" totalsRowDxfId="4766"/>
    <tableColumn id="11" name="CovDeckVal/SqFt" totalsRowFunction="custom" dataDxfId="4765" totalsRowDxfId="4764">
      <calculatedColumnFormula>AS688/AT688</calculatedColumnFormula>
      <totalsRowFormula>AVERAGE(Table11051[CovDeckVal/SqFt])</totalsRowFormula>
    </tableColumn>
    <tableColumn id="40" name="CovDeck % Base" totalsRowFunction="custom" dataDxfId="4763" totalsRowDxfId="4762">
      <calculatedColumnFormula>AU688/C688</calculatedColumnFormula>
      <totalsRowFormula>AVERAGE(Table11051[CovDeck % Base])</totalsRowFormula>
    </tableColumn>
    <tableColumn id="27" name="CarP Value" dataDxfId="4761" totalsRowDxfId="4760"/>
    <tableColumn id="57" name="CarP Sq Ft" dataDxfId="4759" totalsRowDxfId="4758"/>
    <tableColumn id="12" name="CarPVal/SqFt" dataDxfId="4757" totalsRowDxfId="4756">
      <calculatedColumnFormula>AW688/AX688</calculatedColumnFormula>
    </tableColumn>
    <tableColumn id="41" name="CarP % Base" totalsRowFunction="custom" dataDxfId="4755" totalsRowDxfId="4754">
      <calculatedColumnFormula>AY688/C688</calculatedColumnFormula>
      <totalsRowFormula>AVERAGE(Table11051[CarP % Base])</totalsRowFormula>
    </tableColumn>
    <tableColumn id="28" name="EFP Value" dataDxfId="4753" totalsRowDxfId="4752"/>
    <tableColumn id="58" name="EFP Sq Ft" dataDxfId="4751" totalsRowDxfId="4750"/>
    <tableColumn id="15" name="EFPVal/SqFt" dataDxfId="4749" totalsRowDxfId="4748">
      <calculatedColumnFormula>BA688/BB688</calculatedColumnFormula>
    </tableColumn>
    <tableColumn id="29" name="EFP % Base" totalsRowFunction="custom" dataDxfId="4747" totalsRowDxfId="4746">
      <calculatedColumnFormula>BC688/C688</calculatedColumnFormula>
      <totalsRowFormula>AVERAGE(Table11051[EFP % Base])</totalsRowFormula>
    </tableColumn>
  </tableColumns>
  <tableStyleInfo name="TableStyleMedium1" showFirstColumn="0" showLastColumn="0" showRowStripes="1" showColumnStripes="0"/>
</table>
</file>

<file path=xl/tables/table59.xml><?xml version="1.0" encoding="utf-8"?>
<table xmlns="http://schemas.openxmlformats.org/spreadsheetml/2006/main" id="61" name="Table1105262" displayName="Table1105262" ref="A699:BD707" totalsRowCount="1" headerRowDxfId="4745">
  <tableColumns count="56">
    <tableColumn id="1" name="  Grade" dataDxfId="4744" totalsRowDxfId="4743"/>
    <tableColumn id="13" name="Main Area $" dataDxfId="4742" totalsRowDxfId="4741"/>
    <tableColumn id="45" name="MA $/Sq Ft" totalsRowFunction="custom" dataDxfId="4740" totalsRowDxfId="4739">
      <calculatedColumnFormula>B700/F697</calculatedColumnFormula>
      <totalsRowFormula>AVERAGE(Table1105262[MA $/Sq Ft])</totalsRowFormula>
    </tableColumn>
    <tableColumn id="16" name="Basic Allowance" totalsRowFunction="custom" dataDxfId="4738" totalsRowDxfId="4737">
      <totalsRowFormula>AVERAGE(Table1105262[Basic Allowance])</totalsRowFormula>
    </tableColumn>
    <tableColumn id="43" name="BsmtVal" dataDxfId="4736" totalsRowDxfId="4735"/>
    <tableColumn id="46" name="Bsmt SqFt" dataDxfId="4734" totalsRowDxfId="4733"/>
    <tableColumn id="2" name="BsmtVal/Sq Ft" dataDxfId="4732" totalsRowDxfId="4731">
      <calculatedColumnFormula>E700/F700</calculatedColumnFormula>
    </tableColumn>
    <tableColumn id="17" name="Bsmt % Base" totalsRowFunction="custom" dataDxfId="4730" totalsRowDxfId="4729">
      <calculatedColumnFormula>G700/C700</calculatedColumnFormula>
      <totalsRowFormula>AVERAGE(Table1105262[Bsmt % Base])</totalsRowFormula>
    </tableColumn>
    <tableColumn id="30" name="UnfBsmtVal" dataDxfId="4728" totalsRowDxfId="4727"/>
    <tableColumn id="47" name="UnfBsmt Sq Ft" dataDxfId="4726" totalsRowDxfId="4725"/>
    <tableColumn id="3" name="UnfBsmtVal/SqFt" dataDxfId="4724" totalsRowDxfId="4723">
      <calculatedColumnFormula>I700/J700</calculatedColumnFormula>
    </tableColumn>
    <tableColumn id="44" name="UnfBsmt % Base" totalsRowFunction="custom" dataDxfId="4722" totalsRowDxfId="4721">
      <calculatedColumnFormula>K700/C700</calculatedColumnFormula>
      <totalsRowFormula>AVERAGE(Table1105262[[#Headers],[#Data],[UnfBsmt % Base]])</totalsRowFormula>
    </tableColumn>
    <tableColumn id="31" name="Lower Value" dataDxfId="4720" totalsRowDxfId="4719"/>
    <tableColumn id="48" name="Lower Sq Ft" dataDxfId="4718" totalsRowDxfId="4717"/>
    <tableColumn id="4" name="LowerVal/SqFt" totalsRowFunction="custom" dataDxfId="4716" totalsRowDxfId="4715">
      <calculatedColumnFormula>M700/N700</calculatedColumnFormula>
      <totalsRowFormula>AVERAGE(Table1105262[LowerVal/SqFt])</totalsRowFormula>
    </tableColumn>
    <tableColumn id="32" name="Lower % Base" totalsRowFunction="custom" dataDxfId="4714" totalsRowDxfId="4713">
      <calculatedColumnFormula>O700/C700</calculatedColumnFormula>
      <totalsRowFormula>AVERAGE(Table1105262[Lower % Base])</totalsRowFormula>
    </tableColumn>
    <tableColumn id="19" name="Unf Lower Value" dataDxfId="4712" totalsRowDxfId="4711"/>
    <tableColumn id="49" name="UnfLower Sq Ft" dataDxfId="4710" totalsRowDxfId="4709"/>
    <tableColumn id="14" name="UnfLowVal/SqFt2" dataDxfId="4708" totalsRowDxfId="4707">
      <calculatedColumnFormula>Q700/R700</calculatedColumnFormula>
    </tableColumn>
    <tableColumn id="33" name="Unf Lower % Base" totalsRowFunction="custom" dataDxfId="4706" totalsRowDxfId="4705">
      <calculatedColumnFormula>S700/C700</calculatedColumnFormula>
      <totalsRowFormula>AVERAGE(Table1105262[Unf Lower % Base])</totalsRowFormula>
    </tableColumn>
    <tableColumn id="20" name="1/2 Story Value" dataDxfId="4704" totalsRowDxfId="4703"/>
    <tableColumn id="50" name="1/2 Story Sq Ft" dataDxfId="4702" totalsRowDxfId="4701"/>
    <tableColumn id="5" name="1/2 StoryVal/SqFt" dataDxfId="4700" totalsRowDxfId="4699">
      <calculatedColumnFormula>U700/V700</calculatedColumnFormula>
    </tableColumn>
    <tableColumn id="34" name="1/2 Story % Base" totalsRowFunction="custom" dataDxfId="4698" totalsRowDxfId="4697">
      <calculatedColumnFormula>W700/C700</calculatedColumnFormula>
      <totalsRowFormula>AVERAGE(Table1105262[1/2 Story % Base])</totalsRowFormula>
    </tableColumn>
    <tableColumn id="21" name="2nd Story Value" dataDxfId="4696" totalsRowDxfId="4695"/>
    <tableColumn id="51" name="2nd Sty Sq Ft" dataDxfId="4694" totalsRowDxfId="4693"/>
    <tableColumn id="6" name="2ndStyVal/Sqft" dataDxfId="4692" totalsRowDxfId="4691">
      <calculatedColumnFormula>Y700/Z700</calculatedColumnFormula>
    </tableColumn>
    <tableColumn id="35" name="2nd Story % Base" totalsRowFunction="custom" dataDxfId="4690" totalsRowDxfId="4689">
      <calculatedColumnFormula>AA700/C700</calculatedColumnFormula>
      <totalsRowFormula>AVERAGE(Table1105262[2nd Story % Base])</totalsRowFormula>
    </tableColumn>
    <tableColumn id="22" name="Att Gar Value" dataDxfId="4688" totalsRowDxfId="4687"/>
    <tableColumn id="52" name="Att Gar Sq Ft" dataDxfId="4686" totalsRowDxfId="4685"/>
    <tableColumn id="7" name="AttGarVal/SqFt" totalsRowFunction="custom" dataDxfId="4684" totalsRowDxfId="4683">
      <calculatedColumnFormula>AC700/AD700</calculatedColumnFormula>
      <totalsRowFormula>AVERAGE(Table1105262[AttGarVal/SqFt])</totalsRowFormula>
    </tableColumn>
    <tableColumn id="36" name="Att Gar % Base" totalsRowFunction="custom" dataDxfId="4682" totalsRowDxfId="4681">
      <calculatedColumnFormula>AE700/C700</calculatedColumnFormula>
      <totalsRowFormula>AVERAGE(Table1105262[Att Gar % Base])</totalsRowFormula>
    </tableColumn>
    <tableColumn id="23" name="Porch Value" dataDxfId="4680" totalsRowDxfId="4679"/>
    <tableColumn id="53" name="Porch Sq Ft" dataDxfId="4678" totalsRowDxfId="4677"/>
    <tableColumn id="8" name="PorchVal/SqFt" dataDxfId="4676" totalsRowDxfId="4675">
      <calculatedColumnFormula>AG700/AH700</calculatedColumnFormula>
    </tableColumn>
    <tableColumn id="37" name="Porch % Base" totalsRowFunction="custom" dataDxfId="4674" totalsRowDxfId="4673">
      <calculatedColumnFormula>AI700/C700</calculatedColumnFormula>
      <totalsRowFormula>AVERAGE(Table1105262[Porch % Base])</totalsRowFormula>
    </tableColumn>
    <tableColumn id="24" name="Cov Porch Value" dataDxfId="4672" totalsRowDxfId="4671"/>
    <tableColumn id="54" name="Cov Porch Sq Ft" dataDxfId="4670" totalsRowDxfId="4669"/>
    <tableColumn id="9" name="CovPrVal/SqFt" dataDxfId="4668" totalsRowDxfId="4667">
      <calculatedColumnFormula>AK700/AL700</calculatedColumnFormula>
    </tableColumn>
    <tableColumn id="38" name="Cov Porch % Base" totalsRowFunction="custom" dataDxfId="4666" totalsRowDxfId="4665">
      <calculatedColumnFormula>AM700/C700</calculatedColumnFormula>
      <totalsRowFormula>AVERAGE(Table1105262[Cov Porch % Base])</totalsRowFormula>
    </tableColumn>
    <tableColumn id="25" name="Deck Value" dataDxfId="4664" totalsRowDxfId="4663"/>
    <tableColumn id="55" name="Deck Sq Ft" dataDxfId="4662" totalsRowDxfId="4661"/>
    <tableColumn id="10" name="DeckVal/SqFt" dataDxfId="4660" totalsRowDxfId="4659">
      <calculatedColumnFormula>AO700/AP700</calculatedColumnFormula>
    </tableColumn>
    <tableColumn id="39" name="Deck % Base" totalsRowFunction="custom" dataDxfId="4658" totalsRowDxfId="4657">
      <calculatedColumnFormula>AQ700/C700</calculatedColumnFormula>
      <totalsRowFormula>AVERAGE(Table1105262[Deck % Base])</totalsRowFormula>
    </tableColumn>
    <tableColumn id="26" name="Cov Deck Value" dataDxfId="4656" totalsRowDxfId="4655"/>
    <tableColumn id="56" name="CovDeck Sq Ft" dataDxfId="4654" totalsRowDxfId="4653"/>
    <tableColumn id="11" name="CovDeckVal/SqFt" totalsRowFunction="custom" dataDxfId="4652" totalsRowDxfId="4651">
      <calculatedColumnFormula>AS700/AT700</calculatedColumnFormula>
      <totalsRowFormula>AVERAGE(Table1105262[CovDeckVal/SqFt])</totalsRowFormula>
    </tableColumn>
    <tableColumn id="40" name="CovDeck % Base" totalsRowFunction="custom" dataDxfId="4650" totalsRowDxfId="4649">
      <calculatedColumnFormula>AU700/C700</calculatedColumnFormula>
      <totalsRowFormula>AVERAGE(Table1105262[CovDeck % Base])</totalsRowFormula>
    </tableColumn>
    <tableColumn id="27" name="CarP Value" dataDxfId="4648" totalsRowDxfId="4647"/>
    <tableColumn id="57" name="CarP Sq Ft" dataDxfId="4646" totalsRowDxfId="4645"/>
    <tableColumn id="12" name="CarPVal/SqFt" dataDxfId="4644" totalsRowDxfId="4643">
      <calculatedColumnFormula>AW700/AX700</calculatedColumnFormula>
    </tableColumn>
    <tableColumn id="41" name="CarP % Base" totalsRowFunction="custom" dataDxfId="4642" totalsRowDxfId="4641">
      <calculatedColumnFormula>AY700/C700</calculatedColumnFormula>
      <totalsRowFormula>AVERAGE(Table1105262[CarP % Base])</totalsRowFormula>
    </tableColumn>
    <tableColumn id="28" name="EFP Value" dataDxfId="4640" totalsRowDxfId="4639"/>
    <tableColumn id="58" name="EFP Sq Ft" dataDxfId="4638" totalsRowDxfId="4637"/>
    <tableColumn id="15" name="EFPVal/SqFt" dataDxfId="4636" totalsRowDxfId="4635">
      <calculatedColumnFormula>BA700/BB700</calculatedColumnFormula>
    </tableColumn>
    <tableColumn id="29" name="EFP % Base" totalsRowFunction="custom" dataDxfId="4634" totalsRowDxfId="4633">
      <calculatedColumnFormula>BC700/C700</calculatedColumnFormula>
      <totalsRowFormula>AVERAGE(Table1105262[EFP % Base])</totalsRowFormula>
    </tableColumn>
  </tableColumns>
  <tableStyleInfo name="TableStyleMedium1" showFirstColumn="0" showLastColumn="0" showRowStripes="1" showColumnStripes="0"/>
</table>
</file>

<file path=xl/tables/table60.xml><?xml version="1.0" encoding="utf-8"?>
<table xmlns="http://schemas.openxmlformats.org/spreadsheetml/2006/main" id="62" name="Table1105363" displayName="Table1105363" ref="A711:BD719" totalsRowCount="1" headerRowDxfId="4632">
  <tableColumns count="56">
    <tableColumn id="1" name="  Grade" dataDxfId="4631" totalsRowDxfId="4630"/>
    <tableColumn id="13" name="Main Area $" dataDxfId="4629" totalsRowDxfId="4628"/>
    <tableColumn id="45" name="MA $/Sq Ft" totalsRowFunction="custom" dataDxfId="4627" totalsRowDxfId="4626">
      <calculatedColumnFormula>B712/F709</calculatedColumnFormula>
      <totalsRowFormula>AVERAGE(Table1105363[MA $/Sq Ft])</totalsRowFormula>
    </tableColumn>
    <tableColumn id="16" name="Basic Allowance" totalsRowFunction="custom" dataDxfId="4625" totalsRowDxfId="4624">
      <totalsRowFormula>AVERAGE(Table1105363[Basic Allowance])</totalsRowFormula>
    </tableColumn>
    <tableColumn id="43" name="BsmtVal" dataDxfId="4623" totalsRowDxfId="4622"/>
    <tableColumn id="46" name="Bsmt SqFt" dataDxfId="4621" totalsRowDxfId="4620"/>
    <tableColumn id="2" name="BsmtVal/Sq Ft" dataDxfId="4619" totalsRowDxfId="4618">
      <calculatedColumnFormula>E712/F712</calculatedColumnFormula>
    </tableColumn>
    <tableColumn id="17" name="Bsmt % Base" totalsRowFunction="custom" dataDxfId="4617" totalsRowDxfId="4616">
      <calculatedColumnFormula>G712/C712</calculatedColumnFormula>
      <totalsRowFormula>AVERAGE(Table1105363[Bsmt % Base])</totalsRowFormula>
    </tableColumn>
    <tableColumn id="30" name="UnfBsmtVal" dataDxfId="4615" totalsRowDxfId="4614"/>
    <tableColumn id="47" name="UnfBsmt Sq Ft" dataDxfId="4613" totalsRowDxfId="4612"/>
    <tableColumn id="3" name="UnfBsmtVal/SqFt" dataDxfId="4611" totalsRowDxfId="4610">
      <calculatedColumnFormula>I712/J712</calculatedColumnFormula>
    </tableColumn>
    <tableColumn id="44" name="UnfBsmt % Base" totalsRowFunction="custom" dataDxfId="4609" totalsRowDxfId="4608">
      <calculatedColumnFormula>K712/C712</calculatedColumnFormula>
      <totalsRowFormula>AVERAGE(Table1105363[[#Headers],[#Data],[UnfBsmt % Base]])</totalsRowFormula>
    </tableColumn>
    <tableColumn id="31" name="Lower Value" dataDxfId="4607" totalsRowDxfId="4606"/>
    <tableColumn id="48" name="Lower Sq Ft" dataDxfId="4605" totalsRowDxfId="4604"/>
    <tableColumn id="4" name="LowerVal/SqFt" totalsRowFunction="custom" dataDxfId="4603" totalsRowDxfId="4602">
      <calculatedColumnFormula>M712/N712</calculatedColumnFormula>
      <totalsRowFormula>AVERAGE(Table1105363[LowerVal/SqFt])</totalsRowFormula>
    </tableColumn>
    <tableColumn id="32" name="Lower % Base" totalsRowFunction="custom" dataDxfId="4601" totalsRowDxfId="4600">
      <calculatedColumnFormula>O712/C712</calculatedColumnFormula>
      <totalsRowFormula>AVERAGE(Table1105363[Lower % Base])</totalsRowFormula>
    </tableColumn>
    <tableColumn id="19" name="Unf Lower Value" dataDxfId="4599" totalsRowDxfId="4598"/>
    <tableColumn id="49" name="UnfLower Sq Ft" dataDxfId="4597" totalsRowDxfId="4596"/>
    <tableColumn id="14" name="UnfLowVal/SqFt2" dataDxfId="4595" totalsRowDxfId="4594">
      <calculatedColumnFormula>Q712/R712</calculatedColumnFormula>
    </tableColumn>
    <tableColumn id="33" name="Unf Lower % Base" totalsRowFunction="custom" dataDxfId="4593" totalsRowDxfId="4592">
      <calculatedColumnFormula>S712/C712</calculatedColumnFormula>
      <totalsRowFormula>AVERAGE(Table1105363[Unf Lower % Base])</totalsRowFormula>
    </tableColumn>
    <tableColumn id="20" name="1/2 Story Value" dataDxfId="4591" totalsRowDxfId="4590"/>
    <tableColumn id="50" name="1/2 Story Sq Ft" dataDxfId="4589" totalsRowDxfId="4588"/>
    <tableColumn id="5" name="1/2 StoryVal/SqFt" dataDxfId="4587" totalsRowDxfId="4586">
      <calculatedColumnFormula>U712/V712</calculatedColumnFormula>
    </tableColumn>
    <tableColumn id="34" name="1/2 Story % Base" totalsRowFunction="custom" dataDxfId="4585" totalsRowDxfId="4584">
      <calculatedColumnFormula>W712/C712</calculatedColumnFormula>
      <totalsRowFormula>AVERAGE(Table1105363[1/2 Story % Base])</totalsRowFormula>
    </tableColumn>
    <tableColumn id="21" name="2nd Story Value" dataDxfId="4583" totalsRowDxfId="4582"/>
    <tableColumn id="51" name="2nd Sty Sq Ft" dataDxfId="4581" totalsRowDxfId="4580"/>
    <tableColumn id="6" name="2ndStyVal/Sqft" dataDxfId="4579" totalsRowDxfId="4578">
      <calculatedColumnFormula>Y712/Z712</calculatedColumnFormula>
    </tableColumn>
    <tableColumn id="35" name="2nd Story % Base" totalsRowFunction="custom" dataDxfId="4577" totalsRowDxfId="4576">
      <calculatedColumnFormula>AA712/C712</calculatedColumnFormula>
      <totalsRowFormula>AVERAGE(Table1105363[2nd Story % Base])</totalsRowFormula>
    </tableColumn>
    <tableColumn id="22" name="Att Gar Value" dataDxfId="4575" totalsRowDxfId="4574"/>
    <tableColumn id="52" name="Att Gar Sq Ft" dataDxfId="4573" totalsRowDxfId="4572"/>
    <tableColumn id="7" name="AttGarVal/SqFt" totalsRowFunction="custom" dataDxfId="4571" totalsRowDxfId="4570">
      <calculatedColumnFormula>AC712/AD712</calculatedColumnFormula>
      <totalsRowFormula>AVERAGE(Table1105363[AttGarVal/SqFt])</totalsRowFormula>
    </tableColumn>
    <tableColumn id="36" name="Att Gar % Base" totalsRowFunction="custom" dataDxfId="4569" totalsRowDxfId="4568">
      <calculatedColumnFormula>AE712/C712</calculatedColumnFormula>
      <totalsRowFormula>AVERAGE(Table1105363[Att Gar % Base])</totalsRowFormula>
    </tableColumn>
    <tableColumn id="23" name="Porch Value" dataDxfId="4567" totalsRowDxfId="4566"/>
    <tableColumn id="53" name="Porch Sq Ft" dataDxfId="4565" totalsRowDxfId="4564"/>
    <tableColumn id="8" name="PorchVal/SqFt" dataDxfId="4563" totalsRowDxfId="4562">
      <calculatedColumnFormula>AG712/AH712</calculatedColumnFormula>
    </tableColumn>
    <tableColumn id="37" name="Porch % Base" totalsRowFunction="custom" dataDxfId="4561" totalsRowDxfId="4560">
      <calculatedColumnFormula>AI712/C712</calculatedColumnFormula>
      <totalsRowFormula>AVERAGE(Table1105363[Porch % Base])</totalsRowFormula>
    </tableColumn>
    <tableColumn id="24" name="Cov Porch Value" dataDxfId="4559" totalsRowDxfId="4558"/>
    <tableColumn id="54" name="Cov Porch Sq Ft" dataDxfId="4557" totalsRowDxfId="4556"/>
    <tableColumn id="9" name="CovPrVal/SqFt" dataDxfId="4555" totalsRowDxfId="4554">
      <calculatedColumnFormula>AK712/AL712</calculatedColumnFormula>
    </tableColumn>
    <tableColumn id="38" name="Cov Porch % Base" totalsRowFunction="custom" dataDxfId="4553" totalsRowDxfId="4552">
      <calculatedColumnFormula>AM712/C712</calculatedColumnFormula>
      <totalsRowFormula>AVERAGE(Table1105363[Cov Porch % Base])</totalsRowFormula>
    </tableColumn>
    <tableColumn id="25" name="Deck Value" dataDxfId="4551" totalsRowDxfId="4550"/>
    <tableColumn id="55" name="Deck Sq Ft" dataDxfId="4549" totalsRowDxfId="4548"/>
    <tableColumn id="10" name="DeckVal/SqFt" dataDxfId="4547" totalsRowDxfId="4546">
      <calculatedColumnFormula>AO712/AP712</calculatedColumnFormula>
    </tableColumn>
    <tableColumn id="39" name="Deck % Base" totalsRowFunction="custom" dataDxfId="4545" totalsRowDxfId="4544">
      <calculatedColumnFormula>AQ712/C712</calculatedColumnFormula>
      <totalsRowFormula>AVERAGE(Table1105363[Deck % Base])</totalsRowFormula>
    </tableColumn>
    <tableColumn id="26" name="Cov Deck Value" dataDxfId="4543" totalsRowDxfId="4542"/>
    <tableColumn id="56" name="CovDeck Sq Ft" dataDxfId="4541" totalsRowDxfId="4540"/>
    <tableColumn id="11" name="CovDeckVal/SqFt" totalsRowFunction="custom" dataDxfId="4539" totalsRowDxfId="4538">
      <calculatedColumnFormula>AS712/AT712</calculatedColumnFormula>
      <totalsRowFormula>AVERAGE(Table1105363[CovDeckVal/SqFt])</totalsRowFormula>
    </tableColumn>
    <tableColumn id="40" name="CovDeck % Base" totalsRowFunction="custom" dataDxfId="4537" totalsRowDxfId="4536">
      <calculatedColumnFormula>AU712/C712</calculatedColumnFormula>
      <totalsRowFormula>AVERAGE(Table1105363[CovDeck % Base])</totalsRowFormula>
    </tableColumn>
    <tableColumn id="27" name="CarP Value" dataDxfId="4535" totalsRowDxfId="4534"/>
    <tableColumn id="57" name="CarP Sq Ft" dataDxfId="4533" totalsRowDxfId="4532"/>
    <tableColumn id="12" name="CarPVal/SqFt" dataDxfId="4531" totalsRowDxfId="4530">
      <calculatedColumnFormula>AW712/AX712</calculatedColumnFormula>
    </tableColumn>
    <tableColumn id="41" name="CarP % Base" totalsRowFunction="custom" dataDxfId="4529" totalsRowDxfId="4528">
      <calculatedColumnFormula>AY712/C712</calculatedColumnFormula>
      <totalsRowFormula>AVERAGE(Table1105363[CarP % Base])</totalsRowFormula>
    </tableColumn>
    <tableColumn id="28" name="EFP Value" dataDxfId="4527" totalsRowDxfId="4526"/>
    <tableColumn id="58" name="EFP Sq Ft" dataDxfId="4525" totalsRowDxfId="4524"/>
    <tableColumn id="15" name="EFPVal/SqFt" dataDxfId="4523" totalsRowDxfId="4522">
      <calculatedColumnFormula>BA712/BB712</calculatedColumnFormula>
    </tableColumn>
    <tableColumn id="29" name="EFP % Base" totalsRowFunction="custom" dataDxfId="4521" totalsRowDxfId="4520">
      <calculatedColumnFormula>BC712/C712</calculatedColumnFormula>
      <totalsRowFormula>AVERAGE(Table1105363[EFP % Base])</totalsRowFormula>
    </tableColumn>
  </tableColumns>
  <tableStyleInfo name="TableStyleMedium1" showFirstColumn="0" showLastColumn="0" showRowStripes="1" showColumnStripes="0"/>
</table>
</file>

<file path=xl/tables/table61.xml><?xml version="1.0" encoding="utf-8"?>
<table xmlns="http://schemas.openxmlformats.org/spreadsheetml/2006/main" id="63" name="Table11054" displayName="Table11054" ref="A723:BD731" totalsRowCount="1" headerRowDxfId="4519">
  <tableColumns count="56">
    <tableColumn id="1" name="  Grade" dataDxfId="4518" totalsRowDxfId="4517"/>
    <tableColumn id="13" name="Main Area $" dataDxfId="4516" totalsRowDxfId="4515"/>
    <tableColumn id="45" name="MA $/Sq Ft" totalsRowFunction="custom" dataDxfId="4514" totalsRowDxfId="4513">
      <calculatedColumnFormula>B724/F721</calculatedColumnFormula>
      <totalsRowFormula>AVERAGE(Table11054[MA $/Sq Ft])</totalsRowFormula>
    </tableColumn>
    <tableColumn id="16" name="Basic Allowance" totalsRowFunction="custom" dataDxfId="4512" totalsRowDxfId="4511">
      <totalsRowFormula>AVERAGE(Table11054[Basic Allowance])</totalsRowFormula>
    </tableColumn>
    <tableColumn id="43" name="BsmtVal" dataDxfId="4510" totalsRowDxfId="4509"/>
    <tableColumn id="46" name="Bsmt SqFt" dataDxfId="4508" totalsRowDxfId="4507"/>
    <tableColumn id="2" name="BsmtVal/Sq Ft" dataDxfId="4506" totalsRowDxfId="4505">
      <calculatedColumnFormula>E724/F724</calculatedColumnFormula>
    </tableColumn>
    <tableColumn id="17" name="Bsmt % Base" totalsRowFunction="custom" dataDxfId="4504" totalsRowDxfId="4503">
      <calculatedColumnFormula>G724/C724</calculatedColumnFormula>
      <totalsRowFormula>AVERAGE(Table11054[Bsmt % Base])</totalsRowFormula>
    </tableColumn>
    <tableColumn id="30" name="UnfBsmtVal" dataDxfId="4502" totalsRowDxfId="4501"/>
    <tableColumn id="47" name="UnfBsmt Sq Ft" dataDxfId="4500" totalsRowDxfId="4499"/>
    <tableColumn id="3" name="UnfBsmtVal/SqFt" dataDxfId="4498" totalsRowDxfId="4497">
      <calculatedColumnFormula>I724/J724</calculatedColumnFormula>
    </tableColumn>
    <tableColumn id="44" name="UnfBsmt % Base" totalsRowFunction="custom" dataDxfId="4496" totalsRowDxfId="4495">
      <calculatedColumnFormula>K724/C724</calculatedColumnFormula>
      <totalsRowFormula>AVERAGE(Table11054[[#Headers],[#Data],[UnfBsmt % Base]])</totalsRowFormula>
    </tableColumn>
    <tableColumn id="31" name="Lower Value" dataDxfId="4494" totalsRowDxfId="4493"/>
    <tableColumn id="48" name="Lower Sq Ft" dataDxfId="4492" totalsRowDxfId="4491"/>
    <tableColumn id="4" name="LowerVal/SqFt" totalsRowFunction="custom" dataDxfId="4490" totalsRowDxfId="4489">
      <calculatedColumnFormula>M724/N724</calculatedColumnFormula>
      <totalsRowFormula>AVERAGE(Table11054[LowerVal/SqFt])</totalsRowFormula>
    </tableColumn>
    <tableColumn id="32" name="Lower % Base" totalsRowFunction="custom" dataDxfId="4488" totalsRowDxfId="4487">
      <calculatedColumnFormula>O724/C724</calculatedColumnFormula>
      <totalsRowFormula>AVERAGE(Table11054[Lower % Base])</totalsRowFormula>
    </tableColumn>
    <tableColumn id="19" name="Unf Lower Value" dataDxfId="4486" totalsRowDxfId="4485"/>
    <tableColumn id="49" name="UnfLower Sq Ft" dataDxfId="4484" totalsRowDxfId="4483"/>
    <tableColumn id="14" name="UnfLowVal/SqFt2" dataDxfId="4482" totalsRowDxfId="4481">
      <calculatedColumnFormula>Q724/R724</calculatedColumnFormula>
    </tableColumn>
    <tableColumn id="33" name="Unf Lower % Base" totalsRowFunction="custom" dataDxfId="4480" totalsRowDxfId="4479">
      <calculatedColumnFormula>S724/C724</calculatedColumnFormula>
      <totalsRowFormula>AVERAGE(Table11054[Unf Lower % Base])</totalsRowFormula>
    </tableColumn>
    <tableColumn id="20" name="1/2 Story Value" dataDxfId="4478" totalsRowDxfId="4477"/>
    <tableColumn id="50" name="1/2 Story Sq Ft" dataDxfId="4476" totalsRowDxfId="4475"/>
    <tableColumn id="5" name="1/2 StoryVal/SqFt" dataDxfId="4474" totalsRowDxfId="4473">
      <calculatedColumnFormula>U724/V724</calculatedColumnFormula>
    </tableColumn>
    <tableColumn id="34" name="1/2 Story % Base" totalsRowFunction="custom" dataDxfId="4472" totalsRowDxfId="4471">
      <calculatedColumnFormula>W724/C724</calculatedColumnFormula>
      <totalsRowFormula>AVERAGE(Table11054[1/2 Story % Base])</totalsRowFormula>
    </tableColumn>
    <tableColumn id="21" name="2nd Story Value" dataDxfId="4470" totalsRowDxfId="4469"/>
    <tableColumn id="51" name="2nd Sty Sq Ft" dataDxfId="4468" totalsRowDxfId="4467"/>
    <tableColumn id="6" name="2ndStyVal/Sqft" dataDxfId="4466" totalsRowDxfId="4465">
      <calculatedColumnFormula>Y724/Z724</calculatedColumnFormula>
    </tableColumn>
    <tableColumn id="35" name="2nd Story % Base" totalsRowFunction="custom" dataDxfId="4464" totalsRowDxfId="4463">
      <calculatedColumnFormula>AA724/C724</calculatedColumnFormula>
      <totalsRowFormula>AVERAGE(Table11054[2nd Story % Base])</totalsRowFormula>
    </tableColumn>
    <tableColumn id="22" name="Att Gar Value" dataDxfId="4462" totalsRowDxfId="4461"/>
    <tableColumn id="52" name="Att Gar Sq Ft" dataDxfId="4460" totalsRowDxfId="4459"/>
    <tableColumn id="7" name="AttGarVal/SqFt" totalsRowFunction="custom" dataDxfId="4458" totalsRowDxfId="4457">
      <calculatedColumnFormula>AC724/AD724</calculatedColumnFormula>
      <totalsRowFormula>AVERAGE(Table11054[AttGarVal/SqFt])</totalsRowFormula>
    </tableColumn>
    <tableColumn id="36" name="Att Gar % Base" totalsRowFunction="custom" dataDxfId="4456" totalsRowDxfId="4455">
      <calculatedColumnFormula>AE724/C724</calculatedColumnFormula>
      <totalsRowFormula>AVERAGE(Table11054[Att Gar % Base])</totalsRowFormula>
    </tableColumn>
    <tableColumn id="23" name="Porch Value" dataDxfId="4454" totalsRowDxfId="4453"/>
    <tableColumn id="53" name="Porch Sq Ft" dataDxfId="4452" totalsRowDxfId="4451"/>
    <tableColumn id="8" name="PorchVal/SqFt" dataDxfId="4450" totalsRowDxfId="4449">
      <calculatedColumnFormula>AG724/AH724</calculatedColumnFormula>
    </tableColumn>
    <tableColumn id="37" name="Porch % Base" totalsRowFunction="custom" dataDxfId="4448" totalsRowDxfId="4447">
      <calculatedColumnFormula>AI724/C724</calculatedColumnFormula>
      <totalsRowFormula>AVERAGE(Table11054[Porch % Base])</totalsRowFormula>
    </tableColumn>
    <tableColumn id="24" name="Cov Porch Value" dataDxfId="4446" totalsRowDxfId="4445"/>
    <tableColumn id="54" name="Cov Porch Sq Ft" dataDxfId="4444" totalsRowDxfId="4443"/>
    <tableColumn id="9" name="CovPrVal/SqFt" dataDxfId="4442" totalsRowDxfId="4441">
      <calculatedColumnFormula>AK724/AL724</calculatedColumnFormula>
    </tableColumn>
    <tableColumn id="38" name="Cov Porch % Base" totalsRowFunction="custom" dataDxfId="4440" totalsRowDxfId="4439">
      <calculatedColumnFormula>AM724/C724</calculatedColumnFormula>
      <totalsRowFormula>AVERAGE(Table11054[Cov Porch % Base])</totalsRowFormula>
    </tableColumn>
    <tableColumn id="25" name="Deck Value" dataDxfId="4438" totalsRowDxfId="4437"/>
    <tableColumn id="55" name="Deck Sq Ft" dataDxfId="4436" totalsRowDxfId="4435"/>
    <tableColumn id="10" name="DeckVal/SqFt" dataDxfId="4434" totalsRowDxfId="4433">
      <calculatedColumnFormula>AO724/AP724</calculatedColumnFormula>
    </tableColumn>
    <tableColumn id="39" name="Deck % Base" totalsRowFunction="custom" dataDxfId="4432" totalsRowDxfId="4431">
      <calculatedColumnFormula>AQ724/C724</calculatedColumnFormula>
      <totalsRowFormula>AVERAGE(Table11054[Deck % Base])</totalsRowFormula>
    </tableColumn>
    <tableColumn id="26" name="Cov Deck Value" dataDxfId="4430" totalsRowDxfId="4429"/>
    <tableColumn id="56" name="CovDeck Sq Ft" dataDxfId="4428" totalsRowDxfId="4427"/>
    <tableColumn id="11" name="CovDeckVal/SqFt" totalsRowFunction="custom" dataDxfId="4426" totalsRowDxfId="4425">
      <calculatedColumnFormula>AS724/AT724</calculatedColumnFormula>
      <totalsRowFormula>AVERAGE(Table11054[CovDeckVal/SqFt])</totalsRowFormula>
    </tableColumn>
    <tableColumn id="40" name="CovDeck % Base" totalsRowFunction="custom" dataDxfId="4424" totalsRowDxfId="4423">
      <calculatedColumnFormula>AU724/C724</calculatedColumnFormula>
      <totalsRowFormula>AVERAGE(Table11054[CovDeck % Base])</totalsRowFormula>
    </tableColumn>
    <tableColumn id="27" name="CarP Value" dataDxfId="4422" totalsRowDxfId="4421"/>
    <tableColumn id="57" name="CarP Sq Ft" dataDxfId="4420" totalsRowDxfId="4419"/>
    <tableColumn id="12" name="CarPVal/SqFt" dataDxfId="4418" totalsRowDxfId="4417">
      <calculatedColumnFormula>AW724/AX724</calculatedColumnFormula>
    </tableColumn>
    <tableColumn id="41" name="CarP % Base" totalsRowFunction="custom" dataDxfId="4416" totalsRowDxfId="4415">
      <calculatedColumnFormula>AY724/C724</calculatedColumnFormula>
      <totalsRowFormula>AVERAGE(Table11054[CarP % Base])</totalsRowFormula>
    </tableColumn>
    <tableColumn id="28" name="EFP Value" dataDxfId="4414" totalsRowDxfId="4413"/>
    <tableColumn id="58" name="EFP Sq Ft" dataDxfId="4412" totalsRowDxfId="4411"/>
    <tableColumn id="15" name="EFPVal/SqFt" dataDxfId="4410" totalsRowDxfId="4409">
      <calculatedColumnFormula>BA724/BB724</calculatedColumnFormula>
    </tableColumn>
    <tableColumn id="29" name="EFP % Base" totalsRowFunction="custom" dataDxfId="4408" totalsRowDxfId="4407">
      <calculatedColumnFormula>BC724/C724</calculatedColumnFormula>
      <totalsRowFormula>AVERAGE(Table11054[EFP % Base])</totalsRowFormula>
    </tableColumn>
  </tableColumns>
  <tableStyleInfo name="TableStyleMedium1" showFirstColumn="0" showLastColumn="0" showRowStripes="1" showColumnStripes="0"/>
</table>
</file>

<file path=xl/tables/table62.xml><?xml version="1.0" encoding="utf-8"?>
<table xmlns="http://schemas.openxmlformats.org/spreadsheetml/2006/main" id="64" name="Table11055" displayName="Table11055" ref="A735:BD743" totalsRowCount="1" headerRowDxfId="4406">
  <tableColumns count="56">
    <tableColumn id="1" name="  Grade" dataDxfId="4405" totalsRowDxfId="4404"/>
    <tableColumn id="13" name="Main Area $" dataDxfId="4403" totalsRowDxfId="4402"/>
    <tableColumn id="45" name="MA $/Sq Ft" totalsRowFunction="custom" dataDxfId="4401" totalsRowDxfId="4400">
      <calculatedColumnFormula>B736/F733</calculatedColumnFormula>
      <totalsRowFormula>AVERAGE(Table11055[MA $/Sq Ft])</totalsRowFormula>
    </tableColumn>
    <tableColumn id="16" name="Basic Allowance" totalsRowFunction="custom" dataDxfId="4399" totalsRowDxfId="4398">
      <totalsRowFormula>AVERAGE(Table11055[Basic Allowance])</totalsRowFormula>
    </tableColumn>
    <tableColumn id="43" name="BsmtVal" dataDxfId="4397" totalsRowDxfId="4396"/>
    <tableColumn id="46" name="Bsmt SqFt" dataDxfId="4395" totalsRowDxfId="4394"/>
    <tableColumn id="2" name="BsmtVal/Sq Ft" dataDxfId="4393" totalsRowDxfId="4392">
      <calculatedColumnFormula>E736/F736</calculatedColumnFormula>
    </tableColumn>
    <tableColumn id="17" name="Bsmt % Base" totalsRowFunction="custom" dataDxfId="4391" totalsRowDxfId="4390">
      <calculatedColumnFormula>G736/C736</calculatedColumnFormula>
      <totalsRowFormula>AVERAGE(Table11055[Bsmt % Base])</totalsRowFormula>
    </tableColumn>
    <tableColumn id="30" name="UnfBsmtVal" dataDxfId="4389" totalsRowDxfId="4388"/>
    <tableColumn id="47" name="UnfBsmt Sq Ft" dataDxfId="4387" totalsRowDxfId="4386"/>
    <tableColumn id="3" name="UnfBsmtVal/SqFt" dataDxfId="4385" totalsRowDxfId="4384">
      <calculatedColumnFormula>I736/J736</calculatedColumnFormula>
    </tableColumn>
    <tableColumn id="44" name="UnfBsmt % Base" totalsRowFunction="custom" dataDxfId="4383" totalsRowDxfId="4382">
      <calculatedColumnFormula>K736/C736</calculatedColumnFormula>
      <totalsRowFormula>AVERAGE(Table11055[[#Headers],[#Data],[UnfBsmt % Base]])</totalsRowFormula>
    </tableColumn>
    <tableColumn id="31" name="Lower Value" dataDxfId="4381" totalsRowDxfId="4380"/>
    <tableColumn id="48" name="Lower Sq Ft" dataDxfId="4379" totalsRowDxfId="4378"/>
    <tableColumn id="4" name="LowerVal/SqFt" totalsRowFunction="custom" dataDxfId="4377" totalsRowDxfId="4376">
      <calculatedColumnFormula>M736/N736</calculatedColumnFormula>
      <totalsRowFormula>AVERAGE(Table11055[LowerVal/SqFt])</totalsRowFormula>
    </tableColumn>
    <tableColumn id="32" name="Lower % Base" totalsRowFunction="custom" dataDxfId="4375" totalsRowDxfId="4374">
      <calculatedColumnFormula>O736/C736</calculatedColumnFormula>
      <totalsRowFormula>AVERAGE(Table11055[Lower % Base])</totalsRowFormula>
    </tableColumn>
    <tableColumn id="19" name="Unf Lower Value" dataDxfId="4373" totalsRowDxfId="4372"/>
    <tableColumn id="49" name="UnfLower Sq Ft" dataDxfId="4371" totalsRowDxfId="4370"/>
    <tableColumn id="14" name="UnfLowVal/SqFt2" dataDxfId="4369" totalsRowDxfId="4368">
      <calculatedColumnFormula>Q736/R736</calculatedColumnFormula>
    </tableColumn>
    <tableColumn id="33" name="Unf Lower % Base" totalsRowFunction="custom" dataDxfId="4367" totalsRowDxfId="4366">
      <calculatedColumnFormula>S736/C736</calculatedColumnFormula>
      <totalsRowFormula>AVERAGE(Table11055[Unf Lower % Base])</totalsRowFormula>
    </tableColumn>
    <tableColumn id="20" name="1/2 Story Value" dataDxfId="4365" totalsRowDxfId="4364"/>
    <tableColumn id="50" name="1/2 Story Sq Ft" dataDxfId="4363" totalsRowDxfId="4362"/>
    <tableColumn id="5" name="1/2 StoryVal/SqFt" dataDxfId="4361" totalsRowDxfId="4360">
      <calculatedColumnFormula>U736/V736</calculatedColumnFormula>
    </tableColumn>
    <tableColumn id="34" name="1/2 Story % Base" totalsRowFunction="custom" dataDxfId="4359" totalsRowDxfId="4358">
      <calculatedColumnFormula>W736/C736</calculatedColumnFormula>
      <totalsRowFormula>AVERAGE(Table11055[1/2 Story % Base])</totalsRowFormula>
    </tableColumn>
    <tableColumn id="21" name="2nd Story Value" dataDxfId="4357" totalsRowDxfId="4356"/>
    <tableColumn id="51" name="2nd Sty Sq Ft" dataDxfId="4355" totalsRowDxfId="4354"/>
    <tableColumn id="6" name="2ndStyVal/Sqft" dataDxfId="4353" totalsRowDxfId="4352">
      <calculatedColumnFormula>Y736/Z736</calculatedColumnFormula>
    </tableColumn>
    <tableColumn id="35" name="2nd Story % Base" totalsRowFunction="custom" dataDxfId="4351" totalsRowDxfId="4350">
      <calculatedColumnFormula>AA736/C736</calculatedColumnFormula>
      <totalsRowFormula>AVERAGE(Table11055[2nd Story % Base])</totalsRowFormula>
    </tableColumn>
    <tableColumn id="22" name="Att Gar Value" dataDxfId="4349" totalsRowDxfId="4348"/>
    <tableColumn id="52" name="Att Gar Sq Ft" dataDxfId="4347" totalsRowDxfId="4346"/>
    <tableColumn id="7" name="AttGarVal/SqFt" totalsRowFunction="custom" dataDxfId="4345" totalsRowDxfId="4344">
      <calculatedColumnFormula>AC736/AD736</calculatedColumnFormula>
      <totalsRowFormula>AVERAGE(Table11055[AttGarVal/SqFt])</totalsRowFormula>
    </tableColumn>
    <tableColumn id="36" name="Att Gar % Base" totalsRowFunction="custom" dataDxfId="4343" totalsRowDxfId="4342">
      <calculatedColumnFormula>AE736/C736</calculatedColumnFormula>
      <totalsRowFormula>AVERAGE(Table11055[Att Gar % Base])</totalsRowFormula>
    </tableColumn>
    <tableColumn id="23" name="Porch Value" dataDxfId="4341" totalsRowDxfId="4340"/>
    <tableColumn id="53" name="Porch Sq Ft" dataDxfId="4339" totalsRowDxfId="4338"/>
    <tableColumn id="8" name="PorchVal/SqFt" dataDxfId="4337" totalsRowDxfId="4336">
      <calculatedColumnFormula>AG736/AH736</calculatedColumnFormula>
    </tableColumn>
    <tableColumn id="37" name="Porch % Base" totalsRowFunction="custom" dataDxfId="4335" totalsRowDxfId="4334">
      <calculatedColumnFormula>AI736/C736</calculatedColumnFormula>
      <totalsRowFormula>AVERAGE(Table11055[Porch % Base])</totalsRowFormula>
    </tableColumn>
    <tableColumn id="24" name="Cov Porch Value" dataDxfId="4333" totalsRowDxfId="4332"/>
    <tableColumn id="54" name="Cov Porch Sq Ft" dataDxfId="4331" totalsRowDxfId="4330"/>
    <tableColumn id="9" name="CovPrVal/SqFt" dataDxfId="4329" totalsRowDxfId="4328">
      <calculatedColumnFormula>AK736/AL736</calculatedColumnFormula>
    </tableColumn>
    <tableColumn id="38" name="Cov Porch % Base" totalsRowFunction="custom" dataDxfId="4327" totalsRowDxfId="4326">
      <calculatedColumnFormula>AM736/C736</calculatedColumnFormula>
      <totalsRowFormula>AVERAGE(Table11055[Cov Porch % Base])</totalsRowFormula>
    </tableColumn>
    <tableColumn id="25" name="Deck Value" dataDxfId="4325" totalsRowDxfId="4324"/>
    <tableColumn id="55" name="Deck Sq Ft" dataDxfId="4323" totalsRowDxfId="4322"/>
    <tableColumn id="10" name="DeckVal/SqFt" dataDxfId="4321" totalsRowDxfId="4320">
      <calculatedColumnFormula>AO736/AP736</calculatedColumnFormula>
    </tableColumn>
    <tableColumn id="39" name="Deck % Base" totalsRowFunction="custom" dataDxfId="4319" totalsRowDxfId="4318">
      <calculatedColumnFormula>AQ736/C736</calculatedColumnFormula>
      <totalsRowFormula>AVERAGE(Table11055[Deck % Base])</totalsRowFormula>
    </tableColumn>
    <tableColumn id="26" name="Cov Deck Value" dataDxfId="4317" totalsRowDxfId="4316"/>
    <tableColumn id="56" name="CovDeck Sq Ft" dataDxfId="4315" totalsRowDxfId="4314"/>
    <tableColumn id="11" name="CovDeckVal/SqFt" totalsRowFunction="custom" dataDxfId="4313" totalsRowDxfId="4312">
      <calculatedColumnFormula>AS736/AT736</calculatedColumnFormula>
      <totalsRowFormula>AVERAGE(Table11055[CovDeckVal/SqFt])</totalsRowFormula>
    </tableColumn>
    <tableColumn id="40" name="CovDeck % Base" totalsRowFunction="custom" dataDxfId="4311" totalsRowDxfId="4310">
      <calculatedColumnFormula>AU736/C736</calculatedColumnFormula>
      <totalsRowFormula>AVERAGE(Table11055[CovDeck % Base])</totalsRowFormula>
    </tableColumn>
    <tableColumn id="27" name="CarP Value" dataDxfId="4309" totalsRowDxfId="4308"/>
    <tableColumn id="57" name="CarP Sq Ft" dataDxfId="4307" totalsRowDxfId="4306"/>
    <tableColumn id="12" name="CarPVal/SqFt" dataDxfId="4305" totalsRowDxfId="4304">
      <calculatedColumnFormula>AW736/AX736</calculatedColumnFormula>
    </tableColumn>
    <tableColumn id="41" name="CarP % Base" totalsRowFunction="custom" dataDxfId="4303" totalsRowDxfId="4302">
      <calculatedColumnFormula>AY736/C736</calculatedColumnFormula>
      <totalsRowFormula>AVERAGE(Table11055[CarP % Base])</totalsRowFormula>
    </tableColumn>
    <tableColumn id="28" name="EFP Value" dataDxfId="4301" totalsRowDxfId="4300"/>
    <tableColumn id="58" name="EFP Sq Ft" dataDxfId="4299" totalsRowDxfId="4298"/>
    <tableColumn id="15" name="EFPVal/SqFt" dataDxfId="4297" totalsRowDxfId="4296">
      <calculatedColumnFormula>BA736/BB736</calculatedColumnFormula>
    </tableColumn>
    <tableColumn id="29" name="EFP % Base" totalsRowFunction="custom" dataDxfId="4295" totalsRowDxfId="4294">
      <calculatedColumnFormula>BC736/C736</calculatedColumnFormula>
      <totalsRowFormula>AVERAGE(Table11055[EFP % Base])</totalsRowFormula>
    </tableColumn>
  </tableColumns>
  <tableStyleInfo name="TableStyleMedium1" showFirstColumn="0" showLastColumn="0" showRowStripes="1" showColumnStripes="0"/>
</table>
</file>

<file path=xl/tables/table63.xml><?xml version="1.0" encoding="utf-8"?>
<table xmlns="http://schemas.openxmlformats.org/spreadsheetml/2006/main" id="65" name="Table11056" displayName="Table11056" ref="A747:BD755" totalsRowCount="1" headerRowDxfId="4293">
  <tableColumns count="56">
    <tableColumn id="1" name="  Grade" dataDxfId="4292" totalsRowDxfId="4291"/>
    <tableColumn id="13" name="Main Area $" dataDxfId="4290" totalsRowDxfId="4289"/>
    <tableColumn id="45" name="MA $/Sq Ft" totalsRowFunction="custom" dataDxfId="4288" totalsRowDxfId="4287">
      <calculatedColumnFormula>B748/F745</calculatedColumnFormula>
      <totalsRowFormula>AVERAGE(Table11056[MA $/Sq Ft])</totalsRowFormula>
    </tableColumn>
    <tableColumn id="16" name="Basic Allowance" totalsRowFunction="custom" dataDxfId="4286" totalsRowDxfId="4285">
      <totalsRowFormula>AVERAGE(Table11056[Basic Allowance])</totalsRowFormula>
    </tableColumn>
    <tableColumn id="43" name="BsmtVal" dataDxfId="4284" totalsRowDxfId="4283"/>
    <tableColumn id="46" name="Bsmt SqFt" dataDxfId="4282" totalsRowDxfId="4281"/>
    <tableColumn id="2" name="BsmtVal/Sq Ft" dataDxfId="4280" totalsRowDxfId="4279">
      <calculatedColumnFormula>E748/F748</calculatedColumnFormula>
    </tableColumn>
    <tableColumn id="17" name="Bsmt % Base" totalsRowFunction="custom" dataDxfId="4278" totalsRowDxfId="4277">
      <calculatedColumnFormula>G748/C748</calculatedColumnFormula>
      <totalsRowFormula>AVERAGE(Table11056[Bsmt % Base])</totalsRowFormula>
    </tableColumn>
    <tableColumn id="30" name="UnfBsmtVal" dataDxfId="4276" totalsRowDxfId="4275"/>
    <tableColumn id="47" name="UnfBsmt Sq Ft" dataDxfId="4274" totalsRowDxfId="4273"/>
    <tableColumn id="3" name="UnfBsmtVal/SqFt" dataDxfId="4272" totalsRowDxfId="4271">
      <calculatedColumnFormula>I748/J748</calculatedColumnFormula>
    </tableColumn>
    <tableColumn id="44" name="UnfBsmt % Base" totalsRowFunction="custom" dataDxfId="4270" totalsRowDxfId="4269">
      <calculatedColumnFormula>K748/C748</calculatedColumnFormula>
      <totalsRowFormula>AVERAGE(Table11056[[#Headers],[#Data],[UnfBsmt % Base]])</totalsRowFormula>
    </tableColumn>
    <tableColumn id="31" name="Lower Value" dataDxfId="4268" totalsRowDxfId="4267"/>
    <tableColumn id="48" name="Lower Sq Ft" dataDxfId="4266" totalsRowDxfId="4265"/>
    <tableColumn id="4" name="LowerVal/SqFt" totalsRowFunction="custom" dataDxfId="4264" totalsRowDxfId="4263">
      <calculatedColumnFormula>M748/N748</calculatedColumnFormula>
      <totalsRowFormula>AVERAGE(Table11056[LowerVal/SqFt])</totalsRowFormula>
    </tableColumn>
    <tableColumn id="32" name="Lower % Base" totalsRowFunction="custom" dataDxfId="4262" totalsRowDxfId="4261">
      <calculatedColumnFormula>O748/C748</calculatedColumnFormula>
      <totalsRowFormula>AVERAGE(Table11056[Lower % Base])</totalsRowFormula>
    </tableColumn>
    <tableColumn id="19" name="Unf Lower Value" dataDxfId="4260" totalsRowDxfId="4259"/>
    <tableColumn id="49" name="UnfLower Sq Ft" dataDxfId="4258" totalsRowDxfId="4257"/>
    <tableColumn id="14" name="UnfLowVal/SqFt2" dataDxfId="4256" totalsRowDxfId="4255">
      <calculatedColumnFormula>Q748/R748</calculatedColumnFormula>
    </tableColumn>
    <tableColumn id="33" name="Unf Lower % Base" totalsRowFunction="custom" dataDxfId="4254" totalsRowDxfId="4253">
      <calculatedColumnFormula>S748/C748</calculatedColumnFormula>
      <totalsRowFormula>AVERAGE(Table11056[Unf Lower % Base])</totalsRowFormula>
    </tableColumn>
    <tableColumn id="20" name="1/2 Story Value" dataDxfId="4252" totalsRowDxfId="4251"/>
    <tableColumn id="50" name="1/2 Story Sq Ft" dataDxfId="4250" totalsRowDxfId="4249"/>
    <tableColumn id="5" name="1/2 StoryVal/SqFt" dataDxfId="4248" totalsRowDxfId="4247">
      <calculatedColumnFormula>U748/V748</calculatedColumnFormula>
    </tableColumn>
    <tableColumn id="34" name="1/2 Story % Base" totalsRowFunction="custom" dataDxfId="4246" totalsRowDxfId="4245">
      <calculatedColumnFormula>W748/C748</calculatedColumnFormula>
      <totalsRowFormula>AVERAGE(Table11056[1/2 Story % Base])</totalsRowFormula>
    </tableColumn>
    <tableColumn id="21" name="2nd Story Value" dataDxfId="4244" totalsRowDxfId="4243"/>
    <tableColumn id="51" name="2nd Sty Sq Ft" dataDxfId="4242" totalsRowDxfId="4241"/>
    <tableColumn id="6" name="2ndStyVal/Sqft" dataDxfId="4240" totalsRowDxfId="4239">
      <calculatedColumnFormula>Y748/Z748</calculatedColumnFormula>
    </tableColumn>
    <tableColumn id="35" name="2nd Story % Base" totalsRowFunction="custom" dataDxfId="4238" totalsRowDxfId="4237">
      <calculatedColumnFormula>AA748/C748</calculatedColumnFormula>
      <totalsRowFormula>AVERAGE(Table11056[2nd Story % Base])</totalsRowFormula>
    </tableColumn>
    <tableColumn id="22" name="Att Gar Value" dataDxfId="4236" totalsRowDxfId="4235"/>
    <tableColumn id="52" name="Att Gar Sq Ft" dataDxfId="4234" totalsRowDxfId="4233"/>
    <tableColumn id="7" name="AttGarVal/SqFt" totalsRowFunction="custom" dataDxfId="4232" totalsRowDxfId="4231">
      <calculatedColumnFormula>AC748/AD748</calculatedColumnFormula>
      <totalsRowFormula>AVERAGE(Table11056[AttGarVal/SqFt])</totalsRowFormula>
    </tableColumn>
    <tableColumn id="36" name="Att Gar % Base" totalsRowFunction="custom" dataDxfId="4230" totalsRowDxfId="4229">
      <calculatedColumnFormula>AE748/C748</calculatedColumnFormula>
      <totalsRowFormula>AVERAGE(Table11056[Att Gar % Base])</totalsRowFormula>
    </tableColumn>
    <tableColumn id="23" name="Porch Value" dataDxfId="4228" totalsRowDxfId="4227"/>
    <tableColumn id="53" name="Porch Sq Ft" dataDxfId="4226" totalsRowDxfId="4225"/>
    <tableColumn id="8" name="PorchVal/SqFt" dataDxfId="4224" totalsRowDxfId="4223">
      <calculatedColumnFormula>AG748/AH748</calculatedColumnFormula>
    </tableColumn>
    <tableColumn id="37" name="Porch % Base" totalsRowFunction="custom" dataDxfId="4222" totalsRowDxfId="4221">
      <calculatedColumnFormula>AI748/C748</calculatedColumnFormula>
      <totalsRowFormula>AVERAGE(Table11056[Porch % Base])</totalsRowFormula>
    </tableColumn>
    <tableColumn id="24" name="Cov Porch Value" dataDxfId="4220" totalsRowDxfId="4219"/>
    <tableColumn id="54" name="Cov Porch Sq Ft" dataDxfId="4218" totalsRowDxfId="4217"/>
    <tableColumn id="9" name="CovPrVal/SqFt" dataDxfId="4216" totalsRowDxfId="4215">
      <calculatedColumnFormula>AK748/AL748</calculatedColumnFormula>
    </tableColumn>
    <tableColumn id="38" name="Cov Porch % Base" totalsRowFunction="custom" dataDxfId="4214" totalsRowDxfId="4213">
      <calculatedColumnFormula>AM748/C748</calculatedColumnFormula>
      <totalsRowFormula>AVERAGE(Table11056[Cov Porch % Base])</totalsRowFormula>
    </tableColumn>
    <tableColumn id="25" name="Deck Value" dataDxfId="4212" totalsRowDxfId="4211"/>
    <tableColumn id="55" name="Deck Sq Ft" dataDxfId="4210" totalsRowDxfId="4209"/>
    <tableColumn id="10" name="DeckVal/SqFt" dataDxfId="4208" totalsRowDxfId="4207">
      <calculatedColumnFormula>AO748/AP748</calculatedColumnFormula>
    </tableColumn>
    <tableColumn id="39" name="Deck % Base" totalsRowFunction="custom" dataDxfId="4206" totalsRowDxfId="4205">
      <calculatedColumnFormula>AQ748/C748</calculatedColumnFormula>
      <totalsRowFormula>AVERAGE(Table11056[Deck % Base])</totalsRowFormula>
    </tableColumn>
    <tableColumn id="26" name="Cov Deck Value" dataDxfId="4204" totalsRowDxfId="4203"/>
    <tableColumn id="56" name="CovDeck Sq Ft" dataDxfId="4202" totalsRowDxfId="4201"/>
    <tableColumn id="11" name="CovDeckVal/SqFt" totalsRowFunction="custom" dataDxfId="4200" totalsRowDxfId="4199">
      <calculatedColumnFormula>AS748/AT748</calculatedColumnFormula>
      <totalsRowFormula>AVERAGE(Table11056[CovDeckVal/SqFt])</totalsRowFormula>
    </tableColumn>
    <tableColumn id="40" name="CovDeck % Base" totalsRowFunction="custom" dataDxfId="4198" totalsRowDxfId="4197">
      <calculatedColumnFormula>AU748/C748</calculatedColumnFormula>
      <totalsRowFormula>AVERAGE(Table11056[CovDeck % Base])</totalsRowFormula>
    </tableColumn>
    <tableColumn id="27" name="CarP Value" dataDxfId="4196" totalsRowDxfId="4195"/>
    <tableColumn id="57" name="CarP Sq Ft" dataDxfId="4194" totalsRowDxfId="4193"/>
    <tableColumn id="12" name="CarPVal/SqFt" dataDxfId="4192" totalsRowDxfId="4191">
      <calculatedColumnFormula>AW748/AX748</calculatedColumnFormula>
    </tableColumn>
    <tableColumn id="41" name="CarP % Base" totalsRowFunction="custom" dataDxfId="4190" totalsRowDxfId="4189">
      <calculatedColumnFormula>AY748/C748</calculatedColumnFormula>
      <totalsRowFormula>AVERAGE(Table11056[CarP % Base])</totalsRowFormula>
    </tableColumn>
    <tableColumn id="28" name="EFP Value" dataDxfId="4188" totalsRowDxfId="4187"/>
    <tableColumn id="58" name="EFP Sq Ft" dataDxfId="4186" totalsRowDxfId="4185"/>
    <tableColumn id="15" name="EFPVal/SqFt" dataDxfId="4184" totalsRowDxfId="4183">
      <calculatedColumnFormula>BA748/BB748</calculatedColumnFormula>
    </tableColumn>
    <tableColumn id="29" name="EFP % Base" totalsRowFunction="custom" dataDxfId="4182" totalsRowDxfId="4181">
      <calculatedColumnFormula>BC748/C748</calculatedColumnFormula>
      <totalsRowFormula>AVERAGE(Table11056[EFP % Base])</totalsRowFormula>
    </tableColumn>
  </tableColumns>
  <tableStyleInfo name="TableStyleMedium1" showFirstColumn="0" showLastColumn="0" showRowStripes="1" showColumnStripes="0"/>
</table>
</file>

<file path=xl/tables/table64.xml><?xml version="1.0" encoding="utf-8"?>
<table xmlns="http://schemas.openxmlformats.org/spreadsheetml/2006/main" id="66" name="Table11057" displayName="Table11057" ref="A759:BD767" totalsRowCount="1" headerRowDxfId="4180">
  <tableColumns count="56">
    <tableColumn id="1" name="  Grade" dataDxfId="4179" totalsRowDxfId="4178"/>
    <tableColumn id="13" name="Main Area $" dataDxfId="4177" totalsRowDxfId="4176"/>
    <tableColumn id="45" name="MA $/Sq Ft" totalsRowFunction="custom" dataDxfId="4175" totalsRowDxfId="4174">
      <calculatedColumnFormula>B760/F757</calculatedColumnFormula>
      <totalsRowFormula>AVERAGE(Table11057[MA $/Sq Ft])</totalsRowFormula>
    </tableColumn>
    <tableColumn id="16" name="Basic Allowance" totalsRowFunction="custom" dataDxfId="4173" totalsRowDxfId="4172">
      <totalsRowFormula>AVERAGE(Table11057[Basic Allowance])</totalsRowFormula>
    </tableColumn>
    <tableColumn id="43" name="BsmtVal" dataDxfId="4171" totalsRowDxfId="4170"/>
    <tableColumn id="46" name="Bsmt SqFt" dataDxfId="4169" totalsRowDxfId="4168"/>
    <tableColumn id="2" name="BsmtVal/Sq Ft" dataDxfId="4167" totalsRowDxfId="4166">
      <calculatedColumnFormula>E760/F760</calculatedColumnFormula>
    </tableColumn>
    <tableColumn id="17" name="Bsmt % Base" totalsRowFunction="custom" dataDxfId="4165" totalsRowDxfId="4164">
      <calculatedColumnFormula>G760/C760</calculatedColumnFormula>
      <totalsRowFormula>AVERAGE(Table11057[Bsmt % Base])</totalsRowFormula>
    </tableColumn>
    <tableColumn id="30" name="UnfBsmtVal" dataDxfId="4163" totalsRowDxfId="4162"/>
    <tableColumn id="47" name="UnfBsmt Sq Ft" dataDxfId="4161" totalsRowDxfId="4160"/>
    <tableColumn id="3" name="UnfBsmtVal/SqFt" dataDxfId="4159" totalsRowDxfId="4158">
      <calculatedColumnFormula>I760/J760</calculatedColumnFormula>
    </tableColumn>
    <tableColumn id="44" name="UnfBsmt % Base" totalsRowFunction="custom" dataDxfId="4157" totalsRowDxfId="4156">
      <calculatedColumnFormula>K760/C760</calculatedColumnFormula>
      <totalsRowFormula>AVERAGE(Table11057[[#Headers],[#Data],[UnfBsmt % Base]])</totalsRowFormula>
    </tableColumn>
    <tableColumn id="31" name="Lower Value" dataDxfId="4155" totalsRowDxfId="4154"/>
    <tableColumn id="48" name="Lower Sq Ft" dataDxfId="4153" totalsRowDxfId="4152"/>
    <tableColumn id="4" name="LowerVal/SqFt" totalsRowFunction="custom" dataDxfId="4151" totalsRowDxfId="4150">
      <calculatedColumnFormula>M760/N760</calculatedColumnFormula>
      <totalsRowFormula>AVERAGE(Table11057[LowerVal/SqFt])</totalsRowFormula>
    </tableColumn>
    <tableColumn id="32" name="Lower % Base" totalsRowFunction="custom" dataDxfId="4149" totalsRowDxfId="4148">
      <calculatedColumnFormula>O760/C760</calculatedColumnFormula>
      <totalsRowFormula>AVERAGE(Table11057[Lower % Base])</totalsRowFormula>
    </tableColumn>
    <tableColumn id="19" name="Unf Lower Value" dataDxfId="4147" totalsRowDxfId="4146"/>
    <tableColumn id="49" name="UnfLower Sq Ft" dataDxfId="4145" totalsRowDxfId="4144"/>
    <tableColumn id="14" name="UnfLowVal/SqFt2" dataDxfId="4143" totalsRowDxfId="4142">
      <calculatedColumnFormula>Q760/R760</calculatedColumnFormula>
    </tableColumn>
    <tableColumn id="33" name="Unf Lower % Base" totalsRowFunction="custom" dataDxfId="4141" totalsRowDxfId="4140">
      <calculatedColumnFormula>S760/C760</calculatedColumnFormula>
      <totalsRowFormula>AVERAGE(Table11057[Unf Lower % Base])</totalsRowFormula>
    </tableColumn>
    <tableColumn id="20" name="1/2 Story Value" dataDxfId="4139" totalsRowDxfId="4138"/>
    <tableColumn id="50" name="1/2 Story Sq Ft" dataDxfId="4137" totalsRowDxfId="4136"/>
    <tableColumn id="5" name="1/2 StoryVal/SqFt" dataDxfId="4135" totalsRowDxfId="4134">
      <calculatedColumnFormula>U760/V760</calculatedColumnFormula>
    </tableColumn>
    <tableColumn id="34" name="1/2 Story % Base" totalsRowFunction="custom" dataDxfId="4133" totalsRowDxfId="4132">
      <calculatedColumnFormula>W760/C760</calculatedColumnFormula>
      <totalsRowFormula>AVERAGE(Table11057[1/2 Story % Base])</totalsRowFormula>
    </tableColumn>
    <tableColumn id="21" name="2nd Story Value" dataDxfId="4131" totalsRowDxfId="4130"/>
    <tableColumn id="51" name="2nd Sty Sq Ft" dataDxfId="4129" totalsRowDxfId="4128"/>
    <tableColumn id="6" name="2ndStyVal/Sqft" dataDxfId="4127" totalsRowDxfId="4126">
      <calculatedColumnFormula>Y760/Z760</calculatedColumnFormula>
    </tableColumn>
    <tableColumn id="35" name="2nd Story % Base" totalsRowFunction="custom" dataDxfId="4125" totalsRowDxfId="4124">
      <calculatedColumnFormula>AA760/C760</calculatedColumnFormula>
      <totalsRowFormula>AVERAGE(Table11057[2nd Story % Base])</totalsRowFormula>
    </tableColumn>
    <tableColumn id="22" name="Att Gar Value" dataDxfId="4123" totalsRowDxfId="4122"/>
    <tableColumn id="52" name="Att Gar Sq Ft" dataDxfId="4121" totalsRowDxfId="4120"/>
    <tableColumn id="7" name="AttGarVal/SqFt" totalsRowFunction="custom" dataDxfId="4119" totalsRowDxfId="4118">
      <calculatedColumnFormula>AC760/AD760</calculatedColumnFormula>
      <totalsRowFormula>AVERAGE(Table11057[AttGarVal/SqFt])</totalsRowFormula>
    </tableColumn>
    <tableColumn id="36" name="Att Gar % Base" totalsRowFunction="custom" dataDxfId="4117" totalsRowDxfId="4116">
      <calculatedColumnFormula>AE760/C760</calculatedColumnFormula>
      <totalsRowFormula>AVERAGE(Table11057[Att Gar % Base])</totalsRowFormula>
    </tableColumn>
    <tableColumn id="23" name="Porch Value" dataDxfId="4115" totalsRowDxfId="4114"/>
    <tableColumn id="53" name="Porch Sq Ft" dataDxfId="4113" totalsRowDxfId="4112"/>
    <tableColumn id="8" name="PorchVal/SqFt" dataDxfId="4111" totalsRowDxfId="4110">
      <calculatedColumnFormula>AG760/AH760</calculatedColumnFormula>
    </tableColumn>
    <tableColumn id="37" name="Porch % Base" totalsRowFunction="custom" dataDxfId="4109" totalsRowDxfId="4108">
      <calculatedColumnFormula>AI760/C760</calculatedColumnFormula>
      <totalsRowFormula>AVERAGE(Table11057[Porch % Base])</totalsRowFormula>
    </tableColumn>
    <tableColumn id="24" name="Cov Porch Value" dataDxfId="4107" totalsRowDxfId="4106"/>
    <tableColumn id="54" name="Cov Porch Sq Ft" dataDxfId="4105" totalsRowDxfId="4104"/>
    <tableColumn id="9" name="CovPrVal/SqFt" dataDxfId="4103" totalsRowDxfId="4102">
      <calculatedColumnFormula>AK760/AL760</calculatedColumnFormula>
    </tableColumn>
    <tableColumn id="38" name="Cov Porch % Base" totalsRowFunction="custom" dataDxfId="4101" totalsRowDxfId="4100">
      <calculatedColumnFormula>AM760/C760</calculatedColumnFormula>
      <totalsRowFormula>AVERAGE(Table11057[Cov Porch % Base])</totalsRowFormula>
    </tableColumn>
    <tableColumn id="25" name="Deck Value" dataDxfId="4099" totalsRowDxfId="4098"/>
    <tableColumn id="55" name="Deck Sq Ft" dataDxfId="4097" totalsRowDxfId="4096"/>
    <tableColumn id="10" name="DeckVal/SqFt" dataDxfId="4095" totalsRowDxfId="4094">
      <calculatedColumnFormula>AO760/AP760</calculatedColumnFormula>
    </tableColumn>
    <tableColumn id="39" name="Deck % Base" totalsRowFunction="custom" dataDxfId="4093" totalsRowDxfId="4092">
      <calculatedColumnFormula>AQ760/C760</calculatedColumnFormula>
      <totalsRowFormula>AVERAGE(Table11057[Deck % Base])</totalsRowFormula>
    </tableColumn>
    <tableColumn id="26" name="Cov Deck Value" dataDxfId="4091" totalsRowDxfId="4090"/>
    <tableColumn id="56" name="CovDeck Sq Ft" dataDxfId="4089" totalsRowDxfId="4088"/>
    <tableColumn id="11" name="CovDeckVal/SqFt" totalsRowFunction="custom" dataDxfId="4087" totalsRowDxfId="4086">
      <calculatedColumnFormula>AS760/AT760</calculatedColumnFormula>
      <totalsRowFormula>AVERAGE(Table11057[CovDeckVal/SqFt])</totalsRowFormula>
    </tableColumn>
    <tableColumn id="40" name="CovDeck % Base" totalsRowFunction="custom" dataDxfId="4085" totalsRowDxfId="4084">
      <calculatedColumnFormula>AU760/C760</calculatedColumnFormula>
      <totalsRowFormula>AVERAGE(Table11057[CovDeck % Base])</totalsRowFormula>
    </tableColumn>
    <tableColumn id="27" name="CarP Value" dataDxfId="4083" totalsRowDxfId="4082"/>
    <tableColumn id="57" name="CarP Sq Ft" dataDxfId="4081" totalsRowDxfId="4080"/>
    <tableColumn id="12" name="CarPVal/SqFt" dataDxfId="4079" totalsRowDxfId="4078">
      <calculatedColumnFormula>AW760/AX760</calculatedColumnFormula>
    </tableColumn>
    <tableColumn id="41" name="CarP % Base" totalsRowFunction="custom" dataDxfId="4077" totalsRowDxfId="4076">
      <calculatedColumnFormula>AY760/C760</calculatedColumnFormula>
      <totalsRowFormula>AVERAGE(Table11057[CarP % Base])</totalsRowFormula>
    </tableColumn>
    <tableColumn id="28" name="EFP Value" dataDxfId="4075" totalsRowDxfId="4074"/>
    <tableColumn id="58" name="EFP Sq Ft" dataDxfId="4073" totalsRowDxfId="4072"/>
    <tableColumn id="15" name="EFPVal/SqFt" dataDxfId="4071" totalsRowDxfId="4070">
      <calculatedColumnFormula>BA760/BB760</calculatedColumnFormula>
    </tableColumn>
    <tableColumn id="29" name="EFP % Base" totalsRowFunction="custom" dataDxfId="4069" totalsRowDxfId="4068">
      <calculatedColumnFormula>BC760/C760</calculatedColumnFormula>
      <totalsRowFormula>AVERAGE(Table11057[EFP % Base])</totalsRowFormula>
    </tableColumn>
  </tableColumns>
  <tableStyleInfo name="TableStyleMedium1" showFirstColumn="0" showLastColumn="0" showRowStripes="1" showColumnStripes="0"/>
</table>
</file>

<file path=xl/tables/table65.xml><?xml version="1.0" encoding="utf-8"?>
<table xmlns="http://schemas.openxmlformats.org/spreadsheetml/2006/main" id="67" name="Table11058" displayName="Table11058" ref="A771:BD779" totalsRowCount="1" headerRowDxfId="4067">
  <tableColumns count="56">
    <tableColumn id="1" name="  Grade" dataDxfId="4066" totalsRowDxfId="4065"/>
    <tableColumn id="13" name="Main Area $" dataDxfId="4064" totalsRowDxfId="4063"/>
    <tableColumn id="45" name="MA $/Sq Ft" totalsRowFunction="custom" dataDxfId="4062" totalsRowDxfId="4061">
      <calculatedColumnFormula>B772/F769</calculatedColumnFormula>
      <totalsRowFormula>AVERAGE(Table11058[MA $/Sq Ft])</totalsRowFormula>
    </tableColumn>
    <tableColumn id="16" name="Basic Allowance" totalsRowFunction="custom" dataDxfId="4060" totalsRowDxfId="4059">
      <totalsRowFormula>AVERAGE(Table11058[Basic Allowance])</totalsRowFormula>
    </tableColumn>
    <tableColumn id="43" name="BsmtVal" dataDxfId="4058" totalsRowDxfId="4057"/>
    <tableColumn id="46" name="Bsmt SqFt" dataDxfId="4056" totalsRowDxfId="4055"/>
    <tableColumn id="2" name="BsmtVal/Sq Ft" dataDxfId="4054" totalsRowDxfId="4053">
      <calculatedColumnFormula>E772/F772</calculatedColumnFormula>
    </tableColumn>
    <tableColumn id="17" name="Bsmt % Base" totalsRowFunction="custom" dataDxfId="4052" totalsRowDxfId="4051">
      <calculatedColumnFormula>G772/C772</calculatedColumnFormula>
      <totalsRowFormula>AVERAGE(Table11058[Bsmt % Base])</totalsRowFormula>
    </tableColumn>
    <tableColumn id="30" name="UnfBsmtVal" dataDxfId="4050" totalsRowDxfId="4049"/>
    <tableColumn id="47" name="UnfBsmt Sq Ft" dataDxfId="4048" totalsRowDxfId="4047"/>
    <tableColumn id="3" name="UnfBsmtVal/SqFt" dataDxfId="4046" totalsRowDxfId="4045">
      <calculatedColumnFormula>I772/J772</calculatedColumnFormula>
    </tableColumn>
    <tableColumn id="44" name="UnfBsmt % Base" totalsRowFunction="custom" dataDxfId="4044" totalsRowDxfId="4043">
      <calculatedColumnFormula>K772/C772</calculatedColumnFormula>
      <totalsRowFormula>AVERAGE(Table11058[[#Headers],[#Data],[UnfBsmt % Base]])</totalsRowFormula>
    </tableColumn>
    <tableColumn id="31" name="Lower Value" dataDxfId="4042" totalsRowDxfId="4041"/>
    <tableColumn id="48" name="Lower Sq Ft" dataDxfId="4040" totalsRowDxfId="4039"/>
    <tableColumn id="4" name="LowerVal/SqFt" totalsRowFunction="custom" dataDxfId="4038" totalsRowDxfId="4037">
      <calculatedColumnFormula>M772/N772</calculatedColumnFormula>
      <totalsRowFormula>AVERAGE(Table11058[LowerVal/SqFt])</totalsRowFormula>
    </tableColumn>
    <tableColumn id="32" name="Lower % Base" totalsRowFunction="custom" dataDxfId="4036" totalsRowDxfId="4035">
      <calculatedColumnFormula>O772/C772</calculatedColumnFormula>
      <totalsRowFormula>AVERAGE(Table11058[Lower % Base])</totalsRowFormula>
    </tableColumn>
    <tableColumn id="19" name="Unf Lower Value" dataDxfId="4034" totalsRowDxfId="4033"/>
    <tableColumn id="49" name="UnfLower Sq Ft" dataDxfId="4032" totalsRowDxfId="4031"/>
    <tableColumn id="14" name="UnfLowVal/SqFt2" dataDxfId="4030" totalsRowDxfId="4029">
      <calculatedColumnFormula>Q772/R772</calculatedColumnFormula>
    </tableColumn>
    <tableColumn id="33" name="Unf Lower % Base" totalsRowFunction="custom" dataDxfId="4028" totalsRowDxfId="4027">
      <calculatedColumnFormula>S772/C772</calculatedColumnFormula>
      <totalsRowFormula>AVERAGE(Table11058[Unf Lower % Base])</totalsRowFormula>
    </tableColumn>
    <tableColumn id="20" name="1/2 Story Value" dataDxfId="4026" totalsRowDxfId="4025"/>
    <tableColumn id="50" name="1/2 Story Sq Ft" dataDxfId="4024" totalsRowDxfId="4023"/>
    <tableColumn id="5" name="1/2 StoryVal/SqFt" dataDxfId="4022" totalsRowDxfId="4021">
      <calculatedColumnFormula>U772/V772</calculatedColumnFormula>
    </tableColumn>
    <tableColumn id="34" name="1/2 Story % Base" totalsRowFunction="custom" dataDxfId="4020" totalsRowDxfId="4019">
      <calculatedColumnFormula>W772/C772</calculatedColumnFormula>
      <totalsRowFormula>AVERAGE(Table11058[1/2 Story % Base])</totalsRowFormula>
    </tableColumn>
    <tableColumn id="21" name="2nd Story Value" dataDxfId="4018" totalsRowDxfId="4017"/>
    <tableColumn id="51" name="2nd Sty Sq Ft" dataDxfId="4016" totalsRowDxfId="4015"/>
    <tableColumn id="6" name="2ndStyVal/Sqft" dataDxfId="4014" totalsRowDxfId="4013">
      <calculatedColumnFormula>Y772/Z772</calculatedColumnFormula>
    </tableColumn>
    <tableColumn id="35" name="2nd Story % Base" totalsRowFunction="custom" dataDxfId="4012" totalsRowDxfId="4011">
      <calculatedColumnFormula>AA772/C772</calculatedColumnFormula>
      <totalsRowFormula>AVERAGE(Table11058[2nd Story % Base])</totalsRowFormula>
    </tableColumn>
    <tableColumn id="22" name="Att Gar Value" dataDxfId="4010" totalsRowDxfId="4009"/>
    <tableColumn id="52" name="Att Gar Sq Ft" dataDxfId="4008" totalsRowDxfId="4007"/>
    <tableColumn id="7" name="AttGarVal/SqFt" totalsRowFunction="custom" dataDxfId="4006" totalsRowDxfId="4005">
      <calculatedColumnFormula>AC772/AD772</calculatedColumnFormula>
      <totalsRowFormula>AVERAGE(Table11058[AttGarVal/SqFt])</totalsRowFormula>
    </tableColumn>
    <tableColumn id="36" name="Att Gar % Base" totalsRowFunction="custom" dataDxfId="4004" totalsRowDxfId="4003">
      <calculatedColumnFormula>AE772/C772</calculatedColumnFormula>
      <totalsRowFormula>AVERAGE(Table11058[Att Gar % Base])</totalsRowFormula>
    </tableColumn>
    <tableColumn id="23" name="Porch Value" dataDxfId="4002" totalsRowDxfId="4001"/>
    <tableColumn id="53" name="Porch Sq Ft" dataDxfId="4000" totalsRowDxfId="3999"/>
    <tableColumn id="8" name="PorchVal/SqFt" dataDxfId="3998" totalsRowDxfId="3997">
      <calculatedColumnFormula>AG772/AH772</calculatedColumnFormula>
    </tableColumn>
    <tableColumn id="37" name="Porch % Base" totalsRowFunction="custom" dataDxfId="3996" totalsRowDxfId="3995">
      <calculatedColumnFormula>AI772/C772</calculatedColumnFormula>
      <totalsRowFormula>AVERAGE(Table11058[Porch % Base])</totalsRowFormula>
    </tableColumn>
    <tableColumn id="24" name="Cov Porch Value" dataDxfId="3994" totalsRowDxfId="3993"/>
    <tableColumn id="54" name="Cov Porch Sq Ft" dataDxfId="3992" totalsRowDxfId="3991"/>
    <tableColumn id="9" name="CovPrVal/SqFt" dataDxfId="3990" totalsRowDxfId="3989">
      <calculatedColumnFormula>AK772/AL772</calculatedColumnFormula>
    </tableColumn>
    <tableColumn id="38" name="Cov Porch % Base" totalsRowFunction="custom" dataDxfId="3988" totalsRowDxfId="3987">
      <calculatedColumnFormula>AM772/C772</calculatedColumnFormula>
      <totalsRowFormula>AVERAGE(Table11058[Cov Porch % Base])</totalsRowFormula>
    </tableColumn>
    <tableColumn id="25" name="Deck Value" dataDxfId="3986" totalsRowDxfId="3985"/>
    <tableColumn id="55" name="Deck Sq Ft" dataDxfId="3984" totalsRowDxfId="3983"/>
    <tableColumn id="10" name="DeckVal/SqFt" dataDxfId="3982" totalsRowDxfId="3981">
      <calculatedColumnFormula>AO772/AP772</calculatedColumnFormula>
    </tableColumn>
    <tableColumn id="39" name="Deck % Base" totalsRowFunction="custom" dataDxfId="3980" totalsRowDxfId="3979">
      <calculatedColumnFormula>AQ772/C772</calculatedColumnFormula>
      <totalsRowFormula>AVERAGE(Table11058[Deck % Base])</totalsRowFormula>
    </tableColumn>
    <tableColumn id="26" name="Cov Deck Value" dataDxfId="3978" totalsRowDxfId="3977"/>
    <tableColumn id="56" name="CovDeck Sq Ft" dataDxfId="3976" totalsRowDxfId="3975"/>
    <tableColumn id="11" name="CovDeckVal/SqFt" totalsRowFunction="custom" dataDxfId="3974" totalsRowDxfId="3973">
      <calculatedColumnFormula>AS772/AT772</calculatedColumnFormula>
      <totalsRowFormula>AVERAGE(Table11058[CovDeckVal/SqFt])</totalsRowFormula>
    </tableColumn>
    <tableColumn id="40" name="CovDeck % Base" totalsRowFunction="custom" dataDxfId="3972" totalsRowDxfId="3971">
      <calculatedColumnFormula>AU772/C772</calculatedColumnFormula>
      <totalsRowFormula>AVERAGE(Table11058[CovDeck % Base])</totalsRowFormula>
    </tableColumn>
    <tableColumn id="27" name="CarP Value" dataDxfId="3970" totalsRowDxfId="3969"/>
    <tableColumn id="57" name="CarP Sq Ft" dataDxfId="3968" totalsRowDxfId="3967"/>
    <tableColumn id="12" name="CarPVal/SqFt" dataDxfId="3966" totalsRowDxfId="3965">
      <calculatedColumnFormula>AW772/AX772</calculatedColumnFormula>
    </tableColumn>
    <tableColumn id="41" name="CarP % Base" totalsRowFunction="custom" dataDxfId="3964" totalsRowDxfId="3963">
      <calculatedColumnFormula>AY772/C772</calculatedColumnFormula>
      <totalsRowFormula>AVERAGE(Table11058[CarP % Base])</totalsRowFormula>
    </tableColumn>
    <tableColumn id="28" name="EFP Value" dataDxfId="3962" totalsRowDxfId="3961"/>
    <tableColumn id="58" name="EFP Sq Ft" dataDxfId="3960" totalsRowDxfId="3959"/>
    <tableColumn id="15" name="EFPVal/SqFt" dataDxfId="3958" totalsRowDxfId="3957">
      <calculatedColumnFormula>BA772/BB772</calculatedColumnFormula>
    </tableColumn>
    <tableColumn id="29" name="EFP % Base" totalsRowFunction="custom" dataDxfId="3956" totalsRowDxfId="3955">
      <calculatedColumnFormula>BC772/C772</calculatedColumnFormula>
      <totalsRowFormula>AVERAGE(Table11058[EFP % Base])</totalsRowFormula>
    </tableColumn>
  </tableColumns>
  <tableStyleInfo name="TableStyleMedium1" showFirstColumn="0" showLastColumn="0" showRowStripes="1" showColumnStripes="0"/>
</table>
</file>

<file path=xl/tables/table66.xml><?xml version="1.0" encoding="utf-8"?>
<table xmlns="http://schemas.openxmlformats.org/spreadsheetml/2006/main" id="68" name="Table11059" displayName="Table11059" ref="A783:BD791" totalsRowCount="1" headerRowDxfId="3954">
  <tableColumns count="56">
    <tableColumn id="1" name="  Grade" dataDxfId="3953" totalsRowDxfId="3952"/>
    <tableColumn id="13" name="Main Area $" dataDxfId="3951" totalsRowDxfId="3950"/>
    <tableColumn id="45" name="MA $/Sq Ft" totalsRowFunction="custom" dataDxfId="3949" totalsRowDxfId="3948">
      <calculatedColumnFormula>B784/F781</calculatedColumnFormula>
      <totalsRowFormula>AVERAGE(Table11059[MA $/Sq Ft])</totalsRowFormula>
    </tableColumn>
    <tableColumn id="16" name="Basic Allowance" totalsRowFunction="custom" dataDxfId="3947" totalsRowDxfId="3946">
      <totalsRowFormula>AVERAGE(Table11059[Basic Allowance])</totalsRowFormula>
    </tableColumn>
    <tableColumn id="43" name="BsmtVal" dataDxfId="3945" totalsRowDxfId="3944"/>
    <tableColumn id="46" name="Bsmt SqFt" dataDxfId="3943" totalsRowDxfId="3942"/>
    <tableColumn id="2" name="BsmtVal/Sq Ft" dataDxfId="3941" totalsRowDxfId="3940">
      <calculatedColumnFormula>E784/F784</calculatedColumnFormula>
    </tableColumn>
    <tableColumn id="17" name="Bsmt % Base" totalsRowFunction="custom" dataDxfId="3939" totalsRowDxfId="3938">
      <calculatedColumnFormula>G784/C784</calculatedColumnFormula>
      <totalsRowFormula>AVERAGE(Table11059[Bsmt % Base])</totalsRowFormula>
    </tableColumn>
    <tableColumn id="30" name="UnfBsmtVal" dataDxfId="3937" totalsRowDxfId="3936"/>
    <tableColumn id="47" name="UnfBsmt Sq Ft" dataDxfId="3935" totalsRowDxfId="3934"/>
    <tableColumn id="3" name="UnfBsmtVal/SqFt" dataDxfId="3933" totalsRowDxfId="3932">
      <calculatedColumnFormula>I784/J784</calculatedColumnFormula>
    </tableColumn>
    <tableColumn id="44" name="UnfBsmt % Base" totalsRowFunction="custom" dataDxfId="3931" totalsRowDxfId="3930">
      <calculatedColumnFormula>K784/C784</calculatedColumnFormula>
      <totalsRowFormula>AVERAGE(Table11059[[#Headers],[#Data],[UnfBsmt % Base]])</totalsRowFormula>
    </tableColumn>
    <tableColumn id="31" name="Lower Value" dataDxfId="3929" totalsRowDxfId="3928"/>
    <tableColumn id="48" name="Lower Sq Ft" dataDxfId="3927" totalsRowDxfId="3926"/>
    <tableColumn id="4" name="LowerVal/SqFt" totalsRowFunction="custom" dataDxfId="3925" totalsRowDxfId="3924">
      <calculatedColumnFormula>M784/N784</calculatedColumnFormula>
      <totalsRowFormula>AVERAGE(Table11059[LowerVal/SqFt])</totalsRowFormula>
    </tableColumn>
    <tableColumn id="32" name="Lower % Base" totalsRowFunction="custom" dataDxfId="3923" totalsRowDxfId="3922">
      <calculatedColumnFormula>O784/C784</calculatedColumnFormula>
      <totalsRowFormula>AVERAGE(Table11059[Lower % Base])</totalsRowFormula>
    </tableColumn>
    <tableColumn id="19" name="Unf Lower Value" dataDxfId="3921" totalsRowDxfId="3920"/>
    <tableColumn id="49" name="UnfLower Sq Ft" dataDxfId="3919" totalsRowDxfId="3918"/>
    <tableColumn id="14" name="UnfLowVal/SqFt2" dataDxfId="3917" totalsRowDxfId="3916">
      <calculatedColumnFormula>Q784/R784</calculatedColumnFormula>
    </tableColumn>
    <tableColumn id="33" name="Unf Lower % Base" totalsRowFunction="custom" dataDxfId="3915" totalsRowDxfId="3914">
      <calculatedColumnFormula>S784/C784</calculatedColumnFormula>
      <totalsRowFormula>AVERAGE(Table11059[Unf Lower % Base])</totalsRowFormula>
    </tableColumn>
    <tableColumn id="20" name="1/2 Story Value" dataDxfId="3913" totalsRowDxfId="3912"/>
    <tableColumn id="50" name="1/2 Story Sq Ft" dataDxfId="3911" totalsRowDxfId="3910"/>
    <tableColumn id="5" name="1/2 StoryVal/SqFt" dataDxfId="3909" totalsRowDxfId="3908">
      <calculatedColumnFormula>U784/V784</calculatedColumnFormula>
    </tableColumn>
    <tableColumn id="34" name="1/2 Story % Base" totalsRowFunction="custom" dataDxfId="3907" totalsRowDxfId="3906">
      <calculatedColumnFormula>W784/C784</calculatedColumnFormula>
      <totalsRowFormula>AVERAGE(Table11059[1/2 Story % Base])</totalsRowFormula>
    </tableColumn>
    <tableColumn id="21" name="2nd Story Value" dataDxfId="3905" totalsRowDxfId="3904"/>
    <tableColumn id="51" name="2nd Sty Sq Ft" dataDxfId="3903" totalsRowDxfId="3902"/>
    <tableColumn id="6" name="2ndStyVal/Sqft" dataDxfId="3901" totalsRowDxfId="3900">
      <calculatedColumnFormula>Y784/Z784</calculatedColumnFormula>
    </tableColumn>
    <tableColumn id="35" name="2nd Story % Base" totalsRowFunction="custom" dataDxfId="3899" totalsRowDxfId="3898">
      <calculatedColumnFormula>AA784/C784</calculatedColumnFormula>
      <totalsRowFormula>AVERAGE(Table11059[2nd Story % Base])</totalsRowFormula>
    </tableColumn>
    <tableColumn id="22" name="Att Gar Value" dataDxfId="3897" totalsRowDxfId="3896"/>
    <tableColumn id="52" name="Att Gar Sq Ft" dataDxfId="3895" totalsRowDxfId="3894"/>
    <tableColumn id="7" name="AttGarVal/SqFt" totalsRowFunction="custom" dataDxfId="3893" totalsRowDxfId="3892">
      <calculatedColumnFormula>AC784/AD784</calculatedColumnFormula>
      <totalsRowFormula>AVERAGE(Table11059[AttGarVal/SqFt])</totalsRowFormula>
    </tableColumn>
    <tableColumn id="36" name="Att Gar % Base" totalsRowFunction="custom" dataDxfId="3891" totalsRowDxfId="3890">
      <calculatedColumnFormula>AE784/C784</calculatedColumnFormula>
      <totalsRowFormula>AVERAGE(Table11059[Att Gar % Base])</totalsRowFormula>
    </tableColumn>
    <tableColumn id="23" name="Porch Value" dataDxfId="3889" totalsRowDxfId="3888"/>
    <tableColumn id="53" name="Porch Sq Ft" dataDxfId="3887" totalsRowDxfId="3886"/>
    <tableColumn id="8" name="PorchVal/SqFt" dataDxfId="3885" totalsRowDxfId="3884">
      <calculatedColumnFormula>AG784/AH784</calculatedColumnFormula>
    </tableColumn>
    <tableColumn id="37" name="Porch % Base" totalsRowFunction="custom" dataDxfId="3883" totalsRowDxfId="3882">
      <calculatedColumnFormula>AI784/C784</calculatedColumnFormula>
      <totalsRowFormula>AVERAGE(Table11059[Porch % Base])</totalsRowFormula>
    </tableColumn>
    <tableColumn id="24" name="Cov Porch Value" dataDxfId="3881" totalsRowDxfId="3880"/>
    <tableColumn id="54" name="Cov Porch Sq Ft" dataDxfId="3879" totalsRowDxfId="3878"/>
    <tableColumn id="9" name="CovPrVal/SqFt" dataDxfId="3877" totalsRowDxfId="3876">
      <calculatedColumnFormula>AK784/AL784</calculatedColumnFormula>
    </tableColumn>
    <tableColumn id="38" name="Cov Porch % Base" totalsRowFunction="custom" dataDxfId="3875" totalsRowDxfId="3874">
      <calculatedColumnFormula>AM784/C784</calculatedColumnFormula>
      <totalsRowFormula>AVERAGE(Table11059[Cov Porch % Base])</totalsRowFormula>
    </tableColumn>
    <tableColumn id="25" name="Deck Value" dataDxfId="3873" totalsRowDxfId="3872"/>
    <tableColumn id="55" name="Deck Sq Ft" dataDxfId="3871" totalsRowDxfId="3870"/>
    <tableColumn id="10" name="DeckVal/SqFt" dataDxfId="3869" totalsRowDxfId="3868">
      <calculatedColumnFormula>AO784/AP784</calculatedColumnFormula>
    </tableColumn>
    <tableColumn id="39" name="Deck % Base" totalsRowFunction="custom" dataDxfId="3867" totalsRowDxfId="3866">
      <calculatedColumnFormula>AQ784/C784</calculatedColumnFormula>
      <totalsRowFormula>AVERAGE(Table11059[Deck % Base])</totalsRowFormula>
    </tableColumn>
    <tableColumn id="26" name="Cov Deck Value" dataDxfId="3865" totalsRowDxfId="3864"/>
    <tableColumn id="56" name="CovDeck Sq Ft" dataDxfId="3863" totalsRowDxfId="3862"/>
    <tableColumn id="11" name="CovDeckVal/SqFt" totalsRowFunction="custom" dataDxfId="3861" totalsRowDxfId="3860">
      <calculatedColumnFormula>AS784/AT784</calculatedColumnFormula>
      <totalsRowFormula>AVERAGE(Table11059[CovDeckVal/SqFt])</totalsRowFormula>
    </tableColumn>
    <tableColumn id="40" name="CovDeck % Base" totalsRowFunction="custom" dataDxfId="3859" totalsRowDxfId="3858">
      <calculatedColumnFormula>AU784/C784</calculatedColumnFormula>
      <totalsRowFormula>AVERAGE(Table11059[CovDeck % Base])</totalsRowFormula>
    </tableColumn>
    <tableColumn id="27" name="CarP Value" dataDxfId="3857" totalsRowDxfId="3856"/>
    <tableColumn id="57" name="CarP Sq Ft" dataDxfId="3855" totalsRowDxfId="3854"/>
    <tableColumn id="12" name="CarPVal/SqFt" dataDxfId="3853" totalsRowDxfId="3852">
      <calculatedColumnFormula>AW784/AX784</calculatedColumnFormula>
    </tableColumn>
    <tableColumn id="41" name="CarP % Base" totalsRowFunction="custom" dataDxfId="3851" totalsRowDxfId="3850">
      <calculatedColumnFormula>AY784/C784</calculatedColumnFormula>
      <totalsRowFormula>AVERAGE(Table11059[CarP % Base])</totalsRowFormula>
    </tableColumn>
    <tableColumn id="28" name="EFP Value" dataDxfId="3849" totalsRowDxfId="3848"/>
    <tableColumn id="58" name="EFP Sq Ft" dataDxfId="3847" totalsRowDxfId="3846"/>
    <tableColumn id="15" name="EFPVal/SqFt" dataDxfId="3845" totalsRowDxfId="3844">
      <calculatedColumnFormula>BA784/BB784</calculatedColumnFormula>
    </tableColumn>
    <tableColumn id="29" name="EFP % Base" totalsRowFunction="custom" dataDxfId="3843" totalsRowDxfId="3842">
      <calculatedColumnFormula>BC784/C784</calculatedColumnFormula>
      <totalsRowFormula>AVERAGE(Table11059[EFP % Base])</totalsRowFormula>
    </tableColumn>
  </tableColumns>
  <tableStyleInfo name="TableStyleMedium1" showFirstColumn="0" showLastColumn="0" showRowStripes="1" showColumnStripes="0"/>
</table>
</file>

<file path=xl/tables/table67.xml><?xml version="1.0" encoding="utf-8"?>
<table xmlns="http://schemas.openxmlformats.org/spreadsheetml/2006/main" id="69" name="Table11060" displayName="Table11060" ref="A795:BD803" totalsRowCount="1" headerRowDxfId="3841">
  <tableColumns count="56">
    <tableColumn id="1" name="  Grade" dataDxfId="3840" totalsRowDxfId="3839"/>
    <tableColumn id="13" name="Main Area $" dataDxfId="3838" totalsRowDxfId="3837"/>
    <tableColumn id="45" name="MA $/Sq Ft" totalsRowFunction="custom" dataDxfId="3836" totalsRowDxfId="3835">
      <calculatedColumnFormula>B796/F793</calculatedColumnFormula>
      <totalsRowFormula>AVERAGE(Table11060[MA $/Sq Ft])</totalsRowFormula>
    </tableColumn>
    <tableColumn id="16" name="Basic Allowance" totalsRowFunction="custom" dataDxfId="3834" totalsRowDxfId="3833">
      <totalsRowFormula>AVERAGE(Table11060[Basic Allowance])</totalsRowFormula>
    </tableColumn>
    <tableColumn id="43" name="BsmtVal" dataDxfId="3832" totalsRowDxfId="3831"/>
    <tableColumn id="46" name="Bsmt SqFt" dataDxfId="3830" totalsRowDxfId="3829"/>
    <tableColumn id="2" name="BsmtVal/Sq Ft" dataDxfId="3828" totalsRowDxfId="3827">
      <calculatedColumnFormula>E796/F796</calculatedColumnFormula>
    </tableColumn>
    <tableColumn id="17" name="Bsmt % Base" totalsRowFunction="custom" dataDxfId="3826" totalsRowDxfId="3825">
      <calculatedColumnFormula>G796/C796</calculatedColumnFormula>
      <totalsRowFormula>AVERAGE(Table11060[Bsmt % Base])</totalsRowFormula>
    </tableColumn>
    <tableColumn id="30" name="UnfBsmtVal" dataDxfId="3824" totalsRowDxfId="3823"/>
    <tableColumn id="47" name="UnfBsmt Sq Ft" dataDxfId="3822" totalsRowDxfId="3821"/>
    <tableColumn id="3" name="UnfBsmtVal/SqFt" dataDxfId="3820" totalsRowDxfId="3819">
      <calculatedColumnFormula>I796/J796</calculatedColumnFormula>
    </tableColumn>
    <tableColumn id="44" name="UnfBsmt % Base" totalsRowFunction="custom" dataDxfId="3818" totalsRowDxfId="3817">
      <calculatedColumnFormula>K796/C796</calculatedColumnFormula>
      <totalsRowFormula>AVERAGE(Table11060[[#Headers],[#Data],[UnfBsmt % Base]])</totalsRowFormula>
    </tableColumn>
    <tableColumn id="31" name="Lower Value" dataDxfId="3816" totalsRowDxfId="3815"/>
    <tableColumn id="48" name="Lower Sq Ft" dataDxfId="3814" totalsRowDxfId="3813"/>
    <tableColumn id="4" name="LowerVal/SqFt" totalsRowFunction="custom" dataDxfId="3812" totalsRowDxfId="3811">
      <calculatedColumnFormula>M796/N796</calculatedColumnFormula>
      <totalsRowFormula>AVERAGE(Table11060[LowerVal/SqFt])</totalsRowFormula>
    </tableColumn>
    <tableColumn id="32" name="Lower % Base" totalsRowFunction="custom" dataDxfId="3810" totalsRowDxfId="3809">
      <calculatedColumnFormula>O796/C796</calculatedColumnFormula>
      <totalsRowFormula>AVERAGE(Table11060[Lower % Base])</totalsRowFormula>
    </tableColumn>
    <tableColumn id="19" name="Unf Lower Value" dataDxfId="3808" totalsRowDxfId="3807"/>
    <tableColumn id="49" name="UnfLower Sq Ft" dataDxfId="3806" totalsRowDxfId="3805"/>
    <tableColumn id="14" name="UnfLowVal/SqFt2" dataDxfId="3804" totalsRowDxfId="3803">
      <calculatedColumnFormula>Q796/R796</calculatedColumnFormula>
    </tableColumn>
    <tableColumn id="33" name="Unf Lower % Base" totalsRowFunction="custom" dataDxfId="3802" totalsRowDxfId="3801">
      <calculatedColumnFormula>S796/C796</calculatedColumnFormula>
      <totalsRowFormula>AVERAGE(Table11060[Unf Lower % Base])</totalsRowFormula>
    </tableColumn>
    <tableColumn id="20" name="1/2 Story Value" dataDxfId="3800" totalsRowDxfId="3799"/>
    <tableColumn id="50" name="1/2 Story Sq Ft" dataDxfId="3798" totalsRowDxfId="3797"/>
    <tableColumn id="5" name="1/2 StoryVal/SqFt" dataDxfId="3796" totalsRowDxfId="3795">
      <calculatedColumnFormula>U796/V796</calculatedColumnFormula>
    </tableColumn>
    <tableColumn id="34" name="1/2 Story % Base" totalsRowFunction="custom" dataDxfId="3794" totalsRowDxfId="3793">
      <calculatedColumnFormula>W796/C796</calculatedColumnFormula>
      <totalsRowFormula>AVERAGE(Table11060[1/2 Story % Base])</totalsRowFormula>
    </tableColumn>
    <tableColumn id="21" name="2nd Story Value" dataDxfId="3792" totalsRowDxfId="3791"/>
    <tableColumn id="51" name="2nd Sty Sq Ft" dataDxfId="3790" totalsRowDxfId="3789"/>
    <tableColumn id="6" name="2ndStyVal/Sqft" dataDxfId="3788" totalsRowDxfId="3787">
      <calculatedColumnFormula>Y796/Z796</calculatedColumnFormula>
    </tableColumn>
    <tableColumn id="35" name="2nd Story % Base" totalsRowFunction="custom" dataDxfId="3786" totalsRowDxfId="3785">
      <calculatedColumnFormula>AA796/C796</calculatedColumnFormula>
      <totalsRowFormula>AVERAGE(Table11060[2nd Story % Base])</totalsRowFormula>
    </tableColumn>
    <tableColumn id="22" name="Att Gar Value" dataDxfId="3784" totalsRowDxfId="3783"/>
    <tableColumn id="52" name="Att Gar Sq Ft" dataDxfId="3782" totalsRowDxfId="3781"/>
    <tableColumn id="7" name="AttGarVal/SqFt" totalsRowFunction="custom" dataDxfId="3780" totalsRowDxfId="3779">
      <calculatedColumnFormula>AC796/AD796</calculatedColumnFormula>
      <totalsRowFormula>AVERAGE(Table11060[AttGarVal/SqFt])</totalsRowFormula>
    </tableColumn>
    <tableColumn id="36" name="Att Gar % Base" totalsRowFunction="custom" dataDxfId="3778" totalsRowDxfId="3777">
      <calculatedColumnFormula>AE796/C796</calculatedColumnFormula>
      <totalsRowFormula>AVERAGE(Table11060[Att Gar % Base])</totalsRowFormula>
    </tableColumn>
    <tableColumn id="23" name="Porch Value" dataDxfId="3776" totalsRowDxfId="3775"/>
    <tableColumn id="53" name="Porch Sq Ft" dataDxfId="3774" totalsRowDxfId="3773"/>
    <tableColumn id="8" name="PorchVal/SqFt" dataDxfId="3772" totalsRowDxfId="3771">
      <calculatedColumnFormula>AG796/AH796</calculatedColumnFormula>
    </tableColumn>
    <tableColumn id="37" name="Porch % Base" totalsRowFunction="custom" dataDxfId="3770" totalsRowDxfId="3769">
      <calculatedColumnFormula>AI796/C796</calculatedColumnFormula>
      <totalsRowFormula>AVERAGE(Table11060[Porch % Base])</totalsRowFormula>
    </tableColumn>
    <tableColumn id="24" name="Cov Porch Value" dataDxfId="3768" totalsRowDxfId="3767"/>
    <tableColumn id="54" name="Cov Porch Sq Ft" dataDxfId="3766" totalsRowDxfId="3765"/>
    <tableColumn id="9" name="CovPrVal/SqFt" dataDxfId="3764" totalsRowDxfId="3763">
      <calculatedColumnFormula>AK796/AL796</calculatedColumnFormula>
    </tableColumn>
    <tableColumn id="38" name="Cov Porch % Base" totalsRowFunction="custom" dataDxfId="3762" totalsRowDxfId="3761">
      <calculatedColumnFormula>AM796/C796</calculatedColumnFormula>
      <totalsRowFormula>AVERAGE(Table11060[Cov Porch % Base])</totalsRowFormula>
    </tableColumn>
    <tableColumn id="25" name="Deck Value" dataDxfId="3760" totalsRowDxfId="3759"/>
    <tableColumn id="55" name="Deck Sq Ft" dataDxfId="3758" totalsRowDxfId="3757"/>
    <tableColumn id="10" name="DeckVal/SqFt" dataDxfId="3756" totalsRowDxfId="3755">
      <calculatedColumnFormula>AO796/AP796</calculatedColumnFormula>
    </tableColumn>
    <tableColumn id="39" name="Deck % Base" totalsRowFunction="custom" dataDxfId="3754" totalsRowDxfId="3753">
      <calculatedColumnFormula>AQ796/C796</calculatedColumnFormula>
      <totalsRowFormula>AVERAGE(Table11060[Deck % Base])</totalsRowFormula>
    </tableColumn>
    <tableColumn id="26" name="Cov Deck Value" dataDxfId="3752" totalsRowDxfId="3751"/>
    <tableColumn id="56" name="CovDeck Sq Ft" dataDxfId="3750" totalsRowDxfId="3749"/>
    <tableColumn id="11" name="CovDeckVal/SqFt" totalsRowFunction="custom" dataDxfId="3748" totalsRowDxfId="3747">
      <calculatedColumnFormula>AS796/AT796</calculatedColumnFormula>
      <totalsRowFormula>AVERAGE(Table11060[CovDeckVal/SqFt])</totalsRowFormula>
    </tableColumn>
    <tableColumn id="40" name="CovDeck % Base" totalsRowFunction="custom" dataDxfId="3746" totalsRowDxfId="3745">
      <calculatedColumnFormula>AU796/C796</calculatedColumnFormula>
      <totalsRowFormula>AVERAGE(Table11060[CovDeck % Base])</totalsRowFormula>
    </tableColumn>
    <tableColumn id="27" name="CarP Value" dataDxfId="3744" totalsRowDxfId="3743"/>
    <tableColumn id="57" name="CarP Sq Ft" dataDxfId="3742" totalsRowDxfId="3741"/>
    <tableColumn id="12" name="CarPVal/SqFt" dataDxfId="3740" totalsRowDxfId="3739">
      <calculatedColumnFormula>AW796/AX796</calculatedColumnFormula>
    </tableColumn>
    <tableColumn id="41" name="CarP % Base" totalsRowFunction="custom" dataDxfId="3738" totalsRowDxfId="3737">
      <calculatedColumnFormula>AY796/C796</calculatedColumnFormula>
      <totalsRowFormula>AVERAGE(Table11060[CarP % Base])</totalsRowFormula>
    </tableColumn>
    <tableColumn id="28" name="EFP Value" dataDxfId="3736" totalsRowDxfId="3735"/>
    <tableColumn id="58" name="EFP Sq Ft" dataDxfId="3734" totalsRowDxfId="3733"/>
    <tableColumn id="15" name="EFPVal/SqFt" dataDxfId="3732" totalsRowDxfId="3731">
      <calculatedColumnFormula>BA796/BB796</calculatedColumnFormula>
    </tableColumn>
    <tableColumn id="29" name="EFP % Base" totalsRowFunction="custom" dataDxfId="3730" totalsRowDxfId="3729">
      <calculatedColumnFormula>BC796/C796</calculatedColumnFormula>
      <totalsRowFormula>AVERAGE(Table11060[EFP % Base])</totalsRowFormula>
    </tableColumn>
  </tableColumns>
  <tableStyleInfo name="TableStyleMedium1" showFirstColumn="0" showLastColumn="0" showRowStripes="1" showColumnStripes="0"/>
</table>
</file>

<file path=xl/tables/table68.xml><?xml version="1.0" encoding="utf-8"?>
<table xmlns="http://schemas.openxmlformats.org/spreadsheetml/2006/main" id="57" name="Table11061" displayName="Table11061" ref="A807:BD815" totalsRowCount="1" headerRowDxfId="3728">
  <tableColumns count="56">
    <tableColumn id="1" name="  Grade" dataDxfId="3727" totalsRowDxfId="3726"/>
    <tableColumn id="13" name="Main Area $" dataDxfId="3725" totalsRowDxfId="3724"/>
    <tableColumn id="45" name="MA $/Sq Ft" totalsRowFunction="custom" dataDxfId="3723" totalsRowDxfId="3722">
      <calculatedColumnFormula>B808/F805</calculatedColumnFormula>
      <totalsRowFormula>AVERAGE(Table11061[MA $/Sq Ft])</totalsRowFormula>
    </tableColumn>
    <tableColumn id="16" name="Basic Allowance" totalsRowFunction="custom" dataDxfId="3721" totalsRowDxfId="3720">
      <totalsRowFormula>AVERAGE(Table11061[Basic Allowance])</totalsRowFormula>
    </tableColumn>
    <tableColumn id="43" name="BsmtVal" dataDxfId="3719" totalsRowDxfId="3718"/>
    <tableColumn id="46" name="Bsmt SqFt" dataDxfId="3717" totalsRowDxfId="3716"/>
    <tableColumn id="2" name="BsmtVal/Sq Ft" dataDxfId="3715" totalsRowDxfId="3714">
      <calculatedColumnFormula>E808/F808</calculatedColumnFormula>
    </tableColumn>
    <tableColumn id="17" name="Bsmt % Base" totalsRowFunction="custom" dataDxfId="3713" totalsRowDxfId="3712">
      <calculatedColumnFormula>G808/C808</calculatedColumnFormula>
      <totalsRowFormula>AVERAGE(Table11061[Bsmt % Base])</totalsRowFormula>
    </tableColumn>
    <tableColumn id="30" name="UnfBsmtVal" dataDxfId="3711" totalsRowDxfId="3710"/>
    <tableColumn id="47" name="UnfBsmt Sq Ft" dataDxfId="3709" totalsRowDxfId="3708"/>
    <tableColumn id="3" name="UnfBsmtVal/SqFt" dataDxfId="3707" totalsRowDxfId="3706">
      <calculatedColumnFormula>I808/J808</calculatedColumnFormula>
    </tableColumn>
    <tableColumn id="44" name="UnfBsmt % Base" totalsRowFunction="custom" dataDxfId="3705" totalsRowDxfId="3704">
      <calculatedColumnFormula>K808/C808</calculatedColumnFormula>
      <totalsRowFormula>AVERAGE(Table11061[[#Headers],[#Data],[UnfBsmt % Base]])</totalsRowFormula>
    </tableColumn>
    <tableColumn id="31" name="Lower Value" dataDxfId="3703" totalsRowDxfId="3702"/>
    <tableColumn id="48" name="Lower Sq Ft" dataDxfId="3701" totalsRowDxfId="3700"/>
    <tableColumn id="4" name="LowerVal/SqFt" totalsRowFunction="custom" dataDxfId="3699" totalsRowDxfId="3698">
      <calculatedColumnFormula>M808/N808</calculatedColumnFormula>
      <totalsRowFormula>AVERAGE(Table11061[LowerVal/SqFt])</totalsRowFormula>
    </tableColumn>
    <tableColumn id="32" name="Lower % Base" totalsRowFunction="custom" dataDxfId="3697" totalsRowDxfId="3696">
      <calculatedColumnFormula>O808/C808</calculatedColumnFormula>
      <totalsRowFormula>AVERAGE(Table11061[Lower % Base])</totalsRowFormula>
    </tableColumn>
    <tableColumn id="19" name="Unf Lower Value" dataDxfId="3695" totalsRowDxfId="3694"/>
    <tableColumn id="49" name="UnfLower Sq Ft" dataDxfId="3693" totalsRowDxfId="3692"/>
    <tableColumn id="14" name="UnfLowVal/SqFt2" dataDxfId="3691" totalsRowDxfId="3690">
      <calculatedColumnFormula>Q808/R808</calculatedColumnFormula>
    </tableColumn>
    <tableColumn id="33" name="Unf Lower % Base" totalsRowFunction="custom" dataDxfId="3689" totalsRowDxfId="3688">
      <calculatedColumnFormula>S808/C808</calculatedColumnFormula>
      <totalsRowFormula>AVERAGE(Table11061[Unf Lower % Base])</totalsRowFormula>
    </tableColumn>
    <tableColumn id="20" name="1/2 Story Value" dataDxfId="3687" totalsRowDxfId="3686"/>
    <tableColumn id="50" name="1/2 Story Sq Ft" dataDxfId="3685" totalsRowDxfId="3684"/>
    <tableColumn id="5" name="1/2 StoryVal/SqFt" dataDxfId="3683" totalsRowDxfId="3682">
      <calculatedColumnFormula>U808/V808</calculatedColumnFormula>
    </tableColumn>
    <tableColumn id="34" name="1/2 Story % Base" totalsRowFunction="custom" dataDxfId="3681" totalsRowDxfId="3680">
      <calculatedColumnFormula>W808/C808</calculatedColumnFormula>
      <totalsRowFormula>AVERAGE(Table11061[1/2 Story % Base])</totalsRowFormula>
    </tableColumn>
    <tableColumn id="21" name="2nd Story Value" dataDxfId="3679" totalsRowDxfId="3678"/>
    <tableColumn id="51" name="2nd Sty Sq Ft" dataDxfId="3677" totalsRowDxfId="3676"/>
    <tableColumn id="6" name="2ndStyVal/Sqft" dataDxfId="3675" totalsRowDxfId="3674">
      <calculatedColumnFormula>Y808/Z808</calculatedColumnFormula>
    </tableColumn>
    <tableColumn id="35" name="2nd Story % Base" totalsRowFunction="custom" dataDxfId="3673" totalsRowDxfId="3672">
      <calculatedColumnFormula>AA808/C808</calculatedColumnFormula>
      <totalsRowFormula>AVERAGE(Table11061[2nd Story % Base])</totalsRowFormula>
    </tableColumn>
    <tableColumn id="22" name="Att Gar Value" dataDxfId="3671" totalsRowDxfId="3670"/>
    <tableColumn id="52" name="Att Gar Sq Ft" dataDxfId="3669" totalsRowDxfId="3668"/>
    <tableColumn id="7" name="AttGarVal/SqFt" totalsRowFunction="custom" dataDxfId="3667" totalsRowDxfId="3666">
      <calculatedColumnFormula>AC808/AD808</calculatedColumnFormula>
      <totalsRowFormula>AVERAGE(Table11061[AttGarVal/SqFt])</totalsRowFormula>
    </tableColumn>
    <tableColumn id="36" name="Att Gar % Base" totalsRowFunction="custom" dataDxfId="3665" totalsRowDxfId="3664">
      <calculatedColumnFormula>AE808/C808</calculatedColumnFormula>
      <totalsRowFormula>AVERAGE(Table11061[Att Gar % Base])</totalsRowFormula>
    </tableColumn>
    <tableColumn id="23" name="Porch Value" dataDxfId="3663" totalsRowDxfId="3662"/>
    <tableColumn id="53" name="Porch Sq Ft" dataDxfId="3661" totalsRowDxfId="3660"/>
    <tableColumn id="8" name="PorchVal/SqFt" dataDxfId="3659" totalsRowDxfId="3658">
      <calculatedColumnFormula>AG808/AH808</calculatedColumnFormula>
    </tableColumn>
    <tableColumn id="37" name="Porch % Base" totalsRowFunction="custom" dataDxfId="3657" totalsRowDxfId="3656">
      <calculatedColumnFormula>AI808/C808</calculatedColumnFormula>
      <totalsRowFormula>AVERAGE(Table11061[Porch % Base])</totalsRowFormula>
    </tableColumn>
    <tableColumn id="24" name="Cov Porch Value" dataDxfId="3655" totalsRowDxfId="3654"/>
    <tableColumn id="54" name="Cov Porch Sq Ft" dataDxfId="3653" totalsRowDxfId="3652"/>
    <tableColumn id="9" name="CovPrVal/SqFt" dataDxfId="3651" totalsRowDxfId="3650">
      <calculatedColumnFormula>AK808/AL808</calculatedColumnFormula>
    </tableColumn>
    <tableColumn id="38" name="Cov Porch % Base" totalsRowFunction="custom" dataDxfId="3649" totalsRowDxfId="3648">
      <calculatedColumnFormula>AM808/C808</calculatedColumnFormula>
      <totalsRowFormula>AVERAGE(Table11061[Cov Porch % Base])</totalsRowFormula>
    </tableColumn>
    <tableColumn id="25" name="Deck Value" dataDxfId="3647" totalsRowDxfId="3646"/>
    <tableColumn id="55" name="Deck Sq Ft" dataDxfId="3645" totalsRowDxfId="3644"/>
    <tableColumn id="10" name="DeckVal/SqFt" dataDxfId="3643" totalsRowDxfId="3642">
      <calculatedColumnFormula>AO808/AP808</calculatedColumnFormula>
    </tableColumn>
    <tableColumn id="39" name="Deck % Base" totalsRowFunction="custom" dataDxfId="3641" totalsRowDxfId="3640">
      <calculatedColumnFormula>AQ808/C808</calculatedColumnFormula>
      <totalsRowFormula>AVERAGE(Table11061[Deck % Base])</totalsRowFormula>
    </tableColumn>
    <tableColumn id="26" name="Cov Deck Value" dataDxfId="3639" totalsRowDxfId="3638"/>
    <tableColumn id="56" name="CovDeck Sq Ft" dataDxfId="3637" totalsRowDxfId="3636"/>
    <tableColumn id="11" name="CovDeckVal/SqFt" totalsRowFunction="custom" dataDxfId="3635" totalsRowDxfId="3634">
      <calculatedColumnFormula>AS808/AT808</calculatedColumnFormula>
      <totalsRowFormula>AVERAGE(Table11061[CovDeckVal/SqFt])</totalsRowFormula>
    </tableColumn>
    <tableColumn id="40" name="CovDeck % Base" totalsRowFunction="custom" dataDxfId="3633" totalsRowDxfId="3632">
      <calculatedColumnFormula>AU808/C808</calculatedColumnFormula>
      <totalsRowFormula>AVERAGE(Table11061[CovDeck % Base])</totalsRowFormula>
    </tableColumn>
    <tableColumn id="27" name="CarP Value" dataDxfId="3631" totalsRowDxfId="3630"/>
    <tableColumn id="57" name="CarP Sq Ft" dataDxfId="3629" totalsRowDxfId="3628"/>
    <tableColumn id="12" name="CarPVal/SqFt" dataDxfId="3627" totalsRowDxfId="3626">
      <calculatedColumnFormula>AW808/AX808</calculatedColumnFormula>
    </tableColumn>
    <tableColumn id="41" name="CarP % Base" totalsRowFunction="custom" dataDxfId="3625" totalsRowDxfId="3624">
      <calculatedColumnFormula>AY808/C808</calculatedColumnFormula>
      <totalsRowFormula>AVERAGE(Table11061[CarP % Base])</totalsRowFormula>
    </tableColumn>
    <tableColumn id="28" name="EFP Value" dataDxfId="3623" totalsRowDxfId="3622"/>
    <tableColumn id="58" name="EFP Sq Ft" dataDxfId="3621" totalsRowDxfId="3620"/>
    <tableColumn id="15" name="EFPVal/SqFt" dataDxfId="3619" totalsRowDxfId="3618">
      <calculatedColumnFormula>BA808/BB808</calculatedColumnFormula>
    </tableColumn>
    <tableColumn id="29" name="EFP % Base" totalsRowFunction="custom" dataDxfId="3617" totalsRowDxfId="3616">
      <calculatedColumnFormula>BC808/C808</calculatedColumnFormula>
      <totalsRowFormula>AVERAGE(Table11061[EFP % Base])</totalsRowFormula>
    </tableColumn>
  </tableColumns>
  <tableStyleInfo name="TableStyleMedium1" showFirstColumn="0" showLastColumn="0" showRowStripes="1" showColumnStripes="0"/>
</table>
</file>

<file path=xl/tables/table69.xml><?xml version="1.0" encoding="utf-8"?>
<table xmlns="http://schemas.openxmlformats.org/spreadsheetml/2006/main" id="70" name="Table11071" displayName="Table11071" ref="A819:BD827" totalsRowCount="1" headerRowDxfId="3615">
  <tableColumns count="56">
    <tableColumn id="1" name="  Grade" dataDxfId="3614" totalsRowDxfId="3613"/>
    <tableColumn id="13" name="Main Area $" dataDxfId="3612" totalsRowDxfId="3611"/>
    <tableColumn id="45" name="MA $/Sq Ft" totalsRowFunction="custom" dataDxfId="3610" totalsRowDxfId="3609">
      <calculatedColumnFormula>B820/F817</calculatedColumnFormula>
      <totalsRowFormula>AVERAGE(Table11071[MA $/Sq Ft])</totalsRowFormula>
    </tableColumn>
    <tableColumn id="16" name="Basic Allowance" totalsRowFunction="custom" dataDxfId="3608" totalsRowDxfId="3607">
      <totalsRowFormula>AVERAGE(Table11071[Basic Allowance])</totalsRowFormula>
    </tableColumn>
    <tableColumn id="43" name="BsmtVal" dataDxfId="3606" totalsRowDxfId="3605"/>
    <tableColumn id="46" name="Bsmt SqFt" dataDxfId="3604" totalsRowDxfId="3603"/>
    <tableColumn id="2" name="BsmtVal/Sq Ft" dataDxfId="3602" totalsRowDxfId="3601">
      <calculatedColumnFormula>E820/F820</calculatedColumnFormula>
    </tableColumn>
    <tableColumn id="17" name="Bsmt % Base" totalsRowFunction="custom" dataDxfId="3600" totalsRowDxfId="3599">
      <calculatedColumnFormula>G820/C820</calculatedColumnFormula>
      <totalsRowFormula>AVERAGE(Table11071[Bsmt % Base])</totalsRowFormula>
    </tableColumn>
    <tableColumn id="30" name="UnfBsmtVal" dataDxfId="3598" totalsRowDxfId="3597"/>
    <tableColumn id="47" name="UnfBsmt Sq Ft" dataDxfId="3596" totalsRowDxfId="3595"/>
    <tableColumn id="3" name="UnfBsmtVal/SqFt" dataDxfId="3594" totalsRowDxfId="3593">
      <calculatedColumnFormula>I820/J820</calculatedColumnFormula>
    </tableColumn>
    <tableColumn id="44" name="UnfBsmt % Base" totalsRowFunction="custom" dataDxfId="3592" totalsRowDxfId="3591">
      <calculatedColumnFormula>K820/C820</calculatedColumnFormula>
      <totalsRowFormula>AVERAGE(Table11071[[#Headers],[#Data],[UnfBsmt % Base]])</totalsRowFormula>
    </tableColumn>
    <tableColumn id="31" name="Lower Value" dataDxfId="3590" totalsRowDxfId="3589"/>
    <tableColumn id="48" name="Lower Sq Ft" dataDxfId="3588" totalsRowDxfId="3587"/>
    <tableColumn id="4" name="LowerVal/SqFt" totalsRowFunction="custom" dataDxfId="3586" totalsRowDxfId="3585">
      <calculatedColumnFormula>M820/N820</calculatedColumnFormula>
      <totalsRowFormula>AVERAGE(Table11071[LowerVal/SqFt])</totalsRowFormula>
    </tableColumn>
    <tableColumn id="32" name="Lower % Base" totalsRowFunction="custom" dataDxfId="3584" totalsRowDxfId="3583">
      <calculatedColumnFormula>O820/C820</calculatedColumnFormula>
      <totalsRowFormula>AVERAGE(Table11071[Lower % Base])</totalsRowFormula>
    </tableColumn>
    <tableColumn id="19" name="Unf Lower Value" dataDxfId="3582" totalsRowDxfId="3581"/>
    <tableColumn id="49" name="UnfLower Sq Ft" dataDxfId="3580" totalsRowDxfId="3579"/>
    <tableColumn id="14" name="UnfLowVal/SqFt2" dataDxfId="3578" totalsRowDxfId="3577">
      <calculatedColumnFormula>Q820/R820</calculatedColumnFormula>
    </tableColumn>
    <tableColumn id="33" name="Unf Lower % Base" totalsRowFunction="custom" dataDxfId="3576" totalsRowDxfId="3575">
      <calculatedColumnFormula>S820/C820</calculatedColumnFormula>
      <totalsRowFormula>AVERAGE(Table11071[Unf Lower % Base])</totalsRowFormula>
    </tableColumn>
    <tableColumn id="20" name="1/2 Story Value" dataDxfId="3574" totalsRowDxfId="3573"/>
    <tableColumn id="50" name="1/2 Story Sq Ft" dataDxfId="3572" totalsRowDxfId="3571"/>
    <tableColumn id="5" name="1/2 StoryVal/SqFt" dataDxfId="3570" totalsRowDxfId="3569">
      <calculatedColumnFormula>U820/V820</calculatedColumnFormula>
    </tableColumn>
    <tableColumn id="34" name="1/2 Story % Base" totalsRowFunction="custom" dataDxfId="3568" totalsRowDxfId="3567">
      <calculatedColumnFormula>W820/C820</calculatedColumnFormula>
      <totalsRowFormula>AVERAGE(Table11071[1/2 Story % Base])</totalsRowFormula>
    </tableColumn>
    <tableColumn id="21" name="2nd Story Value" dataDxfId="3566" totalsRowDxfId="3565"/>
    <tableColumn id="51" name="2nd Sty Sq Ft" dataDxfId="3564" totalsRowDxfId="3563"/>
    <tableColumn id="6" name="2ndStyVal/Sqft" dataDxfId="3562" totalsRowDxfId="3561">
      <calculatedColumnFormula>Y820/Z820</calculatedColumnFormula>
    </tableColumn>
    <tableColumn id="35" name="2nd Story % Base" totalsRowFunction="custom" dataDxfId="3560" totalsRowDxfId="3559">
      <calculatedColumnFormula>AA820/C820</calculatedColumnFormula>
      <totalsRowFormula>AVERAGE(Table11071[2nd Story % Base])</totalsRowFormula>
    </tableColumn>
    <tableColumn id="22" name="Att Gar Value" dataDxfId="3558" totalsRowDxfId="3557"/>
    <tableColumn id="52" name="Att Gar Sq Ft" dataDxfId="3556" totalsRowDxfId="3555"/>
    <tableColumn id="7" name="AttGarVal/SqFt" totalsRowFunction="custom" dataDxfId="3554" totalsRowDxfId="3553">
      <calculatedColumnFormula>AC820/AD820</calculatedColumnFormula>
      <totalsRowFormula>AVERAGE(Table11071[AttGarVal/SqFt])</totalsRowFormula>
    </tableColumn>
    <tableColumn id="36" name="Att Gar % Base" totalsRowFunction="custom" dataDxfId="3552" totalsRowDxfId="3551">
      <calculatedColumnFormula>AE820/C820</calculatedColumnFormula>
      <totalsRowFormula>AVERAGE(Table11071[Att Gar % Base])</totalsRowFormula>
    </tableColumn>
    <tableColumn id="23" name="Porch Value" dataDxfId="3550" totalsRowDxfId="3549"/>
    <tableColumn id="53" name="Porch Sq Ft" dataDxfId="3548" totalsRowDxfId="3547"/>
    <tableColumn id="8" name="PorchVal/SqFt" dataDxfId="3546" totalsRowDxfId="3545">
      <calculatedColumnFormula>AG820/AH820</calculatedColumnFormula>
    </tableColumn>
    <tableColumn id="37" name="Porch % Base" totalsRowFunction="custom" dataDxfId="3544" totalsRowDxfId="3543">
      <calculatedColumnFormula>AI820/C820</calculatedColumnFormula>
      <totalsRowFormula>AVERAGE(Table11071[Porch % Base])</totalsRowFormula>
    </tableColumn>
    <tableColumn id="24" name="Cov Porch Value" dataDxfId="3542" totalsRowDxfId="3541"/>
    <tableColumn id="54" name="Cov Porch Sq Ft" dataDxfId="3540" totalsRowDxfId="3539"/>
    <tableColumn id="9" name="CovPrVal/SqFt" dataDxfId="3538" totalsRowDxfId="3537">
      <calculatedColumnFormula>AK820/AL820</calculatedColumnFormula>
    </tableColumn>
    <tableColumn id="38" name="Cov Porch % Base" totalsRowFunction="custom" dataDxfId="3536" totalsRowDxfId="3535">
      <calculatedColumnFormula>AM820/C820</calculatedColumnFormula>
      <totalsRowFormula>AVERAGE(Table11071[Cov Porch % Base])</totalsRowFormula>
    </tableColumn>
    <tableColumn id="25" name="Deck Value" dataDxfId="3534" totalsRowDxfId="3533"/>
    <tableColumn id="55" name="Deck Sq Ft" dataDxfId="3532" totalsRowDxfId="3531"/>
    <tableColumn id="10" name="DeckVal/SqFt" dataDxfId="3530" totalsRowDxfId="3529">
      <calculatedColumnFormula>AO820/AP820</calculatedColumnFormula>
    </tableColumn>
    <tableColumn id="39" name="Deck % Base" totalsRowFunction="custom" dataDxfId="3528" totalsRowDxfId="3527">
      <calculatedColumnFormula>AQ820/C820</calculatedColumnFormula>
      <totalsRowFormula>AVERAGE(Table11071[Deck % Base])</totalsRowFormula>
    </tableColumn>
    <tableColumn id="26" name="Cov Deck Value" dataDxfId="3526" totalsRowDxfId="3525"/>
    <tableColumn id="56" name="CovDeck Sq Ft" dataDxfId="3524" totalsRowDxfId="3523"/>
    <tableColumn id="11" name="CovDeckVal/SqFt" totalsRowFunction="custom" dataDxfId="3522" totalsRowDxfId="3521">
      <calculatedColumnFormula>AS820/AT820</calculatedColumnFormula>
      <totalsRowFormula>AVERAGE(Table11071[CovDeckVal/SqFt])</totalsRowFormula>
    </tableColumn>
    <tableColumn id="40" name="CovDeck % Base" totalsRowFunction="custom" dataDxfId="3520" totalsRowDxfId="3519">
      <calculatedColumnFormula>AU820/C820</calculatedColumnFormula>
      <totalsRowFormula>AVERAGE(Table11071[CovDeck % Base])</totalsRowFormula>
    </tableColumn>
    <tableColumn id="27" name="CarP Value" dataDxfId="3518" totalsRowDxfId="3517"/>
    <tableColumn id="57" name="CarP Sq Ft" dataDxfId="3516" totalsRowDxfId="3515"/>
    <tableColumn id="12" name="CarPVal/SqFt" dataDxfId="3514" totalsRowDxfId="3513">
      <calculatedColumnFormula>AW820/AX820</calculatedColumnFormula>
    </tableColumn>
    <tableColumn id="41" name="CarP % Base" totalsRowFunction="custom" dataDxfId="3512" totalsRowDxfId="3511">
      <calculatedColumnFormula>AY820/C820</calculatedColumnFormula>
      <totalsRowFormula>AVERAGE(Table11071[CarP % Base])</totalsRowFormula>
    </tableColumn>
    <tableColumn id="28" name="EFP Value" dataDxfId="3510" totalsRowDxfId="3509"/>
    <tableColumn id="58" name="EFP Sq Ft" dataDxfId="3508" totalsRowDxfId="3507"/>
    <tableColumn id="15" name="EFPVal/SqFt" dataDxfId="3506" totalsRowDxfId="3505">
      <calculatedColumnFormula>BA820/BB820</calculatedColumnFormula>
    </tableColumn>
    <tableColumn id="29" name="EFP % Base" totalsRowFunction="custom" dataDxfId="3504" totalsRowDxfId="3503">
      <calculatedColumnFormula>BC820/C820</calculatedColumnFormula>
      <totalsRowFormula>AVERAGE(Table11071[EFP % Base])</totalsRowFormula>
    </tableColumn>
  </tableColumns>
  <tableStyleInfo name="TableStyleMedium1" showFirstColumn="0" showLastColumn="0" showRowStripes="1" showColumnStripes="0"/>
</table>
</file>

<file path=xl/tables/table70.xml><?xml version="1.0" encoding="utf-8"?>
<table xmlns="http://schemas.openxmlformats.org/spreadsheetml/2006/main" id="71" name="Table11072" displayName="Table11072" ref="A831:BD839" totalsRowCount="1" headerRowDxfId="3502">
  <tableColumns count="56">
    <tableColumn id="1" name="  Grade" dataDxfId="3501" totalsRowDxfId="3500"/>
    <tableColumn id="13" name="Main Area $" dataDxfId="3499" totalsRowDxfId="3498"/>
    <tableColumn id="45" name="MA $/Sq Ft" totalsRowFunction="custom" dataDxfId="3497" totalsRowDxfId="3496">
      <calculatedColumnFormula>B832/F829</calculatedColumnFormula>
      <totalsRowFormula>AVERAGE(Table11072[MA $/Sq Ft])</totalsRowFormula>
    </tableColumn>
    <tableColumn id="16" name="Basic Allowance" totalsRowFunction="custom" dataDxfId="3495" totalsRowDxfId="3494">
      <totalsRowFormula>AVERAGE(Table11072[Basic Allowance])</totalsRowFormula>
    </tableColumn>
    <tableColumn id="43" name="BsmtVal" dataDxfId="3493" totalsRowDxfId="3492"/>
    <tableColumn id="46" name="Bsmt SqFt" dataDxfId="3491" totalsRowDxfId="3490"/>
    <tableColumn id="2" name="BsmtVal/Sq Ft" dataDxfId="3489" totalsRowDxfId="3488">
      <calculatedColumnFormula>E832/F832</calculatedColumnFormula>
    </tableColumn>
    <tableColumn id="17" name="Bsmt % Base" totalsRowFunction="custom" dataDxfId="3487" totalsRowDxfId="3486">
      <calculatedColumnFormula>G832/C832</calculatedColumnFormula>
      <totalsRowFormula>AVERAGE(Table11072[Bsmt % Base])</totalsRowFormula>
    </tableColumn>
    <tableColumn id="30" name="UnfBsmtVal" dataDxfId="3485" totalsRowDxfId="3484"/>
    <tableColumn id="47" name="UnfBsmt Sq Ft" dataDxfId="3483" totalsRowDxfId="3482"/>
    <tableColumn id="3" name="UnfBsmtVal/SqFt" dataDxfId="3481" totalsRowDxfId="3480">
      <calculatedColumnFormula>I832/J832</calculatedColumnFormula>
    </tableColumn>
    <tableColumn id="44" name="UnfBsmt % Base" totalsRowFunction="custom" dataDxfId="3479" totalsRowDxfId="3478">
      <calculatedColumnFormula>K832/C832</calculatedColumnFormula>
      <totalsRowFormula>AVERAGE(Table11072[[#Headers],[#Data],[UnfBsmt % Base]])</totalsRowFormula>
    </tableColumn>
    <tableColumn id="31" name="Lower Value" dataDxfId="3477" totalsRowDxfId="3476"/>
    <tableColumn id="48" name="Lower Sq Ft" dataDxfId="3475" totalsRowDxfId="3474"/>
    <tableColumn id="4" name="LowerVal/SqFt" totalsRowFunction="custom" dataDxfId="3473" totalsRowDxfId="3472">
      <calculatedColumnFormula>M832/N832</calculatedColumnFormula>
      <totalsRowFormula>AVERAGE(Table11072[LowerVal/SqFt])</totalsRowFormula>
    </tableColumn>
    <tableColumn id="32" name="Lower % Base" totalsRowFunction="custom" dataDxfId="3471" totalsRowDxfId="3470">
      <calculatedColumnFormula>O832/C832</calculatedColumnFormula>
      <totalsRowFormula>AVERAGE(Table11072[Lower % Base])</totalsRowFormula>
    </tableColumn>
    <tableColumn id="19" name="Unf Lower Value" dataDxfId="3469" totalsRowDxfId="3468"/>
    <tableColumn id="49" name="UnfLower Sq Ft" dataDxfId="3467" totalsRowDxfId="3466"/>
    <tableColumn id="14" name="UnfLowVal/SqFt2" dataDxfId="3465" totalsRowDxfId="3464">
      <calculatedColumnFormula>Q832/R832</calculatedColumnFormula>
    </tableColumn>
    <tableColumn id="33" name="Unf Lower % Base" totalsRowFunction="custom" dataDxfId="3463" totalsRowDxfId="3462">
      <calculatedColumnFormula>S832/C832</calculatedColumnFormula>
      <totalsRowFormula>AVERAGE(Table11072[Unf Lower % Base])</totalsRowFormula>
    </tableColumn>
    <tableColumn id="20" name="1/2 Story Value" dataDxfId="3461" totalsRowDxfId="3460"/>
    <tableColumn id="50" name="1/2 Story Sq Ft" dataDxfId="3459" totalsRowDxfId="3458"/>
    <tableColumn id="5" name="1/2 StoryVal/SqFt" dataDxfId="3457" totalsRowDxfId="3456">
      <calculatedColumnFormula>U832/V832</calculatedColumnFormula>
    </tableColumn>
    <tableColumn id="34" name="1/2 Story % Base" totalsRowFunction="custom" dataDxfId="3455" totalsRowDxfId="3454">
      <calculatedColumnFormula>W832/C832</calculatedColumnFormula>
      <totalsRowFormula>AVERAGE(Table11072[1/2 Story % Base])</totalsRowFormula>
    </tableColumn>
    <tableColumn id="21" name="2nd Story Value" dataDxfId="3453" totalsRowDxfId="3452"/>
    <tableColumn id="51" name="2nd Sty Sq Ft" dataDxfId="3451" totalsRowDxfId="3450"/>
    <tableColumn id="6" name="2ndStyVal/Sqft" dataDxfId="3449" totalsRowDxfId="3448">
      <calculatedColumnFormula>Y832/Z832</calculatedColumnFormula>
    </tableColumn>
    <tableColumn id="35" name="2nd Story % Base" totalsRowFunction="custom" dataDxfId="3447" totalsRowDxfId="3446">
      <calculatedColumnFormula>AA832/C832</calculatedColumnFormula>
      <totalsRowFormula>AVERAGE(Table11072[2nd Story % Base])</totalsRowFormula>
    </tableColumn>
    <tableColumn id="22" name="Att Gar Value" dataDxfId="3445" totalsRowDxfId="3444"/>
    <tableColumn id="52" name="Att Gar Sq Ft" dataDxfId="3443" totalsRowDxfId="3442"/>
    <tableColumn id="7" name="AttGarVal/SqFt" totalsRowFunction="custom" dataDxfId="3441" totalsRowDxfId="3440">
      <calculatedColumnFormula>AC832/AD832</calculatedColumnFormula>
      <totalsRowFormula>AVERAGE(Table11072[AttGarVal/SqFt])</totalsRowFormula>
    </tableColumn>
    <tableColumn id="36" name="Att Gar % Base" totalsRowFunction="custom" dataDxfId="3439" totalsRowDxfId="3438">
      <calculatedColumnFormula>AE832/C832</calculatedColumnFormula>
      <totalsRowFormula>AVERAGE(Table11072[Att Gar % Base])</totalsRowFormula>
    </tableColumn>
    <tableColumn id="23" name="Porch Value" dataDxfId="3437" totalsRowDxfId="3436"/>
    <tableColumn id="53" name="Porch Sq Ft" dataDxfId="3435" totalsRowDxfId="3434"/>
    <tableColumn id="8" name="PorchVal/SqFt" dataDxfId="3433" totalsRowDxfId="3432">
      <calculatedColumnFormula>AG832/AH832</calculatedColumnFormula>
    </tableColumn>
    <tableColumn id="37" name="Porch % Base" totalsRowFunction="custom" dataDxfId="3431" totalsRowDxfId="3430">
      <calculatedColumnFormula>AI832/C832</calculatedColumnFormula>
      <totalsRowFormula>AVERAGE(Table11072[Porch % Base])</totalsRowFormula>
    </tableColumn>
    <tableColumn id="24" name="Cov Porch Value" dataDxfId="3429" totalsRowDxfId="3428"/>
    <tableColumn id="54" name="Cov Porch Sq Ft" dataDxfId="3427" totalsRowDxfId="3426"/>
    <tableColumn id="9" name="CovPrVal/SqFt" dataDxfId="3425" totalsRowDxfId="3424">
      <calculatedColumnFormula>AK832/AL832</calculatedColumnFormula>
    </tableColumn>
    <tableColumn id="38" name="Cov Porch % Base" totalsRowFunction="custom" dataDxfId="3423" totalsRowDxfId="3422">
      <calculatedColumnFormula>AM832/C832</calculatedColumnFormula>
      <totalsRowFormula>AVERAGE(Table11072[Cov Porch % Base])</totalsRowFormula>
    </tableColumn>
    <tableColumn id="25" name="Deck Value" dataDxfId="3421" totalsRowDxfId="3420"/>
    <tableColumn id="55" name="Deck Sq Ft" dataDxfId="3419" totalsRowDxfId="3418"/>
    <tableColumn id="10" name="DeckVal/SqFt" dataDxfId="3417" totalsRowDxfId="3416">
      <calculatedColumnFormula>AO832/AP832</calculatedColumnFormula>
    </tableColumn>
    <tableColumn id="39" name="Deck % Base" totalsRowFunction="custom" dataDxfId="3415" totalsRowDxfId="3414">
      <calculatedColumnFormula>AQ832/C832</calculatedColumnFormula>
      <totalsRowFormula>AVERAGE(Table11072[Deck % Base])</totalsRowFormula>
    </tableColumn>
    <tableColumn id="26" name="Cov Deck Value" dataDxfId="3413" totalsRowDxfId="3412"/>
    <tableColumn id="56" name="CovDeck Sq Ft" dataDxfId="3411" totalsRowDxfId="3410"/>
    <tableColumn id="11" name="CovDeckVal/SqFt" totalsRowFunction="custom" dataDxfId="3409" totalsRowDxfId="3408">
      <calculatedColumnFormula>AS832/AT832</calculatedColumnFormula>
      <totalsRowFormula>AVERAGE(Table11072[CovDeckVal/SqFt])</totalsRowFormula>
    </tableColumn>
    <tableColumn id="40" name="CovDeck % Base" totalsRowFunction="custom" dataDxfId="3407" totalsRowDxfId="3406">
      <calculatedColumnFormula>AU832/C832</calculatedColumnFormula>
      <totalsRowFormula>AVERAGE(Table11072[CovDeck % Base])</totalsRowFormula>
    </tableColumn>
    <tableColumn id="27" name="CarP Value" dataDxfId="3405" totalsRowDxfId="3404"/>
    <tableColumn id="57" name="CarP Sq Ft" dataDxfId="3403" totalsRowDxfId="3402"/>
    <tableColumn id="12" name="CarPVal/SqFt" dataDxfId="3401" totalsRowDxfId="3400">
      <calculatedColumnFormula>AW832/AX832</calculatedColumnFormula>
    </tableColumn>
    <tableColumn id="41" name="CarP % Base" totalsRowFunction="custom" dataDxfId="3399" totalsRowDxfId="3398">
      <calculatedColumnFormula>AY832/C832</calculatedColumnFormula>
      <totalsRowFormula>AVERAGE(Table11072[CarP % Base])</totalsRowFormula>
    </tableColumn>
    <tableColumn id="28" name="EFP Value" dataDxfId="3397" totalsRowDxfId="3396"/>
    <tableColumn id="58" name="EFP Sq Ft" dataDxfId="3395" totalsRowDxfId="3394"/>
    <tableColumn id="15" name="EFPVal/SqFt" dataDxfId="3393" totalsRowDxfId="3392">
      <calculatedColumnFormula>BA832/BB832</calculatedColumnFormula>
    </tableColumn>
    <tableColumn id="29" name="EFP % Base" totalsRowFunction="custom" dataDxfId="3391" totalsRowDxfId="3390">
      <calculatedColumnFormula>BC832/C832</calculatedColumnFormula>
      <totalsRowFormula>AVERAGE(Table11072[EFP % Base])</totalsRowFormula>
    </tableColumn>
  </tableColumns>
  <tableStyleInfo name="TableStyleMedium1" showFirstColumn="0" showLastColumn="0" showRowStripes="1" showColumnStripes="0"/>
</table>
</file>

<file path=xl/tables/table71.xml><?xml version="1.0" encoding="utf-8"?>
<table xmlns="http://schemas.openxmlformats.org/spreadsheetml/2006/main" id="72" name="Table11073" displayName="Table11073" ref="A843:BD851" totalsRowCount="1" headerRowDxfId="3389">
  <tableColumns count="56">
    <tableColumn id="1" name="  Grade" dataDxfId="3388" totalsRowDxfId="3387"/>
    <tableColumn id="13" name="Main Area $" dataDxfId="3386" totalsRowDxfId="3385"/>
    <tableColumn id="45" name="MA $/Sq Ft" totalsRowFunction="custom" dataDxfId="3384" totalsRowDxfId="3383">
      <calculatedColumnFormula>B844/F841</calculatedColumnFormula>
      <totalsRowFormula>AVERAGE(Table11073[MA $/Sq Ft])</totalsRowFormula>
    </tableColumn>
    <tableColumn id="16" name="Basic Allowance" totalsRowFunction="custom" dataDxfId="3382" totalsRowDxfId="3381">
      <totalsRowFormula>AVERAGE(Table11073[Basic Allowance])</totalsRowFormula>
    </tableColumn>
    <tableColumn id="43" name="BsmtVal" dataDxfId="3380" totalsRowDxfId="3379"/>
    <tableColumn id="46" name="Bsmt SqFt" dataDxfId="3378" totalsRowDxfId="3377"/>
    <tableColumn id="2" name="BsmtVal/Sq Ft" dataDxfId="3376" totalsRowDxfId="3375">
      <calculatedColumnFormula>E844/F844</calculatedColumnFormula>
    </tableColumn>
    <tableColumn id="17" name="Bsmt % Base" totalsRowFunction="custom" dataDxfId="3374" totalsRowDxfId="3373">
      <calculatedColumnFormula>G844/C844</calculatedColumnFormula>
      <totalsRowFormula>AVERAGE(Table11073[Bsmt % Base])</totalsRowFormula>
    </tableColumn>
    <tableColumn id="30" name="UnfBsmtVal" dataDxfId="3372" totalsRowDxfId="3371"/>
    <tableColumn id="47" name="UnfBsmt Sq Ft" dataDxfId="3370" totalsRowDxfId="3369"/>
    <tableColumn id="3" name="UnfBsmtVal/SqFt" dataDxfId="3368" totalsRowDxfId="3367">
      <calculatedColumnFormula>I844/J844</calculatedColumnFormula>
    </tableColumn>
    <tableColumn id="44" name="UnfBsmt % Base" totalsRowFunction="custom" dataDxfId="3366" totalsRowDxfId="3365">
      <calculatedColumnFormula>K844/C844</calculatedColumnFormula>
      <totalsRowFormula>AVERAGE(Table11073[[#Headers],[#Data],[UnfBsmt % Base]])</totalsRowFormula>
    </tableColumn>
    <tableColumn id="31" name="Lower Value" dataDxfId="3364" totalsRowDxfId="3363"/>
    <tableColumn id="48" name="Lower Sq Ft" dataDxfId="3362" totalsRowDxfId="3361"/>
    <tableColumn id="4" name="LowerVal/SqFt" totalsRowFunction="custom" dataDxfId="3360" totalsRowDxfId="3359">
      <calculatedColumnFormula>M844/N844</calculatedColumnFormula>
      <totalsRowFormula>AVERAGE(Table11073[LowerVal/SqFt])</totalsRowFormula>
    </tableColumn>
    <tableColumn id="32" name="Lower % Base" totalsRowFunction="custom" dataDxfId="3358" totalsRowDxfId="3357">
      <calculatedColumnFormula>O844/C844</calculatedColumnFormula>
      <totalsRowFormula>AVERAGE(Table11073[Lower % Base])</totalsRowFormula>
    </tableColumn>
    <tableColumn id="19" name="Unf Lower Value" dataDxfId="3356" totalsRowDxfId="3355"/>
    <tableColumn id="49" name="UnfLower Sq Ft" dataDxfId="3354" totalsRowDxfId="3353"/>
    <tableColumn id="14" name="UnfLowVal/SqFt2" dataDxfId="3352" totalsRowDxfId="3351">
      <calculatedColumnFormula>Q844/R844</calculatedColumnFormula>
    </tableColumn>
    <tableColumn id="33" name="Unf Lower % Base" totalsRowFunction="custom" dataDxfId="3350" totalsRowDxfId="3349">
      <calculatedColumnFormula>S844/C844</calculatedColumnFormula>
      <totalsRowFormula>AVERAGE(Table11073[Unf Lower % Base])</totalsRowFormula>
    </tableColumn>
    <tableColumn id="20" name="1/2 Story Value" dataDxfId="3348" totalsRowDxfId="3347"/>
    <tableColumn id="50" name="1/2 Story Sq Ft" dataDxfId="3346" totalsRowDxfId="3345"/>
    <tableColumn id="5" name="1/2 StoryVal/SqFt" dataDxfId="3344" totalsRowDxfId="3343">
      <calculatedColumnFormula>U844/V844</calculatedColumnFormula>
    </tableColumn>
    <tableColumn id="34" name="1/2 Story % Base" totalsRowFunction="custom" dataDxfId="3342" totalsRowDxfId="3341">
      <calculatedColumnFormula>W844/C844</calculatedColumnFormula>
      <totalsRowFormula>AVERAGE(Table11073[1/2 Story % Base])</totalsRowFormula>
    </tableColumn>
    <tableColumn id="21" name="2nd Story Value" dataDxfId="3340" totalsRowDxfId="3339"/>
    <tableColumn id="51" name="2nd Sty Sq Ft" dataDxfId="3338" totalsRowDxfId="3337"/>
    <tableColumn id="6" name="2ndStyVal/Sqft" dataDxfId="3336" totalsRowDxfId="3335">
      <calculatedColumnFormula>Y844/Z844</calculatedColumnFormula>
    </tableColumn>
    <tableColumn id="35" name="2nd Story % Base" totalsRowFunction="custom" dataDxfId="3334" totalsRowDxfId="3333">
      <calculatedColumnFormula>AA844/C844</calculatedColumnFormula>
      <totalsRowFormula>AVERAGE(Table11073[2nd Story % Base])</totalsRowFormula>
    </tableColumn>
    <tableColumn id="22" name="Att Gar Value" dataDxfId="3332" totalsRowDxfId="3331"/>
    <tableColumn id="52" name="Att Gar Sq Ft" dataDxfId="3330" totalsRowDxfId="3329"/>
    <tableColumn id="7" name="AttGarVal/SqFt" totalsRowFunction="custom" dataDxfId="3328" totalsRowDxfId="3327">
      <calculatedColumnFormula>AC844/AD844</calculatedColumnFormula>
      <totalsRowFormula>AVERAGE(Table11073[AttGarVal/SqFt])</totalsRowFormula>
    </tableColumn>
    <tableColumn id="36" name="Att Gar % Base" totalsRowFunction="custom" dataDxfId="3326" totalsRowDxfId="3325">
      <calculatedColumnFormula>AE844/C844</calculatedColumnFormula>
      <totalsRowFormula>AVERAGE(Table11073[Att Gar % Base])</totalsRowFormula>
    </tableColumn>
    <tableColumn id="23" name="Porch Value" dataDxfId="3324" totalsRowDxfId="3323"/>
    <tableColumn id="53" name="Porch Sq Ft" dataDxfId="3322" totalsRowDxfId="3321"/>
    <tableColumn id="8" name="PorchVal/SqFt" dataDxfId="3320" totalsRowDxfId="3319">
      <calculatedColumnFormula>AG844/AH844</calculatedColumnFormula>
    </tableColumn>
    <tableColumn id="37" name="Porch % Base" totalsRowFunction="custom" dataDxfId="3318" totalsRowDxfId="3317">
      <calculatedColumnFormula>AI844/C844</calculatedColumnFormula>
      <totalsRowFormula>AVERAGE(Table11073[Porch % Base])</totalsRowFormula>
    </tableColumn>
    <tableColumn id="24" name="Cov Porch Value" dataDxfId="3316" totalsRowDxfId="3315"/>
    <tableColumn id="54" name="Cov Porch Sq Ft" dataDxfId="3314" totalsRowDxfId="3313"/>
    <tableColumn id="9" name="CovPrVal/SqFt" dataDxfId="3312" totalsRowDxfId="3311">
      <calculatedColumnFormula>AK844/AL844</calculatedColumnFormula>
    </tableColumn>
    <tableColumn id="38" name="Cov Porch % Base" totalsRowFunction="custom" dataDxfId="3310" totalsRowDxfId="3309">
      <calculatedColumnFormula>AM844/C844</calculatedColumnFormula>
      <totalsRowFormula>AVERAGE(Table11073[Cov Porch % Base])</totalsRowFormula>
    </tableColumn>
    <tableColumn id="25" name="Deck Value" dataDxfId="3308" totalsRowDxfId="3307"/>
    <tableColumn id="55" name="Deck Sq Ft" dataDxfId="3306" totalsRowDxfId="3305"/>
    <tableColumn id="10" name="DeckVal/SqFt" dataDxfId="3304" totalsRowDxfId="3303">
      <calculatedColumnFormula>AO844/AP844</calculatedColumnFormula>
    </tableColumn>
    <tableColumn id="39" name="Deck % Base" totalsRowFunction="custom" dataDxfId="3302" totalsRowDxfId="3301">
      <calculatedColumnFormula>AQ844/C844</calculatedColumnFormula>
      <totalsRowFormula>AVERAGE(Table11073[Deck % Base])</totalsRowFormula>
    </tableColumn>
    <tableColumn id="26" name="Cov Deck Value" dataDxfId="3300" totalsRowDxfId="3299"/>
    <tableColumn id="56" name="CovDeck Sq Ft" dataDxfId="3298" totalsRowDxfId="3297"/>
    <tableColumn id="11" name="CovDeckVal/SqFt" totalsRowFunction="custom" dataDxfId="3296" totalsRowDxfId="3295">
      <calculatedColumnFormula>AS844/AT844</calculatedColumnFormula>
      <totalsRowFormula>AVERAGE(Table11073[CovDeckVal/SqFt])</totalsRowFormula>
    </tableColumn>
    <tableColumn id="40" name="CovDeck % Base" totalsRowFunction="custom" dataDxfId="3294" totalsRowDxfId="3293">
      <calculatedColumnFormula>AU844/C844</calculatedColumnFormula>
      <totalsRowFormula>AVERAGE(Table11073[CovDeck % Base])</totalsRowFormula>
    </tableColumn>
    <tableColumn id="27" name="CarP Value" dataDxfId="3292" totalsRowDxfId="3291"/>
    <tableColumn id="57" name="CarP Sq Ft" dataDxfId="3290" totalsRowDxfId="3289"/>
    <tableColumn id="12" name="CarPVal/SqFt" dataDxfId="3288" totalsRowDxfId="3287">
      <calculatedColumnFormula>AW844/AX844</calculatedColumnFormula>
    </tableColumn>
    <tableColumn id="41" name="CarP % Base" totalsRowFunction="custom" dataDxfId="3286" totalsRowDxfId="3285">
      <calculatedColumnFormula>AY844/C844</calculatedColumnFormula>
      <totalsRowFormula>AVERAGE(Table11073[CarP % Base])</totalsRowFormula>
    </tableColumn>
    <tableColumn id="28" name="EFP Value" dataDxfId="3284" totalsRowDxfId="3283"/>
    <tableColumn id="58" name="EFP Sq Ft" dataDxfId="3282" totalsRowDxfId="3281"/>
    <tableColumn id="15" name="EFPVal/SqFt" dataDxfId="3280" totalsRowDxfId="3279">
      <calculatedColumnFormula>BA844/BB844</calculatedColumnFormula>
    </tableColumn>
    <tableColumn id="29" name="EFP % Base" totalsRowFunction="custom" dataDxfId="3278" totalsRowDxfId="3277">
      <calculatedColumnFormula>BC844/C844</calculatedColumnFormula>
      <totalsRowFormula>AVERAGE(Table11073[EFP % Base])</totalsRowFormula>
    </tableColumn>
  </tableColumns>
  <tableStyleInfo name="TableStyleMedium1" showFirstColumn="0" showLastColumn="0" showRowStripes="1" showColumnStripes="0"/>
</table>
</file>

<file path=xl/tables/table72.xml><?xml version="1.0" encoding="utf-8"?>
<table xmlns="http://schemas.openxmlformats.org/spreadsheetml/2006/main" id="73" name="Table11074" displayName="Table11074" ref="A855:BD863" totalsRowCount="1" headerRowDxfId="3276">
  <tableColumns count="56">
    <tableColumn id="1" name="  Grade" dataDxfId="3275" totalsRowDxfId="3274"/>
    <tableColumn id="13" name="Main Area $" dataDxfId="3273" totalsRowDxfId="3272"/>
    <tableColumn id="45" name="MA $/Sq Ft" totalsRowFunction="custom" dataDxfId="3271" totalsRowDxfId="3270">
      <calculatedColumnFormula>B856/F853</calculatedColumnFormula>
      <totalsRowFormula>AVERAGE(Table11074[MA $/Sq Ft])</totalsRowFormula>
    </tableColumn>
    <tableColumn id="16" name="Basic Allowance" totalsRowFunction="custom" dataDxfId="3269" totalsRowDxfId="3268">
      <totalsRowFormula>AVERAGE(Table11074[Basic Allowance])</totalsRowFormula>
    </tableColumn>
    <tableColumn id="43" name="BsmtVal" dataDxfId="3267" totalsRowDxfId="3266"/>
    <tableColumn id="46" name="Bsmt SqFt" dataDxfId="3265" totalsRowDxfId="3264"/>
    <tableColumn id="2" name="BsmtVal/Sq Ft" dataDxfId="3263" totalsRowDxfId="3262">
      <calculatedColumnFormula>E856/F856</calculatedColumnFormula>
    </tableColumn>
    <tableColumn id="17" name="Bsmt % Base" totalsRowFunction="custom" dataDxfId="3261" totalsRowDxfId="3260">
      <calculatedColumnFormula>G856/C856</calculatedColumnFormula>
      <totalsRowFormula>AVERAGE(Table11074[Bsmt % Base])</totalsRowFormula>
    </tableColumn>
    <tableColumn id="30" name="UnfBsmtVal" dataDxfId="3259" totalsRowDxfId="3258"/>
    <tableColumn id="47" name="UnfBsmt Sq Ft" dataDxfId="3257" totalsRowDxfId="3256"/>
    <tableColumn id="3" name="UnfBsmtVal/SqFt" dataDxfId="3255" totalsRowDxfId="3254">
      <calculatedColumnFormula>I856/J856</calculatedColumnFormula>
    </tableColumn>
    <tableColumn id="44" name="UnfBsmt % Base" totalsRowFunction="custom" dataDxfId="3253" totalsRowDxfId="3252">
      <calculatedColumnFormula>K856/C856</calculatedColumnFormula>
      <totalsRowFormula>AVERAGE(Table11074[[#Headers],[#Data],[UnfBsmt % Base]])</totalsRowFormula>
    </tableColumn>
    <tableColumn id="31" name="Lower Value" dataDxfId="3251" totalsRowDxfId="3250"/>
    <tableColumn id="48" name="Lower Sq Ft" dataDxfId="3249" totalsRowDxfId="3248"/>
    <tableColumn id="4" name="LowerVal/SqFt" totalsRowFunction="custom" dataDxfId="3247" totalsRowDxfId="3246">
      <calculatedColumnFormula>M856/N856</calculatedColumnFormula>
      <totalsRowFormula>AVERAGE(Table11074[LowerVal/SqFt])</totalsRowFormula>
    </tableColumn>
    <tableColumn id="32" name="Lower % Base" totalsRowFunction="custom" dataDxfId="3245" totalsRowDxfId="3244">
      <calculatedColumnFormula>O856/C856</calculatedColumnFormula>
      <totalsRowFormula>AVERAGE(Table11074[Lower % Base])</totalsRowFormula>
    </tableColumn>
    <tableColumn id="19" name="Unf Lower Value" dataDxfId="3243" totalsRowDxfId="3242"/>
    <tableColumn id="49" name="UnfLower Sq Ft" dataDxfId="3241" totalsRowDxfId="3240"/>
    <tableColumn id="14" name="UnfLowVal/SqFt2" dataDxfId="3239" totalsRowDxfId="3238">
      <calculatedColumnFormula>Q856/R856</calculatedColumnFormula>
    </tableColumn>
    <tableColumn id="33" name="Unf Lower % Base" totalsRowFunction="custom" dataDxfId="3237" totalsRowDxfId="3236">
      <calculatedColumnFormula>S856/C856</calculatedColumnFormula>
      <totalsRowFormula>AVERAGE(Table11074[Unf Lower % Base])</totalsRowFormula>
    </tableColumn>
    <tableColumn id="20" name="1/2 Story Value" dataDxfId="3235" totalsRowDxfId="3234"/>
    <tableColumn id="50" name="1/2 Story Sq Ft" dataDxfId="3233" totalsRowDxfId="3232"/>
    <tableColumn id="5" name="1/2 StoryVal/SqFt" dataDxfId="3231" totalsRowDxfId="3230">
      <calculatedColumnFormula>U856/V856</calculatedColumnFormula>
    </tableColumn>
    <tableColumn id="34" name="1/2 Story % Base" totalsRowFunction="custom" dataDxfId="3229" totalsRowDxfId="3228">
      <calculatedColumnFormula>W856/C856</calculatedColumnFormula>
      <totalsRowFormula>AVERAGE(Table11074[1/2 Story % Base])</totalsRowFormula>
    </tableColumn>
    <tableColumn id="21" name="2nd Story Value" dataDxfId="3227" totalsRowDxfId="3226"/>
    <tableColumn id="51" name="2nd Sty Sq Ft" dataDxfId="3225" totalsRowDxfId="3224"/>
    <tableColumn id="6" name="2ndStyVal/Sqft" dataDxfId="3223" totalsRowDxfId="3222">
      <calculatedColumnFormula>Y856/Z856</calculatedColumnFormula>
    </tableColumn>
    <tableColumn id="35" name="2nd Story % Base" totalsRowFunction="custom" dataDxfId="3221" totalsRowDxfId="3220">
      <calculatedColumnFormula>AA856/C856</calculatedColumnFormula>
      <totalsRowFormula>AVERAGE(Table11074[2nd Story % Base])</totalsRowFormula>
    </tableColumn>
    <tableColumn id="22" name="Att Gar Value" dataDxfId="3219" totalsRowDxfId="3218"/>
    <tableColumn id="52" name="Att Gar Sq Ft" dataDxfId="3217" totalsRowDxfId="3216"/>
    <tableColumn id="7" name="AttGarVal/SqFt" totalsRowFunction="custom" dataDxfId="3215" totalsRowDxfId="3214">
      <calculatedColumnFormula>AC856/AD856</calculatedColumnFormula>
      <totalsRowFormula>AVERAGE(Table11074[AttGarVal/SqFt])</totalsRowFormula>
    </tableColumn>
    <tableColumn id="36" name="Att Gar % Base" totalsRowFunction="custom" dataDxfId="3213" totalsRowDxfId="3212">
      <calculatedColumnFormula>AE856/C856</calculatedColumnFormula>
      <totalsRowFormula>AVERAGE(Table11074[Att Gar % Base])</totalsRowFormula>
    </tableColumn>
    <tableColumn id="23" name="Porch Value" dataDxfId="3211" totalsRowDxfId="3210"/>
    <tableColumn id="53" name="Porch Sq Ft" dataDxfId="3209" totalsRowDxfId="3208"/>
    <tableColumn id="8" name="PorchVal/SqFt" dataDxfId="3207" totalsRowDxfId="3206">
      <calculatedColumnFormula>AG856/AH856</calculatedColumnFormula>
    </tableColumn>
    <tableColumn id="37" name="Porch % Base" totalsRowFunction="custom" dataDxfId="3205" totalsRowDxfId="3204">
      <calculatedColumnFormula>AI856/C856</calculatedColumnFormula>
      <totalsRowFormula>AVERAGE(Table11074[Porch % Base])</totalsRowFormula>
    </tableColumn>
    <tableColumn id="24" name="Cov Porch Value" dataDxfId="3203" totalsRowDxfId="3202"/>
    <tableColumn id="54" name="Cov Porch Sq Ft" dataDxfId="3201" totalsRowDxfId="3200"/>
    <tableColumn id="9" name="CovPrVal/SqFt" dataDxfId="3199" totalsRowDxfId="3198">
      <calculatedColumnFormula>AK856/AL856</calculatedColumnFormula>
    </tableColumn>
    <tableColumn id="38" name="Cov Porch % Base" totalsRowFunction="custom" dataDxfId="3197" totalsRowDxfId="3196">
      <calculatedColumnFormula>AM856/C856</calculatedColumnFormula>
      <totalsRowFormula>AVERAGE(Table11074[Cov Porch % Base])</totalsRowFormula>
    </tableColumn>
    <tableColumn id="25" name="Deck Value" dataDxfId="3195" totalsRowDxfId="3194"/>
    <tableColumn id="55" name="Deck Sq Ft" dataDxfId="3193" totalsRowDxfId="3192"/>
    <tableColumn id="10" name="DeckVal/SqFt" dataDxfId="3191" totalsRowDxfId="3190">
      <calculatedColumnFormula>AO856/AP856</calculatedColumnFormula>
    </tableColumn>
    <tableColumn id="39" name="Deck % Base" totalsRowFunction="custom" dataDxfId="3189" totalsRowDxfId="3188">
      <calculatedColumnFormula>AQ856/C856</calculatedColumnFormula>
      <totalsRowFormula>AVERAGE(Table11074[Deck % Base])</totalsRowFormula>
    </tableColumn>
    <tableColumn id="26" name="Cov Deck Value" dataDxfId="3187" totalsRowDxfId="3186"/>
    <tableColumn id="56" name="CovDeck Sq Ft" dataDxfId="3185" totalsRowDxfId="3184"/>
    <tableColumn id="11" name="CovDeckVal/SqFt" totalsRowFunction="custom" dataDxfId="3183" totalsRowDxfId="3182">
      <calculatedColumnFormula>AS856/AT856</calculatedColumnFormula>
      <totalsRowFormula>AVERAGE(Table11074[CovDeckVal/SqFt])</totalsRowFormula>
    </tableColumn>
    <tableColumn id="40" name="CovDeck % Base" totalsRowFunction="custom" dataDxfId="3181" totalsRowDxfId="3180">
      <calculatedColumnFormula>AU856/C856</calculatedColumnFormula>
      <totalsRowFormula>AVERAGE(Table11074[CovDeck % Base])</totalsRowFormula>
    </tableColumn>
    <tableColumn id="27" name="CarP Value" dataDxfId="3179" totalsRowDxfId="3178"/>
    <tableColumn id="57" name="CarP Sq Ft" dataDxfId="3177" totalsRowDxfId="3176"/>
    <tableColumn id="12" name="CarPVal/SqFt" dataDxfId="3175" totalsRowDxfId="3174">
      <calculatedColumnFormula>AW856/AX856</calculatedColumnFormula>
    </tableColumn>
    <tableColumn id="41" name="CarP % Base" totalsRowFunction="custom" dataDxfId="3173" totalsRowDxfId="3172">
      <calculatedColumnFormula>AY856/C856</calculatedColumnFormula>
      <totalsRowFormula>AVERAGE(Table11074[CarP % Base])</totalsRowFormula>
    </tableColumn>
    <tableColumn id="28" name="EFP Value" dataDxfId="3171" totalsRowDxfId="3170"/>
    <tableColumn id="58" name="EFP Sq Ft" dataDxfId="3169" totalsRowDxfId="3168"/>
    <tableColumn id="15" name="EFPVal/SqFt" dataDxfId="3167" totalsRowDxfId="3166">
      <calculatedColumnFormula>BA856/BB856</calculatedColumnFormula>
    </tableColumn>
    <tableColumn id="29" name="EFP % Base" totalsRowFunction="custom" dataDxfId="3165" totalsRowDxfId="3164">
      <calculatedColumnFormula>BC856/C856</calculatedColumnFormula>
      <totalsRowFormula>AVERAGE(Table11074[EFP % Base])</totalsRowFormula>
    </tableColumn>
  </tableColumns>
  <tableStyleInfo name="TableStyleMedium1" showFirstColumn="0" showLastColumn="0" showRowStripes="1" showColumnStripes="0"/>
</table>
</file>

<file path=xl/tables/table73.xml><?xml version="1.0" encoding="utf-8"?>
<table xmlns="http://schemas.openxmlformats.org/spreadsheetml/2006/main" id="74" name="Table11062" displayName="Table11062" ref="A867:BD875" totalsRowCount="1" headerRowDxfId="3163">
  <tableColumns count="56">
    <tableColumn id="1" name="  Grade" dataDxfId="3162" totalsRowDxfId="3161"/>
    <tableColumn id="13" name="Main Area $" dataDxfId="3160" totalsRowDxfId="3159"/>
    <tableColumn id="45" name="MA $/Sq Ft" totalsRowFunction="custom" dataDxfId="3158" totalsRowDxfId="3157">
      <totalsRowFormula>AVERAGE(Table11062[MA $/Sq Ft])</totalsRowFormula>
    </tableColumn>
    <tableColumn id="16" name="Basic Allowance" totalsRowFunction="custom" dataDxfId="3156" totalsRowDxfId="3155">
      <totalsRowFormula>AVERAGE(Table11062[Basic Allowance])</totalsRowFormula>
    </tableColumn>
    <tableColumn id="43" name="BsmtVal" dataDxfId="3154" totalsRowDxfId="3153"/>
    <tableColumn id="46" name="Bsmt SqFt" dataDxfId="3152" totalsRowDxfId="3151"/>
    <tableColumn id="2" name="BsmtVal/Sq Ft" dataDxfId="3150" totalsRowDxfId="3149">
      <calculatedColumnFormula>E868/F868</calculatedColumnFormula>
    </tableColumn>
    <tableColumn id="17" name="Bsmt % Base" totalsRowFunction="custom" dataDxfId="3148" totalsRowDxfId="3147">
      <calculatedColumnFormula>G868/C868</calculatedColumnFormula>
      <totalsRowFormula>AVERAGE(Table11062[Bsmt % Base])</totalsRowFormula>
    </tableColumn>
    <tableColumn id="30" name="UnfBsmtVal" dataDxfId="3146" totalsRowDxfId="3145"/>
    <tableColumn id="47" name="UnfBsmt Sq Ft" dataDxfId="3144" totalsRowDxfId="3143"/>
    <tableColumn id="3" name="UnfBsmtVal/SqFt" dataDxfId="3142" totalsRowDxfId="3141">
      <calculatedColumnFormula>I868/J868</calculatedColumnFormula>
    </tableColumn>
    <tableColumn id="44" name="UnfBsmt % Base" totalsRowFunction="custom" dataDxfId="3140" totalsRowDxfId="3139">
      <calculatedColumnFormula>K868/C868</calculatedColumnFormula>
      <totalsRowFormula>AVERAGE(Table11062[[#Headers],[#Data],[UnfBsmt % Base]])</totalsRowFormula>
    </tableColumn>
    <tableColumn id="31" name="Lower Value" dataDxfId="3138" totalsRowDxfId="3137"/>
    <tableColumn id="48" name="Lower Sq Ft" dataDxfId="3136" totalsRowDxfId="3135"/>
    <tableColumn id="4" name="LowerVal/SqFt" totalsRowFunction="custom" dataDxfId="3134" totalsRowDxfId="3133">
      <calculatedColumnFormula>M868/N868</calculatedColumnFormula>
      <totalsRowFormula>AVERAGE(Table11062[LowerVal/SqFt])</totalsRowFormula>
    </tableColumn>
    <tableColumn id="32" name="Lower % Base" totalsRowFunction="custom" dataDxfId="3132" totalsRowDxfId="3131">
      <calculatedColumnFormula>O868/C868</calculatedColumnFormula>
      <totalsRowFormula>AVERAGE(Table11062[Lower % Base])</totalsRowFormula>
    </tableColumn>
    <tableColumn id="19" name="Unf Lower Value" dataDxfId="3130" totalsRowDxfId="3129"/>
    <tableColumn id="49" name="UnfLower Sq Ft" dataDxfId="3128" totalsRowDxfId="3127"/>
    <tableColumn id="14" name="UnfLowVal/SqFt2" dataDxfId="3126" totalsRowDxfId="3125">
      <calculatedColumnFormula>Q868/R868</calculatedColumnFormula>
    </tableColumn>
    <tableColumn id="33" name="Unf Lower % Base" totalsRowFunction="custom" dataDxfId="3124" totalsRowDxfId="3123">
      <calculatedColumnFormula>S868/C868</calculatedColumnFormula>
      <totalsRowFormula>AVERAGE(Table11062[Unf Lower % Base])</totalsRowFormula>
    </tableColumn>
    <tableColumn id="20" name="1/2 Story Value" dataDxfId="3122" totalsRowDxfId="3121"/>
    <tableColumn id="50" name="1/2 Story Sq Ft" dataDxfId="3120" totalsRowDxfId="3119"/>
    <tableColumn id="5" name="1/2 StoryVal/SqFt" dataDxfId="3118" totalsRowDxfId="3117">
      <calculatedColumnFormula>U868/V868</calculatedColumnFormula>
    </tableColumn>
    <tableColumn id="34" name="1/2 Story % Base" totalsRowFunction="custom" dataDxfId="3116" totalsRowDxfId="3115">
      <calculatedColumnFormula>W868/C868</calculatedColumnFormula>
      <totalsRowFormula>AVERAGE(Table11062[1/2 Story % Base])</totalsRowFormula>
    </tableColumn>
    <tableColumn id="21" name="2nd Story Value" dataDxfId="3114" totalsRowDxfId="3113"/>
    <tableColumn id="51" name="2nd Sty Sq Ft" dataDxfId="3112" totalsRowDxfId="3111"/>
    <tableColumn id="6" name="2ndStyVal/Sqft" dataDxfId="3110" totalsRowDxfId="3109">
      <calculatedColumnFormula>Y868/Z868</calculatedColumnFormula>
    </tableColumn>
    <tableColumn id="35" name="2nd Story % Base" totalsRowFunction="custom" dataDxfId="3108" totalsRowDxfId="3107">
      <calculatedColumnFormula>AA868/C868</calculatedColumnFormula>
      <totalsRowFormula>AVERAGE(Table11062[2nd Story % Base])</totalsRowFormula>
    </tableColumn>
    <tableColumn id="22" name="Att Gar Value" dataDxfId="3106" totalsRowDxfId="3105"/>
    <tableColumn id="52" name="Att Gar Sq Ft" dataDxfId="3104" totalsRowDxfId="3103"/>
    <tableColumn id="7" name="AttGarVal/SqFt" totalsRowFunction="custom" dataDxfId="3102" totalsRowDxfId="3101">
      <calculatedColumnFormula>AC868/AD868</calculatedColumnFormula>
      <totalsRowFormula>AVERAGE(Table11062[AttGarVal/SqFt])</totalsRowFormula>
    </tableColumn>
    <tableColumn id="36" name="Att Gar % Base" totalsRowFunction="custom" dataDxfId="3100" totalsRowDxfId="3099">
      <calculatedColumnFormula>AE868/C868</calculatedColumnFormula>
      <totalsRowFormula>AVERAGE(Table11062[Att Gar % Base])</totalsRowFormula>
    </tableColumn>
    <tableColumn id="23" name="Porch Value" dataDxfId="3098" totalsRowDxfId="3097"/>
    <tableColumn id="53" name="Porch Sq Ft" dataDxfId="3096" totalsRowDxfId="3095"/>
    <tableColumn id="8" name="PorchVal/SqFt" dataDxfId="3094" totalsRowDxfId="3093">
      <calculatedColumnFormula>AG868/AH868</calculatedColumnFormula>
    </tableColumn>
    <tableColumn id="37" name="Porch % Base" totalsRowFunction="custom" dataDxfId="3092" totalsRowDxfId="3091">
      <calculatedColumnFormula>AI868/C868</calculatedColumnFormula>
      <totalsRowFormula>AVERAGE(Table11062[Porch % Base])</totalsRowFormula>
    </tableColumn>
    <tableColumn id="24" name="Cov Porch Value" dataDxfId="3090" totalsRowDxfId="3089"/>
    <tableColumn id="54" name="Cov Porch Sq Ft" dataDxfId="3088" totalsRowDxfId="3087"/>
    <tableColumn id="9" name="CovPrVal/SqFt" dataDxfId="3086" totalsRowDxfId="3085">
      <calculatedColumnFormula>AK868/AL868</calculatedColumnFormula>
    </tableColumn>
    <tableColumn id="38" name="Cov Porch % Base" totalsRowFunction="custom" dataDxfId="3084" totalsRowDxfId="3083">
      <calculatedColumnFormula>AM868/C868</calculatedColumnFormula>
      <totalsRowFormula>AVERAGE(Table11062[Cov Porch % Base])</totalsRowFormula>
    </tableColumn>
    <tableColumn id="25" name="Deck Value" dataDxfId="3082" totalsRowDxfId="3081"/>
    <tableColumn id="55" name="Deck Sq Ft" dataDxfId="3080" totalsRowDxfId="3079"/>
    <tableColumn id="10" name="DeckVal/SqFt" dataDxfId="3078" totalsRowDxfId="3077">
      <calculatedColumnFormula>AO868/AP868</calculatedColumnFormula>
    </tableColumn>
    <tableColumn id="39" name="Deck % Base" totalsRowFunction="custom" dataDxfId="3076" totalsRowDxfId="3075">
      <calculatedColumnFormula>AQ868/C868</calculatedColumnFormula>
      <totalsRowFormula>AVERAGE(Table11062[Deck % Base])</totalsRowFormula>
    </tableColumn>
    <tableColumn id="26" name="Cov Deck Value" dataDxfId="3074" totalsRowDxfId="3073"/>
    <tableColumn id="56" name="CovDeck Sq Ft" dataDxfId="3072" totalsRowDxfId="3071"/>
    <tableColumn id="11" name="CovDeckVal/SqFt" totalsRowFunction="custom" dataDxfId="3070" totalsRowDxfId="3069">
      <calculatedColumnFormula>AS868/AT868</calculatedColumnFormula>
      <totalsRowFormula>AVERAGE(Table11062[CovDeckVal/SqFt])</totalsRowFormula>
    </tableColumn>
    <tableColumn id="40" name="CovDeck % Base" totalsRowFunction="custom" dataDxfId="3068" totalsRowDxfId="3067">
      <calculatedColumnFormula>AU868/C868</calculatedColumnFormula>
      <totalsRowFormula>AVERAGE(Table11062[CovDeck % Base])</totalsRowFormula>
    </tableColumn>
    <tableColumn id="27" name="CarP Value" dataDxfId="3066" totalsRowDxfId="3065"/>
    <tableColumn id="57" name="CarP Sq Ft" dataDxfId="3064" totalsRowDxfId="3063"/>
    <tableColumn id="12" name="CarPVal/SqFt" dataDxfId="3062" totalsRowDxfId="3061">
      <calculatedColumnFormula>AW868/AX868</calculatedColumnFormula>
    </tableColumn>
    <tableColumn id="41" name="CarP % Base" totalsRowFunction="custom" dataDxfId="3060" totalsRowDxfId="3059">
      <calculatedColumnFormula>AY868/C868</calculatedColumnFormula>
      <totalsRowFormula>AVERAGE(Table11062[CarP % Base])</totalsRowFormula>
    </tableColumn>
    <tableColumn id="28" name="EFP Value" dataDxfId="3058" totalsRowDxfId="3057"/>
    <tableColumn id="58" name="EFP Sq Ft" dataDxfId="3056" totalsRowDxfId="3055"/>
    <tableColumn id="15" name="EFPVal/SqFt" dataDxfId="3054" totalsRowDxfId="3053">
      <calculatedColumnFormula>BA868/BB868</calculatedColumnFormula>
    </tableColumn>
    <tableColumn id="29" name="EFP % Base" totalsRowFunction="custom" dataDxfId="3052" totalsRowDxfId="3051">
      <calculatedColumnFormula>BC868/C868</calculatedColumnFormula>
      <totalsRowFormula>AVERAGE(Table11062[EFP % Base])</totalsRowFormula>
    </tableColumn>
  </tableColumns>
  <tableStyleInfo name="TableStyleMedium1" showFirstColumn="0" showLastColumn="0" showRowStripes="1" showColumnStripes="0"/>
</table>
</file>

<file path=xl/tables/table74.xml><?xml version="1.0" encoding="utf-8"?>
<table xmlns="http://schemas.openxmlformats.org/spreadsheetml/2006/main" id="75" name="Table11063" displayName="Table11063" ref="A879:BD887" totalsRowCount="1" headerRowDxfId="3050">
  <tableColumns count="56">
    <tableColumn id="1" name="  Grade" dataDxfId="3049" totalsRowDxfId="3048"/>
    <tableColumn id="13" name="Main Area $" dataDxfId="3047" totalsRowDxfId="3046"/>
    <tableColumn id="45" name="MA $/Sq Ft" totalsRowFunction="custom" dataDxfId="3045" totalsRowDxfId="3044">
      <totalsRowFormula>AVERAGE(Table11063[MA $/Sq Ft])</totalsRowFormula>
    </tableColumn>
    <tableColumn id="16" name="Basic Allowance" totalsRowFunction="custom" dataDxfId="3043" totalsRowDxfId="3042">
      <totalsRowFormula>AVERAGE(Table11063[Basic Allowance])</totalsRowFormula>
    </tableColumn>
    <tableColumn id="43" name="BsmtVal" dataDxfId="3041" totalsRowDxfId="3040"/>
    <tableColumn id="46" name="Bsmt SqFt" dataDxfId="3039" totalsRowDxfId="3038"/>
    <tableColumn id="2" name="BsmtVal/Sq Ft" dataDxfId="3037" totalsRowDxfId="3036">
      <calculatedColumnFormula>E880/F880</calculatedColumnFormula>
    </tableColumn>
    <tableColumn id="17" name="Bsmt % Base" totalsRowFunction="custom" dataDxfId="3035" totalsRowDxfId="3034">
      <calculatedColumnFormula>G880/C880</calculatedColumnFormula>
      <totalsRowFormula>AVERAGE(Table11063[Bsmt % Base])</totalsRowFormula>
    </tableColumn>
    <tableColumn id="30" name="UnfBsmtVal" dataDxfId="3033" totalsRowDxfId="3032"/>
    <tableColumn id="47" name="UnfBsmt Sq Ft" dataDxfId="3031" totalsRowDxfId="3030"/>
    <tableColumn id="3" name="UnfBsmtVal/SqFt" dataDxfId="3029" totalsRowDxfId="3028">
      <calculatedColumnFormula>I880/J880</calculatedColumnFormula>
    </tableColumn>
    <tableColumn id="44" name="UnfBsmt % Base" totalsRowFunction="custom" dataDxfId="3027" totalsRowDxfId="3026">
      <calculatedColumnFormula>K880/C880</calculatedColumnFormula>
      <totalsRowFormula>AVERAGE(Table11063[[#Headers],[#Data],[UnfBsmt % Base]])</totalsRowFormula>
    </tableColumn>
    <tableColumn id="31" name="Lower Value" dataDxfId="3025" totalsRowDxfId="3024"/>
    <tableColumn id="48" name="Lower Sq Ft" dataDxfId="3023" totalsRowDxfId="3022"/>
    <tableColumn id="4" name="LowerVal/SqFt" totalsRowFunction="custom" dataDxfId="3021" totalsRowDxfId="3020">
      <calculatedColumnFormula>M880/N880</calculatedColumnFormula>
      <totalsRowFormula>AVERAGE(Table11063[LowerVal/SqFt])</totalsRowFormula>
    </tableColumn>
    <tableColumn id="32" name="Lower % Base" totalsRowFunction="custom" dataDxfId="3019" totalsRowDxfId="3018">
      <calculatedColumnFormula>O880/C880</calculatedColumnFormula>
      <totalsRowFormula>AVERAGE(Table11063[Lower % Base])</totalsRowFormula>
    </tableColumn>
    <tableColumn id="19" name="Unf Lower Value" dataDxfId="3017" totalsRowDxfId="3016"/>
    <tableColumn id="49" name="UnfLower Sq Ft" dataDxfId="3015" totalsRowDxfId="3014"/>
    <tableColumn id="14" name="UnfLowVal/SqFt2" dataDxfId="3013" totalsRowDxfId="3012">
      <calculatedColumnFormula>Q880/R880</calculatedColumnFormula>
    </tableColumn>
    <tableColumn id="33" name="Unf Lower % Base" totalsRowFunction="custom" dataDxfId="3011" totalsRowDxfId="3010">
      <calculatedColumnFormula>S880/C880</calculatedColumnFormula>
      <totalsRowFormula>AVERAGE(Table11063[Unf Lower % Base])</totalsRowFormula>
    </tableColumn>
    <tableColumn id="20" name="1/2 Story Value" dataDxfId="3009" totalsRowDxfId="3008"/>
    <tableColumn id="50" name="1/2 Story Sq Ft" dataDxfId="3007" totalsRowDxfId="3006"/>
    <tableColumn id="5" name="1/2 StoryVal/SqFt" dataDxfId="3005" totalsRowDxfId="3004">
      <calculatedColumnFormula>U880/V880</calculatedColumnFormula>
    </tableColumn>
    <tableColumn id="34" name="1/2 Story % Base" totalsRowFunction="custom" dataDxfId="3003" totalsRowDxfId="3002">
      <calculatedColumnFormula>W880/C880</calculatedColumnFormula>
      <totalsRowFormula>AVERAGE(Table11063[1/2 Story % Base])</totalsRowFormula>
    </tableColumn>
    <tableColumn id="21" name="2nd Story Value" dataDxfId="3001" totalsRowDxfId="3000"/>
    <tableColumn id="51" name="2nd Sty Sq Ft" dataDxfId="2999" totalsRowDxfId="2998"/>
    <tableColumn id="6" name="2ndStyVal/Sqft" dataDxfId="2997" totalsRowDxfId="2996">
      <calculatedColumnFormula>Y880/Z880</calculatedColumnFormula>
    </tableColumn>
    <tableColumn id="35" name="2nd Story % Base" totalsRowFunction="custom" dataDxfId="2995" totalsRowDxfId="2994">
      <calculatedColumnFormula>AA880/C880</calculatedColumnFormula>
      <totalsRowFormula>AVERAGE(Table11063[2nd Story % Base])</totalsRowFormula>
    </tableColumn>
    <tableColumn id="22" name="Att Gar Value" dataDxfId="2993" totalsRowDxfId="2992"/>
    <tableColumn id="52" name="Att Gar Sq Ft" dataDxfId="2991" totalsRowDxfId="2990"/>
    <tableColumn id="7" name="AttGarVal/SqFt" totalsRowFunction="custom" dataDxfId="2989" totalsRowDxfId="2988">
      <calculatedColumnFormula>AC880/AD880</calculatedColumnFormula>
      <totalsRowFormula>AVERAGE(Table11063[AttGarVal/SqFt])</totalsRowFormula>
    </tableColumn>
    <tableColumn id="36" name="Att Gar % Base" totalsRowFunction="custom" dataDxfId="2987" totalsRowDxfId="2986">
      <calculatedColumnFormula>AE880/C880</calculatedColumnFormula>
      <totalsRowFormula>AVERAGE(Table11063[Att Gar % Base])</totalsRowFormula>
    </tableColumn>
    <tableColumn id="23" name="Porch Value" dataDxfId="2985" totalsRowDxfId="2984"/>
    <tableColumn id="53" name="Porch Sq Ft" dataDxfId="2983" totalsRowDxfId="2982"/>
    <tableColumn id="8" name="PorchVal/SqFt" dataDxfId="2981" totalsRowDxfId="2980">
      <calculatedColumnFormula>AG880/AH880</calculatedColumnFormula>
    </tableColumn>
    <tableColumn id="37" name="Porch % Base" totalsRowFunction="custom" dataDxfId="2979" totalsRowDxfId="2978">
      <calculatedColumnFormula>AI880/C880</calculatedColumnFormula>
      <totalsRowFormula>AVERAGE(Table11063[Porch % Base])</totalsRowFormula>
    </tableColumn>
    <tableColumn id="24" name="Cov Porch Value" dataDxfId="2977" totalsRowDxfId="2976"/>
    <tableColumn id="54" name="Cov Porch Sq Ft" dataDxfId="2975" totalsRowDxfId="2974"/>
    <tableColumn id="9" name="CovPrVal/SqFt" dataDxfId="2973" totalsRowDxfId="2972">
      <calculatedColumnFormula>AK880/AL880</calculatedColumnFormula>
    </tableColumn>
    <tableColumn id="38" name="Cov Porch % Base" totalsRowFunction="custom" dataDxfId="2971" totalsRowDxfId="2970">
      <calculatedColumnFormula>AM880/C880</calculatedColumnFormula>
      <totalsRowFormula>AVERAGE(Table11063[Cov Porch % Base])</totalsRowFormula>
    </tableColumn>
    <tableColumn id="25" name="Deck Value" dataDxfId="2969" totalsRowDxfId="2968"/>
    <tableColumn id="55" name="Deck Sq Ft" dataDxfId="2967" totalsRowDxfId="2966"/>
    <tableColumn id="10" name="DeckVal/SqFt" dataDxfId="2965" totalsRowDxfId="2964">
      <calculatedColumnFormula>AO880/AP880</calculatedColumnFormula>
    </tableColumn>
    <tableColumn id="39" name="Deck % Base" totalsRowFunction="custom" dataDxfId="2963" totalsRowDxfId="2962">
      <calculatedColumnFormula>AQ880/C880</calculatedColumnFormula>
      <totalsRowFormula>AVERAGE(Table11063[Deck % Base])</totalsRowFormula>
    </tableColumn>
    <tableColumn id="26" name="Cov Deck Value" dataDxfId="2961" totalsRowDxfId="2960"/>
    <tableColumn id="56" name="CovDeck Sq Ft" dataDxfId="2959" totalsRowDxfId="2958"/>
    <tableColumn id="11" name="CovDeckVal/SqFt" totalsRowFunction="custom" dataDxfId="2957" totalsRowDxfId="2956">
      <calculatedColumnFormula>AS880/AT880</calculatedColumnFormula>
      <totalsRowFormula>AVERAGE(Table11063[CovDeckVal/SqFt])</totalsRowFormula>
    </tableColumn>
    <tableColumn id="40" name="CovDeck % Base" totalsRowFunction="custom" dataDxfId="2955" totalsRowDxfId="2954">
      <calculatedColumnFormula>AU880/C880</calculatedColumnFormula>
      <totalsRowFormula>AVERAGE(Table11063[CovDeck % Base])</totalsRowFormula>
    </tableColumn>
    <tableColumn id="27" name="CarP Value" dataDxfId="2953" totalsRowDxfId="2952"/>
    <tableColumn id="57" name="CarP Sq Ft" dataDxfId="2951" totalsRowDxfId="2950"/>
    <tableColumn id="12" name="CarPVal/SqFt" dataDxfId="2949" totalsRowDxfId="2948">
      <calculatedColumnFormula>AW880/AX880</calculatedColumnFormula>
    </tableColumn>
    <tableColumn id="41" name="CarP % Base" totalsRowFunction="custom" dataDxfId="2947" totalsRowDxfId="2946">
      <calculatedColumnFormula>AY880/C880</calculatedColumnFormula>
      <totalsRowFormula>AVERAGE(Table11063[CarP % Base])</totalsRowFormula>
    </tableColumn>
    <tableColumn id="28" name="EFP Value" dataDxfId="2945" totalsRowDxfId="2944"/>
    <tableColumn id="58" name="EFP Sq Ft" dataDxfId="2943" totalsRowDxfId="2942"/>
    <tableColumn id="15" name="EFPVal/SqFt" dataDxfId="2941" totalsRowDxfId="2940">
      <calculatedColumnFormula>BA880/BB880</calculatedColumnFormula>
    </tableColumn>
    <tableColumn id="29" name="EFP % Base" totalsRowFunction="custom" dataDxfId="2939" totalsRowDxfId="2938">
      <calculatedColumnFormula>BC880/C880</calculatedColumnFormula>
      <totalsRowFormula>AVERAGE(Table11063[EFP % Base])</totalsRowFormula>
    </tableColumn>
  </tableColumns>
  <tableStyleInfo name="TableStyleMedium1" showFirstColumn="0" showLastColumn="0" showRowStripes="1" showColumnStripes="0"/>
</table>
</file>

<file path=xl/tables/table75.xml><?xml version="1.0" encoding="utf-8"?>
<table xmlns="http://schemas.openxmlformats.org/spreadsheetml/2006/main" id="76" name="Table11064" displayName="Table11064" ref="A891:BD899" totalsRowCount="1" headerRowDxfId="2937">
  <tableColumns count="56">
    <tableColumn id="1" name="  Grade" dataDxfId="2936" totalsRowDxfId="2935"/>
    <tableColumn id="13" name="Main Area $" dataDxfId="2934" totalsRowDxfId="2933"/>
    <tableColumn id="45" name="MA $/Sq Ft" totalsRowFunction="custom" dataDxfId="2932" totalsRowDxfId="2931">
      <totalsRowFormula>AVERAGE(Table11064[MA $/Sq Ft])</totalsRowFormula>
    </tableColumn>
    <tableColumn id="16" name="Basic Allowance" totalsRowFunction="custom" dataDxfId="2930" totalsRowDxfId="2929">
      <totalsRowFormula>AVERAGE(Table11064[Basic Allowance])</totalsRowFormula>
    </tableColumn>
    <tableColumn id="43" name="BsmtVal" dataDxfId="2928" totalsRowDxfId="2927"/>
    <tableColumn id="46" name="Bsmt SqFt" dataDxfId="2926" totalsRowDxfId="2925"/>
    <tableColumn id="2" name="BsmtVal/Sq Ft" dataDxfId="2924" totalsRowDxfId="2923">
      <calculatedColumnFormula>E892/F892</calculatedColumnFormula>
    </tableColumn>
    <tableColumn id="17" name="Bsmt % Base" totalsRowFunction="custom" dataDxfId="2922" totalsRowDxfId="2921">
      <calculatedColumnFormula>G892/C892</calculatedColumnFormula>
      <totalsRowFormula>AVERAGE(Table11064[Bsmt % Base])</totalsRowFormula>
    </tableColumn>
    <tableColumn id="30" name="UnfBsmtVal" dataDxfId="2920" totalsRowDxfId="2919"/>
    <tableColumn id="47" name="UnfBsmt Sq Ft" dataDxfId="2918" totalsRowDxfId="2917"/>
    <tableColumn id="3" name="UnfBsmtVal/SqFt" dataDxfId="2916" totalsRowDxfId="2915">
      <calculatedColumnFormula>I892/J892</calculatedColumnFormula>
    </tableColumn>
    <tableColumn id="44" name="UnfBsmt % Base" totalsRowFunction="custom" dataDxfId="2914" totalsRowDxfId="2913">
      <calculatedColumnFormula>K892/C892</calculatedColumnFormula>
      <totalsRowFormula>AVERAGE(Table11064[[#Headers],[#Data],[UnfBsmt % Base]])</totalsRowFormula>
    </tableColumn>
    <tableColumn id="31" name="Lower Value" dataDxfId="2912" totalsRowDxfId="2911"/>
    <tableColumn id="48" name="Lower Sq Ft" dataDxfId="2910" totalsRowDxfId="2909"/>
    <tableColumn id="4" name="LowerVal/SqFt" totalsRowFunction="custom" dataDxfId="2908" totalsRowDxfId="2907">
      <calculatedColumnFormula>M892/N892</calculatedColumnFormula>
      <totalsRowFormula>AVERAGE(Table11064[LowerVal/SqFt])</totalsRowFormula>
    </tableColumn>
    <tableColumn id="32" name="Lower % Base" totalsRowFunction="custom" dataDxfId="2906" totalsRowDxfId="2905">
      <calculatedColumnFormula>O892/C892</calculatedColumnFormula>
      <totalsRowFormula>AVERAGE(Table11064[Lower % Base])</totalsRowFormula>
    </tableColumn>
    <tableColumn id="19" name="Unf Lower Value" dataDxfId="2904" totalsRowDxfId="2903"/>
    <tableColumn id="49" name="UnfLower Sq Ft" dataDxfId="2902" totalsRowDxfId="2901"/>
    <tableColumn id="14" name="UnfLowVal/SqFt2" dataDxfId="2900" totalsRowDxfId="2899">
      <calculatedColumnFormula>Q892/R892</calculatedColumnFormula>
    </tableColumn>
    <tableColumn id="33" name="Unf Lower % Base" totalsRowFunction="custom" dataDxfId="2898" totalsRowDxfId="2897">
      <calculatedColumnFormula>S892/C892</calculatedColumnFormula>
      <totalsRowFormula>AVERAGE(Table11064[Unf Lower % Base])</totalsRowFormula>
    </tableColumn>
    <tableColumn id="20" name="1/2 Story Value" dataDxfId="2896" totalsRowDxfId="2895"/>
    <tableColumn id="50" name="1/2 Story Sq Ft" dataDxfId="2894" totalsRowDxfId="2893"/>
    <tableColumn id="5" name="1/2 StoryVal/SqFt" dataDxfId="2892" totalsRowDxfId="2891">
      <calculatedColumnFormula>U892/V892</calculatedColumnFormula>
    </tableColumn>
    <tableColumn id="34" name="1/2 Story % Base" totalsRowFunction="custom" dataDxfId="2890" totalsRowDxfId="2889">
      <calculatedColumnFormula>W892/C892</calculatedColumnFormula>
      <totalsRowFormula>AVERAGE(Table11064[1/2 Story % Base])</totalsRowFormula>
    </tableColumn>
    <tableColumn id="21" name="2nd Story Value" dataDxfId="2888" totalsRowDxfId="2887"/>
    <tableColumn id="51" name="2nd Sty Sq Ft" dataDxfId="2886" totalsRowDxfId="2885"/>
    <tableColumn id="6" name="2ndStyVal/Sqft" dataDxfId="2884" totalsRowDxfId="2883">
      <calculatedColumnFormula>Y892/Z892</calculatedColumnFormula>
    </tableColumn>
    <tableColumn id="35" name="2nd Story % Base" totalsRowFunction="custom" dataDxfId="2882" totalsRowDxfId="2881">
      <calculatedColumnFormula>AA892/C892</calculatedColumnFormula>
      <totalsRowFormula>AVERAGE(Table11064[2nd Story % Base])</totalsRowFormula>
    </tableColumn>
    <tableColumn id="22" name="Att Gar Value" dataDxfId="2880" totalsRowDxfId="2879"/>
    <tableColumn id="52" name="Att Gar Sq Ft" dataDxfId="2878" totalsRowDxfId="2877"/>
    <tableColumn id="7" name="AttGarVal/SqFt" totalsRowFunction="custom" dataDxfId="2876" totalsRowDxfId="2875">
      <calculatedColumnFormula>AC892/AD892</calculatedColumnFormula>
      <totalsRowFormula>AVERAGE(Table11064[AttGarVal/SqFt])</totalsRowFormula>
    </tableColumn>
    <tableColumn id="36" name="Att Gar % Base" totalsRowFunction="custom" dataDxfId="2874" totalsRowDxfId="2873">
      <calculatedColumnFormula>AE892/C892</calculatedColumnFormula>
      <totalsRowFormula>AVERAGE(Table11064[Att Gar % Base])</totalsRowFormula>
    </tableColumn>
    <tableColumn id="23" name="Porch Value" dataDxfId="2872" totalsRowDxfId="2871"/>
    <tableColumn id="53" name="Porch Sq Ft" dataDxfId="2870" totalsRowDxfId="2869"/>
    <tableColumn id="8" name="PorchVal/SqFt" dataDxfId="2868" totalsRowDxfId="2867">
      <calculatedColumnFormula>AG892/AH892</calculatedColumnFormula>
    </tableColumn>
    <tableColumn id="37" name="Porch % Base" totalsRowFunction="custom" dataDxfId="2866" totalsRowDxfId="2865">
      <calculatedColumnFormula>AI892/C892</calculatedColumnFormula>
      <totalsRowFormula>AVERAGE(Table11064[Porch % Base])</totalsRowFormula>
    </tableColumn>
    <tableColumn id="24" name="Cov Porch Value" dataDxfId="2864" totalsRowDxfId="2863"/>
    <tableColumn id="54" name="Cov Porch Sq Ft" dataDxfId="2862" totalsRowDxfId="2861"/>
    <tableColumn id="9" name="CovPrVal/SqFt" dataDxfId="2860" totalsRowDxfId="2859">
      <calculatedColumnFormula>AK892/AL892</calculatedColumnFormula>
    </tableColumn>
    <tableColumn id="38" name="Cov Porch % Base" totalsRowFunction="custom" dataDxfId="2858" totalsRowDxfId="2857">
      <calculatedColumnFormula>AM892/C892</calculatedColumnFormula>
      <totalsRowFormula>AVERAGE(Table11064[Cov Porch % Base])</totalsRowFormula>
    </tableColumn>
    <tableColumn id="25" name="Deck Value" dataDxfId="2856" totalsRowDxfId="2855"/>
    <tableColumn id="55" name="Deck Sq Ft" dataDxfId="2854" totalsRowDxfId="2853"/>
    <tableColumn id="10" name="DeckVal/SqFt" dataDxfId="2852" totalsRowDxfId="2851">
      <calculatedColumnFormula>AO892/AP892</calculatedColumnFormula>
    </tableColumn>
    <tableColumn id="39" name="Deck % Base" totalsRowFunction="custom" dataDxfId="2850" totalsRowDxfId="2849">
      <calculatedColumnFormula>AQ892/C892</calculatedColumnFormula>
      <totalsRowFormula>AVERAGE(Table11064[Deck % Base])</totalsRowFormula>
    </tableColumn>
    <tableColumn id="26" name="Cov Deck Value" dataDxfId="2848" totalsRowDxfId="2847"/>
    <tableColumn id="56" name="CovDeck Sq Ft" dataDxfId="2846" totalsRowDxfId="2845"/>
    <tableColumn id="11" name="CovDeckVal/SqFt" totalsRowFunction="custom" dataDxfId="2844" totalsRowDxfId="2843">
      <calculatedColumnFormula>AS892/AT892</calculatedColumnFormula>
      <totalsRowFormula>AVERAGE(Table11064[CovDeckVal/SqFt])</totalsRowFormula>
    </tableColumn>
    <tableColumn id="40" name="CovDeck % Base" totalsRowFunction="custom" dataDxfId="2842" totalsRowDxfId="2841">
      <calculatedColumnFormula>AU892/C892</calculatedColumnFormula>
      <totalsRowFormula>AVERAGE(Table11064[CovDeck % Base])</totalsRowFormula>
    </tableColumn>
    <tableColumn id="27" name="CarP Value" dataDxfId="2840" totalsRowDxfId="2839"/>
    <tableColumn id="57" name="CarP Sq Ft" dataDxfId="2838" totalsRowDxfId="2837"/>
    <tableColumn id="12" name="CarPVal/SqFt" dataDxfId="2836" totalsRowDxfId="2835">
      <calculatedColumnFormula>AW892/AX892</calculatedColumnFormula>
    </tableColumn>
    <tableColumn id="41" name="CarP % Base" totalsRowFunction="custom" dataDxfId="2834" totalsRowDxfId="2833">
      <calculatedColumnFormula>AY892/C892</calculatedColumnFormula>
      <totalsRowFormula>AVERAGE(Table11064[CarP % Base])</totalsRowFormula>
    </tableColumn>
    <tableColumn id="28" name="EFP Value" dataDxfId="2832" totalsRowDxfId="2831"/>
    <tableColumn id="58" name="EFP Sq Ft" dataDxfId="2830" totalsRowDxfId="2829"/>
    <tableColumn id="15" name="EFPVal/SqFt" dataDxfId="2828" totalsRowDxfId="2827">
      <calculatedColumnFormula>BA892/BB892</calculatedColumnFormula>
    </tableColumn>
    <tableColumn id="29" name="EFP % Base" totalsRowFunction="custom" dataDxfId="2826" totalsRowDxfId="2825">
      <calculatedColumnFormula>BC892/C892</calculatedColumnFormula>
      <totalsRowFormula>AVERAGE(Table11064[EFP % Base])</totalsRowFormula>
    </tableColumn>
  </tableColumns>
  <tableStyleInfo name="TableStyleMedium1" showFirstColumn="0" showLastColumn="0" showRowStripes="1" showColumnStripes="0"/>
</table>
</file>

<file path=xl/tables/table76.xml><?xml version="1.0" encoding="utf-8"?>
<table xmlns="http://schemas.openxmlformats.org/spreadsheetml/2006/main" id="77" name="Table11065" displayName="Table11065" ref="A903:BD911" totalsRowCount="1" headerRowDxfId="2824">
  <tableColumns count="56">
    <tableColumn id="1" name="  Grade" dataDxfId="2823" totalsRowDxfId="2822"/>
    <tableColumn id="13" name="Main Area $" dataDxfId="2821" totalsRowDxfId="2820"/>
    <tableColumn id="45" name="MA $/Sq Ft" totalsRowFunction="custom" dataDxfId="2819" totalsRowDxfId="2818">
      <totalsRowFormula>AVERAGE(Table11065[MA $/Sq Ft])</totalsRowFormula>
    </tableColumn>
    <tableColumn id="16" name="Basic Allowance" totalsRowFunction="custom" dataDxfId="2817" totalsRowDxfId="2816">
      <totalsRowFormula>AVERAGE(Table11065[Basic Allowance])</totalsRowFormula>
    </tableColumn>
    <tableColumn id="43" name="BsmtVal" dataDxfId="2815" totalsRowDxfId="2814"/>
    <tableColumn id="46" name="Bsmt SqFt" dataDxfId="2813" totalsRowDxfId="2812"/>
    <tableColumn id="2" name="BsmtVal/Sq Ft" dataDxfId="2811" totalsRowDxfId="2810">
      <calculatedColumnFormula>E904/F904</calculatedColumnFormula>
    </tableColumn>
    <tableColumn id="17" name="Bsmt % Base" totalsRowFunction="custom" dataDxfId="2809" totalsRowDxfId="2808">
      <calculatedColumnFormula>G904/C904</calculatedColumnFormula>
      <totalsRowFormula>AVERAGE(Table11065[Bsmt % Base])</totalsRowFormula>
    </tableColumn>
    <tableColumn id="30" name="UnfBsmtVal" dataDxfId="2807" totalsRowDxfId="2806"/>
    <tableColumn id="47" name="UnfBsmt Sq Ft" dataDxfId="2805" totalsRowDxfId="2804"/>
    <tableColumn id="3" name="UnfBsmtVal/SqFt" dataDxfId="2803" totalsRowDxfId="2802">
      <calculatedColumnFormula>I904/J904</calculatedColumnFormula>
    </tableColumn>
    <tableColumn id="44" name="UnfBsmt % Base" totalsRowFunction="custom" dataDxfId="2801" totalsRowDxfId="2800">
      <calculatedColumnFormula>K904/C904</calculatedColumnFormula>
      <totalsRowFormula>AVERAGE(Table11065[[#Headers],[#Data],[UnfBsmt % Base]])</totalsRowFormula>
    </tableColumn>
    <tableColumn id="31" name="Lower Value" dataDxfId="2799" totalsRowDxfId="2798"/>
    <tableColumn id="48" name="Lower Sq Ft" dataDxfId="2797" totalsRowDxfId="2796"/>
    <tableColumn id="4" name="LowerVal/SqFt" totalsRowFunction="custom" dataDxfId="2795" totalsRowDxfId="2794">
      <calculatedColumnFormula>M904/N904</calculatedColumnFormula>
      <totalsRowFormula>AVERAGE(Table11065[LowerVal/SqFt])</totalsRowFormula>
    </tableColumn>
    <tableColumn id="32" name="Lower % Base" totalsRowFunction="custom" dataDxfId="2793" totalsRowDxfId="2792">
      <calculatedColumnFormula>O904/C904</calculatedColumnFormula>
      <totalsRowFormula>AVERAGE(Table11065[Lower % Base])</totalsRowFormula>
    </tableColumn>
    <tableColumn id="19" name="Unf Lower Value" dataDxfId="2791" totalsRowDxfId="2790"/>
    <tableColumn id="49" name="UnfLower Sq Ft" dataDxfId="2789" totalsRowDxfId="2788"/>
    <tableColumn id="14" name="UnfLowVal/SqFt2" dataDxfId="2787" totalsRowDxfId="2786">
      <calculatedColumnFormula>Q904/R904</calculatedColumnFormula>
    </tableColumn>
    <tableColumn id="33" name="Unf Lower % Base" totalsRowFunction="custom" dataDxfId="2785" totalsRowDxfId="2784">
      <calculatedColumnFormula>S904/C904</calculatedColumnFormula>
      <totalsRowFormula>AVERAGE(Table11065[Unf Lower % Base])</totalsRowFormula>
    </tableColumn>
    <tableColumn id="20" name="1/2 Story Value" dataDxfId="2783" totalsRowDxfId="2782"/>
    <tableColumn id="50" name="1/2 Story Sq Ft" dataDxfId="2781" totalsRowDxfId="2780"/>
    <tableColumn id="5" name="1/2 StoryVal/SqFt" dataDxfId="2779" totalsRowDxfId="2778">
      <calculatedColumnFormula>U904/V904</calculatedColumnFormula>
    </tableColumn>
    <tableColumn id="34" name="1/2 Story % Base" totalsRowFunction="custom" dataDxfId="2777" totalsRowDxfId="2776">
      <calculatedColumnFormula>W904/C904</calculatedColumnFormula>
      <totalsRowFormula>AVERAGE(Table11065[1/2 Story % Base])</totalsRowFormula>
    </tableColumn>
    <tableColumn id="21" name="2nd Story Value" dataDxfId="2775" totalsRowDxfId="2774"/>
    <tableColumn id="51" name="2nd Sty Sq Ft" dataDxfId="2773" totalsRowDxfId="2772"/>
    <tableColumn id="6" name="2ndStyVal/Sqft" dataDxfId="2771" totalsRowDxfId="2770">
      <calculatedColumnFormula>Y904/Z904</calculatedColumnFormula>
    </tableColumn>
    <tableColumn id="35" name="2nd Story % Base" totalsRowFunction="custom" dataDxfId="2769" totalsRowDxfId="2768">
      <calculatedColumnFormula>AA904/C904</calculatedColumnFormula>
      <totalsRowFormula>AVERAGE(Table11065[2nd Story % Base])</totalsRowFormula>
    </tableColumn>
    <tableColumn id="22" name="Att Gar Value" dataDxfId="2767" totalsRowDxfId="2766"/>
    <tableColumn id="52" name="Att Gar Sq Ft" dataDxfId="2765" totalsRowDxfId="2764"/>
    <tableColumn id="7" name="AttGarVal/SqFt" totalsRowFunction="custom" dataDxfId="2763" totalsRowDxfId="2762">
      <calculatedColumnFormula>AC904/AD904</calculatedColumnFormula>
      <totalsRowFormula>AVERAGE(Table11065[AttGarVal/SqFt])</totalsRowFormula>
    </tableColumn>
    <tableColumn id="36" name="Att Gar % Base" totalsRowFunction="custom" dataDxfId="2761" totalsRowDxfId="2760">
      <calculatedColumnFormula>AE904/C904</calculatedColumnFormula>
      <totalsRowFormula>AVERAGE(Table11065[Att Gar % Base])</totalsRowFormula>
    </tableColumn>
    <tableColumn id="23" name="Porch Value" dataDxfId="2759" totalsRowDxfId="2758"/>
    <tableColumn id="53" name="Porch Sq Ft" dataDxfId="2757" totalsRowDxfId="2756"/>
    <tableColumn id="8" name="PorchVal/SqFt" dataDxfId="2755" totalsRowDxfId="2754">
      <calculatedColumnFormula>AG904/AH904</calculatedColumnFormula>
    </tableColumn>
    <tableColumn id="37" name="Porch % Base" totalsRowFunction="custom" dataDxfId="2753" totalsRowDxfId="2752">
      <calculatedColumnFormula>AI904/C904</calculatedColumnFormula>
      <totalsRowFormula>AVERAGE(Table11065[Porch % Base])</totalsRowFormula>
    </tableColumn>
    <tableColumn id="24" name="Cov Porch Value" dataDxfId="2751" totalsRowDxfId="2750"/>
    <tableColumn id="54" name="Cov Porch Sq Ft" dataDxfId="2749" totalsRowDxfId="2748"/>
    <tableColumn id="9" name="CovPrVal/SqFt" dataDxfId="2747" totalsRowDxfId="2746">
      <calculatedColumnFormula>AK904/AL904</calculatedColumnFormula>
    </tableColumn>
    <tableColumn id="38" name="Cov Porch % Base" totalsRowFunction="custom" dataDxfId="2745" totalsRowDxfId="2744">
      <calculatedColumnFormula>AM904/C904</calculatedColumnFormula>
      <totalsRowFormula>AVERAGE(Table11065[Cov Porch % Base])</totalsRowFormula>
    </tableColumn>
    <tableColumn id="25" name="Deck Value" dataDxfId="2743" totalsRowDxfId="2742"/>
    <tableColumn id="55" name="Deck Sq Ft" dataDxfId="2741" totalsRowDxfId="2740"/>
    <tableColumn id="10" name="DeckVal/SqFt" dataDxfId="2739" totalsRowDxfId="2738">
      <calculatedColumnFormula>AO904/AP904</calculatedColumnFormula>
    </tableColumn>
    <tableColumn id="39" name="Deck % Base" totalsRowFunction="custom" dataDxfId="2737" totalsRowDxfId="2736">
      <calculatedColumnFormula>AQ904/C904</calculatedColumnFormula>
      <totalsRowFormula>AVERAGE(Table11065[Deck % Base])</totalsRowFormula>
    </tableColumn>
    <tableColumn id="26" name="Cov Deck Value" dataDxfId="2735" totalsRowDxfId="2734"/>
    <tableColumn id="56" name="CovDeck Sq Ft" dataDxfId="2733" totalsRowDxfId="2732"/>
    <tableColumn id="11" name="CovDeckVal/SqFt" totalsRowFunction="custom" dataDxfId="2731" totalsRowDxfId="2730">
      <calculatedColumnFormula>AS904/AT904</calculatedColumnFormula>
      <totalsRowFormula>AVERAGE(Table11065[CovDeckVal/SqFt])</totalsRowFormula>
    </tableColumn>
    <tableColumn id="40" name="CovDeck % Base" totalsRowFunction="custom" dataDxfId="2729" totalsRowDxfId="2728">
      <calculatedColumnFormula>AU904/C904</calculatedColumnFormula>
      <totalsRowFormula>AVERAGE(Table11065[CovDeck % Base])</totalsRowFormula>
    </tableColumn>
    <tableColumn id="27" name="CarP Value" dataDxfId="2727" totalsRowDxfId="2726"/>
    <tableColumn id="57" name="CarP Sq Ft" dataDxfId="2725" totalsRowDxfId="2724"/>
    <tableColumn id="12" name="CarPVal/SqFt" dataDxfId="2723" totalsRowDxfId="2722">
      <calculatedColumnFormula>AW904/AX904</calculatedColumnFormula>
    </tableColumn>
    <tableColumn id="41" name="CarP % Base" totalsRowFunction="custom" dataDxfId="2721" totalsRowDxfId="2720">
      <calculatedColumnFormula>AY904/C904</calculatedColumnFormula>
      <totalsRowFormula>AVERAGE(Table11065[CarP % Base])</totalsRowFormula>
    </tableColumn>
    <tableColumn id="28" name="EFP Value" dataDxfId="2719" totalsRowDxfId="2718"/>
    <tableColumn id="58" name="EFP Sq Ft" dataDxfId="2717" totalsRowDxfId="2716"/>
    <tableColumn id="15" name="EFPVal/SqFt" dataDxfId="2715" totalsRowDxfId="2714">
      <calculatedColumnFormula>BA904/BB904</calculatedColumnFormula>
    </tableColumn>
    <tableColumn id="29" name="EFP % Base" totalsRowFunction="custom" dataDxfId="2713" totalsRowDxfId="2712">
      <calculatedColumnFormula>BC904/C904</calculatedColumnFormula>
      <totalsRowFormula>AVERAGE(Table11065[EFP % Base])</totalsRowFormula>
    </tableColumn>
  </tableColumns>
  <tableStyleInfo name="TableStyleMedium1" showFirstColumn="0" showLastColumn="0" showRowStripes="1" showColumnStripes="0"/>
</table>
</file>

<file path=xl/tables/table77.xml><?xml version="1.0" encoding="utf-8"?>
<table xmlns="http://schemas.openxmlformats.org/spreadsheetml/2006/main" id="78" name="Table11066" displayName="Table11066" ref="A915:BD923" totalsRowCount="1" headerRowDxfId="2711">
  <tableColumns count="56">
    <tableColumn id="1" name="  Grade" dataDxfId="2710" totalsRowDxfId="2709"/>
    <tableColumn id="13" name="Main Area $" dataDxfId="2708" totalsRowDxfId="2707"/>
    <tableColumn id="45" name="MA $/Sq Ft" totalsRowFunction="custom" dataDxfId="2706" totalsRowDxfId="2705">
      <totalsRowFormula>AVERAGE(Table11066[MA $/Sq Ft])</totalsRowFormula>
    </tableColumn>
    <tableColumn id="16" name="Basic Allowance" totalsRowFunction="custom" dataDxfId="2704" totalsRowDxfId="2703">
      <totalsRowFormula>AVERAGE(Table11066[Basic Allowance])</totalsRowFormula>
    </tableColumn>
    <tableColumn id="43" name="BsmtVal" dataDxfId="2702" totalsRowDxfId="2701"/>
    <tableColumn id="46" name="Bsmt SqFt" dataDxfId="2700" totalsRowDxfId="2699"/>
    <tableColumn id="2" name="BsmtVal/Sq Ft" dataDxfId="2698" totalsRowDxfId="2697">
      <calculatedColumnFormula>E916/F916</calculatedColumnFormula>
    </tableColumn>
    <tableColumn id="17" name="Bsmt % Base" totalsRowFunction="custom" dataDxfId="2696" totalsRowDxfId="2695">
      <calculatedColumnFormula>G916/C916</calculatedColumnFormula>
      <totalsRowFormula>AVERAGE(Table11066[Bsmt % Base])</totalsRowFormula>
    </tableColumn>
    <tableColumn id="30" name="UnfBsmtVal" dataDxfId="2694" totalsRowDxfId="2693"/>
    <tableColumn id="47" name="UnfBsmt Sq Ft" dataDxfId="2692" totalsRowDxfId="2691"/>
    <tableColumn id="3" name="UnfBsmtVal/SqFt" dataDxfId="2690" totalsRowDxfId="2689">
      <calculatedColumnFormula>I916/J916</calculatedColumnFormula>
    </tableColumn>
    <tableColumn id="44" name="UnfBsmt % Base" totalsRowFunction="custom" dataDxfId="2688" totalsRowDxfId="2687">
      <calculatedColumnFormula>K916/C916</calculatedColumnFormula>
      <totalsRowFormula>AVERAGE(Table11066[[#Headers],[#Data],[UnfBsmt % Base]])</totalsRowFormula>
    </tableColumn>
    <tableColumn id="31" name="Lower Value" dataDxfId="2686" totalsRowDxfId="2685"/>
    <tableColumn id="48" name="Lower Sq Ft" dataDxfId="2684" totalsRowDxfId="2683"/>
    <tableColumn id="4" name="LowerVal/SqFt" totalsRowFunction="custom" dataDxfId="2682" totalsRowDxfId="2681">
      <calculatedColumnFormula>M916/N916</calculatedColumnFormula>
      <totalsRowFormula>AVERAGE(Table11066[LowerVal/SqFt])</totalsRowFormula>
    </tableColumn>
    <tableColumn id="32" name="Lower % Base" totalsRowFunction="custom" dataDxfId="2680" totalsRowDxfId="2679">
      <calculatedColumnFormula>O916/C916</calculatedColumnFormula>
      <totalsRowFormula>AVERAGE(Table11066[Lower % Base])</totalsRowFormula>
    </tableColumn>
    <tableColumn id="19" name="Unf Lower Value" dataDxfId="2678" totalsRowDxfId="2677"/>
    <tableColumn id="49" name="UnfLower Sq Ft" dataDxfId="2676" totalsRowDxfId="2675"/>
    <tableColumn id="14" name="UnfLowVal/SqFt2" dataDxfId="2674" totalsRowDxfId="2673">
      <calculatedColumnFormula>Q916/R916</calculatedColumnFormula>
    </tableColumn>
    <tableColumn id="33" name="Unf Lower % Base" totalsRowFunction="custom" dataDxfId="2672" totalsRowDxfId="2671">
      <calculatedColumnFormula>S916/C916</calculatedColumnFormula>
      <totalsRowFormula>AVERAGE(Table11066[Unf Lower % Base])</totalsRowFormula>
    </tableColumn>
    <tableColumn id="20" name="1/2 Story Value" dataDxfId="2670" totalsRowDxfId="2669"/>
    <tableColumn id="50" name="1/2 Story Sq Ft" dataDxfId="2668" totalsRowDxfId="2667"/>
    <tableColumn id="5" name="1/2 StoryVal/SqFt" dataDxfId="2666" totalsRowDxfId="2665">
      <calculatedColumnFormula>U916/V916</calculatedColumnFormula>
    </tableColumn>
    <tableColumn id="34" name="1/2 Story % Base" totalsRowFunction="custom" dataDxfId="2664" totalsRowDxfId="2663">
      <calculatedColumnFormula>W916/C916</calculatedColumnFormula>
      <totalsRowFormula>AVERAGE(Table11066[1/2 Story % Base])</totalsRowFormula>
    </tableColumn>
    <tableColumn id="21" name="2nd Story Value" dataDxfId="2662" totalsRowDxfId="2661"/>
    <tableColumn id="51" name="2nd Sty Sq Ft" dataDxfId="2660" totalsRowDxfId="2659"/>
    <tableColumn id="6" name="2ndStyVal/Sqft" dataDxfId="2658" totalsRowDxfId="2657">
      <calculatedColumnFormula>Y916/Z916</calculatedColumnFormula>
    </tableColumn>
    <tableColumn id="35" name="2nd Story % Base" totalsRowFunction="custom" dataDxfId="2656" totalsRowDxfId="2655">
      <calculatedColumnFormula>AA916/C916</calculatedColumnFormula>
      <totalsRowFormula>AVERAGE(Table11066[2nd Story % Base])</totalsRowFormula>
    </tableColumn>
    <tableColumn id="22" name="Att Gar Value" dataDxfId="2654" totalsRowDxfId="2653"/>
    <tableColumn id="52" name="Att Gar Sq Ft" dataDxfId="2652" totalsRowDxfId="2651"/>
    <tableColumn id="7" name="AttGarVal/SqFt" totalsRowFunction="custom" dataDxfId="2650" totalsRowDxfId="2649">
      <calculatedColumnFormula>AC916/AD916</calculatedColumnFormula>
      <totalsRowFormula>AVERAGE(Table11066[AttGarVal/SqFt])</totalsRowFormula>
    </tableColumn>
    <tableColumn id="36" name="Att Gar % Base" totalsRowFunction="custom" dataDxfId="2648" totalsRowDxfId="2647">
      <calculatedColumnFormula>AE916/C916</calculatedColumnFormula>
      <totalsRowFormula>AVERAGE(Table11066[Att Gar % Base])</totalsRowFormula>
    </tableColumn>
    <tableColumn id="23" name="Porch Value" dataDxfId="2646" totalsRowDxfId="2645"/>
    <tableColumn id="53" name="Porch Sq Ft" dataDxfId="2644" totalsRowDxfId="2643"/>
    <tableColumn id="8" name="PorchVal/SqFt" dataDxfId="2642" totalsRowDxfId="2641">
      <calculatedColumnFormula>AG916/AH916</calculatedColumnFormula>
    </tableColumn>
    <tableColumn id="37" name="Porch % Base" totalsRowFunction="custom" dataDxfId="2640" totalsRowDxfId="2639">
      <calculatedColumnFormula>AI916/C916</calculatedColumnFormula>
      <totalsRowFormula>AVERAGE(Table11066[Porch % Base])</totalsRowFormula>
    </tableColumn>
    <tableColumn id="24" name="Cov Porch Value" dataDxfId="2638" totalsRowDxfId="2637"/>
    <tableColumn id="54" name="Cov Porch Sq Ft" dataDxfId="2636" totalsRowDxfId="2635"/>
    <tableColumn id="9" name="CovPrVal/SqFt" dataDxfId="2634" totalsRowDxfId="2633">
      <calculatedColumnFormula>AK916/AL916</calculatedColumnFormula>
    </tableColumn>
    <tableColumn id="38" name="Cov Porch % Base" totalsRowFunction="custom" dataDxfId="2632" totalsRowDxfId="2631">
      <calculatedColumnFormula>AM916/C916</calculatedColumnFormula>
      <totalsRowFormula>AVERAGE(Table11066[Cov Porch % Base])</totalsRowFormula>
    </tableColumn>
    <tableColumn id="25" name="Deck Value" dataDxfId="2630" totalsRowDxfId="2629"/>
    <tableColumn id="55" name="Deck Sq Ft" dataDxfId="2628" totalsRowDxfId="2627"/>
    <tableColumn id="10" name="DeckVal/SqFt" dataDxfId="2626" totalsRowDxfId="2625">
      <calculatedColumnFormula>AO916/AP916</calculatedColumnFormula>
    </tableColumn>
    <tableColumn id="39" name="Deck % Base" totalsRowFunction="custom" dataDxfId="2624" totalsRowDxfId="2623">
      <calculatedColumnFormula>AQ916/C916</calculatedColumnFormula>
      <totalsRowFormula>AVERAGE(Table11066[Deck % Base])</totalsRowFormula>
    </tableColumn>
    <tableColumn id="26" name="Cov Deck Value" dataDxfId="2622" totalsRowDxfId="2621"/>
    <tableColumn id="56" name="CovDeck Sq Ft" dataDxfId="2620" totalsRowDxfId="2619"/>
    <tableColumn id="11" name="CovDeckVal/SqFt" totalsRowFunction="custom" dataDxfId="2618" totalsRowDxfId="2617">
      <calculatedColumnFormula>AS916/AT916</calculatedColumnFormula>
      <totalsRowFormula>AVERAGE(Table11066[CovDeckVal/SqFt])</totalsRowFormula>
    </tableColumn>
    <tableColumn id="40" name="CovDeck % Base" totalsRowFunction="custom" dataDxfId="2616" totalsRowDxfId="2615">
      <calculatedColumnFormula>AU916/C916</calculatedColumnFormula>
      <totalsRowFormula>AVERAGE(Table11066[CovDeck % Base])</totalsRowFormula>
    </tableColumn>
    <tableColumn id="27" name="CarP Value" dataDxfId="2614" totalsRowDxfId="2613"/>
    <tableColumn id="57" name="CarP Sq Ft" dataDxfId="2612" totalsRowDxfId="2611"/>
    <tableColumn id="12" name="CarPVal/SqFt" dataDxfId="2610" totalsRowDxfId="2609">
      <calculatedColumnFormula>AW916/AX916</calculatedColumnFormula>
    </tableColumn>
    <tableColumn id="41" name="CarP % Base" totalsRowFunction="custom" dataDxfId="2608" totalsRowDxfId="2607">
      <calculatedColumnFormula>AY916/C916</calculatedColumnFormula>
      <totalsRowFormula>AVERAGE(Table11066[CarP % Base])</totalsRowFormula>
    </tableColumn>
    <tableColumn id="28" name="EFP Value" dataDxfId="2606" totalsRowDxfId="2605"/>
    <tableColumn id="58" name="EFP Sq Ft" dataDxfId="2604" totalsRowDxfId="2603"/>
    <tableColumn id="15" name="EFPVal/SqFt" dataDxfId="2602" totalsRowDxfId="2601">
      <calculatedColumnFormula>BA916/BB916</calculatedColumnFormula>
    </tableColumn>
    <tableColumn id="29" name="EFP % Base" totalsRowFunction="custom" dataDxfId="2600" totalsRowDxfId="2599">
      <calculatedColumnFormula>BC916/C916</calculatedColumnFormula>
      <totalsRowFormula>AVERAGE(Table11066[EFP % Base])</totalsRowFormula>
    </tableColumn>
  </tableColumns>
  <tableStyleInfo name="TableStyleMedium1" showFirstColumn="0" showLastColumn="0" showRowStripes="1" showColumnStripes="0"/>
</table>
</file>

<file path=xl/tables/table78.xml><?xml version="1.0" encoding="utf-8"?>
<table xmlns="http://schemas.openxmlformats.org/spreadsheetml/2006/main" id="79" name="Table11080" displayName="Table11080" ref="A927:BD935" totalsRowCount="1" headerRowDxfId="2598">
  <tableColumns count="56">
    <tableColumn id="1" name="  Grade" dataDxfId="2597" totalsRowDxfId="2596"/>
    <tableColumn id="13" name="Main Area $" dataDxfId="2595" totalsRowDxfId="2594"/>
    <tableColumn id="45" name="MA $/Sq Ft" totalsRowFunction="custom" dataDxfId="2593" totalsRowDxfId="2592">
      <calculatedColumnFormula>B928/F925</calculatedColumnFormula>
      <totalsRowFormula>AVERAGE(Table11080[MA $/Sq Ft])</totalsRowFormula>
    </tableColumn>
    <tableColumn id="16" name="Basic Allowance" totalsRowFunction="custom" dataDxfId="2591" totalsRowDxfId="2590">
      <totalsRowFormula>AVERAGE(Table11080[Basic Allowance])</totalsRowFormula>
    </tableColumn>
    <tableColumn id="43" name="BsmtVal" dataDxfId="2589" totalsRowDxfId="2588"/>
    <tableColumn id="46" name="Bsmt SqFt" dataDxfId="2587" totalsRowDxfId="2586"/>
    <tableColumn id="2" name="BsmtVal/Sq Ft" dataDxfId="2585" totalsRowDxfId="2584">
      <calculatedColumnFormula>E928/F928</calculatedColumnFormula>
    </tableColumn>
    <tableColumn id="17" name="Bsmt % Base" totalsRowFunction="custom" dataDxfId="2583" totalsRowDxfId="2582">
      <calculatedColumnFormula>G928/C928</calculatedColumnFormula>
      <totalsRowFormula>AVERAGE(Table11080[Bsmt % Base])</totalsRowFormula>
    </tableColumn>
    <tableColumn id="30" name="UnfBsmtVal" dataDxfId="2581" totalsRowDxfId="2580"/>
    <tableColumn id="47" name="UnfBsmt Sq Ft" dataDxfId="2579" totalsRowDxfId="2578"/>
    <tableColumn id="3" name="UnfBsmtVal/SqFt" dataDxfId="2577" totalsRowDxfId="2576">
      <calculatedColumnFormula>I928/J928</calculatedColumnFormula>
    </tableColumn>
    <tableColumn id="44" name="UnfBsmt % Base" totalsRowFunction="custom" dataDxfId="2575" totalsRowDxfId="2574">
      <calculatedColumnFormula>K928/C928</calculatedColumnFormula>
      <totalsRowFormula>AVERAGE(Table11080[[#Headers],[#Data],[UnfBsmt % Base]])</totalsRowFormula>
    </tableColumn>
    <tableColumn id="31" name="Lower Value" dataDxfId="2573" totalsRowDxfId="2572"/>
    <tableColumn id="48" name="Lower Sq Ft" dataDxfId="2571" totalsRowDxfId="2570"/>
    <tableColumn id="4" name="LowerVal/SqFt" totalsRowFunction="custom" dataDxfId="2569" totalsRowDxfId="2568">
      <calculatedColumnFormula>M928/N928</calculatedColumnFormula>
      <totalsRowFormula>AVERAGE(Table11080[LowerVal/SqFt])</totalsRowFormula>
    </tableColumn>
    <tableColumn id="32" name="Lower % Base" totalsRowFunction="custom" dataDxfId="2567" totalsRowDxfId="2566">
      <calculatedColumnFormula>O928/C928</calculatedColumnFormula>
      <totalsRowFormula>AVERAGE(Table11080[Lower % Base])</totalsRowFormula>
    </tableColumn>
    <tableColumn id="19" name="Unf Lower Value" dataDxfId="2565" totalsRowDxfId="2564"/>
    <tableColumn id="49" name="UnfLower Sq Ft" dataDxfId="2563" totalsRowDxfId="2562"/>
    <tableColumn id="14" name="UnfLowVal/SqFt2" dataDxfId="2561" totalsRowDxfId="2560">
      <calculatedColumnFormula>Q928/R928</calculatedColumnFormula>
    </tableColumn>
    <tableColumn id="33" name="Unf Lower % Base" totalsRowFunction="custom" dataDxfId="2559" totalsRowDxfId="2558">
      <calculatedColumnFormula>S928/C928</calculatedColumnFormula>
      <totalsRowFormula>AVERAGE(Table11080[Unf Lower % Base])</totalsRowFormula>
    </tableColumn>
    <tableColumn id="20" name="1/2 Story Value" dataDxfId="2557" totalsRowDxfId="2556"/>
    <tableColumn id="50" name="1/2 Story Sq Ft" dataDxfId="2555" totalsRowDxfId="2554"/>
    <tableColumn id="5" name="1/2 StoryVal/SqFt" dataDxfId="2553" totalsRowDxfId="2552">
      <calculatedColumnFormula>U928/V928</calculatedColumnFormula>
    </tableColumn>
    <tableColumn id="34" name="1/2 Story % Base" totalsRowFunction="custom" dataDxfId="2551" totalsRowDxfId="2550">
      <calculatedColumnFormula>W928/C928</calculatedColumnFormula>
      <totalsRowFormula>AVERAGE(Table11080[1/2 Story % Base])</totalsRowFormula>
    </tableColumn>
    <tableColumn id="21" name="2nd Story Value" dataDxfId="2549" totalsRowDxfId="2548"/>
    <tableColumn id="51" name="2nd Sty Sq Ft" dataDxfId="2547" totalsRowDxfId="2546"/>
    <tableColumn id="6" name="2ndStyVal/Sqft" dataDxfId="2545" totalsRowDxfId="2544">
      <calculatedColumnFormula>Y928/Z928</calculatedColumnFormula>
    </tableColumn>
    <tableColumn id="35" name="2nd Story % Base" totalsRowFunction="custom" dataDxfId="2543" totalsRowDxfId="2542">
      <calculatedColumnFormula>AA928/C928</calculatedColumnFormula>
      <totalsRowFormula>AVERAGE(Table11080[2nd Story % Base])</totalsRowFormula>
    </tableColumn>
    <tableColumn id="22" name="Att Gar Value" dataDxfId="2541" totalsRowDxfId="2540"/>
    <tableColumn id="52" name="Att Gar Sq Ft" dataDxfId="2539" totalsRowDxfId="2538"/>
    <tableColumn id="7" name="AttGarVal/SqFt" totalsRowFunction="custom" dataDxfId="2537" totalsRowDxfId="2536">
      <calculatedColumnFormula>AC928/AD928</calculatedColumnFormula>
      <totalsRowFormula>AVERAGE(Table11080[AttGarVal/SqFt])</totalsRowFormula>
    </tableColumn>
    <tableColumn id="36" name="Att Gar % Base" totalsRowFunction="custom" dataDxfId="2535" totalsRowDxfId="2534">
      <calculatedColumnFormula>AE928/C928</calculatedColumnFormula>
      <totalsRowFormula>AVERAGE(Table11080[Att Gar % Base])</totalsRowFormula>
    </tableColumn>
    <tableColumn id="23" name="Porch Value" dataDxfId="2533" totalsRowDxfId="2532"/>
    <tableColumn id="53" name="Porch Sq Ft" dataDxfId="2531" totalsRowDxfId="2530"/>
    <tableColumn id="8" name="PorchVal/SqFt" dataDxfId="2529" totalsRowDxfId="2528">
      <calculatedColumnFormula>AG928/AH928</calculatedColumnFormula>
    </tableColumn>
    <tableColumn id="37" name="Porch % Base" totalsRowFunction="custom" dataDxfId="2527" totalsRowDxfId="2526">
      <calculatedColumnFormula>AI928/C928</calculatedColumnFormula>
      <totalsRowFormula>AVERAGE(Table11080[Porch % Base])</totalsRowFormula>
    </tableColumn>
    <tableColumn id="24" name="Cov Porch Value" dataDxfId="2525" totalsRowDxfId="2524"/>
    <tableColumn id="54" name="Cov Porch Sq Ft" dataDxfId="2523" totalsRowDxfId="2522"/>
    <tableColumn id="9" name="CovPrVal/SqFt" dataDxfId="2521" totalsRowDxfId="2520">
      <calculatedColumnFormula>AK928/AL928</calculatedColumnFormula>
    </tableColumn>
    <tableColumn id="38" name="Cov Porch % Base" totalsRowFunction="custom" dataDxfId="2519" totalsRowDxfId="2518">
      <calculatedColumnFormula>AM928/C928</calculatedColumnFormula>
      <totalsRowFormula>AVERAGE(Table11080[Cov Porch % Base])</totalsRowFormula>
    </tableColumn>
    <tableColumn id="25" name="Deck Value" dataDxfId="2517" totalsRowDxfId="2516"/>
    <tableColumn id="55" name="Deck Sq Ft" dataDxfId="2515" totalsRowDxfId="2514"/>
    <tableColumn id="10" name="DeckVal/SqFt" dataDxfId="2513" totalsRowDxfId="2512">
      <calculatedColumnFormula>AO928/AP928</calculatedColumnFormula>
    </tableColumn>
    <tableColumn id="39" name="Deck % Base" totalsRowFunction="custom" dataDxfId="2511" totalsRowDxfId="2510">
      <calculatedColumnFormula>AQ928/C928</calculatedColumnFormula>
      <totalsRowFormula>AVERAGE(Table11080[Deck % Base])</totalsRowFormula>
    </tableColumn>
    <tableColumn id="26" name="Cov Deck Value" dataDxfId="2509" totalsRowDxfId="2508"/>
    <tableColumn id="56" name="CovDeck Sq Ft" dataDxfId="2507" totalsRowDxfId="2506"/>
    <tableColumn id="11" name="CovDeckVal/SqFt" totalsRowFunction="custom" dataDxfId="2505" totalsRowDxfId="2504">
      <calculatedColumnFormula>AS928/AT928</calculatedColumnFormula>
      <totalsRowFormula>AVERAGE(Table11080[CovDeckVal/SqFt])</totalsRowFormula>
    </tableColumn>
    <tableColumn id="40" name="CovDeck % Base" totalsRowFunction="custom" dataDxfId="2503" totalsRowDxfId="2502">
      <calculatedColumnFormula>AU928/C928</calculatedColumnFormula>
      <totalsRowFormula>AVERAGE(Table11080[CovDeck % Base])</totalsRowFormula>
    </tableColumn>
    <tableColumn id="27" name="CarP Value" dataDxfId="2501" totalsRowDxfId="2500"/>
    <tableColumn id="57" name="CarP Sq Ft" dataDxfId="2499" totalsRowDxfId="2498"/>
    <tableColumn id="12" name="CarPVal/SqFt" dataDxfId="2497" totalsRowDxfId="2496">
      <calculatedColumnFormula>AW928/AX928</calculatedColumnFormula>
    </tableColumn>
    <tableColumn id="41" name="CarP % Base" totalsRowFunction="custom" dataDxfId="2495" totalsRowDxfId="2494">
      <calculatedColumnFormula>AY928/C928</calculatedColumnFormula>
      <totalsRowFormula>AVERAGE(Table11080[CarP % Base])</totalsRowFormula>
    </tableColumn>
    <tableColumn id="28" name="EFP Value" dataDxfId="2493" totalsRowDxfId="2492"/>
    <tableColumn id="58" name="EFP Sq Ft" dataDxfId="2491" totalsRowDxfId="2490"/>
    <tableColumn id="15" name="EFPVal/SqFt" dataDxfId="2489" totalsRowDxfId="2488">
      <calculatedColumnFormula>BA928/BB928</calculatedColumnFormula>
    </tableColumn>
    <tableColumn id="29" name="EFP % Base" totalsRowFunction="custom" dataDxfId="2487" totalsRowDxfId="2486">
      <calculatedColumnFormula>BC928/C928</calculatedColumnFormula>
      <totalsRowFormula>AVERAGE(Table11080[EFP % Base])</totalsRowFormula>
    </tableColumn>
  </tableColumns>
  <tableStyleInfo name="TableStyleMedium1" showFirstColumn="0" showLastColumn="0" showRowStripes="1" showColumnStripes="0"/>
</table>
</file>

<file path=xl/tables/table79.xml><?xml version="1.0" encoding="utf-8"?>
<table xmlns="http://schemas.openxmlformats.org/spreadsheetml/2006/main" id="80" name="Table11081" displayName="Table11081" ref="A939:BD947" totalsRowCount="1" headerRowDxfId="2485">
  <tableColumns count="56">
    <tableColumn id="1" name="  Grade" dataDxfId="2484" totalsRowDxfId="2483"/>
    <tableColumn id="13" name="Main Area $" dataDxfId="2482" totalsRowDxfId="2481"/>
    <tableColumn id="45" name="MA $/Sq Ft" totalsRowFunction="custom" dataDxfId="2480" totalsRowDxfId="2479">
      <calculatedColumnFormula>B940/F937</calculatedColumnFormula>
      <totalsRowFormula>AVERAGE(Table11081[MA $/Sq Ft])</totalsRowFormula>
    </tableColumn>
    <tableColumn id="16" name="Basic Allowance" totalsRowFunction="custom" dataDxfId="2478" totalsRowDxfId="2477">
      <totalsRowFormula>AVERAGE(Table11081[Basic Allowance])</totalsRowFormula>
    </tableColumn>
    <tableColumn id="43" name="BsmtVal" dataDxfId="2476" totalsRowDxfId="2475"/>
    <tableColumn id="46" name="Bsmt SqFt" dataDxfId="2474" totalsRowDxfId="2473"/>
    <tableColumn id="2" name="BsmtVal/Sq Ft" dataDxfId="2472" totalsRowDxfId="2471">
      <calculatedColumnFormula>E940/F940</calculatedColumnFormula>
    </tableColumn>
    <tableColumn id="17" name="Bsmt % Base" totalsRowFunction="custom" dataDxfId="2470" totalsRowDxfId="2469">
      <calculatedColumnFormula>G940/C940</calculatedColumnFormula>
      <totalsRowFormula>AVERAGE(Table11081[Bsmt % Base])</totalsRowFormula>
    </tableColumn>
    <tableColumn id="30" name="UnfBsmtVal" dataDxfId="2468" totalsRowDxfId="2467"/>
    <tableColumn id="47" name="UnfBsmt Sq Ft" dataDxfId="2466" totalsRowDxfId="2465"/>
    <tableColumn id="3" name="UnfBsmtVal/SqFt" dataDxfId="2464" totalsRowDxfId="2463">
      <calculatedColumnFormula>I940/J940</calculatedColumnFormula>
    </tableColumn>
    <tableColumn id="44" name="UnfBsmt % Base" totalsRowFunction="custom" dataDxfId="2462" totalsRowDxfId="2461">
      <calculatedColumnFormula>K940/C940</calculatedColumnFormula>
      <totalsRowFormula>AVERAGE(Table11081[[#Headers],[#Data],[UnfBsmt % Base]])</totalsRowFormula>
    </tableColumn>
    <tableColumn id="31" name="Lower Value" dataDxfId="2460" totalsRowDxfId="2459"/>
    <tableColumn id="48" name="Lower Sq Ft" dataDxfId="2458" totalsRowDxfId="2457"/>
    <tableColumn id="4" name="LowerVal/SqFt" totalsRowFunction="custom" dataDxfId="2456" totalsRowDxfId="2455">
      <calculatedColumnFormula>M940/N940</calculatedColumnFormula>
      <totalsRowFormula>AVERAGE(Table11081[LowerVal/SqFt])</totalsRowFormula>
    </tableColumn>
    <tableColumn id="32" name="Lower % Base" totalsRowFunction="custom" dataDxfId="2454" totalsRowDxfId="2453">
      <calculatedColumnFormula>O940/C940</calculatedColumnFormula>
      <totalsRowFormula>AVERAGE(Table11081[Lower % Base])</totalsRowFormula>
    </tableColumn>
    <tableColumn id="19" name="Unf Lower Value" dataDxfId="2452" totalsRowDxfId="2451"/>
    <tableColumn id="49" name="UnfLower Sq Ft" dataDxfId="2450" totalsRowDxfId="2449"/>
    <tableColumn id="14" name="UnfLowVal/SqFt2" dataDxfId="2448" totalsRowDxfId="2447">
      <calculatedColumnFormula>Q940/R940</calculatedColumnFormula>
    </tableColumn>
    <tableColumn id="33" name="Unf Lower % Base" totalsRowFunction="custom" dataDxfId="2446" totalsRowDxfId="2445">
      <calculatedColumnFormula>S940/C940</calculatedColumnFormula>
      <totalsRowFormula>AVERAGE(Table11081[Unf Lower % Base])</totalsRowFormula>
    </tableColumn>
    <tableColumn id="20" name="1/2 Story Value" dataDxfId="2444" totalsRowDxfId="2443"/>
    <tableColumn id="50" name="1/2 Story Sq Ft" dataDxfId="2442" totalsRowDxfId="2441"/>
    <tableColumn id="5" name="1/2 StoryVal/SqFt" dataDxfId="2440" totalsRowDxfId="2439">
      <calculatedColumnFormula>U940/V940</calculatedColumnFormula>
    </tableColumn>
    <tableColumn id="34" name="1/2 Story % Base" totalsRowFunction="custom" dataDxfId="2438" totalsRowDxfId="2437">
      <calculatedColumnFormula>W940/C940</calculatedColumnFormula>
      <totalsRowFormula>AVERAGE(Table11081[1/2 Story % Base])</totalsRowFormula>
    </tableColumn>
    <tableColumn id="21" name="2nd Story Value" dataDxfId="2436" totalsRowDxfId="2435"/>
    <tableColumn id="51" name="2nd Sty Sq Ft" dataDxfId="2434" totalsRowDxfId="2433"/>
    <tableColumn id="6" name="2ndStyVal/Sqft" dataDxfId="2432" totalsRowDxfId="2431">
      <calculatedColumnFormula>Y940/Z940</calculatedColumnFormula>
    </tableColumn>
    <tableColumn id="35" name="2nd Story % Base" totalsRowFunction="custom" dataDxfId="2430" totalsRowDxfId="2429">
      <calculatedColumnFormula>AA940/C940</calculatedColumnFormula>
      <totalsRowFormula>AVERAGE(Table11081[2nd Story % Base])</totalsRowFormula>
    </tableColumn>
    <tableColumn id="22" name="Att Gar Value" dataDxfId="2428" totalsRowDxfId="2427"/>
    <tableColumn id="52" name="Att Gar Sq Ft" dataDxfId="2426" totalsRowDxfId="2425"/>
    <tableColumn id="7" name="AttGarVal/SqFt" totalsRowFunction="custom" dataDxfId="2424" totalsRowDxfId="2423">
      <calculatedColumnFormula>AC940/AD940</calculatedColumnFormula>
      <totalsRowFormula>AVERAGE(Table11081[AttGarVal/SqFt])</totalsRowFormula>
    </tableColumn>
    <tableColumn id="36" name="Att Gar % Base" totalsRowFunction="custom" dataDxfId="2422" totalsRowDxfId="2421">
      <calculatedColumnFormula>AE940/C940</calculatedColumnFormula>
      <totalsRowFormula>AVERAGE(Table11081[Att Gar % Base])</totalsRowFormula>
    </tableColumn>
    <tableColumn id="23" name="Porch Value" dataDxfId="2420" totalsRowDxfId="2419"/>
    <tableColumn id="53" name="Porch Sq Ft" dataDxfId="2418" totalsRowDxfId="2417"/>
    <tableColumn id="8" name="PorchVal/SqFt" dataDxfId="2416" totalsRowDxfId="2415">
      <calculatedColumnFormula>AG940/AH940</calculatedColumnFormula>
    </tableColumn>
    <tableColumn id="37" name="Porch % Base" totalsRowFunction="custom" dataDxfId="2414" totalsRowDxfId="2413">
      <calculatedColumnFormula>AI940/C940</calculatedColumnFormula>
      <totalsRowFormula>AVERAGE(Table11081[Porch % Base])</totalsRowFormula>
    </tableColumn>
    <tableColumn id="24" name="Cov Porch Value" dataDxfId="2412" totalsRowDxfId="2411"/>
    <tableColumn id="54" name="Cov Porch Sq Ft" dataDxfId="2410" totalsRowDxfId="2409"/>
    <tableColumn id="9" name="CovPrVal/SqFt" dataDxfId="2408" totalsRowDxfId="2407">
      <calculatedColumnFormula>AK940/AL940</calculatedColumnFormula>
    </tableColumn>
    <tableColumn id="38" name="Cov Porch % Base" totalsRowFunction="custom" dataDxfId="2406" totalsRowDxfId="2405">
      <calculatedColumnFormula>AM940/C940</calculatedColumnFormula>
      <totalsRowFormula>AVERAGE(Table11081[Cov Porch % Base])</totalsRowFormula>
    </tableColumn>
    <tableColumn id="25" name="Deck Value" dataDxfId="2404" totalsRowDxfId="2403"/>
    <tableColumn id="55" name="Deck Sq Ft" dataDxfId="2402" totalsRowDxfId="2401"/>
    <tableColumn id="10" name="DeckVal/SqFt" dataDxfId="2400" totalsRowDxfId="2399">
      <calculatedColumnFormula>AO940/AP940</calculatedColumnFormula>
    </tableColumn>
    <tableColumn id="39" name="Deck % Base" totalsRowFunction="custom" dataDxfId="2398" totalsRowDxfId="2397">
      <calculatedColumnFormula>AQ940/C940</calculatedColumnFormula>
      <totalsRowFormula>AVERAGE(Table11081[Deck % Base])</totalsRowFormula>
    </tableColumn>
    <tableColumn id="26" name="Cov Deck Value" dataDxfId="2396" totalsRowDxfId="2395"/>
    <tableColumn id="56" name="CovDeck Sq Ft" dataDxfId="2394" totalsRowDxfId="2393"/>
    <tableColumn id="11" name="CovDeckVal/SqFt" totalsRowFunction="custom" dataDxfId="2392" totalsRowDxfId="2391">
      <calculatedColumnFormula>AS940/AT940</calculatedColumnFormula>
      <totalsRowFormula>AVERAGE(Table11081[CovDeckVal/SqFt])</totalsRowFormula>
    </tableColumn>
    <tableColumn id="40" name="CovDeck % Base" totalsRowFunction="custom" dataDxfId="2390" totalsRowDxfId="2389">
      <calculatedColumnFormula>AU940/C940</calculatedColumnFormula>
      <totalsRowFormula>AVERAGE(Table11081[CovDeck % Base])</totalsRowFormula>
    </tableColumn>
    <tableColumn id="27" name="CarP Value" dataDxfId="2388" totalsRowDxfId="2387"/>
    <tableColumn id="57" name="CarP Sq Ft" dataDxfId="2386" totalsRowDxfId="2385"/>
    <tableColumn id="12" name="CarPVal/SqFt" dataDxfId="2384" totalsRowDxfId="2383">
      <calculatedColumnFormula>AW940/AX940</calculatedColumnFormula>
    </tableColumn>
    <tableColumn id="41" name="CarP % Base" totalsRowFunction="custom" dataDxfId="2382" totalsRowDxfId="2381">
      <calculatedColumnFormula>AY940/C940</calculatedColumnFormula>
      <totalsRowFormula>AVERAGE(Table11081[CarP % Base])</totalsRowFormula>
    </tableColumn>
    <tableColumn id="28" name="EFP Value" dataDxfId="2380" totalsRowDxfId="2379"/>
    <tableColumn id="58" name="EFP Sq Ft" dataDxfId="2378" totalsRowDxfId="2377"/>
    <tableColumn id="15" name="EFPVal/SqFt" dataDxfId="2376" totalsRowDxfId="2375">
      <calculatedColumnFormula>BA940/BB940</calculatedColumnFormula>
    </tableColumn>
    <tableColumn id="29" name="EFP % Base" totalsRowFunction="custom" dataDxfId="2374" totalsRowDxfId="2373">
      <calculatedColumnFormula>BC940/C940</calculatedColumnFormula>
      <totalsRowFormula>AVERAGE(Table11081[EFP % Base])</totalsRowFormula>
    </tableColumn>
  </tableColumns>
  <tableStyleInfo name="TableStyleMedium1" showFirstColumn="0" showLastColumn="0" showRowStripes="1" showColumnStripes="0"/>
</table>
</file>

<file path=xl/tables/table80.xml><?xml version="1.0" encoding="utf-8"?>
<table xmlns="http://schemas.openxmlformats.org/spreadsheetml/2006/main" id="81" name="Table11082" displayName="Table11082" ref="A951:BD959" totalsRowCount="1" headerRowDxfId="2372">
  <tableColumns count="56">
    <tableColumn id="1" name="  Grade" dataDxfId="2371" totalsRowDxfId="2370"/>
    <tableColumn id="13" name="Main Area $" dataDxfId="2369" totalsRowDxfId="2368"/>
    <tableColumn id="45" name="MA $/Sq Ft" totalsRowFunction="custom" dataDxfId="2367" totalsRowDxfId="2366">
      <calculatedColumnFormula>B952/F949</calculatedColumnFormula>
      <totalsRowFormula>AVERAGE(Table11082[MA $/Sq Ft])</totalsRowFormula>
    </tableColumn>
    <tableColumn id="16" name="Basic Allowance" totalsRowFunction="custom" dataDxfId="2365" totalsRowDxfId="2364">
      <totalsRowFormula>AVERAGE(Table11082[Basic Allowance])</totalsRowFormula>
    </tableColumn>
    <tableColumn id="43" name="BsmtVal" dataDxfId="2363" totalsRowDxfId="2362"/>
    <tableColumn id="46" name="Bsmt SqFt" dataDxfId="2361" totalsRowDxfId="2360"/>
    <tableColumn id="2" name="BsmtVal/Sq Ft" dataDxfId="2359" totalsRowDxfId="2358">
      <calculatedColumnFormula>E952/F952</calculatedColumnFormula>
    </tableColumn>
    <tableColumn id="17" name="Bsmt % Base" totalsRowFunction="custom" dataDxfId="2357" totalsRowDxfId="2356">
      <calculatedColumnFormula>G952/C952</calculatedColumnFormula>
      <totalsRowFormula>AVERAGE(Table11082[Bsmt % Base])</totalsRowFormula>
    </tableColumn>
    <tableColumn id="30" name="UnfBsmtVal" dataDxfId="2355" totalsRowDxfId="2354"/>
    <tableColumn id="47" name="UnfBsmt Sq Ft" dataDxfId="2353" totalsRowDxfId="2352"/>
    <tableColumn id="3" name="UnfBsmtVal/SqFt" dataDxfId="2351" totalsRowDxfId="2350">
      <calculatedColumnFormula>I952/J952</calculatedColumnFormula>
    </tableColumn>
    <tableColumn id="44" name="UnfBsmt % Base" totalsRowFunction="custom" dataDxfId="2349" totalsRowDxfId="2348">
      <calculatedColumnFormula>K952/C952</calculatedColumnFormula>
      <totalsRowFormula>AVERAGE(Table11082[[#Headers],[#Data],[UnfBsmt % Base]])</totalsRowFormula>
    </tableColumn>
    <tableColumn id="31" name="Lower Value" dataDxfId="2347" totalsRowDxfId="2346"/>
    <tableColumn id="48" name="Lower Sq Ft" dataDxfId="2345" totalsRowDxfId="2344"/>
    <tableColumn id="4" name="LowerVal/SqFt" totalsRowFunction="custom" dataDxfId="2343" totalsRowDxfId="2342">
      <calculatedColumnFormula>M952/N952</calculatedColumnFormula>
      <totalsRowFormula>AVERAGE(Table11082[LowerVal/SqFt])</totalsRowFormula>
    </tableColumn>
    <tableColumn id="32" name="Lower % Base" totalsRowFunction="custom" dataDxfId="2341" totalsRowDxfId="2340">
      <calculatedColumnFormula>O952/C952</calculatedColumnFormula>
      <totalsRowFormula>AVERAGE(Table11082[Lower % Base])</totalsRowFormula>
    </tableColumn>
    <tableColumn id="19" name="Unf Lower Value" dataDxfId="2339" totalsRowDxfId="2338"/>
    <tableColumn id="49" name="UnfLower Sq Ft" dataDxfId="2337" totalsRowDxfId="2336"/>
    <tableColumn id="14" name="UnfLowVal/SqFt2" dataDxfId="2335" totalsRowDxfId="2334">
      <calculatedColumnFormula>Q952/R952</calculatedColumnFormula>
    </tableColumn>
    <tableColumn id="33" name="Unf Lower % Base" totalsRowFunction="custom" dataDxfId="2333" totalsRowDxfId="2332">
      <calculatedColumnFormula>S952/C952</calculatedColumnFormula>
      <totalsRowFormula>AVERAGE(Table11082[Unf Lower % Base])</totalsRowFormula>
    </tableColumn>
    <tableColumn id="20" name="1/2 Story Value" dataDxfId="2331" totalsRowDxfId="2330"/>
    <tableColumn id="50" name="1/2 Story Sq Ft" dataDxfId="2329" totalsRowDxfId="2328"/>
    <tableColumn id="5" name="1/2 StoryVal/SqFt" dataDxfId="2327" totalsRowDxfId="2326">
      <calculatedColumnFormula>U952/V952</calculatedColumnFormula>
    </tableColumn>
    <tableColumn id="34" name="1/2 Story % Base" totalsRowFunction="custom" dataDxfId="2325" totalsRowDxfId="2324">
      <calculatedColumnFormula>W952/C952</calculatedColumnFormula>
      <totalsRowFormula>AVERAGE(Table11082[1/2 Story % Base])</totalsRowFormula>
    </tableColumn>
    <tableColumn id="21" name="2nd Story Value" dataDxfId="2323" totalsRowDxfId="2322"/>
    <tableColumn id="51" name="2nd Sty Sq Ft" dataDxfId="2321" totalsRowDxfId="2320"/>
    <tableColumn id="6" name="2ndStyVal/Sqft" dataDxfId="2319" totalsRowDxfId="2318">
      <calculatedColumnFormula>Y952/Z952</calculatedColumnFormula>
    </tableColumn>
    <tableColumn id="35" name="2nd Story % Base" totalsRowFunction="custom" dataDxfId="2317" totalsRowDxfId="2316">
      <calculatedColumnFormula>AA952/C952</calculatedColumnFormula>
      <totalsRowFormula>AVERAGE(Table11082[2nd Story % Base])</totalsRowFormula>
    </tableColumn>
    <tableColumn id="22" name="Att Gar Value" dataDxfId="2315" totalsRowDxfId="2314"/>
    <tableColumn id="52" name="Att Gar Sq Ft" dataDxfId="2313" totalsRowDxfId="2312"/>
    <tableColumn id="7" name="AttGarVal/SqFt" totalsRowFunction="custom" dataDxfId="2311" totalsRowDxfId="2310">
      <calculatedColumnFormula>AC952/AD952</calculatedColumnFormula>
      <totalsRowFormula>AVERAGE(Table11082[AttGarVal/SqFt])</totalsRowFormula>
    </tableColumn>
    <tableColumn id="36" name="Att Gar % Base" totalsRowFunction="custom" dataDxfId="2309" totalsRowDxfId="2308">
      <calculatedColumnFormula>AE952/C952</calculatedColumnFormula>
      <totalsRowFormula>AVERAGE(Table11082[Att Gar % Base])</totalsRowFormula>
    </tableColumn>
    <tableColumn id="23" name="Porch Value" dataDxfId="2307" totalsRowDxfId="2306"/>
    <tableColumn id="53" name="Porch Sq Ft" dataDxfId="2305" totalsRowDxfId="2304"/>
    <tableColumn id="8" name="PorchVal/SqFt" dataDxfId="2303" totalsRowDxfId="2302">
      <calculatedColumnFormula>AG952/AH952</calculatedColumnFormula>
    </tableColumn>
    <tableColumn id="37" name="Porch % Base" totalsRowFunction="custom" dataDxfId="2301" totalsRowDxfId="2300">
      <calculatedColumnFormula>AI952/C952</calculatedColumnFormula>
      <totalsRowFormula>AVERAGE(Table11082[Porch % Base])</totalsRowFormula>
    </tableColumn>
    <tableColumn id="24" name="Cov Porch Value" dataDxfId="2299" totalsRowDxfId="2298"/>
    <tableColumn id="54" name="Cov Porch Sq Ft" dataDxfId="2297" totalsRowDxfId="2296"/>
    <tableColumn id="9" name="CovPrVal/SqFt" dataDxfId="2295" totalsRowDxfId="2294">
      <calculatedColumnFormula>AK952/AL952</calculatedColumnFormula>
    </tableColumn>
    <tableColumn id="38" name="Cov Porch % Base" totalsRowFunction="custom" dataDxfId="2293" totalsRowDxfId="2292">
      <calculatedColumnFormula>AM952/C952</calculatedColumnFormula>
      <totalsRowFormula>AVERAGE(Table11082[Cov Porch % Base])</totalsRowFormula>
    </tableColumn>
    <tableColumn id="25" name="Deck Value" dataDxfId="2291" totalsRowDxfId="2290"/>
    <tableColumn id="55" name="Deck Sq Ft" dataDxfId="2289" totalsRowDxfId="2288"/>
    <tableColumn id="10" name="DeckVal/SqFt" dataDxfId="2287" totalsRowDxfId="2286">
      <calculatedColumnFormula>AO952/AP952</calculatedColumnFormula>
    </tableColumn>
    <tableColumn id="39" name="Deck % Base" totalsRowFunction="custom" dataDxfId="2285" totalsRowDxfId="2284">
      <calculatedColumnFormula>AQ952/C952</calculatedColumnFormula>
      <totalsRowFormula>AVERAGE(Table11082[Deck % Base])</totalsRowFormula>
    </tableColumn>
    <tableColumn id="26" name="Cov Deck Value" dataDxfId="2283" totalsRowDxfId="2282"/>
    <tableColumn id="56" name="CovDeck Sq Ft" dataDxfId="2281" totalsRowDxfId="2280"/>
    <tableColumn id="11" name="CovDeckVal/SqFt" totalsRowFunction="custom" dataDxfId="2279" totalsRowDxfId="2278">
      <calculatedColumnFormula>AS952/AT952</calculatedColumnFormula>
      <totalsRowFormula>AVERAGE(Table11082[CovDeckVal/SqFt])</totalsRowFormula>
    </tableColumn>
    <tableColumn id="40" name="CovDeck % Base" totalsRowFunction="custom" dataDxfId="2277" totalsRowDxfId="2276">
      <calculatedColumnFormula>AU952/C952</calculatedColumnFormula>
      <totalsRowFormula>AVERAGE(Table11082[CovDeck % Base])</totalsRowFormula>
    </tableColumn>
    <tableColumn id="27" name="CarP Value" dataDxfId="2275" totalsRowDxfId="2274"/>
    <tableColumn id="57" name="CarP Sq Ft" dataDxfId="2273" totalsRowDxfId="2272"/>
    <tableColumn id="12" name="CarPVal/SqFt" dataDxfId="2271" totalsRowDxfId="2270">
      <calculatedColumnFormula>AW952/AX952</calculatedColumnFormula>
    </tableColumn>
    <tableColumn id="41" name="CarP % Base" totalsRowFunction="custom" dataDxfId="2269" totalsRowDxfId="2268">
      <calculatedColumnFormula>AY952/C952</calculatedColumnFormula>
      <totalsRowFormula>AVERAGE(Table11082[CarP % Base])</totalsRowFormula>
    </tableColumn>
    <tableColumn id="28" name="EFP Value" dataDxfId="2267" totalsRowDxfId="2266"/>
    <tableColumn id="58" name="EFP Sq Ft" dataDxfId="2265" totalsRowDxfId="2264"/>
    <tableColumn id="15" name="EFPVal/SqFt" dataDxfId="2263" totalsRowDxfId="2262">
      <calculatedColumnFormula>BA952/BB952</calculatedColumnFormula>
    </tableColumn>
    <tableColumn id="29" name="EFP % Base" totalsRowFunction="custom" dataDxfId="2261" totalsRowDxfId="2260">
      <calculatedColumnFormula>BC952/C952</calculatedColumnFormula>
      <totalsRowFormula>AVERAGE(Table11082[EFP % Base])</totalsRowFormula>
    </tableColumn>
  </tableColumns>
  <tableStyleInfo name="TableStyleMedium1" showFirstColumn="0" showLastColumn="0" showRowStripes="1" showColumnStripes="0"/>
</table>
</file>

<file path=xl/tables/table81.xml><?xml version="1.0" encoding="utf-8"?>
<table xmlns="http://schemas.openxmlformats.org/spreadsheetml/2006/main" id="82" name="Table11083" displayName="Table11083" ref="A963:BD971" totalsRowCount="1" headerRowDxfId="2259">
  <tableColumns count="56">
    <tableColumn id="1" name="  Grade" dataDxfId="2258" totalsRowDxfId="2257"/>
    <tableColumn id="13" name="Main Area $" dataDxfId="2256" totalsRowDxfId="2255"/>
    <tableColumn id="45" name="MA $/Sq Ft" totalsRowFunction="custom" dataDxfId="2254" totalsRowDxfId="2253">
      <calculatedColumnFormula>B964/F961</calculatedColumnFormula>
      <totalsRowFormula>AVERAGE(Table11083[MA $/Sq Ft])</totalsRowFormula>
    </tableColumn>
    <tableColumn id="16" name="Basic Allowance" totalsRowFunction="custom" dataDxfId="2252" totalsRowDxfId="2251">
      <totalsRowFormula>AVERAGE(Table11083[Basic Allowance])</totalsRowFormula>
    </tableColumn>
    <tableColumn id="43" name="BsmtVal" dataDxfId="2250" totalsRowDxfId="2249"/>
    <tableColumn id="46" name="Bsmt SqFt" dataDxfId="2248" totalsRowDxfId="2247"/>
    <tableColumn id="2" name="BsmtVal/Sq Ft" dataDxfId="2246" totalsRowDxfId="2245">
      <calculatedColumnFormula>E964/F964</calculatedColumnFormula>
    </tableColumn>
    <tableColumn id="17" name="Bsmt % Base" totalsRowFunction="custom" dataDxfId="2244" totalsRowDxfId="2243">
      <calculatedColumnFormula>G964/C964</calculatedColumnFormula>
      <totalsRowFormula>AVERAGE(Table11083[Bsmt % Base])</totalsRowFormula>
    </tableColumn>
    <tableColumn id="30" name="UnfBsmtVal" dataDxfId="2242" totalsRowDxfId="2241"/>
    <tableColumn id="47" name="UnfBsmt Sq Ft" dataDxfId="2240" totalsRowDxfId="2239"/>
    <tableColumn id="3" name="UnfBsmtVal/SqFt" dataDxfId="2238" totalsRowDxfId="2237">
      <calculatedColumnFormula>I964/J964</calculatedColumnFormula>
    </tableColumn>
    <tableColumn id="44" name="UnfBsmt % Base" totalsRowFunction="custom" dataDxfId="2236" totalsRowDxfId="2235">
      <calculatedColumnFormula>K964/C964</calculatedColumnFormula>
      <totalsRowFormula>AVERAGE(Table11083[[#Headers],[#Data],[UnfBsmt % Base]])</totalsRowFormula>
    </tableColumn>
    <tableColumn id="31" name="Lower Value" dataDxfId="2234" totalsRowDxfId="2233"/>
    <tableColumn id="48" name="Lower Sq Ft" dataDxfId="2232" totalsRowDxfId="2231"/>
    <tableColumn id="4" name="LowerVal/SqFt" totalsRowFunction="custom" dataDxfId="2230" totalsRowDxfId="2229">
      <calculatedColumnFormula>M964/N964</calculatedColumnFormula>
      <totalsRowFormula>AVERAGE(Table11083[LowerVal/SqFt])</totalsRowFormula>
    </tableColumn>
    <tableColumn id="32" name="Lower % Base" totalsRowFunction="custom" dataDxfId="2228" totalsRowDxfId="2227">
      <calculatedColumnFormula>O964/C964</calculatedColumnFormula>
      <totalsRowFormula>AVERAGE(Table11083[Lower % Base])</totalsRowFormula>
    </tableColumn>
    <tableColumn id="19" name="Unf Lower Value" dataDxfId="2226" totalsRowDxfId="2225"/>
    <tableColumn id="49" name="UnfLower Sq Ft" dataDxfId="2224" totalsRowDxfId="2223"/>
    <tableColumn id="14" name="UnfLowVal/SqFt2" dataDxfId="2222" totalsRowDxfId="2221">
      <calculatedColumnFormula>Q964/R964</calculatedColumnFormula>
    </tableColumn>
    <tableColumn id="33" name="Unf Lower % Base" totalsRowFunction="custom" dataDxfId="2220" totalsRowDxfId="2219">
      <calculatedColumnFormula>S964/C964</calculatedColumnFormula>
      <totalsRowFormula>AVERAGE(Table11083[Unf Lower % Base])</totalsRowFormula>
    </tableColumn>
    <tableColumn id="20" name="1/2 Story Value" dataDxfId="2218" totalsRowDxfId="2217"/>
    <tableColumn id="50" name="1/2 Story Sq Ft" dataDxfId="2216" totalsRowDxfId="2215"/>
    <tableColumn id="5" name="1/2 StoryVal/SqFt" dataDxfId="2214" totalsRowDxfId="2213">
      <calculatedColumnFormula>U964/V964</calculatedColumnFormula>
    </tableColumn>
    <tableColumn id="34" name="1/2 Story % Base" totalsRowFunction="custom" dataDxfId="2212" totalsRowDxfId="2211">
      <calculatedColumnFormula>W964/C964</calculatedColumnFormula>
      <totalsRowFormula>AVERAGE(Table11083[1/2 Story % Base])</totalsRowFormula>
    </tableColumn>
    <tableColumn id="21" name="2nd Story Value" dataDxfId="2210" totalsRowDxfId="2209"/>
    <tableColumn id="51" name="2nd Sty Sq Ft" dataDxfId="2208" totalsRowDxfId="2207"/>
    <tableColumn id="6" name="2ndStyVal/Sqft" dataDxfId="2206" totalsRowDxfId="2205">
      <calculatedColumnFormula>Y964/Z964</calculatedColumnFormula>
    </tableColumn>
    <tableColumn id="35" name="2nd Story % Base" totalsRowFunction="custom" dataDxfId="2204" totalsRowDxfId="2203">
      <calculatedColumnFormula>AA964/C964</calculatedColumnFormula>
      <totalsRowFormula>AVERAGE(Table11083[2nd Story % Base])</totalsRowFormula>
    </tableColumn>
    <tableColumn id="22" name="Att Gar Value" dataDxfId="2202" totalsRowDxfId="2201"/>
    <tableColumn id="52" name="Att Gar Sq Ft" dataDxfId="2200" totalsRowDxfId="2199"/>
    <tableColumn id="7" name="AttGarVal/SqFt" totalsRowFunction="custom" dataDxfId="2198" totalsRowDxfId="2197">
      <calculatedColumnFormula>AC964/AD964</calculatedColumnFormula>
      <totalsRowFormula>AVERAGE(Table11083[AttGarVal/SqFt])</totalsRowFormula>
    </tableColumn>
    <tableColumn id="36" name="Att Gar % Base" totalsRowFunction="custom" dataDxfId="2196" totalsRowDxfId="2195">
      <calculatedColumnFormula>AE964/C964</calculatedColumnFormula>
      <totalsRowFormula>AVERAGE(Table11083[Att Gar % Base])</totalsRowFormula>
    </tableColumn>
    <tableColumn id="23" name="Porch Value" dataDxfId="2194" totalsRowDxfId="2193"/>
    <tableColumn id="53" name="Porch Sq Ft" dataDxfId="2192" totalsRowDxfId="2191"/>
    <tableColumn id="8" name="PorchVal/SqFt" dataDxfId="2190" totalsRowDxfId="2189">
      <calculatedColumnFormula>AG964/AH964</calculatedColumnFormula>
    </tableColumn>
    <tableColumn id="37" name="Porch % Base" totalsRowFunction="custom" dataDxfId="2188" totalsRowDxfId="2187">
      <calculatedColumnFormula>AI964/C964</calculatedColumnFormula>
      <totalsRowFormula>AVERAGE(Table11083[Porch % Base])</totalsRowFormula>
    </tableColumn>
    <tableColumn id="24" name="Cov Porch Value" dataDxfId="2186" totalsRowDxfId="2185"/>
    <tableColumn id="54" name="Cov Porch Sq Ft" dataDxfId="2184" totalsRowDxfId="2183"/>
    <tableColumn id="9" name="CovPrVal/SqFt" dataDxfId="2182" totalsRowDxfId="2181">
      <calculatedColumnFormula>AK964/AL964</calculatedColumnFormula>
    </tableColumn>
    <tableColumn id="38" name="Cov Porch % Base" totalsRowFunction="custom" dataDxfId="2180" totalsRowDxfId="2179">
      <calculatedColumnFormula>AM964/C964</calculatedColumnFormula>
      <totalsRowFormula>AVERAGE(Table11083[Cov Porch % Base])</totalsRowFormula>
    </tableColumn>
    <tableColumn id="25" name="Deck Value" dataDxfId="2178" totalsRowDxfId="2177"/>
    <tableColumn id="55" name="Deck Sq Ft" dataDxfId="2176" totalsRowDxfId="2175"/>
    <tableColumn id="10" name="DeckVal/SqFt" dataDxfId="2174" totalsRowDxfId="2173">
      <calculatedColumnFormula>AO964/AP964</calculatedColumnFormula>
    </tableColumn>
    <tableColumn id="39" name="Deck % Base" totalsRowFunction="custom" dataDxfId="2172" totalsRowDxfId="2171">
      <calculatedColumnFormula>AQ964/C964</calculatedColumnFormula>
      <totalsRowFormula>AVERAGE(Table11083[Deck % Base])</totalsRowFormula>
    </tableColumn>
    <tableColumn id="26" name="Cov Deck Value" dataDxfId="2170" totalsRowDxfId="2169"/>
    <tableColumn id="56" name="CovDeck Sq Ft" dataDxfId="2168" totalsRowDxfId="2167"/>
    <tableColumn id="11" name="CovDeckVal/SqFt" totalsRowFunction="custom" dataDxfId="2166" totalsRowDxfId="2165">
      <calculatedColumnFormula>AS964/AT964</calculatedColumnFormula>
      <totalsRowFormula>AVERAGE(Table11083[CovDeckVal/SqFt])</totalsRowFormula>
    </tableColumn>
    <tableColumn id="40" name="CovDeck % Base" totalsRowFunction="custom" dataDxfId="2164" totalsRowDxfId="2163">
      <calculatedColumnFormula>AU964/C964</calculatedColumnFormula>
      <totalsRowFormula>AVERAGE(Table11083[CovDeck % Base])</totalsRowFormula>
    </tableColumn>
    <tableColumn id="27" name="CarP Value" dataDxfId="2162" totalsRowDxfId="2161"/>
    <tableColumn id="57" name="CarP Sq Ft" dataDxfId="2160" totalsRowDxfId="2159"/>
    <tableColumn id="12" name="CarPVal/SqFt" dataDxfId="2158" totalsRowDxfId="2157">
      <calculatedColumnFormula>AW964/AX964</calculatedColumnFormula>
    </tableColumn>
    <tableColumn id="41" name="CarP % Base" totalsRowFunction="custom" dataDxfId="2156" totalsRowDxfId="2155">
      <calculatedColumnFormula>AY964/C964</calculatedColumnFormula>
      <totalsRowFormula>AVERAGE(Table11083[CarP % Base])</totalsRowFormula>
    </tableColumn>
    <tableColumn id="28" name="EFP Value" dataDxfId="2154" totalsRowDxfId="2153"/>
    <tableColumn id="58" name="EFP Sq Ft" dataDxfId="2152" totalsRowDxfId="2151"/>
    <tableColumn id="15" name="EFPVal/SqFt" dataDxfId="2150" totalsRowDxfId="2149">
      <calculatedColumnFormula>BA964/BB964</calculatedColumnFormula>
    </tableColumn>
    <tableColumn id="29" name="EFP % Base" totalsRowFunction="custom" dataDxfId="2148" totalsRowDxfId="2147">
      <calculatedColumnFormula>BC964/C964</calculatedColumnFormula>
      <totalsRowFormula>AVERAGE(Table11083[EFP % Base])</totalsRowFormula>
    </tableColumn>
  </tableColumns>
  <tableStyleInfo name="TableStyleMedium1" showFirstColumn="0" showLastColumn="0" showRowStripes="1" showColumnStripes="0"/>
</table>
</file>

<file path=xl/tables/table82.xml><?xml version="1.0" encoding="utf-8"?>
<table xmlns="http://schemas.openxmlformats.org/spreadsheetml/2006/main" id="83" name="Table11079" displayName="Table11079" ref="A975:BD983" totalsRowCount="1" headerRowDxfId="2146">
  <tableColumns count="56">
    <tableColumn id="1" name="  Grade" dataDxfId="2145" totalsRowDxfId="2144"/>
    <tableColumn id="13" name="Main Area $" dataDxfId="2143" totalsRowDxfId="2142"/>
    <tableColumn id="45" name="MA $/Sq Ft" totalsRowFunction="custom" dataDxfId="2141" totalsRowDxfId="2140">
      <calculatedColumnFormula>B976/F973</calculatedColumnFormula>
      <totalsRowFormula>AVERAGE(Table11079[MA $/Sq Ft])</totalsRowFormula>
    </tableColumn>
    <tableColumn id="16" name="Basic Allowance" totalsRowFunction="custom" dataDxfId="2139" totalsRowDxfId="2138">
      <totalsRowFormula>AVERAGE(Table11079[Basic Allowance])</totalsRowFormula>
    </tableColumn>
    <tableColumn id="43" name="BsmtVal" dataDxfId="2137" totalsRowDxfId="2136"/>
    <tableColumn id="46" name="Bsmt SqFt" dataDxfId="2135" totalsRowDxfId="2134"/>
    <tableColumn id="2" name="BsmtVal/Sq Ft" dataDxfId="2133" totalsRowDxfId="2132">
      <calculatedColumnFormula>E976/F976</calculatedColumnFormula>
    </tableColumn>
    <tableColumn id="17" name="Bsmt % Base" totalsRowFunction="custom" dataDxfId="2131" totalsRowDxfId="2130">
      <calculatedColumnFormula>G976/C976</calculatedColumnFormula>
      <totalsRowFormula>AVERAGE(Table11079[Bsmt % Base])</totalsRowFormula>
    </tableColumn>
    <tableColumn id="30" name="UnfBsmtVal" dataDxfId="2129" totalsRowDxfId="2128"/>
    <tableColumn id="47" name="UnfBsmt Sq Ft" dataDxfId="2127" totalsRowDxfId="2126"/>
    <tableColumn id="3" name="UnfBsmtVal/SqFt" dataDxfId="2125" totalsRowDxfId="2124">
      <calculatedColumnFormula>I976/J976</calculatedColumnFormula>
    </tableColumn>
    <tableColumn id="44" name="UnfBsmt % Base" totalsRowFunction="custom" dataDxfId="2123" totalsRowDxfId="2122">
      <calculatedColumnFormula>K976/C976</calculatedColumnFormula>
      <totalsRowFormula>AVERAGE(Table11079[[#Headers],[#Data],[UnfBsmt % Base]])</totalsRowFormula>
    </tableColumn>
    <tableColumn id="31" name="Lower Value" dataDxfId="2121" totalsRowDxfId="2120"/>
    <tableColumn id="48" name="Lower Sq Ft" dataDxfId="2119" totalsRowDxfId="2118"/>
    <tableColumn id="4" name="LowerVal/SqFt" totalsRowFunction="custom" dataDxfId="2117" totalsRowDxfId="2116">
      <calculatedColumnFormula>M976/N976</calculatedColumnFormula>
      <totalsRowFormula>AVERAGE(Table11079[LowerVal/SqFt])</totalsRowFormula>
    </tableColumn>
    <tableColumn id="32" name="Lower % Base" totalsRowFunction="custom" dataDxfId="2115" totalsRowDxfId="2114">
      <calculatedColumnFormula>O976/C976</calculatedColumnFormula>
      <totalsRowFormula>AVERAGE(Table11079[Lower % Base])</totalsRowFormula>
    </tableColumn>
    <tableColumn id="19" name="Unf Lower Value" dataDxfId="2113" totalsRowDxfId="2112"/>
    <tableColumn id="49" name="UnfLower Sq Ft" dataDxfId="2111" totalsRowDxfId="2110"/>
    <tableColumn id="14" name="UnfLowVal/SqFt2" dataDxfId="2109" totalsRowDxfId="2108">
      <calculatedColumnFormula>Q976/R976</calculatedColumnFormula>
    </tableColumn>
    <tableColumn id="33" name="Unf Lower % Base" totalsRowFunction="custom" dataDxfId="2107" totalsRowDxfId="2106">
      <calculatedColumnFormula>S976/C976</calculatedColumnFormula>
      <totalsRowFormula>AVERAGE(Table11079[Unf Lower % Base])</totalsRowFormula>
    </tableColumn>
    <tableColumn id="20" name="1/2 Story Value" dataDxfId="2105" totalsRowDxfId="2104"/>
    <tableColumn id="50" name="1/2 Story Sq Ft" dataDxfId="2103" totalsRowDxfId="2102"/>
    <tableColumn id="5" name="1/2 StoryVal/SqFt" dataDxfId="2101" totalsRowDxfId="2100">
      <calculatedColumnFormula>U976/V976</calculatedColumnFormula>
    </tableColumn>
    <tableColumn id="34" name="1/2 Story % Base" totalsRowFunction="custom" dataDxfId="2099" totalsRowDxfId="2098">
      <calculatedColumnFormula>W976/C976</calculatedColumnFormula>
      <totalsRowFormula>AVERAGE(Table11079[1/2 Story % Base])</totalsRowFormula>
    </tableColumn>
    <tableColumn id="21" name="2nd Story Value" dataDxfId="2097" totalsRowDxfId="2096"/>
    <tableColumn id="51" name="2nd Sty Sq Ft" dataDxfId="2095" totalsRowDxfId="2094"/>
    <tableColumn id="6" name="2ndStyVal/Sqft" dataDxfId="2093" totalsRowDxfId="2092">
      <calculatedColumnFormula>Y976/Z976</calculatedColumnFormula>
    </tableColumn>
    <tableColumn id="35" name="2nd Story % Base" totalsRowFunction="custom" dataDxfId="2091" totalsRowDxfId="2090">
      <calculatedColumnFormula>AA976/C976</calculatedColumnFormula>
      <totalsRowFormula>AVERAGE(Table11079[2nd Story % Base])</totalsRowFormula>
    </tableColumn>
    <tableColumn id="22" name="Att Gar Value" dataDxfId="2089" totalsRowDxfId="2088"/>
    <tableColumn id="52" name="Att Gar Sq Ft" dataDxfId="2087" totalsRowDxfId="2086"/>
    <tableColumn id="7" name="AttGarVal/SqFt" totalsRowFunction="custom" dataDxfId="2085" totalsRowDxfId="2084">
      <calculatedColumnFormula>AC976/AD976</calculatedColumnFormula>
      <totalsRowFormula>AVERAGE(Table11079[AttGarVal/SqFt])</totalsRowFormula>
    </tableColumn>
    <tableColumn id="36" name="Att Gar % Base" totalsRowFunction="custom" dataDxfId="2083" totalsRowDxfId="2082">
      <calculatedColumnFormula>AE976/C976</calculatedColumnFormula>
      <totalsRowFormula>AVERAGE(Table11079[Att Gar % Base])</totalsRowFormula>
    </tableColumn>
    <tableColumn id="23" name="Porch Value" dataDxfId="2081" totalsRowDxfId="2080"/>
    <tableColumn id="53" name="Porch Sq Ft" dataDxfId="2079" totalsRowDxfId="2078"/>
    <tableColumn id="8" name="PorchVal/SqFt" dataDxfId="2077" totalsRowDxfId="2076">
      <calculatedColumnFormula>AG976/AH976</calculatedColumnFormula>
    </tableColumn>
    <tableColumn id="37" name="Porch % Base" totalsRowFunction="custom" dataDxfId="2075" totalsRowDxfId="2074">
      <calculatedColumnFormula>AI976/C976</calculatedColumnFormula>
      <totalsRowFormula>AVERAGE(Table11079[Porch % Base])</totalsRowFormula>
    </tableColumn>
    <tableColumn id="24" name="Cov Porch Value" dataDxfId="2073" totalsRowDxfId="2072"/>
    <tableColumn id="54" name="Cov Porch Sq Ft" dataDxfId="2071" totalsRowDxfId="2070"/>
    <tableColumn id="9" name="CovPrVal/SqFt" dataDxfId="2069" totalsRowDxfId="2068">
      <calculatedColumnFormula>AK976/AL976</calculatedColumnFormula>
    </tableColumn>
    <tableColumn id="38" name="Cov Porch % Base" totalsRowFunction="custom" dataDxfId="2067" totalsRowDxfId="2066">
      <calculatedColumnFormula>AM976/C976</calculatedColumnFormula>
      <totalsRowFormula>AVERAGE(Table11079[Cov Porch % Base])</totalsRowFormula>
    </tableColumn>
    <tableColumn id="25" name="Deck Value" dataDxfId="2065" totalsRowDxfId="2064"/>
    <tableColumn id="55" name="Deck Sq Ft" dataDxfId="2063" totalsRowDxfId="2062"/>
    <tableColumn id="10" name="DeckVal/SqFt" dataDxfId="2061" totalsRowDxfId="2060">
      <calculatedColumnFormula>AO976/AP976</calculatedColumnFormula>
    </tableColumn>
    <tableColumn id="39" name="Deck % Base" totalsRowFunction="custom" dataDxfId="2059" totalsRowDxfId="2058">
      <calculatedColumnFormula>AQ976/C976</calculatedColumnFormula>
      <totalsRowFormula>AVERAGE(Table11079[Deck % Base])</totalsRowFormula>
    </tableColumn>
    <tableColumn id="26" name="Cov Deck Value" dataDxfId="2057" totalsRowDxfId="2056"/>
    <tableColumn id="56" name="CovDeck Sq Ft" dataDxfId="2055" totalsRowDxfId="2054"/>
    <tableColumn id="11" name="CovDeckVal/SqFt" totalsRowFunction="custom" dataDxfId="2053" totalsRowDxfId="2052">
      <calculatedColumnFormula>AS976/AT976</calculatedColumnFormula>
      <totalsRowFormula>AVERAGE(Table11079[CovDeckVal/SqFt])</totalsRowFormula>
    </tableColumn>
    <tableColumn id="40" name="CovDeck % Base" totalsRowFunction="custom" dataDxfId="2051" totalsRowDxfId="2050">
      <calculatedColumnFormula>AU976/C976</calculatedColumnFormula>
      <totalsRowFormula>AVERAGE(Table11079[CovDeck % Base])</totalsRowFormula>
    </tableColumn>
    <tableColumn id="27" name="CarP Value" dataDxfId="2049" totalsRowDxfId="2048"/>
    <tableColumn id="57" name="CarP Sq Ft" dataDxfId="2047" totalsRowDxfId="2046"/>
    <tableColumn id="12" name="CarPVal/SqFt" dataDxfId="2045" totalsRowDxfId="2044">
      <calculatedColumnFormula>AW976/AX976</calculatedColumnFormula>
    </tableColumn>
    <tableColumn id="41" name="CarP % Base" totalsRowFunction="custom" dataDxfId="2043" totalsRowDxfId="2042">
      <calculatedColumnFormula>AY976/C976</calculatedColumnFormula>
      <totalsRowFormula>AVERAGE(Table11079[CarP % Base])</totalsRowFormula>
    </tableColumn>
    <tableColumn id="28" name="EFP Value" dataDxfId="2041" totalsRowDxfId="2040"/>
    <tableColumn id="58" name="EFP Sq Ft" dataDxfId="2039" totalsRowDxfId="2038"/>
    <tableColumn id="15" name="EFPVal/SqFt" dataDxfId="2037" totalsRowDxfId="2036">
      <calculatedColumnFormula>BA976/BB976</calculatedColumnFormula>
    </tableColumn>
    <tableColumn id="29" name="EFP % Base" totalsRowFunction="custom" dataDxfId="2035" totalsRowDxfId="2034">
      <calculatedColumnFormula>BC976/C976</calculatedColumnFormula>
      <totalsRowFormula>AVERAGE(Table11079[EFP % Base])</totalsRowFormula>
    </tableColumn>
  </tableColumns>
  <tableStyleInfo name="TableStyleMedium1" showFirstColumn="0" showLastColumn="0" showRowStripes="1" showColumnStripes="0"/>
</table>
</file>

<file path=xl/tables/table83.xml><?xml version="1.0" encoding="utf-8"?>
<table xmlns="http://schemas.openxmlformats.org/spreadsheetml/2006/main" id="84" name="Table1107980" displayName="Table1107980" ref="A987:BD995" totalsRowCount="1" headerRowDxfId="2033">
  <tableColumns count="56">
    <tableColumn id="1" name="  Grade" dataDxfId="2032" totalsRowDxfId="2031"/>
    <tableColumn id="13" name="Main Area $" dataDxfId="2030" totalsRowDxfId="2029"/>
    <tableColumn id="45" name="MA $/Sq Ft" totalsRowFunction="custom" dataDxfId="2028" totalsRowDxfId="2027">
      <calculatedColumnFormula>B988/F985</calculatedColumnFormula>
      <totalsRowFormula>AVERAGE(Table1107980[MA $/Sq Ft])</totalsRowFormula>
    </tableColumn>
    <tableColumn id="16" name="Basic Allowance" totalsRowFunction="custom" dataDxfId="2026" totalsRowDxfId="2025">
      <totalsRowFormula>AVERAGE(Table1107980[Basic Allowance])</totalsRowFormula>
    </tableColumn>
    <tableColumn id="43" name="BsmtVal" dataDxfId="2024" totalsRowDxfId="2023"/>
    <tableColumn id="46" name="Bsmt SqFt" dataDxfId="2022" totalsRowDxfId="2021"/>
    <tableColumn id="2" name="BsmtVal/Sq Ft" dataDxfId="2020" totalsRowDxfId="2019">
      <calculatedColumnFormula>E988/F988</calculatedColumnFormula>
    </tableColumn>
    <tableColumn id="17" name="Bsmt % Base" totalsRowFunction="custom" dataDxfId="2018" totalsRowDxfId="2017">
      <calculatedColumnFormula>G988/C988</calculatedColumnFormula>
      <totalsRowFormula>AVERAGE(Table1107980[Bsmt % Base])</totalsRowFormula>
    </tableColumn>
    <tableColumn id="30" name="UnfBsmtVal" dataDxfId="2016" totalsRowDxfId="2015"/>
    <tableColumn id="47" name="UnfBsmt Sq Ft" dataDxfId="2014" totalsRowDxfId="2013"/>
    <tableColumn id="3" name="UnfBsmtVal/SqFt" dataDxfId="2012" totalsRowDxfId="2011">
      <calculatedColumnFormula>I988/J988</calculatedColumnFormula>
    </tableColumn>
    <tableColumn id="44" name="UnfBsmt % Base" totalsRowFunction="custom" dataDxfId="2010" totalsRowDxfId="2009">
      <calculatedColumnFormula>K988/C988</calculatedColumnFormula>
      <totalsRowFormula>AVERAGE(Table1107980[[#Headers],[#Data],[UnfBsmt % Base]])</totalsRowFormula>
    </tableColumn>
    <tableColumn id="31" name="Lower Value" dataDxfId="2008" totalsRowDxfId="2007"/>
    <tableColumn id="48" name="Lower Sq Ft" dataDxfId="2006" totalsRowDxfId="2005"/>
    <tableColumn id="4" name="LowerVal/SqFt" totalsRowFunction="custom" dataDxfId="2004" totalsRowDxfId="2003">
      <calculatedColumnFormula>M988/N988</calculatedColumnFormula>
      <totalsRowFormula>AVERAGE(Table1107980[LowerVal/SqFt])</totalsRowFormula>
    </tableColumn>
    <tableColumn id="32" name="Lower % Base" totalsRowFunction="custom" dataDxfId="2002" totalsRowDxfId="2001">
      <calculatedColumnFormula>O988/C988</calculatedColumnFormula>
      <totalsRowFormula>AVERAGE(Table1107980[Lower % Base])</totalsRowFormula>
    </tableColumn>
    <tableColumn id="19" name="Unf Lower Value" dataDxfId="2000" totalsRowDxfId="1999"/>
    <tableColumn id="49" name="UnfLower Sq Ft" dataDxfId="1998" totalsRowDxfId="1997"/>
    <tableColumn id="14" name="UnfLowVal/SqFt2" dataDxfId="1996" totalsRowDxfId="1995">
      <calculatedColumnFormula>Q988/R988</calculatedColumnFormula>
    </tableColumn>
    <tableColumn id="33" name="Unf Lower % Base" totalsRowFunction="custom" dataDxfId="1994" totalsRowDxfId="1993">
      <calculatedColumnFormula>S988/C988</calculatedColumnFormula>
      <totalsRowFormula>AVERAGE(Table1107980[Unf Lower % Base])</totalsRowFormula>
    </tableColumn>
    <tableColumn id="20" name="1/2 Story Value" dataDxfId="1992" totalsRowDxfId="1991"/>
    <tableColumn id="50" name="1/2 Story Sq Ft" dataDxfId="1990" totalsRowDxfId="1989"/>
    <tableColumn id="5" name="1/2 StoryVal/SqFt" dataDxfId="1988" totalsRowDxfId="1987">
      <calculatedColumnFormula>U988/V988</calculatedColumnFormula>
    </tableColumn>
    <tableColumn id="34" name="1/2 Story % Base" totalsRowFunction="custom" dataDxfId="1986" totalsRowDxfId="1985">
      <calculatedColumnFormula>W988/C988</calculatedColumnFormula>
      <totalsRowFormula>AVERAGE(Table1107980[1/2 Story % Base])</totalsRowFormula>
    </tableColumn>
    <tableColumn id="21" name="2nd Story Value" dataDxfId="1984" totalsRowDxfId="1983"/>
    <tableColumn id="51" name="2nd Sty Sq Ft" dataDxfId="1982" totalsRowDxfId="1981"/>
    <tableColumn id="6" name="2ndStyVal/Sqft" dataDxfId="1980" totalsRowDxfId="1979">
      <calculatedColumnFormula>Y988/Z988</calculatedColumnFormula>
    </tableColumn>
    <tableColumn id="35" name="2nd Story % Base" totalsRowFunction="custom" dataDxfId="1978" totalsRowDxfId="1977">
      <calculatedColumnFormula>AA988/C988</calculatedColumnFormula>
      <totalsRowFormula>AVERAGE(Table1107980[2nd Story % Base])</totalsRowFormula>
    </tableColumn>
    <tableColumn id="22" name="Att Gar Value" dataDxfId="1976" totalsRowDxfId="1975"/>
    <tableColumn id="52" name="Att Gar Sq Ft" dataDxfId="1974" totalsRowDxfId="1973"/>
    <tableColumn id="7" name="AttGarVal/SqFt" totalsRowFunction="custom" dataDxfId="1972" totalsRowDxfId="1971">
      <calculatedColumnFormula>AC988/AD988</calculatedColumnFormula>
      <totalsRowFormula>AVERAGE(Table1107980[AttGarVal/SqFt])</totalsRowFormula>
    </tableColumn>
    <tableColumn id="36" name="Att Gar % Base" totalsRowFunction="custom" dataDxfId="1970" totalsRowDxfId="1969">
      <calculatedColumnFormula>AE988/C988</calculatedColumnFormula>
      <totalsRowFormula>AVERAGE(Table1107980[Att Gar % Base])</totalsRowFormula>
    </tableColumn>
    <tableColumn id="23" name="Porch Value" dataDxfId="1968" totalsRowDxfId="1967"/>
    <tableColumn id="53" name="Porch Sq Ft" dataDxfId="1966" totalsRowDxfId="1965"/>
    <tableColumn id="8" name="PorchVal/SqFt" dataDxfId="1964" totalsRowDxfId="1963">
      <calculatedColumnFormula>AG988/AH988</calculatedColumnFormula>
    </tableColumn>
    <tableColumn id="37" name="Porch % Base" totalsRowFunction="custom" dataDxfId="1962" totalsRowDxfId="1961">
      <calculatedColumnFormula>AI988/C988</calculatedColumnFormula>
      <totalsRowFormula>AVERAGE(Table1107980[Porch % Base])</totalsRowFormula>
    </tableColumn>
    <tableColumn id="24" name="Cov Porch Value" dataDxfId="1960" totalsRowDxfId="1959"/>
    <tableColumn id="54" name="Cov Porch Sq Ft" dataDxfId="1958" totalsRowDxfId="1957"/>
    <tableColumn id="9" name="CovPrVal/SqFt" dataDxfId="1956" totalsRowDxfId="1955">
      <calculatedColumnFormula>AK988/AL988</calculatedColumnFormula>
    </tableColumn>
    <tableColumn id="38" name="Cov Porch % Base" totalsRowFunction="custom" dataDxfId="1954" totalsRowDxfId="1953">
      <calculatedColumnFormula>AM988/C988</calculatedColumnFormula>
      <totalsRowFormula>AVERAGE(Table1107980[Cov Porch % Base])</totalsRowFormula>
    </tableColumn>
    <tableColumn id="25" name="Deck Value" dataDxfId="1952" totalsRowDxfId="1951"/>
    <tableColumn id="55" name="Deck Sq Ft" dataDxfId="1950" totalsRowDxfId="1949"/>
    <tableColumn id="10" name="DeckVal/SqFt" dataDxfId="1948" totalsRowDxfId="1947">
      <calculatedColumnFormula>AO988/AP988</calculatedColumnFormula>
    </tableColumn>
    <tableColumn id="39" name="Deck % Base" totalsRowFunction="custom" dataDxfId="1946" totalsRowDxfId="1945">
      <calculatedColumnFormula>AQ988/C988</calculatedColumnFormula>
      <totalsRowFormula>AVERAGE(Table1107980[Deck % Base])</totalsRowFormula>
    </tableColumn>
    <tableColumn id="26" name="Cov Deck Value" dataDxfId="1944" totalsRowDxfId="1943"/>
    <tableColumn id="56" name="CovDeck Sq Ft" dataDxfId="1942" totalsRowDxfId="1941"/>
    <tableColumn id="11" name="CovDeckVal/SqFt" totalsRowFunction="custom" dataDxfId="1940" totalsRowDxfId="1939">
      <calculatedColumnFormula>AS988/AT988</calculatedColumnFormula>
      <totalsRowFormula>AVERAGE(Table1107980[CovDeckVal/SqFt])</totalsRowFormula>
    </tableColumn>
    <tableColumn id="40" name="CovDeck % Base" totalsRowFunction="custom" dataDxfId="1938" totalsRowDxfId="1937">
      <calculatedColumnFormula>AU988/C988</calculatedColumnFormula>
      <totalsRowFormula>AVERAGE(Table1107980[CovDeck % Base])</totalsRowFormula>
    </tableColumn>
    <tableColumn id="27" name="CarP Value" dataDxfId="1936" totalsRowDxfId="1935"/>
    <tableColumn id="57" name="CarP Sq Ft" dataDxfId="1934" totalsRowDxfId="1933"/>
    <tableColumn id="12" name="CarPVal/SqFt" dataDxfId="1932" totalsRowDxfId="1931">
      <calculatedColumnFormula>AW988/AX988</calculatedColumnFormula>
    </tableColumn>
    <tableColumn id="41" name="CarP % Base" totalsRowFunction="custom" dataDxfId="1930" totalsRowDxfId="1929">
      <calculatedColumnFormula>AY988/C988</calculatedColumnFormula>
      <totalsRowFormula>AVERAGE(Table1107980[CarP % Base])</totalsRowFormula>
    </tableColumn>
    <tableColumn id="28" name="EFP Value" dataDxfId="1928" totalsRowDxfId="1927"/>
    <tableColumn id="58" name="EFP Sq Ft" dataDxfId="1926" totalsRowDxfId="1925"/>
    <tableColumn id="15" name="EFPVal/SqFt" dataDxfId="1924" totalsRowDxfId="1923">
      <calculatedColumnFormula>BA988/BB988</calculatedColumnFormula>
    </tableColumn>
    <tableColumn id="29" name="EFP % Base" totalsRowFunction="custom" dataDxfId="1922" totalsRowDxfId="1921">
      <calculatedColumnFormula>BC988/C988</calculatedColumnFormula>
      <totalsRowFormula>AVERAGE(Table1107980[EFP % Base])</totalsRowFormula>
    </tableColumn>
  </tableColumns>
  <tableStyleInfo name="TableStyleMedium1" showFirstColumn="0" showLastColumn="0" showRowStripes="1" showColumnStripes="0"/>
</table>
</file>

<file path=xl/tables/table84.xml><?xml version="1.0" encoding="utf-8"?>
<table xmlns="http://schemas.openxmlformats.org/spreadsheetml/2006/main" id="85" name="Table1107981" displayName="Table1107981" ref="A999:BD1007" totalsRowCount="1" headerRowDxfId="1920">
  <tableColumns count="56">
    <tableColumn id="1" name="  Grade" dataDxfId="1919" totalsRowDxfId="1918"/>
    <tableColumn id="13" name="Main Area $" dataDxfId="1917" totalsRowDxfId="1916"/>
    <tableColumn id="45" name="MA $/Sq Ft" totalsRowFunction="custom" dataDxfId="1915" totalsRowDxfId="1914">
      <calculatedColumnFormula>B1000/F997</calculatedColumnFormula>
      <totalsRowFormula>AVERAGE(Table1107981[MA $/Sq Ft])</totalsRowFormula>
    </tableColumn>
    <tableColumn id="16" name="Basic Allowance" totalsRowFunction="custom" dataDxfId="1913" totalsRowDxfId="1912">
      <totalsRowFormula>AVERAGE(Table1107981[Basic Allowance])</totalsRowFormula>
    </tableColumn>
    <tableColumn id="43" name="BsmtVal" dataDxfId="1911" totalsRowDxfId="1910"/>
    <tableColumn id="46" name="Bsmt SqFt" dataDxfId="1909" totalsRowDxfId="1908"/>
    <tableColumn id="2" name="BsmtVal/Sq Ft" dataDxfId="1907" totalsRowDxfId="1906">
      <calculatedColumnFormula>E1000/F1000</calculatedColumnFormula>
    </tableColumn>
    <tableColumn id="17" name="Bsmt % Base" totalsRowFunction="custom" dataDxfId="1905" totalsRowDxfId="1904">
      <calculatedColumnFormula>G1000/C1000</calculatedColumnFormula>
      <totalsRowFormula>AVERAGE(Table1107981[Bsmt % Base])</totalsRowFormula>
    </tableColumn>
    <tableColumn id="30" name="UnfBsmtVal" dataDxfId="1903" totalsRowDxfId="1902"/>
    <tableColumn id="47" name="UnfBsmt Sq Ft" dataDxfId="1901" totalsRowDxfId="1900"/>
    <tableColumn id="3" name="UnfBsmtVal/SqFt" dataDxfId="1899" totalsRowDxfId="1898">
      <calculatedColumnFormula>I1000/J1000</calculatedColumnFormula>
    </tableColumn>
    <tableColumn id="44" name="UnfBsmt % Base" totalsRowFunction="custom" dataDxfId="1897" totalsRowDxfId="1896">
      <calculatedColumnFormula>K1000/C1000</calculatedColumnFormula>
      <totalsRowFormula>AVERAGE(Table1107981[[#Headers],[#Data],[UnfBsmt % Base]])</totalsRowFormula>
    </tableColumn>
    <tableColumn id="31" name="Lower Value" dataDxfId="1895" totalsRowDxfId="1894"/>
    <tableColumn id="48" name="Lower Sq Ft" dataDxfId="1893" totalsRowDxfId="1892"/>
    <tableColumn id="4" name="LowerVal/SqFt" totalsRowFunction="custom" dataDxfId="1891" totalsRowDxfId="1890">
      <calculatedColumnFormula>M1000/N1000</calculatedColumnFormula>
      <totalsRowFormula>AVERAGE(Table1107981[LowerVal/SqFt])</totalsRowFormula>
    </tableColumn>
    <tableColumn id="32" name="Lower % Base" totalsRowFunction="custom" dataDxfId="1889" totalsRowDxfId="1888">
      <calculatedColumnFormula>O1000/C1000</calculatedColumnFormula>
      <totalsRowFormula>AVERAGE(Table1107981[Lower % Base])</totalsRowFormula>
    </tableColumn>
    <tableColumn id="19" name="Unf Lower Value" dataDxfId="1887" totalsRowDxfId="1886"/>
    <tableColumn id="49" name="UnfLower Sq Ft" dataDxfId="1885" totalsRowDxfId="1884"/>
    <tableColumn id="14" name="UnfLowVal/SqFt2" dataDxfId="1883" totalsRowDxfId="1882">
      <calculatedColumnFormula>Q1000/R1000</calculatedColumnFormula>
    </tableColumn>
    <tableColumn id="33" name="Unf Lower % Base" totalsRowFunction="custom" dataDxfId="1881" totalsRowDxfId="1880">
      <calculatedColumnFormula>S1000/C1000</calculatedColumnFormula>
      <totalsRowFormula>AVERAGE(Table1107981[Unf Lower % Base])</totalsRowFormula>
    </tableColumn>
    <tableColumn id="20" name="1/2 Story Value" dataDxfId="1879" totalsRowDxfId="1878"/>
    <tableColumn id="50" name="1/2 Story Sq Ft" dataDxfId="1877" totalsRowDxfId="1876"/>
    <tableColumn id="5" name="1/2 StoryVal/SqFt" dataDxfId="1875" totalsRowDxfId="1874">
      <calculatedColumnFormula>U1000/V1000</calculatedColumnFormula>
    </tableColumn>
    <tableColumn id="34" name="1/2 Story % Base" totalsRowFunction="custom" dataDxfId="1873" totalsRowDxfId="1872">
      <calculatedColumnFormula>W1000/C1000</calculatedColumnFormula>
      <totalsRowFormula>AVERAGE(Table1107981[1/2 Story % Base])</totalsRowFormula>
    </tableColumn>
    <tableColumn id="21" name="2nd Story Value" dataDxfId="1871" totalsRowDxfId="1870"/>
    <tableColumn id="51" name="2nd Sty Sq Ft" dataDxfId="1869" totalsRowDxfId="1868"/>
    <tableColumn id="6" name="2ndStyVal/Sqft" dataDxfId="1867" totalsRowDxfId="1866">
      <calculatedColumnFormula>Y1000/Z1000</calculatedColumnFormula>
    </tableColumn>
    <tableColumn id="35" name="2nd Story % Base" totalsRowFunction="custom" dataDxfId="1865" totalsRowDxfId="1864">
      <calculatedColumnFormula>AA1000/C1000</calculatedColumnFormula>
      <totalsRowFormula>AVERAGE(Table1107981[2nd Story % Base])</totalsRowFormula>
    </tableColumn>
    <tableColumn id="22" name="Att Gar Value" dataDxfId="1863" totalsRowDxfId="1862"/>
    <tableColumn id="52" name="Att Gar Sq Ft" dataDxfId="1861" totalsRowDxfId="1860"/>
    <tableColumn id="7" name="AttGarVal/SqFt" totalsRowFunction="custom" dataDxfId="1859" totalsRowDxfId="1858">
      <calculatedColumnFormula>AC1000/AD1000</calculatedColumnFormula>
      <totalsRowFormula>AVERAGE(Table1107981[AttGarVal/SqFt])</totalsRowFormula>
    </tableColumn>
    <tableColumn id="36" name="Att Gar % Base" totalsRowFunction="custom" dataDxfId="1857" totalsRowDxfId="1856">
      <calculatedColumnFormula>AE1000/C1000</calculatedColumnFormula>
      <totalsRowFormula>AVERAGE(Table1107981[Att Gar % Base])</totalsRowFormula>
    </tableColumn>
    <tableColumn id="23" name="Porch Value" dataDxfId="1855" totalsRowDxfId="1854"/>
    <tableColumn id="53" name="Porch Sq Ft" dataDxfId="1853" totalsRowDxfId="1852"/>
    <tableColumn id="8" name="PorchVal/SqFt" dataDxfId="1851" totalsRowDxfId="1850">
      <calculatedColumnFormula>AG1000/AH1000</calculatedColumnFormula>
    </tableColumn>
    <tableColumn id="37" name="Porch % Base" totalsRowFunction="custom" dataDxfId="1849" totalsRowDxfId="1848">
      <calculatedColumnFormula>AI1000/C1000</calculatedColumnFormula>
      <totalsRowFormula>AVERAGE(Table1107981[Porch % Base])</totalsRowFormula>
    </tableColumn>
    <tableColumn id="24" name="Cov Porch Value" dataDxfId="1847" totalsRowDxfId="1846"/>
    <tableColumn id="54" name="Cov Porch Sq Ft" dataDxfId="1845" totalsRowDxfId="1844"/>
    <tableColumn id="9" name="CovPrVal/SqFt" dataDxfId="1843" totalsRowDxfId="1842">
      <calculatedColumnFormula>AK1000/AL1000</calculatedColumnFormula>
    </tableColumn>
    <tableColumn id="38" name="Cov Porch % Base" totalsRowFunction="custom" dataDxfId="1841" totalsRowDxfId="1840">
      <calculatedColumnFormula>AM1000/C1000</calculatedColumnFormula>
      <totalsRowFormula>AVERAGE(Table1107981[Cov Porch % Base])</totalsRowFormula>
    </tableColumn>
    <tableColumn id="25" name="Deck Value" dataDxfId="1839" totalsRowDxfId="1838"/>
    <tableColumn id="55" name="Deck Sq Ft" dataDxfId="1837" totalsRowDxfId="1836"/>
    <tableColumn id="10" name="DeckVal/SqFt" dataDxfId="1835" totalsRowDxfId="1834">
      <calculatedColumnFormula>AO1000/AP1000</calculatedColumnFormula>
    </tableColumn>
    <tableColumn id="39" name="Deck % Base" totalsRowFunction="custom" dataDxfId="1833" totalsRowDxfId="1832">
      <calculatedColumnFormula>AQ1000/C1000</calculatedColumnFormula>
      <totalsRowFormula>AVERAGE(Table1107981[Deck % Base])</totalsRowFormula>
    </tableColumn>
    <tableColumn id="26" name="Cov Deck Value" dataDxfId="1831" totalsRowDxfId="1830"/>
    <tableColumn id="56" name="CovDeck Sq Ft" dataDxfId="1829" totalsRowDxfId="1828"/>
    <tableColumn id="11" name="CovDeckVal/SqFt" totalsRowFunction="custom" dataDxfId="1827" totalsRowDxfId="1826">
      <calculatedColumnFormula>AS1000/AT1000</calculatedColumnFormula>
      <totalsRowFormula>AVERAGE(Table1107981[CovDeckVal/SqFt])</totalsRowFormula>
    </tableColumn>
    <tableColumn id="40" name="CovDeck % Base" totalsRowFunction="custom" dataDxfId="1825" totalsRowDxfId="1824">
      <calculatedColumnFormula>AU1000/C1000</calculatedColumnFormula>
      <totalsRowFormula>AVERAGE(Table1107981[CovDeck % Base])</totalsRowFormula>
    </tableColumn>
    <tableColumn id="27" name="CarP Value" dataDxfId="1823" totalsRowDxfId="1822"/>
    <tableColumn id="57" name="CarP Sq Ft" dataDxfId="1821" totalsRowDxfId="1820"/>
    <tableColumn id="12" name="CarPVal/SqFt" dataDxfId="1819" totalsRowDxfId="1818">
      <calculatedColumnFormula>AW1000/AX1000</calculatedColumnFormula>
    </tableColumn>
    <tableColumn id="41" name="CarP % Base" totalsRowFunction="custom" dataDxfId="1817" totalsRowDxfId="1816">
      <calculatedColumnFormula>AY1000/C1000</calculatedColumnFormula>
      <totalsRowFormula>AVERAGE(Table1107981[CarP % Base])</totalsRowFormula>
    </tableColumn>
    <tableColumn id="28" name="EFP Value" dataDxfId="1815" totalsRowDxfId="1814"/>
    <tableColumn id="58" name="EFP Sq Ft" dataDxfId="1813" totalsRowDxfId="1812"/>
    <tableColumn id="15" name="EFPVal/SqFt" dataDxfId="1811" totalsRowDxfId="1810">
      <calculatedColumnFormula>BA1000/BB1000</calculatedColumnFormula>
    </tableColumn>
    <tableColumn id="29" name="EFP % Base" totalsRowFunction="custom" dataDxfId="1809" totalsRowDxfId="1808">
      <calculatedColumnFormula>BC1000/C1000</calculatedColumnFormula>
      <totalsRowFormula>AVERAGE(Table1107981[EFP % Base])</totalsRowFormula>
    </tableColumn>
  </tableColumns>
  <tableStyleInfo name="TableStyleMedium1" showFirstColumn="0" showLastColumn="0" showRowStripes="1" showColumnStripes="0"/>
</table>
</file>

<file path=xl/tables/table85.xml><?xml version="1.0" encoding="utf-8"?>
<table xmlns="http://schemas.openxmlformats.org/spreadsheetml/2006/main" id="86" name="Table1107982" displayName="Table1107982" ref="A1011:BD1019" totalsRowCount="1" headerRowDxfId="1807">
  <tableColumns count="56">
    <tableColumn id="1" name="  Grade" dataDxfId="1806" totalsRowDxfId="1805"/>
    <tableColumn id="13" name="Main Area $" dataDxfId="1804" totalsRowDxfId="1803"/>
    <tableColumn id="45" name="MA $/Sq Ft" totalsRowFunction="custom" dataDxfId="1802" totalsRowDxfId="1801">
      <calculatedColumnFormula>B1012/F1009</calculatedColumnFormula>
      <totalsRowFormula>AVERAGE(Table1107982[MA $/Sq Ft])</totalsRowFormula>
    </tableColumn>
    <tableColumn id="16" name="Basic Allowance" totalsRowFunction="custom" dataDxfId="1800" totalsRowDxfId="1799">
      <totalsRowFormula>AVERAGE(Table1107982[Basic Allowance])</totalsRowFormula>
    </tableColumn>
    <tableColumn id="43" name="BsmtVal" dataDxfId="1798" totalsRowDxfId="1797"/>
    <tableColumn id="46" name="Bsmt SqFt" dataDxfId="1796" totalsRowDxfId="1795"/>
    <tableColumn id="2" name="BsmtVal/Sq Ft" dataDxfId="1794" totalsRowDxfId="1793">
      <calculatedColumnFormula>E1012/F1012</calculatedColumnFormula>
    </tableColumn>
    <tableColumn id="17" name="Bsmt % Base" totalsRowFunction="custom" dataDxfId="1792" totalsRowDxfId="1791">
      <calculatedColumnFormula>G1012/C1012</calculatedColumnFormula>
      <totalsRowFormula>AVERAGE(Table1107982[Bsmt % Base])</totalsRowFormula>
    </tableColumn>
    <tableColumn id="30" name="UnfBsmtVal" dataDxfId="1790" totalsRowDxfId="1789"/>
    <tableColumn id="47" name="UnfBsmt Sq Ft" dataDxfId="1788" totalsRowDxfId="1787"/>
    <tableColumn id="3" name="UnfBsmtVal/SqFt" dataDxfId="1786" totalsRowDxfId="1785">
      <calculatedColumnFormula>I1012/J1012</calculatedColumnFormula>
    </tableColumn>
    <tableColumn id="44" name="UnfBsmt % Base" totalsRowFunction="custom" dataDxfId="1784" totalsRowDxfId="1783">
      <calculatedColumnFormula>K1012/C1012</calculatedColumnFormula>
      <totalsRowFormula>AVERAGE(Table1107982[[#Headers],[#Data],[UnfBsmt % Base]])</totalsRowFormula>
    </tableColumn>
    <tableColumn id="31" name="Lower Value" dataDxfId="1782" totalsRowDxfId="1781"/>
    <tableColumn id="48" name="Lower Sq Ft" dataDxfId="1780" totalsRowDxfId="1779"/>
    <tableColumn id="4" name="LowerVal/SqFt" totalsRowFunction="custom" dataDxfId="1778" totalsRowDxfId="1777">
      <calculatedColumnFormula>M1012/N1012</calculatedColumnFormula>
      <totalsRowFormula>AVERAGE(Table1107982[LowerVal/SqFt])</totalsRowFormula>
    </tableColumn>
    <tableColumn id="32" name="Lower % Base" totalsRowFunction="custom" dataDxfId="1776" totalsRowDxfId="1775">
      <calculatedColumnFormula>O1012/C1012</calculatedColumnFormula>
      <totalsRowFormula>AVERAGE(Table1107982[Lower % Base])</totalsRowFormula>
    </tableColumn>
    <tableColumn id="19" name="Unf Lower Value" dataDxfId="1774" totalsRowDxfId="1773"/>
    <tableColumn id="49" name="UnfLower Sq Ft" dataDxfId="1772" totalsRowDxfId="1771"/>
    <tableColumn id="14" name="UnfLowVal/SqFt2" dataDxfId="1770" totalsRowDxfId="1769">
      <calculatedColumnFormula>Q1012/R1012</calculatedColumnFormula>
    </tableColumn>
    <tableColumn id="33" name="Unf Lower % Base" totalsRowFunction="custom" dataDxfId="1768" totalsRowDxfId="1767">
      <calculatedColumnFormula>S1012/C1012</calculatedColumnFormula>
      <totalsRowFormula>AVERAGE(Table1107982[Unf Lower % Base])</totalsRowFormula>
    </tableColumn>
    <tableColumn id="20" name="1/2 Story Value" dataDxfId="1766" totalsRowDxfId="1765"/>
    <tableColumn id="50" name="1/2 Story Sq Ft" dataDxfId="1764" totalsRowDxfId="1763"/>
    <tableColumn id="5" name="1/2 StoryVal/SqFt" dataDxfId="1762" totalsRowDxfId="1761">
      <calculatedColumnFormula>U1012/V1012</calculatedColumnFormula>
    </tableColumn>
    <tableColumn id="34" name="1/2 Story % Base" totalsRowFunction="custom" dataDxfId="1760" totalsRowDxfId="1759">
      <calculatedColumnFormula>W1012/C1012</calculatedColumnFormula>
      <totalsRowFormula>AVERAGE(Table1107982[1/2 Story % Base])</totalsRowFormula>
    </tableColumn>
    <tableColumn id="21" name="2nd Story Value" dataDxfId="1758" totalsRowDxfId="1757"/>
    <tableColumn id="51" name="2nd Sty Sq Ft" dataDxfId="1756" totalsRowDxfId="1755"/>
    <tableColumn id="6" name="2ndStyVal/Sqft" dataDxfId="1754" totalsRowDxfId="1753">
      <calculatedColumnFormula>Y1012/Z1012</calculatedColumnFormula>
    </tableColumn>
    <tableColumn id="35" name="2nd Story % Base" totalsRowFunction="custom" dataDxfId="1752" totalsRowDxfId="1751">
      <calculatedColumnFormula>AA1012/C1012</calculatedColumnFormula>
      <totalsRowFormula>AVERAGE(Table1107982[2nd Story % Base])</totalsRowFormula>
    </tableColumn>
    <tableColumn id="22" name="Att Gar Value" dataDxfId="1750" totalsRowDxfId="1749"/>
    <tableColumn id="52" name="Att Gar Sq Ft" dataDxfId="1748" totalsRowDxfId="1747"/>
    <tableColumn id="7" name="AttGarVal/SqFt" totalsRowFunction="custom" dataDxfId="1746" totalsRowDxfId="1745">
      <calculatedColumnFormula>AC1012/AD1012</calculatedColumnFormula>
      <totalsRowFormula>AVERAGE(Table1107982[AttGarVal/SqFt])</totalsRowFormula>
    </tableColumn>
    <tableColumn id="36" name="Att Gar % Base" totalsRowFunction="custom" dataDxfId="1744" totalsRowDxfId="1743">
      <calculatedColumnFormula>AE1012/C1012</calculatedColumnFormula>
      <totalsRowFormula>AVERAGE(Table1107982[Att Gar % Base])</totalsRowFormula>
    </tableColumn>
    <tableColumn id="23" name="Porch Value" dataDxfId="1742" totalsRowDxfId="1741"/>
    <tableColumn id="53" name="Porch Sq Ft" dataDxfId="1740" totalsRowDxfId="1739"/>
    <tableColumn id="8" name="PorchVal/SqFt" dataDxfId="1738" totalsRowDxfId="1737">
      <calculatedColumnFormula>AG1012/AH1012</calculatedColumnFormula>
    </tableColumn>
    <tableColumn id="37" name="Porch % Base" totalsRowFunction="custom" dataDxfId="1736" totalsRowDxfId="1735">
      <calculatedColumnFormula>AI1012/C1012</calculatedColumnFormula>
      <totalsRowFormula>AVERAGE(Table1107982[Porch % Base])</totalsRowFormula>
    </tableColumn>
    <tableColumn id="24" name="Cov Porch Value" dataDxfId="1734" totalsRowDxfId="1733"/>
    <tableColumn id="54" name="Cov Porch Sq Ft" dataDxfId="1732" totalsRowDxfId="1731"/>
    <tableColumn id="9" name="CovPrVal/SqFt" dataDxfId="1730" totalsRowDxfId="1729">
      <calculatedColumnFormula>AK1012/AL1012</calculatedColumnFormula>
    </tableColumn>
    <tableColumn id="38" name="Cov Porch % Base" totalsRowFunction="custom" dataDxfId="1728" totalsRowDxfId="1727">
      <calculatedColumnFormula>AM1012/C1012</calculatedColumnFormula>
      <totalsRowFormula>AVERAGE(Table1107982[Cov Porch % Base])</totalsRowFormula>
    </tableColumn>
    <tableColumn id="25" name="Deck Value" dataDxfId="1726" totalsRowDxfId="1725"/>
    <tableColumn id="55" name="Deck Sq Ft" dataDxfId="1724" totalsRowDxfId="1723"/>
    <tableColumn id="10" name="DeckVal/SqFt" dataDxfId="1722" totalsRowDxfId="1721">
      <calculatedColumnFormula>AO1012/AP1012</calculatedColumnFormula>
    </tableColumn>
    <tableColumn id="39" name="Deck % Base" totalsRowFunction="custom" dataDxfId="1720" totalsRowDxfId="1719">
      <calculatedColumnFormula>AQ1012/C1012</calculatedColumnFormula>
      <totalsRowFormula>AVERAGE(Table1107982[Deck % Base])</totalsRowFormula>
    </tableColumn>
    <tableColumn id="26" name="Cov Deck Value" dataDxfId="1718" totalsRowDxfId="1717"/>
    <tableColumn id="56" name="CovDeck Sq Ft" dataDxfId="1716" totalsRowDxfId="1715"/>
    <tableColumn id="11" name="CovDeckVal/SqFt" totalsRowFunction="custom" dataDxfId="1714" totalsRowDxfId="1713">
      <calculatedColumnFormula>AS1012/AT1012</calculatedColumnFormula>
      <totalsRowFormula>AVERAGE(Table1107982[CovDeckVal/SqFt])</totalsRowFormula>
    </tableColumn>
    <tableColumn id="40" name="CovDeck % Base" totalsRowFunction="custom" dataDxfId="1712" totalsRowDxfId="1711">
      <calculatedColumnFormula>AU1012/C1012</calculatedColumnFormula>
      <totalsRowFormula>AVERAGE(Table1107982[CovDeck % Base])</totalsRowFormula>
    </tableColumn>
    <tableColumn id="27" name="CarP Value" dataDxfId="1710" totalsRowDxfId="1709"/>
    <tableColumn id="57" name="CarP Sq Ft" dataDxfId="1708" totalsRowDxfId="1707"/>
    <tableColumn id="12" name="CarPVal/SqFt" dataDxfId="1706" totalsRowDxfId="1705">
      <calculatedColumnFormula>AW1012/AX1012</calculatedColumnFormula>
    </tableColumn>
    <tableColumn id="41" name="CarP % Base" totalsRowFunction="custom" dataDxfId="1704" totalsRowDxfId="1703">
      <calculatedColumnFormula>AY1012/C1012</calculatedColumnFormula>
      <totalsRowFormula>AVERAGE(Table1107982[CarP % Base])</totalsRowFormula>
    </tableColumn>
    <tableColumn id="28" name="EFP Value" dataDxfId="1702" totalsRowDxfId="1701"/>
    <tableColumn id="58" name="EFP Sq Ft" dataDxfId="1700" totalsRowDxfId="1699"/>
    <tableColumn id="15" name="EFPVal/SqFt" dataDxfId="1698" totalsRowDxfId="1697">
      <calculatedColumnFormula>BA1012/BB1012</calculatedColumnFormula>
    </tableColumn>
    <tableColumn id="29" name="EFP % Base" totalsRowFunction="custom" dataDxfId="1696" totalsRowDxfId="1695">
      <calculatedColumnFormula>BC1012/C1012</calculatedColumnFormula>
      <totalsRowFormula>AVERAGE(Table1107982[EFP % Base])</totalsRowFormula>
    </tableColumn>
  </tableColumns>
  <tableStyleInfo name="TableStyleMedium1" showFirstColumn="0" showLastColumn="0" showRowStripes="1" showColumnStripes="0"/>
</table>
</file>

<file path=xl/tables/table86.xml><?xml version="1.0" encoding="utf-8"?>
<table xmlns="http://schemas.openxmlformats.org/spreadsheetml/2006/main" id="87" name="Table1107983" displayName="Table1107983" ref="A1023:BD1031" totalsRowCount="1" headerRowDxfId="1694">
  <tableColumns count="56">
    <tableColumn id="1" name="  Grade" dataDxfId="1693" totalsRowDxfId="1692"/>
    <tableColumn id="13" name="Main Area $" dataDxfId="1691" totalsRowDxfId="1690"/>
    <tableColumn id="45" name="MA $/Sq Ft" totalsRowFunction="custom" dataDxfId="1689" totalsRowDxfId="1688">
      <calculatedColumnFormula>B1024/F1021</calculatedColumnFormula>
      <totalsRowFormula>AVERAGE(Table1107983[MA $/Sq Ft])</totalsRowFormula>
    </tableColumn>
    <tableColumn id="16" name="Basic Allowance" totalsRowFunction="custom" dataDxfId="1687" totalsRowDxfId="1686">
      <totalsRowFormula>AVERAGE(Table1107983[Basic Allowance])</totalsRowFormula>
    </tableColumn>
    <tableColumn id="43" name="BsmtVal" dataDxfId="1685" totalsRowDxfId="1684"/>
    <tableColumn id="46" name="Bsmt SqFt" dataDxfId="1683" totalsRowDxfId="1682"/>
    <tableColumn id="2" name="BsmtVal/Sq Ft" dataDxfId="1681" totalsRowDxfId="1680">
      <calculatedColumnFormula>E1024/F1024</calculatedColumnFormula>
    </tableColumn>
    <tableColumn id="17" name="Bsmt % Base" totalsRowFunction="custom" dataDxfId="1679" totalsRowDxfId="1678">
      <calculatedColumnFormula>G1024/C1024</calculatedColumnFormula>
      <totalsRowFormula>AVERAGE(Table1107983[Bsmt % Base])</totalsRowFormula>
    </tableColumn>
    <tableColumn id="30" name="UnfBsmtVal" dataDxfId="1677" totalsRowDxfId="1676"/>
    <tableColumn id="47" name="UnfBsmt Sq Ft" dataDxfId="1675" totalsRowDxfId="1674"/>
    <tableColumn id="3" name="UnfBsmtVal/SqFt" dataDxfId="1673" totalsRowDxfId="1672">
      <calculatedColumnFormula>I1024/J1024</calculatedColumnFormula>
    </tableColumn>
    <tableColumn id="44" name="UnfBsmt % Base" totalsRowFunction="custom" dataDxfId="1671" totalsRowDxfId="1670">
      <calculatedColumnFormula>K1024/C1024</calculatedColumnFormula>
      <totalsRowFormula>AVERAGE(Table1107983[[#Headers],[#Data],[UnfBsmt % Base]])</totalsRowFormula>
    </tableColumn>
    <tableColumn id="31" name="Lower Value" dataDxfId="1669" totalsRowDxfId="1668"/>
    <tableColumn id="48" name="Lower Sq Ft" dataDxfId="1667" totalsRowDxfId="1666"/>
    <tableColumn id="4" name="LowerVal/SqFt" totalsRowFunction="custom" dataDxfId="1665" totalsRowDxfId="1664">
      <calculatedColumnFormula>M1024/N1024</calculatedColumnFormula>
      <totalsRowFormula>AVERAGE(Table1107983[LowerVal/SqFt])</totalsRowFormula>
    </tableColumn>
    <tableColumn id="32" name="Lower % Base" totalsRowFunction="custom" dataDxfId="1663" totalsRowDxfId="1662">
      <calculatedColumnFormula>O1024/C1024</calculatedColumnFormula>
      <totalsRowFormula>AVERAGE(Table1107983[Lower % Base])</totalsRowFormula>
    </tableColumn>
    <tableColumn id="19" name="Unf Lower Value" dataDxfId="1661" totalsRowDxfId="1660"/>
    <tableColumn id="49" name="UnfLower Sq Ft" dataDxfId="1659" totalsRowDxfId="1658"/>
    <tableColumn id="14" name="UnfLowVal/SqFt2" dataDxfId="1657" totalsRowDxfId="1656">
      <calculatedColumnFormula>Q1024/R1024</calculatedColumnFormula>
    </tableColumn>
    <tableColumn id="33" name="Unf Lower % Base" totalsRowFunction="custom" dataDxfId="1655" totalsRowDxfId="1654">
      <calculatedColumnFormula>S1024/C1024</calculatedColumnFormula>
      <totalsRowFormula>AVERAGE(Table1107983[Unf Lower % Base])</totalsRowFormula>
    </tableColumn>
    <tableColumn id="20" name="1/2 Story Value" dataDxfId="1653" totalsRowDxfId="1652"/>
    <tableColumn id="50" name="1/2 Story Sq Ft" dataDxfId="1651" totalsRowDxfId="1650"/>
    <tableColumn id="5" name="1/2 StoryVal/SqFt" dataDxfId="1649" totalsRowDxfId="1648">
      <calculatedColumnFormula>U1024/V1024</calculatedColumnFormula>
    </tableColumn>
    <tableColumn id="34" name="1/2 Story % Base" totalsRowFunction="custom" dataDxfId="1647" totalsRowDxfId="1646">
      <calculatedColumnFormula>W1024/C1024</calculatedColumnFormula>
      <totalsRowFormula>AVERAGE(Table1107983[1/2 Story % Base])</totalsRowFormula>
    </tableColumn>
    <tableColumn id="21" name="2nd Story Value" dataDxfId="1645" totalsRowDxfId="1644"/>
    <tableColumn id="51" name="2nd Sty Sq Ft" dataDxfId="1643" totalsRowDxfId="1642"/>
    <tableColumn id="6" name="2ndStyVal/Sqft" dataDxfId="1641" totalsRowDxfId="1640">
      <calculatedColumnFormula>Y1024/Z1024</calculatedColumnFormula>
    </tableColumn>
    <tableColumn id="35" name="2nd Story % Base" totalsRowFunction="custom" dataDxfId="1639" totalsRowDxfId="1638">
      <calculatedColumnFormula>AA1024/C1024</calculatedColumnFormula>
      <totalsRowFormula>AVERAGE(Table1107983[2nd Story % Base])</totalsRowFormula>
    </tableColumn>
    <tableColumn id="22" name="Att Gar Value" dataDxfId="1637" totalsRowDxfId="1636"/>
    <tableColumn id="52" name="Att Gar Sq Ft" dataDxfId="1635" totalsRowDxfId="1634"/>
    <tableColumn id="7" name="AttGarVal/SqFt" totalsRowFunction="custom" dataDxfId="1633" totalsRowDxfId="1632">
      <calculatedColumnFormula>AC1024/AD1024</calculatedColumnFormula>
      <totalsRowFormula>AVERAGE(Table1107983[AttGarVal/SqFt])</totalsRowFormula>
    </tableColumn>
    <tableColumn id="36" name="Att Gar % Base" totalsRowFunction="custom" dataDxfId="1631" totalsRowDxfId="1630">
      <calculatedColumnFormula>AE1024/C1024</calculatedColumnFormula>
      <totalsRowFormula>AVERAGE(Table1107983[Att Gar % Base])</totalsRowFormula>
    </tableColumn>
    <tableColumn id="23" name="Porch Value" dataDxfId="1629" totalsRowDxfId="1628"/>
    <tableColumn id="53" name="Porch Sq Ft" dataDxfId="1627" totalsRowDxfId="1626"/>
    <tableColumn id="8" name="PorchVal/SqFt" dataDxfId="1625" totalsRowDxfId="1624">
      <calculatedColumnFormula>AG1024/AH1024</calculatedColumnFormula>
    </tableColumn>
    <tableColumn id="37" name="Porch % Base" totalsRowFunction="custom" dataDxfId="1623" totalsRowDxfId="1622">
      <calculatedColumnFormula>AI1024/C1024</calculatedColumnFormula>
      <totalsRowFormula>AVERAGE(Table1107983[Porch % Base])</totalsRowFormula>
    </tableColumn>
    <tableColumn id="24" name="Cov Porch Value" dataDxfId="1621" totalsRowDxfId="1620"/>
    <tableColumn id="54" name="Cov Porch Sq Ft" dataDxfId="1619" totalsRowDxfId="1618"/>
    <tableColumn id="9" name="CovPrVal/SqFt" dataDxfId="1617" totalsRowDxfId="1616">
      <calculatedColumnFormula>AK1024/AL1024</calculatedColumnFormula>
    </tableColumn>
    <tableColumn id="38" name="Cov Porch % Base" totalsRowFunction="custom" dataDxfId="1615" totalsRowDxfId="1614">
      <calculatedColumnFormula>AM1024/C1024</calculatedColumnFormula>
      <totalsRowFormula>AVERAGE(Table1107983[Cov Porch % Base])</totalsRowFormula>
    </tableColumn>
    <tableColumn id="25" name="Deck Value" dataDxfId="1613" totalsRowDxfId="1612"/>
    <tableColumn id="55" name="Deck Sq Ft" dataDxfId="1611" totalsRowDxfId="1610"/>
    <tableColumn id="10" name="DeckVal/SqFt" dataDxfId="1609" totalsRowDxfId="1608">
      <calculatedColumnFormula>AO1024/AP1024</calculatedColumnFormula>
    </tableColumn>
    <tableColumn id="39" name="Deck % Base" totalsRowFunction="custom" dataDxfId="1607" totalsRowDxfId="1606">
      <calculatedColumnFormula>AQ1024/C1024</calculatedColumnFormula>
      <totalsRowFormula>AVERAGE(Table1107983[Deck % Base])</totalsRowFormula>
    </tableColumn>
    <tableColumn id="26" name="Cov Deck Value" dataDxfId="1605" totalsRowDxfId="1604"/>
    <tableColumn id="56" name="CovDeck Sq Ft" dataDxfId="1603" totalsRowDxfId="1602"/>
    <tableColumn id="11" name="CovDeckVal/SqFt" totalsRowFunction="custom" dataDxfId="1601" totalsRowDxfId="1600">
      <calculatedColumnFormula>AS1024/AT1024</calculatedColumnFormula>
      <totalsRowFormula>AVERAGE(Table1107983[CovDeckVal/SqFt])</totalsRowFormula>
    </tableColumn>
    <tableColumn id="40" name="CovDeck % Base" totalsRowFunction="custom" dataDxfId="1599" totalsRowDxfId="1598">
      <calculatedColumnFormula>AU1024/C1024</calculatedColumnFormula>
      <totalsRowFormula>AVERAGE(Table1107983[CovDeck % Base])</totalsRowFormula>
    </tableColumn>
    <tableColumn id="27" name="CarP Value" dataDxfId="1597" totalsRowDxfId="1596"/>
    <tableColumn id="57" name="CarP Sq Ft" dataDxfId="1595" totalsRowDxfId="1594"/>
    <tableColumn id="12" name="CarPVal/SqFt" dataDxfId="1593" totalsRowDxfId="1592">
      <calculatedColumnFormula>AW1024/AX1024</calculatedColumnFormula>
    </tableColumn>
    <tableColumn id="41" name="CarP % Base" totalsRowFunction="custom" dataDxfId="1591" totalsRowDxfId="1590">
      <calculatedColumnFormula>AY1024/C1024</calculatedColumnFormula>
      <totalsRowFormula>AVERAGE(Table1107983[CarP % Base])</totalsRowFormula>
    </tableColumn>
    <tableColumn id="28" name="EFP Value" dataDxfId="1589" totalsRowDxfId="1588"/>
    <tableColumn id="58" name="EFP Sq Ft" dataDxfId="1587" totalsRowDxfId="1586"/>
    <tableColumn id="15" name="EFPVal/SqFt" dataDxfId="1585" totalsRowDxfId="1584">
      <calculatedColumnFormula>BA1024/BB1024</calculatedColumnFormula>
    </tableColumn>
    <tableColumn id="29" name="EFP % Base" totalsRowFunction="custom" dataDxfId="1583" totalsRowDxfId="1582">
      <calculatedColumnFormula>BC1024/C1024</calculatedColumnFormula>
      <totalsRowFormula>AVERAGE(Table1107983[EFP % Base])</totalsRowFormula>
    </tableColumn>
  </tableColumns>
  <tableStyleInfo name="TableStyleMedium1" showFirstColumn="0" showLastColumn="0" showRowStripes="1" showColumnStripes="0"/>
</table>
</file>

<file path=xl/tables/table87.xml><?xml version="1.0" encoding="utf-8"?>
<table xmlns="http://schemas.openxmlformats.org/spreadsheetml/2006/main" id="88" name="Table1107984" displayName="Table1107984" ref="A1035:BD1043" totalsRowCount="1" headerRowDxfId="1581">
  <tableColumns count="56">
    <tableColumn id="1" name="  Grade" dataDxfId="1580" totalsRowDxfId="1579"/>
    <tableColumn id="13" name="Main Area $" dataDxfId="1578" totalsRowDxfId="1577"/>
    <tableColumn id="45" name="MA $/Sq Ft" totalsRowFunction="custom" dataDxfId="1576" totalsRowDxfId="1575">
      <calculatedColumnFormula>B1036/F1033</calculatedColumnFormula>
      <totalsRowFormula>AVERAGE(Table1107984[MA $/Sq Ft])</totalsRowFormula>
    </tableColumn>
    <tableColumn id="16" name="Basic Allowance" totalsRowFunction="custom" dataDxfId="1574" totalsRowDxfId="1573">
      <totalsRowFormula>AVERAGE(Table1107984[Basic Allowance])</totalsRowFormula>
    </tableColumn>
    <tableColumn id="43" name="BsmtVal" dataDxfId="1572" totalsRowDxfId="1571"/>
    <tableColumn id="46" name="Bsmt SqFt" dataDxfId="1570" totalsRowDxfId="1569"/>
    <tableColumn id="2" name="BsmtVal/Sq Ft" dataDxfId="1568" totalsRowDxfId="1567">
      <calculatedColumnFormula>E1036/F1036</calculatedColumnFormula>
    </tableColumn>
    <tableColumn id="17" name="Bsmt % Base" totalsRowFunction="custom" dataDxfId="1566" totalsRowDxfId="1565">
      <calculatedColumnFormula>G1036/C1036</calculatedColumnFormula>
      <totalsRowFormula>AVERAGE(Table1107984[Bsmt % Base])</totalsRowFormula>
    </tableColumn>
    <tableColumn id="30" name="UnfBsmtVal" dataDxfId="1564" totalsRowDxfId="1563"/>
    <tableColumn id="47" name="UnfBsmt Sq Ft" dataDxfId="1562" totalsRowDxfId="1561"/>
    <tableColumn id="3" name="UnfBsmtVal/SqFt" dataDxfId="1560" totalsRowDxfId="1559">
      <calculatedColumnFormula>I1036/J1036</calculatedColumnFormula>
    </tableColumn>
    <tableColumn id="44" name="UnfBsmt % Base" totalsRowFunction="custom" dataDxfId="1558" totalsRowDxfId="1557">
      <calculatedColumnFormula>K1036/C1036</calculatedColumnFormula>
      <totalsRowFormula>AVERAGE(Table1107984[[#Headers],[#Data],[UnfBsmt % Base]])</totalsRowFormula>
    </tableColumn>
    <tableColumn id="31" name="Lower Value" dataDxfId="1556" totalsRowDxfId="1555"/>
    <tableColumn id="48" name="Lower Sq Ft" dataDxfId="1554" totalsRowDxfId="1553"/>
    <tableColumn id="4" name="LowerVal/SqFt" totalsRowFunction="custom" dataDxfId="1552" totalsRowDxfId="1551">
      <calculatedColumnFormula>M1036/N1036</calculatedColumnFormula>
      <totalsRowFormula>AVERAGE(Table1107984[LowerVal/SqFt])</totalsRowFormula>
    </tableColumn>
    <tableColumn id="32" name="Lower % Base" totalsRowFunction="custom" dataDxfId="1550" totalsRowDxfId="1549">
      <calculatedColumnFormula>O1036/C1036</calculatedColumnFormula>
      <totalsRowFormula>AVERAGE(Table1107984[Lower % Base])</totalsRowFormula>
    </tableColumn>
    <tableColumn id="19" name="Unf Lower Value" dataDxfId="1548" totalsRowDxfId="1547"/>
    <tableColumn id="49" name="UnfLower Sq Ft" dataDxfId="1546" totalsRowDxfId="1545"/>
    <tableColumn id="14" name="UnfLowVal/SqFt2" dataDxfId="1544" totalsRowDxfId="1543">
      <calculatedColumnFormula>Q1036/R1036</calculatedColumnFormula>
    </tableColumn>
    <tableColumn id="33" name="Unf Lower % Base" totalsRowFunction="custom" dataDxfId="1542" totalsRowDxfId="1541">
      <calculatedColumnFormula>S1036/C1036</calculatedColumnFormula>
      <totalsRowFormula>AVERAGE(Table1107984[Unf Lower % Base])</totalsRowFormula>
    </tableColumn>
    <tableColumn id="20" name="1/2 Story Value" dataDxfId="1540" totalsRowDxfId="1539"/>
    <tableColumn id="50" name="1/2 Story Sq Ft" dataDxfId="1538" totalsRowDxfId="1537"/>
    <tableColumn id="5" name="1/2 StoryVal/SqFt" dataDxfId="1536" totalsRowDxfId="1535">
      <calculatedColumnFormula>U1036/V1036</calculatedColumnFormula>
    </tableColumn>
    <tableColumn id="34" name="1/2 Story % Base" totalsRowFunction="custom" dataDxfId="1534" totalsRowDxfId="1533">
      <calculatedColumnFormula>W1036/C1036</calculatedColumnFormula>
      <totalsRowFormula>AVERAGE(Table1107984[1/2 Story % Base])</totalsRowFormula>
    </tableColumn>
    <tableColumn id="21" name="2nd Story Value" dataDxfId="1532" totalsRowDxfId="1531"/>
    <tableColumn id="51" name="2nd Sty Sq Ft" dataDxfId="1530" totalsRowDxfId="1529"/>
    <tableColumn id="6" name="2ndStyVal/Sqft" dataDxfId="1528" totalsRowDxfId="1527">
      <calculatedColumnFormula>Y1036/Z1036</calculatedColumnFormula>
    </tableColumn>
    <tableColumn id="35" name="2nd Story % Base" totalsRowFunction="custom" dataDxfId="1526" totalsRowDxfId="1525">
      <calculatedColumnFormula>AA1036/C1036</calculatedColumnFormula>
      <totalsRowFormula>AVERAGE(Table1107984[2nd Story % Base])</totalsRowFormula>
    </tableColumn>
    <tableColumn id="22" name="Att Gar Value" dataDxfId="1524" totalsRowDxfId="1523"/>
    <tableColumn id="52" name="Att Gar Sq Ft" dataDxfId="1522" totalsRowDxfId="1521"/>
    <tableColumn id="7" name="AttGarVal/SqFt" totalsRowFunction="custom" dataDxfId="1520" totalsRowDxfId="1519">
      <calculatedColumnFormula>AC1036/AD1036</calculatedColumnFormula>
      <totalsRowFormula>AVERAGE(Table1107984[AttGarVal/SqFt])</totalsRowFormula>
    </tableColumn>
    <tableColumn id="36" name="Att Gar % Base" totalsRowFunction="custom" dataDxfId="1518" totalsRowDxfId="1517">
      <calculatedColumnFormula>AE1036/C1036</calculatedColumnFormula>
      <totalsRowFormula>AVERAGE(Table1107984[Att Gar % Base])</totalsRowFormula>
    </tableColumn>
    <tableColumn id="23" name="Porch Value" dataDxfId="1516" totalsRowDxfId="1515"/>
    <tableColumn id="53" name="Porch Sq Ft" dataDxfId="1514" totalsRowDxfId="1513"/>
    <tableColumn id="8" name="PorchVal/SqFt" dataDxfId="1512" totalsRowDxfId="1511">
      <calculatedColumnFormula>AG1036/AH1036</calculatedColumnFormula>
    </tableColumn>
    <tableColumn id="37" name="Porch % Base" totalsRowFunction="custom" dataDxfId="1510" totalsRowDxfId="1509">
      <calculatedColumnFormula>AI1036/C1036</calculatedColumnFormula>
      <totalsRowFormula>AVERAGE(Table1107984[Porch % Base])</totalsRowFormula>
    </tableColumn>
    <tableColumn id="24" name="Cov Porch Value" dataDxfId="1508" totalsRowDxfId="1507"/>
    <tableColumn id="54" name="Cov Porch Sq Ft" dataDxfId="1506" totalsRowDxfId="1505"/>
    <tableColumn id="9" name="CovPrVal/SqFt" dataDxfId="1504" totalsRowDxfId="1503">
      <calculatedColumnFormula>AK1036/AL1036</calculatedColumnFormula>
    </tableColumn>
    <tableColumn id="38" name="Cov Porch % Base" totalsRowFunction="custom" dataDxfId="1502" totalsRowDxfId="1501">
      <calculatedColumnFormula>AM1036/C1036</calculatedColumnFormula>
      <totalsRowFormula>AVERAGE(Table1107984[Cov Porch % Base])</totalsRowFormula>
    </tableColumn>
    <tableColumn id="25" name="Deck Value" dataDxfId="1500" totalsRowDxfId="1499"/>
    <tableColumn id="55" name="Deck Sq Ft" dataDxfId="1498" totalsRowDxfId="1497"/>
    <tableColumn id="10" name="DeckVal/SqFt" dataDxfId="1496" totalsRowDxfId="1495">
      <calculatedColumnFormula>AO1036/AP1036</calculatedColumnFormula>
    </tableColumn>
    <tableColumn id="39" name="Deck % Base" totalsRowFunction="custom" dataDxfId="1494" totalsRowDxfId="1493">
      <calculatedColumnFormula>AQ1036/C1036</calculatedColumnFormula>
      <totalsRowFormula>AVERAGE(Table1107984[Deck % Base])</totalsRowFormula>
    </tableColumn>
    <tableColumn id="26" name="Cov Deck Value" dataDxfId="1492" totalsRowDxfId="1491"/>
    <tableColumn id="56" name="CovDeck Sq Ft" dataDxfId="1490" totalsRowDxfId="1489"/>
    <tableColumn id="11" name="CovDeckVal/SqFt" totalsRowFunction="custom" dataDxfId="1488" totalsRowDxfId="1487">
      <calculatedColumnFormula>AS1036/AT1036</calculatedColumnFormula>
      <totalsRowFormula>AVERAGE(Table1107984[CovDeckVal/SqFt])</totalsRowFormula>
    </tableColumn>
    <tableColumn id="40" name="CovDeck % Base" totalsRowFunction="custom" dataDxfId="1486" totalsRowDxfId="1485">
      <calculatedColumnFormula>AU1036/C1036</calculatedColumnFormula>
      <totalsRowFormula>AVERAGE(Table1107984[CovDeck % Base])</totalsRowFormula>
    </tableColumn>
    <tableColumn id="27" name="CarP Value" dataDxfId="1484" totalsRowDxfId="1483"/>
    <tableColumn id="57" name="CarP Sq Ft" dataDxfId="1482" totalsRowDxfId="1481"/>
    <tableColumn id="12" name="CarPVal/SqFt" dataDxfId="1480" totalsRowDxfId="1479">
      <calculatedColumnFormula>AW1036/AX1036</calculatedColumnFormula>
    </tableColumn>
    <tableColumn id="41" name="CarP % Base" totalsRowFunction="custom" dataDxfId="1478" totalsRowDxfId="1477">
      <calculatedColumnFormula>AY1036/C1036</calculatedColumnFormula>
      <totalsRowFormula>AVERAGE(Table1107984[CarP % Base])</totalsRowFormula>
    </tableColumn>
    <tableColumn id="28" name="EFP Value" dataDxfId="1476" totalsRowDxfId="1475"/>
    <tableColumn id="58" name="EFP Sq Ft" dataDxfId="1474" totalsRowDxfId="1473"/>
    <tableColumn id="15" name="EFPVal/SqFt" dataDxfId="1472" totalsRowDxfId="1471">
      <calculatedColumnFormula>BA1036/BB1036</calculatedColumnFormula>
    </tableColumn>
    <tableColumn id="29" name="EFP % Base" totalsRowFunction="custom" dataDxfId="1470" totalsRowDxfId="1469">
      <calculatedColumnFormula>BC1036/C1036</calculatedColumnFormula>
      <totalsRowFormula>AVERAGE(Table1107984[EFP % Base])</totalsRowFormula>
    </tableColumn>
  </tableColumns>
  <tableStyleInfo name="TableStyleMedium1" showFirstColumn="0" showLastColumn="0" showRowStripes="1" showColumnStripes="0"/>
</table>
</file>

<file path=xl/tables/table88.xml><?xml version="1.0" encoding="utf-8"?>
<table xmlns="http://schemas.openxmlformats.org/spreadsheetml/2006/main" id="89" name="Table1107985" displayName="Table1107985" ref="A1047:BD1055" totalsRowCount="1" headerRowDxfId="1468">
  <tableColumns count="56">
    <tableColumn id="1" name="  Grade" dataDxfId="1467" totalsRowDxfId="1466"/>
    <tableColumn id="13" name="Main Area $" dataDxfId="1465" totalsRowDxfId="1464"/>
    <tableColumn id="45" name="MA $/Sq Ft" totalsRowFunction="custom" dataDxfId="1463" totalsRowDxfId="1462">
      <calculatedColumnFormula>B1048/F1045</calculatedColumnFormula>
      <totalsRowFormula>AVERAGE(Table1107985[MA $/Sq Ft])</totalsRowFormula>
    </tableColumn>
    <tableColumn id="16" name="Basic Allowance" totalsRowFunction="custom" dataDxfId="1461" totalsRowDxfId="1460">
      <totalsRowFormula>AVERAGE(Table1107985[Basic Allowance])</totalsRowFormula>
    </tableColumn>
    <tableColumn id="43" name="BsmtVal" dataDxfId="1459" totalsRowDxfId="1458"/>
    <tableColumn id="46" name="Bsmt SqFt" dataDxfId="1457" totalsRowDxfId="1456"/>
    <tableColumn id="2" name="BsmtVal/Sq Ft" dataDxfId="1455" totalsRowDxfId="1454">
      <calculatedColumnFormula>E1048/F1048</calculatedColumnFormula>
    </tableColumn>
    <tableColumn id="17" name="Bsmt % Base" totalsRowFunction="custom" dataDxfId="1453" totalsRowDxfId="1452">
      <calculatedColumnFormula>G1048/C1048</calculatedColumnFormula>
      <totalsRowFormula>AVERAGE(Table1107985[Bsmt % Base])</totalsRowFormula>
    </tableColumn>
    <tableColumn id="30" name="UnfBsmtVal" dataDxfId="1451" totalsRowDxfId="1450"/>
    <tableColumn id="47" name="UnfBsmt Sq Ft" dataDxfId="1449" totalsRowDxfId="1448"/>
    <tableColumn id="3" name="UnfBsmtVal/SqFt" dataDxfId="1447" totalsRowDxfId="1446">
      <calculatedColumnFormula>I1048/J1048</calculatedColumnFormula>
    </tableColumn>
    <tableColumn id="44" name="UnfBsmt % Base" totalsRowFunction="custom" dataDxfId="1445" totalsRowDxfId="1444">
      <calculatedColumnFormula>K1048/C1048</calculatedColumnFormula>
      <totalsRowFormula>AVERAGE(Table1107985[[#Headers],[#Data],[UnfBsmt % Base]])</totalsRowFormula>
    </tableColumn>
    <tableColumn id="31" name="Lower Value" dataDxfId="1443" totalsRowDxfId="1442"/>
    <tableColumn id="48" name="Lower Sq Ft" dataDxfId="1441" totalsRowDxfId="1440"/>
    <tableColumn id="4" name="LowerVal/SqFt" totalsRowFunction="custom" dataDxfId="1439" totalsRowDxfId="1438">
      <calculatedColumnFormula>M1048/N1048</calculatedColumnFormula>
      <totalsRowFormula>AVERAGE(Table1107985[LowerVal/SqFt])</totalsRowFormula>
    </tableColumn>
    <tableColumn id="32" name="Lower % Base" totalsRowFunction="custom" dataDxfId="1437" totalsRowDxfId="1436">
      <calculatedColumnFormula>O1048/C1048</calculatedColumnFormula>
      <totalsRowFormula>AVERAGE(Table1107985[Lower % Base])</totalsRowFormula>
    </tableColumn>
    <tableColumn id="19" name="Unf Lower Value" dataDxfId="1435" totalsRowDxfId="1434"/>
    <tableColumn id="49" name="UnfLower Sq Ft" dataDxfId="1433" totalsRowDxfId="1432"/>
    <tableColumn id="14" name="UnfLowVal/SqFt2" dataDxfId="1431" totalsRowDxfId="1430">
      <calculatedColumnFormula>Q1048/R1048</calculatedColumnFormula>
    </tableColumn>
    <tableColumn id="33" name="Unf Lower % Base" totalsRowFunction="custom" dataDxfId="1429" totalsRowDxfId="1428">
      <calculatedColumnFormula>S1048/C1048</calculatedColumnFormula>
      <totalsRowFormula>AVERAGE(Table1107985[Unf Lower % Base])</totalsRowFormula>
    </tableColumn>
    <tableColumn id="20" name="1/2 Story Value" dataDxfId="1427" totalsRowDxfId="1426"/>
    <tableColumn id="50" name="1/2 Story Sq Ft" dataDxfId="1425" totalsRowDxfId="1424"/>
    <tableColumn id="5" name="1/2 StoryVal/SqFt" dataDxfId="1423" totalsRowDxfId="1422">
      <calculatedColumnFormula>U1048/V1048</calculatedColumnFormula>
    </tableColumn>
    <tableColumn id="34" name="1/2 Story % Base" totalsRowFunction="custom" dataDxfId="1421" totalsRowDxfId="1420">
      <calculatedColumnFormula>W1048/C1048</calculatedColumnFormula>
      <totalsRowFormula>AVERAGE(Table1107985[1/2 Story % Base])</totalsRowFormula>
    </tableColumn>
    <tableColumn id="21" name="2nd Story Value" dataDxfId="1419" totalsRowDxfId="1418"/>
    <tableColumn id="51" name="2nd Sty Sq Ft" dataDxfId="1417" totalsRowDxfId="1416"/>
    <tableColumn id="6" name="2ndStyVal/Sqft" dataDxfId="1415" totalsRowDxfId="1414">
      <calculatedColumnFormula>Y1048/Z1048</calculatedColumnFormula>
    </tableColumn>
    <tableColumn id="35" name="2nd Story % Base" totalsRowFunction="custom" dataDxfId="1413" totalsRowDxfId="1412">
      <calculatedColumnFormula>AA1048/C1048</calculatedColumnFormula>
      <totalsRowFormula>AVERAGE(Table1107985[2nd Story % Base])</totalsRowFormula>
    </tableColumn>
    <tableColumn id="22" name="Att Gar Value" dataDxfId="1411" totalsRowDxfId="1410"/>
    <tableColumn id="52" name="Att Gar Sq Ft" dataDxfId="1409" totalsRowDxfId="1408"/>
    <tableColumn id="7" name="AttGarVal/SqFt" totalsRowFunction="custom" dataDxfId="1407" totalsRowDxfId="1406">
      <calculatedColumnFormula>AC1048/AD1048</calculatedColumnFormula>
      <totalsRowFormula>AVERAGE(Table1107985[AttGarVal/SqFt])</totalsRowFormula>
    </tableColumn>
    <tableColumn id="36" name="Att Gar % Base" totalsRowFunction="custom" dataDxfId="1405" totalsRowDxfId="1404">
      <calculatedColumnFormula>AE1048/C1048</calculatedColumnFormula>
      <totalsRowFormula>AVERAGE(Table1107985[Att Gar % Base])</totalsRowFormula>
    </tableColumn>
    <tableColumn id="23" name="Porch Value" dataDxfId="1403" totalsRowDxfId="1402"/>
    <tableColumn id="53" name="Porch Sq Ft" dataDxfId="1401" totalsRowDxfId="1400"/>
    <tableColumn id="8" name="PorchVal/SqFt" dataDxfId="1399" totalsRowDxfId="1398">
      <calculatedColumnFormula>AG1048/AH1048</calculatedColumnFormula>
    </tableColumn>
    <tableColumn id="37" name="Porch % Base" totalsRowFunction="custom" dataDxfId="1397" totalsRowDxfId="1396">
      <calculatedColumnFormula>AI1048/C1048</calculatedColumnFormula>
      <totalsRowFormula>AVERAGE(Table1107985[Porch % Base])</totalsRowFormula>
    </tableColumn>
    <tableColumn id="24" name="Cov Porch Value" dataDxfId="1395" totalsRowDxfId="1394"/>
    <tableColumn id="54" name="Cov Porch Sq Ft" dataDxfId="1393" totalsRowDxfId="1392"/>
    <tableColumn id="9" name="CovPrVal/SqFt" dataDxfId="1391" totalsRowDxfId="1390">
      <calculatedColumnFormula>AK1048/AL1048</calculatedColumnFormula>
    </tableColumn>
    <tableColumn id="38" name="Cov Porch % Base" totalsRowFunction="custom" dataDxfId="1389" totalsRowDxfId="1388">
      <calculatedColumnFormula>AM1048/C1048</calculatedColumnFormula>
      <totalsRowFormula>AVERAGE(Table1107985[Cov Porch % Base])</totalsRowFormula>
    </tableColumn>
    <tableColumn id="25" name="Deck Value" dataDxfId="1387" totalsRowDxfId="1386"/>
    <tableColumn id="55" name="Deck Sq Ft" dataDxfId="1385" totalsRowDxfId="1384"/>
    <tableColumn id="10" name="DeckVal/SqFt" dataDxfId="1383" totalsRowDxfId="1382">
      <calculatedColumnFormula>AO1048/AP1048</calculatedColumnFormula>
    </tableColumn>
    <tableColumn id="39" name="Deck % Base" totalsRowFunction="custom" dataDxfId="1381" totalsRowDxfId="1380">
      <calculatedColumnFormula>AQ1048/C1048</calculatedColumnFormula>
      <totalsRowFormula>AVERAGE(Table1107985[Deck % Base])</totalsRowFormula>
    </tableColumn>
    <tableColumn id="26" name="Cov Deck Value" dataDxfId="1379" totalsRowDxfId="1378"/>
    <tableColumn id="56" name="CovDeck Sq Ft" dataDxfId="1377" totalsRowDxfId="1376"/>
    <tableColumn id="11" name="CovDeckVal/SqFt" totalsRowFunction="custom" dataDxfId="1375" totalsRowDxfId="1374">
      <calculatedColumnFormula>AS1048/AT1048</calculatedColumnFormula>
      <totalsRowFormula>AVERAGE(Table1107985[CovDeckVal/SqFt])</totalsRowFormula>
    </tableColumn>
    <tableColumn id="40" name="CovDeck % Base" totalsRowFunction="custom" dataDxfId="1373" totalsRowDxfId="1372">
      <calculatedColumnFormula>AU1048/C1048</calculatedColumnFormula>
      <totalsRowFormula>AVERAGE(Table1107985[CovDeck % Base])</totalsRowFormula>
    </tableColumn>
    <tableColumn id="27" name="CarP Value" dataDxfId="1371" totalsRowDxfId="1370"/>
    <tableColumn id="57" name="CarP Sq Ft" dataDxfId="1369" totalsRowDxfId="1368"/>
    <tableColumn id="12" name="CarPVal/SqFt" dataDxfId="1367" totalsRowDxfId="1366">
      <calculatedColumnFormula>AW1048/AX1048</calculatedColumnFormula>
    </tableColumn>
    <tableColumn id="41" name="CarP % Base" totalsRowFunction="custom" dataDxfId="1365" totalsRowDxfId="1364">
      <calculatedColumnFormula>AY1048/C1048</calculatedColumnFormula>
      <totalsRowFormula>AVERAGE(Table1107985[CarP % Base])</totalsRowFormula>
    </tableColumn>
    <tableColumn id="28" name="EFP Value" dataDxfId="1363" totalsRowDxfId="1362"/>
    <tableColumn id="58" name="EFP Sq Ft" dataDxfId="1361" totalsRowDxfId="1360"/>
    <tableColumn id="15" name="EFPVal/SqFt" dataDxfId="1359" totalsRowDxfId="1358">
      <calculatedColumnFormula>BA1048/BB1048</calculatedColumnFormula>
    </tableColumn>
    <tableColumn id="29" name="EFP % Base" totalsRowFunction="custom" dataDxfId="1357" totalsRowDxfId="1356">
      <calculatedColumnFormula>BC1048/C1048</calculatedColumnFormula>
      <totalsRowFormula>AVERAGE(Table1107985[EFP % Base])</totalsRowFormula>
    </tableColumn>
  </tableColumns>
  <tableStyleInfo name="TableStyleMedium1" showFirstColumn="0" showLastColumn="0" showRowStripes="1" showColumnStripes="0"/>
</table>
</file>

<file path=xl/tables/table89.xml><?xml version="1.0" encoding="utf-8"?>
<table xmlns="http://schemas.openxmlformats.org/spreadsheetml/2006/main" id="90" name="Table1107986" displayName="Table1107986" ref="A1059:BD1067" totalsRowCount="1" headerRowDxfId="1355">
  <tableColumns count="56">
    <tableColumn id="1" name="  Grade" dataDxfId="1354" totalsRowDxfId="1353"/>
    <tableColumn id="13" name="Main Area $" dataDxfId="1352" totalsRowDxfId="1351"/>
    <tableColumn id="45" name="MA $/Sq Ft" totalsRowFunction="custom" dataDxfId="1350" totalsRowDxfId="1349">
      <calculatedColumnFormula>B1060/F1057</calculatedColumnFormula>
      <totalsRowFormula>AVERAGE(Table1107986[MA $/Sq Ft])</totalsRowFormula>
    </tableColumn>
    <tableColumn id="16" name="Basic Allowance" totalsRowFunction="custom" dataDxfId="1348" totalsRowDxfId="1347">
      <totalsRowFormula>AVERAGE(Table1107986[Basic Allowance])</totalsRowFormula>
    </tableColumn>
    <tableColumn id="43" name="BsmtVal" dataDxfId="1346" totalsRowDxfId="1345"/>
    <tableColumn id="46" name="Bsmt SqFt" dataDxfId="1344" totalsRowDxfId="1343"/>
    <tableColumn id="2" name="BsmtVal/Sq Ft" dataDxfId="1342" totalsRowDxfId="1341">
      <calculatedColumnFormula>E1060/F1060</calculatedColumnFormula>
    </tableColumn>
    <tableColumn id="17" name="Bsmt % Base" totalsRowFunction="custom" dataDxfId="1340" totalsRowDxfId="1339">
      <calculatedColumnFormula>G1060/C1060</calculatedColumnFormula>
      <totalsRowFormula>AVERAGE(Table1107986[Bsmt % Base])</totalsRowFormula>
    </tableColumn>
    <tableColumn id="30" name="UnfBsmtVal" dataDxfId="1338" totalsRowDxfId="1337"/>
    <tableColumn id="47" name="UnfBsmt Sq Ft" dataDxfId="1336" totalsRowDxfId="1335"/>
    <tableColumn id="3" name="UnfBsmtVal/SqFt" dataDxfId="1334" totalsRowDxfId="1333">
      <calculatedColumnFormula>I1060/J1060</calculatedColumnFormula>
    </tableColumn>
    <tableColumn id="44" name="UnfBsmt % Base" totalsRowFunction="custom" dataDxfId="1332" totalsRowDxfId="1331">
      <calculatedColumnFormula>K1060/C1060</calculatedColumnFormula>
      <totalsRowFormula>AVERAGE(Table1107986[[#Headers],[#Data],[UnfBsmt % Base]])</totalsRowFormula>
    </tableColumn>
    <tableColumn id="31" name="Lower Value" dataDxfId="1330" totalsRowDxfId="1329"/>
    <tableColumn id="48" name="Lower Sq Ft" dataDxfId="1328" totalsRowDxfId="1327"/>
    <tableColumn id="4" name="LowerVal/SqFt" totalsRowFunction="custom" dataDxfId="1326" totalsRowDxfId="1325">
      <calculatedColumnFormula>M1060/N1060</calculatedColumnFormula>
      <totalsRowFormula>AVERAGE(Table1107986[LowerVal/SqFt])</totalsRowFormula>
    </tableColumn>
    <tableColumn id="32" name="Lower % Base" totalsRowFunction="custom" dataDxfId="1324" totalsRowDxfId="1323">
      <calculatedColumnFormula>O1060/C1060</calculatedColumnFormula>
      <totalsRowFormula>AVERAGE(Table1107986[Lower % Base])</totalsRowFormula>
    </tableColumn>
    <tableColumn id="19" name="Unf Lower Value" dataDxfId="1322" totalsRowDxfId="1321"/>
    <tableColumn id="49" name="UnfLower Sq Ft" dataDxfId="1320" totalsRowDxfId="1319"/>
    <tableColumn id="14" name="UnfLowVal/SqFt2" dataDxfId="1318" totalsRowDxfId="1317">
      <calculatedColumnFormula>Q1060/R1060</calculatedColumnFormula>
    </tableColumn>
    <tableColumn id="33" name="Unf Lower % Base" totalsRowFunction="custom" dataDxfId="1316" totalsRowDxfId="1315">
      <calculatedColumnFormula>S1060/C1060</calculatedColumnFormula>
      <totalsRowFormula>AVERAGE(Table1107986[Unf Lower % Base])</totalsRowFormula>
    </tableColumn>
    <tableColumn id="20" name="1/2 Story Value" dataDxfId="1314" totalsRowDxfId="1313"/>
    <tableColumn id="50" name="1/2 Story Sq Ft" dataDxfId="1312" totalsRowDxfId="1311"/>
    <tableColumn id="5" name="1/2 StoryVal/SqFt" dataDxfId="1310" totalsRowDxfId="1309">
      <calculatedColumnFormula>U1060/V1060</calculatedColumnFormula>
    </tableColumn>
    <tableColumn id="34" name="1/2 Story % Base" totalsRowFunction="custom" dataDxfId="1308" totalsRowDxfId="1307">
      <calculatedColumnFormula>W1060/C1060</calculatedColumnFormula>
      <totalsRowFormula>AVERAGE(Table1107986[1/2 Story % Base])</totalsRowFormula>
    </tableColumn>
    <tableColumn id="21" name="2nd Story Value" dataDxfId="1306" totalsRowDxfId="1305"/>
    <tableColumn id="51" name="2nd Sty Sq Ft" dataDxfId="1304" totalsRowDxfId="1303"/>
    <tableColumn id="6" name="2ndStyVal/Sqft" dataDxfId="1302" totalsRowDxfId="1301">
      <calculatedColumnFormula>Y1060/Z1060</calculatedColumnFormula>
    </tableColumn>
    <tableColumn id="35" name="2nd Story % Base" totalsRowFunction="custom" dataDxfId="1300" totalsRowDxfId="1299">
      <calculatedColumnFormula>AA1060/C1060</calculatedColumnFormula>
      <totalsRowFormula>AVERAGE(Table1107986[2nd Story % Base])</totalsRowFormula>
    </tableColumn>
    <tableColumn id="22" name="Att Gar Value" dataDxfId="1298" totalsRowDxfId="1297"/>
    <tableColumn id="52" name="Att Gar Sq Ft" dataDxfId="1296" totalsRowDxfId="1295"/>
    <tableColumn id="7" name="AttGarVal/SqFt" totalsRowFunction="custom" dataDxfId="1294" totalsRowDxfId="1293">
      <calculatedColumnFormula>AC1060/AD1060</calculatedColumnFormula>
      <totalsRowFormula>AVERAGE(Table1107986[AttGarVal/SqFt])</totalsRowFormula>
    </tableColumn>
    <tableColumn id="36" name="Att Gar % Base" totalsRowFunction="custom" dataDxfId="1292" totalsRowDxfId="1291">
      <calculatedColumnFormula>AE1060/C1060</calculatedColumnFormula>
      <totalsRowFormula>AVERAGE(Table1107986[Att Gar % Base])</totalsRowFormula>
    </tableColumn>
    <tableColumn id="23" name="Porch Value" dataDxfId="1290" totalsRowDxfId="1289"/>
    <tableColumn id="53" name="Porch Sq Ft" dataDxfId="1288" totalsRowDxfId="1287"/>
    <tableColumn id="8" name="PorchVal/SqFt" dataDxfId="1286" totalsRowDxfId="1285">
      <calculatedColumnFormula>AG1060/AH1060</calculatedColumnFormula>
    </tableColumn>
    <tableColumn id="37" name="Porch % Base" totalsRowFunction="custom" dataDxfId="1284" totalsRowDxfId="1283">
      <calculatedColumnFormula>AI1060/C1060</calculatedColumnFormula>
      <totalsRowFormula>AVERAGE(Table1107986[Porch % Base])</totalsRowFormula>
    </tableColumn>
    <tableColumn id="24" name="Cov Porch Value" dataDxfId="1282" totalsRowDxfId="1281"/>
    <tableColumn id="54" name="Cov Porch Sq Ft" dataDxfId="1280" totalsRowDxfId="1279"/>
    <tableColumn id="9" name="CovPrVal/SqFt" dataDxfId="1278" totalsRowDxfId="1277">
      <calculatedColumnFormula>AK1060/AL1060</calculatedColumnFormula>
    </tableColumn>
    <tableColumn id="38" name="Cov Porch % Base" totalsRowFunction="custom" dataDxfId="1276" totalsRowDxfId="1275">
      <calculatedColumnFormula>AM1060/C1060</calculatedColumnFormula>
      <totalsRowFormula>AVERAGE(Table1107986[Cov Porch % Base])</totalsRowFormula>
    </tableColumn>
    <tableColumn id="25" name="Deck Value" dataDxfId="1274" totalsRowDxfId="1273"/>
    <tableColumn id="55" name="Deck Sq Ft" dataDxfId="1272" totalsRowDxfId="1271"/>
    <tableColumn id="10" name="DeckVal/SqFt" dataDxfId="1270" totalsRowDxfId="1269">
      <calculatedColumnFormula>AO1060/AP1060</calculatedColumnFormula>
    </tableColumn>
    <tableColumn id="39" name="Deck % Base" totalsRowFunction="custom" dataDxfId="1268" totalsRowDxfId="1267">
      <calculatedColumnFormula>AQ1060/C1060</calculatedColumnFormula>
      <totalsRowFormula>AVERAGE(Table1107986[Deck % Base])</totalsRowFormula>
    </tableColumn>
    <tableColumn id="26" name="Cov Deck Value" dataDxfId="1266" totalsRowDxfId="1265"/>
    <tableColumn id="56" name="CovDeck Sq Ft" dataDxfId="1264" totalsRowDxfId="1263"/>
    <tableColumn id="11" name="CovDeckVal/SqFt" totalsRowFunction="custom" dataDxfId="1262" totalsRowDxfId="1261">
      <calculatedColumnFormula>AS1060/AT1060</calculatedColumnFormula>
      <totalsRowFormula>AVERAGE(Table1107986[CovDeckVal/SqFt])</totalsRowFormula>
    </tableColumn>
    <tableColumn id="40" name="CovDeck % Base" totalsRowFunction="custom" dataDxfId="1260" totalsRowDxfId="1259">
      <calculatedColumnFormula>AU1060/C1060</calculatedColumnFormula>
      <totalsRowFormula>AVERAGE(Table1107986[CovDeck % Base])</totalsRowFormula>
    </tableColumn>
    <tableColumn id="27" name="CarP Value" dataDxfId="1258" totalsRowDxfId="1257"/>
    <tableColumn id="57" name="CarP Sq Ft" dataDxfId="1256" totalsRowDxfId="1255"/>
    <tableColumn id="12" name="CarPVal/SqFt" dataDxfId="1254" totalsRowDxfId="1253">
      <calculatedColumnFormula>AW1060/AX1060</calculatedColumnFormula>
    </tableColumn>
    <tableColumn id="41" name="CarP % Base" totalsRowFunction="custom" dataDxfId="1252" totalsRowDxfId="1251">
      <calculatedColumnFormula>AY1060/C1060</calculatedColumnFormula>
      <totalsRowFormula>AVERAGE(Table1107986[CarP % Base])</totalsRowFormula>
    </tableColumn>
    <tableColumn id="28" name="EFP Value" dataDxfId="1250" totalsRowDxfId="1249"/>
    <tableColumn id="58" name="EFP Sq Ft" dataDxfId="1248" totalsRowDxfId="1247"/>
    <tableColumn id="15" name="EFPVal/SqFt" dataDxfId="1246" totalsRowDxfId="1245">
      <calculatedColumnFormula>BA1060/BB1060</calculatedColumnFormula>
    </tableColumn>
    <tableColumn id="29" name="EFP % Base" totalsRowFunction="custom" dataDxfId="1244" totalsRowDxfId="1243">
      <calculatedColumnFormula>BC1060/C1060</calculatedColumnFormula>
      <totalsRowFormula>AVERAGE(Table1107986[EFP % Base])</totalsRowFormula>
    </tableColumn>
  </tableColumns>
  <tableStyleInfo name="TableStyleMedium1" showFirstColumn="0" showLastColumn="0" showRowStripes="1" showColumnStripes="0"/>
</table>
</file>

<file path=xl/tables/table90.xml><?xml version="1.0" encoding="utf-8"?>
<table xmlns="http://schemas.openxmlformats.org/spreadsheetml/2006/main" id="91" name="Table11092" displayName="Table11092" ref="A1071:BD1079" totalsRowCount="1" headerRowDxfId="1242">
  <tableColumns count="56">
    <tableColumn id="1" name="  Grade" dataDxfId="1241" totalsRowDxfId="1240"/>
    <tableColumn id="13" name="Main Area $" dataDxfId="1239" totalsRowDxfId="1238"/>
    <tableColumn id="45" name="MA $/Sq Ft" totalsRowFunction="custom" dataDxfId="1237" totalsRowDxfId="1236">
      <calculatedColumnFormula>B1072/F1069</calculatedColumnFormula>
      <totalsRowFormula>AVERAGE(Table11092[MA $/Sq Ft])</totalsRowFormula>
    </tableColumn>
    <tableColumn id="16" name="Basic Allowance" totalsRowFunction="custom" dataDxfId="1235" totalsRowDxfId="1234">
      <totalsRowFormula>AVERAGE(Table11092[Basic Allowance])</totalsRowFormula>
    </tableColumn>
    <tableColumn id="43" name="BsmtVal" dataDxfId="1233" totalsRowDxfId="1232"/>
    <tableColumn id="46" name="Bsmt SqFt" dataDxfId="1231" totalsRowDxfId="1230"/>
    <tableColumn id="2" name="BsmtVal/Sq Ft" dataDxfId="1229" totalsRowDxfId="1228">
      <calculatedColumnFormula>E1072/F1072</calculatedColumnFormula>
    </tableColumn>
    <tableColumn id="17" name="Bsmt % Base" totalsRowFunction="custom" dataDxfId="1227" totalsRowDxfId="1226">
      <calculatedColumnFormula>G1072/C1072</calculatedColumnFormula>
      <totalsRowFormula>AVERAGE(Table11092[Bsmt % Base])</totalsRowFormula>
    </tableColumn>
    <tableColumn id="30" name="UnfBsmtVal" dataDxfId="1225" totalsRowDxfId="1224"/>
    <tableColumn id="47" name="UnfBsmt Sq Ft" dataDxfId="1223" totalsRowDxfId="1222"/>
    <tableColumn id="3" name="UnfBsmtVal/SqFt" dataDxfId="1221" totalsRowDxfId="1220">
      <calculatedColumnFormula>I1072/J1072</calculatedColumnFormula>
    </tableColumn>
    <tableColumn id="44" name="UnfBsmt % Base" totalsRowFunction="custom" dataDxfId="1219" totalsRowDxfId="1218">
      <calculatedColumnFormula>K1072/C1072</calculatedColumnFormula>
      <totalsRowFormula>AVERAGE(Table11092[[#Headers],[#Data],[UnfBsmt % Base]])</totalsRowFormula>
    </tableColumn>
    <tableColumn id="31" name="Lower Value" dataDxfId="1217" totalsRowDxfId="1216"/>
    <tableColumn id="48" name="Lower Sq Ft" dataDxfId="1215" totalsRowDxfId="1214"/>
    <tableColumn id="4" name="LowerVal/SqFt" totalsRowFunction="custom" dataDxfId="1213" totalsRowDxfId="1212">
      <calculatedColumnFormula>M1072/N1072</calculatedColumnFormula>
      <totalsRowFormula>AVERAGE(Table11092[LowerVal/SqFt])</totalsRowFormula>
    </tableColumn>
    <tableColumn id="32" name="Lower % Base" totalsRowFunction="custom" dataDxfId="1211" totalsRowDxfId="1210">
      <calculatedColumnFormula>O1072/C1072</calculatedColumnFormula>
      <totalsRowFormula>AVERAGE(Table11092[Lower % Base])</totalsRowFormula>
    </tableColumn>
    <tableColumn id="19" name="Unf Lower Value" dataDxfId="1209" totalsRowDxfId="1208"/>
    <tableColumn id="49" name="UnfLower Sq Ft" dataDxfId="1207" totalsRowDxfId="1206"/>
    <tableColumn id="14" name="UnfLowVal/SqFt2" dataDxfId="1205" totalsRowDxfId="1204">
      <calculatedColumnFormula>Q1072/R1072</calculatedColumnFormula>
    </tableColumn>
    <tableColumn id="33" name="Unf Lower % Base" totalsRowFunction="custom" dataDxfId="1203" totalsRowDxfId="1202">
      <calculatedColumnFormula>S1072/C1072</calculatedColumnFormula>
      <totalsRowFormula>AVERAGE(Table11092[Unf Lower % Base])</totalsRowFormula>
    </tableColumn>
    <tableColumn id="20" name="1/2 Story Value" dataDxfId="1201" totalsRowDxfId="1200"/>
    <tableColumn id="50" name="1/2 Story Sq Ft" dataDxfId="1199" totalsRowDxfId="1198"/>
    <tableColumn id="5" name="1/2 StoryVal/SqFt" dataDxfId="1197" totalsRowDxfId="1196">
      <calculatedColumnFormula>U1072/V1072</calculatedColumnFormula>
    </tableColumn>
    <tableColumn id="34" name="1/2 Story % Base" totalsRowFunction="custom" dataDxfId="1195" totalsRowDxfId="1194">
      <calculatedColumnFormula>W1072/C1072</calculatedColumnFormula>
      <totalsRowFormula>AVERAGE(Table11092[1/2 Story % Base])</totalsRowFormula>
    </tableColumn>
    <tableColumn id="21" name="2nd Story Value" dataDxfId="1193" totalsRowDxfId="1192"/>
    <tableColumn id="51" name="2nd Sty Sq Ft" dataDxfId="1191" totalsRowDxfId="1190"/>
    <tableColumn id="6" name="2ndStyVal/Sqft" dataDxfId="1189" totalsRowDxfId="1188">
      <calculatedColumnFormula>Y1072/Z1072</calculatedColumnFormula>
    </tableColumn>
    <tableColumn id="35" name="2nd Story % Base" totalsRowFunction="custom" dataDxfId="1187" totalsRowDxfId="1186">
      <calculatedColumnFormula>AA1072/C1072</calculatedColumnFormula>
      <totalsRowFormula>AVERAGE(Table11092[2nd Story % Base])</totalsRowFormula>
    </tableColumn>
    <tableColumn id="22" name="Att Gar Value" dataDxfId="1185" totalsRowDxfId="1184"/>
    <tableColumn id="52" name="Att Gar Sq Ft" dataDxfId="1183" totalsRowDxfId="1182"/>
    <tableColumn id="7" name="AttGarVal/SqFt" totalsRowFunction="custom" dataDxfId="1181" totalsRowDxfId="1180">
      <calculatedColumnFormula>AC1072/AD1072</calculatedColumnFormula>
      <totalsRowFormula>AVERAGE(Table11092[AttGarVal/SqFt])</totalsRowFormula>
    </tableColumn>
    <tableColumn id="36" name="Att Gar % Base" totalsRowFunction="custom" dataDxfId="1179" totalsRowDxfId="1178">
      <calculatedColumnFormula>AE1072/C1072</calculatedColumnFormula>
      <totalsRowFormula>AVERAGE(Table11092[Att Gar % Base])</totalsRowFormula>
    </tableColumn>
    <tableColumn id="23" name="Porch Value" dataDxfId="1177" totalsRowDxfId="1176"/>
    <tableColumn id="53" name="Porch Sq Ft" dataDxfId="1175" totalsRowDxfId="1174"/>
    <tableColumn id="8" name="PorchVal/SqFt" dataDxfId="1173" totalsRowDxfId="1172">
      <calculatedColumnFormula>AG1072/AH1072</calculatedColumnFormula>
    </tableColumn>
    <tableColumn id="37" name="Porch % Base" totalsRowFunction="custom" dataDxfId="1171" totalsRowDxfId="1170">
      <calculatedColumnFormula>AI1072/C1072</calculatedColumnFormula>
      <totalsRowFormula>AVERAGE(Table11092[Porch % Base])</totalsRowFormula>
    </tableColumn>
    <tableColumn id="24" name="Cov Porch Value" dataDxfId="1169" totalsRowDxfId="1168"/>
    <tableColumn id="54" name="Cov Porch Sq Ft" dataDxfId="1167" totalsRowDxfId="1166"/>
    <tableColumn id="9" name="CovPrVal/SqFt" dataDxfId="1165" totalsRowDxfId="1164">
      <calculatedColumnFormula>AK1072/AL1072</calculatedColumnFormula>
    </tableColumn>
    <tableColumn id="38" name="Cov Porch % Base" totalsRowFunction="custom" dataDxfId="1163" totalsRowDxfId="1162">
      <calculatedColumnFormula>AM1072/C1072</calculatedColumnFormula>
      <totalsRowFormula>AVERAGE(Table11092[Cov Porch % Base])</totalsRowFormula>
    </tableColumn>
    <tableColumn id="25" name="Deck Value" dataDxfId="1161" totalsRowDxfId="1160"/>
    <tableColumn id="55" name="Deck Sq Ft" dataDxfId="1159" totalsRowDxfId="1158"/>
    <tableColumn id="10" name="DeckVal/SqFt" dataDxfId="1157" totalsRowDxfId="1156">
      <calculatedColumnFormula>AO1072/AP1072</calculatedColumnFormula>
    </tableColumn>
    <tableColumn id="39" name="Deck % Base" totalsRowFunction="custom" dataDxfId="1155" totalsRowDxfId="1154">
      <calculatedColumnFormula>AQ1072/C1072</calculatedColumnFormula>
      <totalsRowFormula>AVERAGE(Table11092[Deck % Base])</totalsRowFormula>
    </tableColumn>
    <tableColumn id="26" name="Cov Deck Value" dataDxfId="1153" totalsRowDxfId="1152"/>
    <tableColumn id="56" name="CovDeck Sq Ft" dataDxfId="1151" totalsRowDxfId="1150"/>
    <tableColumn id="11" name="CovDeckVal/SqFt" totalsRowFunction="custom" dataDxfId="1149" totalsRowDxfId="1148">
      <calculatedColumnFormula>AS1072/AT1072</calculatedColumnFormula>
      <totalsRowFormula>AVERAGE(Table11092[CovDeckVal/SqFt])</totalsRowFormula>
    </tableColumn>
    <tableColumn id="40" name="CovDeck % Base" totalsRowFunction="custom" dataDxfId="1147" totalsRowDxfId="1146">
      <calculatedColumnFormula>AU1072/C1072</calculatedColumnFormula>
      <totalsRowFormula>AVERAGE(Table11092[CovDeck % Base])</totalsRowFormula>
    </tableColumn>
    <tableColumn id="27" name="CarP Value" dataDxfId="1145" totalsRowDxfId="1144"/>
    <tableColumn id="57" name="CarP Sq Ft" dataDxfId="1143" totalsRowDxfId="1142"/>
    <tableColumn id="12" name="CarPVal/SqFt" dataDxfId="1141" totalsRowDxfId="1140">
      <calculatedColumnFormula>AW1072/AX1072</calculatedColumnFormula>
    </tableColumn>
    <tableColumn id="41" name="CarP % Base" totalsRowFunction="custom" dataDxfId="1139" totalsRowDxfId="1138">
      <calculatedColumnFormula>AY1072/C1072</calculatedColumnFormula>
      <totalsRowFormula>AVERAGE(Table11092[CarP % Base])</totalsRowFormula>
    </tableColumn>
    <tableColumn id="28" name="EFP Value" dataDxfId="1137" totalsRowDxfId="1136"/>
    <tableColumn id="58" name="EFP Sq Ft" dataDxfId="1135" totalsRowDxfId="1134"/>
    <tableColumn id="15" name="EFPVal/SqFt" dataDxfId="1133" totalsRowDxfId="1132">
      <calculatedColumnFormula>BA1072/BB1072</calculatedColumnFormula>
    </tableColumn>
    <tableColumn id="29" name="EFP % Base" totalsRowFunction="custom" dataDxfId="1131" totalsRowDxfId="1130">
      <calculatedColumnFormula>BC1072/C1072</calculatedColumnFormula>
      <totalsRowFormula>AVERAGE(Table11092[EFP % Base])</totalsRowFormula>
    </tableColumn>
  </tableColumns>
  <tableStyleInfo name="TableStyleMedium1" showFirstColumn="0" showLastColumn="0" showRowStripes="1" showColumnStripes="0"/>
</table>
</file>

<file path=xl/tables/table91.xml><?xml version="1.0" encoding="utf-8"?>
<table xmlns="http://schemas.openxmlformats.org/spreadsheetml/2006/main" id="92" name="Table11093" displayName="Table11093" ref="A1083:BD1091" totalsRowCount="1" headerRowDxfId="1129">
  <tableColumns count="56">
    <tableColumn id="1" name="  Grade" dataDxfId="1128" totalsRowDxfId="1127"/>
    <tableColumn id="13" name="Main Area $" dataDxfId="1126" totalsRowDxfId="1125"/>
    <tableColumn id="45" name="MA $/Sq Ft" totalsRowFunction="custom" dataDxfId="1124" totalsRowDxfId="1123">
      <calculatedColumnFormula>B1084/F1081</calculatedColumnFormula>
      <totalsRowFormula>AVERAGE(Table11093[MA $/Sq Ft])</totalsRowFormula>
    </tableColumn>
    <tableColumn id="16" name="Basic Allowance" totalsRowFunction="custom" dataDxfId="1122" totalsRowDxfId="1121">
      <totalsRowFormula>AVERAGE(Table11093[Basic Allowance])</totalsRowFormula>
    </tableColumn>
    <tableColumn id="43" name="BsmtVal" dataDxfId="1120" totalsRowDxfId="1119"/>
    <tableColumn id="46" name="Bsmt SqFt" dataDxfId="1118" totalsRowDxfId="1117"/>
    <tableColumn id="2" name="BsmtVal/Sq Ft" dataDxfId="1116" totalsRowDxfId="1115">
      <calculatedColumnFormula>E1084/F1084</calculatedColumnFormula>
    </tableColumn>
    <tableColumn id="17" name="Bsmt % Base" totalsRowFunction="custom" dataDxfId="1114" totalsRowDxfId="1113">
      <calculatedColumnFormula>G1084/C1084</calculatedColumnFormula>
      <totalsRowFormula>AVERAGE(Table11093[Bsmt % Base])</totalsRowFormula>
    </tableColumn>
    <tableColumn id="30" name="UnfBsmtVal" dataDxfId="1112" totalsRowDxfId="1111"/>
    <tableColumn id="47" name="UnfBsmt Sq Ft" dataDxfId="1110" totalsRowDxfId="1109"/>
    <tableColumn id="3" name="UnfBsmtVal/SqFt" dataDxfId="1108" totalsRowDxfId="1107">
      <calculatedColumnFormula>I1084/J1084</calculatedColumnFormula>
    </tableColumn>
    <tableColumn id="44" name="UnfBsmt % Base" totalsRowFunction="custom" dataDxfId="1106" totalsRowDxfId="1105">
      <calculatedColumnFormula>K1084/C1084</calculatedColumnFormula>
      <totalsRowFormula>AVERAGE(Table11093[[#Headers],[#Data],[UnfBsmt % Base]])</totalsRowFormula>
    </tableColumn>
    <tableColumn id="31" name="Lower Value" dataDxfId="1104" totalsRowDxfId="1103"/>
    <tableColumn id="48" name="Lower Sq Ft" dataDxfId="1102" totalsRowDxfId="1101"/>
    <tableColumn id="4" name="LowerVal/SqFt" totalsRowFunction="custom" dataDxfId="1100" totalsRowDxfId="1099">
      <calculatedColumnFormula>M1084/N1084</calculatedColumnFormula>
      <totalsRowFormula>AVERAGE(Table11093[LowerVal/SqFt])</totalsRowFormula>
    </tableColumn>
    <tableColumn id="32" name="Lower % Base" totalsRowFunction="custom" dataDxfId="1098" totalsRowDxfId="1097">
      <calculatedColumnFormula>O1084/C1084</calculatedColumnFormula>
      <totalsRowFormula>AVERAGE(Table11093[Lower % Base])</totalsRowFormula>
    </tableColumn>
    <tableColumn id="19" name="Unf Lower Value" dataDxfId="1096" totalsRowDxfId="1095"/>
    <tableColumn id="49" name="UnfLower Sq Ft" dataDxfId="1094" totalsRowDxfId="1093"/>
    <tableColumn id="14" name="UnfLowVal/SqFt2" dataDxfId="1092" totalsRowDxfId="1091">
      <calculatedColumnFormula>Q1084/R1084</calculatedColumnFormula>
    </tableColumn>
    <tableColumn id="33" name="Unf Lower % Base" totalsRowFunction="custom" dataDxfId="1090" totalsRowDxfId="1089">
      <calculatedColumnFormula>S1084/C1084</calculatedColumnFormula>
      <totalsRowFormula>AVERAGE(Table11093[Unf Lower % Base])</totalsRowFormula>
    </tableColumn>
    <tableColumn id="20" name="1/2 Story Value" dataDxfId="1088" totalsRowDxfId="1087"/>
    <tableColumn id="50" name="1/2 Story Sq Ft" dataDxfId="1086" totalsRowDxfId="1085"/>
    <tableColumn id="5" name="1/2 StoryVal/SqFt" dataDxfId="1084" totalsRowDxfId="1083">
      <calculatedColumnFormula>U1084/V1084</calculatedColumnFormula>
    </tableColumn>
    <tableColumn id="34" name="1/2 Story % Base" totalsRowFunction="custom" dataDxfId="1082" totalsRowDxfId="1081">
      <calculatedColumnFormula>W1084/C1084</calculatedColumnFormula>
      <totalsRowFormula>AVERAGE(Table11093[1/2 Story % Base])</totalsRowFormula>
    </tableColumn>
    <tableColumn id="21" name="2nd Story Value" dataDxfId="1080" totalsRowDxfId="1079"/>
    <tableColumn id="51" name="2nd Sty Sq Ft" dataDxfId="1078" totalsRowDxfId="1077"/>
    <tableColumn id="6" name="2ndStyVal/Sqft" dataDxfId="1076" totalsRowDxfId="1075">
      <calculatedColumnFormula>Y1084/Z1084</calculatedColumnFormula>
    </tableColumn>
    <tableColumn id="35" name="2nd Story % Base" totalsRowFunction="custom" dataDxfId="1074" totalsRowDxfId="1073">
      <calculatedColumnFormula>AA1084/C1084</calculatedColumnFormula>
      <totalsRowFormula>AVERAGE(Table11093[2nd Story % Base])</totalsRowFormula>
    </tableColumn>
    <tableColumn id="22" name="Att Gar Value" dataDxfId="1072" totalsRowDxfId="1071"/>
    <tableColumn id="52" name="Att Gar Sq Ft" dataDxfId="1070" totalsRowDxfId="1069"/>
    <tableColumn id="7" name="AttGarVal/SqFt" totalsRowFunction="custom" dataDxfId="1068" totalsRowDxfId="1067">
      <calculatedColumnFormula>AC1084/AD1084</calculatedColumnFormula>
      <totalsRowFormula>AVERAGE(Table11093[AttGarVal/SqFt])</totalsRowFormula>
    </tableColumn>
    <tableColumn id="36" name="Att Gar % Base" totalsRowFunction="custom" dataDxfId="1066" totalsRowDxfId="1065">
      <calculatedColumnFormula>AE1084/C1084</calculatedColumnFormula>
      <totalsRowFormula>AVERAGE(Table11093[Att Gar % Base])</totalsRowFormula>
    </tableColumn>
    <tableColumn id="23" name="Porch Value" dataDxfId="1064" totalsRowDxfId="1063"/>
    <tableColumn id="53" name="Porch Sq Ft" dataDxfId="1062" totalsRowDxfId="1061"/>
    <tableColumn id="8" name="PorchVal/SqFt" dataDxfId="1060" totalsRowDxfId="1059">
      <calculatedColumnFormula>AG1084/AH1084</calculatedColumnFormula>
    </tableColumn>
    <tableColumn id="37" name="Porch % Base" totalsRowFunction="custom" dataDxfId="1058" totalsRowDxfId="1057">
      <calculatedColumnFormula>AI1084/C1084</calculatedColumnFormula>
      <totalsRowFormula>AVERAGE(Table11093[Porch % Base])</totalsRowFormula>
    </tableColumn>
    <tableColumn id="24" name="Cov Porch Value" dataDxfId="1056" totalsRowDxfId="1055"/>
    <tableColumn id="54" name="Cov Porch Sq Ft" dataDxfId="1054" totalsRowDxfId="1053"/>
    <tableColumn id="9" name="CovPrVal/SqFt" dataDxfId="1052" totalsRowDxfId="1051">
      <calculatedColumnFormula>AK1084/AL1084</calculatedColumnFormula>
    </tableColumn>
    <tableColumn id="38" name="Cov Porch % Base" totalsRowFunction="custom" dataDxfId="1050" totalsRowDxfId="1049">
      <calculatedColumnFormula>AM1084/C1084</calculatedColumnFormula>
      <totalsRowFormula>AVERAGE(Table11093[Cov Porch % Base])</totalsRowFormula>
    </tableColumn>
    <tableColumn id="25" name="Deck Value" dataDxfId="1048" totalsRowDxfId="1047"/>
    <tableColumn id="55" name="Deck Sq Ft" dataDxfId="1046" totalsRowDxfId="1045"/>
    <tableColumn id="10" name="DeckVal/SqFt" dataDxfId="1044" totalsRowDxfId="1043">
      <calculatedColumnFormula>AO1084/AP1084</calculatedColumnFormula>
    </tableColumn>
    <tableColumn id="39" name="Deck % Base" totalsRowFunction="custom" dataDxfId="1042" totalsRowDxfId="1041">
      <calculatedColumnFormula>AQ1084/C1084</calculatedColumnFormula>
      <totalsRowFormula>AVERAGE(Table11093[Deck % Base])</totalsRowFormula>
    </tableColumn>
    <tableColumn id="26" name="Cov Deck Value" dataDxfId="1040" totalsRowDxfId="1039"/>
    <tableColumn id="56" name="CovDeck Sq Ft" dataDxfId="1038" totalsRowDxfId="1037"/>
    <tableColumn id="11" name="CovDeckVal/SqFt" totalsRowFunction="custom" dataDxfId="1036" totalsRowDxfId="1035">
      <calculatedColumnFormula>AS1084/AT1084</calculatedColumnFormula>
      <totalsRowFormula>AVERAGE(Table11093[CovDeckVal/SqFt])</totalsRowFormula>
    </tableColumn>
    <tableColumn id="40" name="CovDeck % Base" totalsRowFunction="custom" dataDxfId="1034" totalsRowDxfId="1033">
      <calculatedColumnFormula>AU1084/C1084</calculatedColumnFormula>
      <totalsRowFormula>AVERAGE(Table11093[CovDeck % Base])</totalsRowFormula>
    </tableColumn>
    <tableColumn id="27" name="CarP Value" dataDxfId="1032" totalsRowDxfId="1031"/>
    <tableColumn id="57" name="CarP Sq Ft" dataDxfId="1030" totalsRowDxfId="1029"/>
    <tableColumn id="12" name="CarPVal/SqFt" dataDxfId="1028" totalsRowDxfId="1027">
      <calculatedColumnFormula>AW1084/AX1084</calculatedColumnFormula>
    </tableColumn>
    <tableColumn id="41" name="CarP % Base" totalsRowFunction="custom" dataDxfId="1026" totalsRowDxfId="1025">
      <calculatedColumnFormula>AY1084/C1084</calculatedColumnFormula>
      <totalsRowFormula>AVERAGE(Table11093[CarP % Base])</totalsRowFormula>
    </tableColumn>
    <tableColumn id="28" name="EFP Value" dataDxfId="1024" totalsRowDxfId="1023"/>
    <tableColumn id="58" name="EFP Sq Ft" dataDxfId="1022" totalsRowDxfId="1021"/>
    <tableColumn id="15" name="EFPVal/SqFt" dataDxfId="1020" totalsRowDxfId="1019">
      <calculatedColumnFormula>BA1084/BB1084</calculatedColumnFormula>
    </tableColumn>
    <tableColumn id="29" name="EFP % Base" totalsRowFunction="custom" dataDxfId="1018" totalsRowDxfId="1017">
      <calculatedColumnFormula>BC1084/C1084</calculatedColumnFormula>
      <totalsRowFormula>AVERAGE(Table11093[EFP % Base])</totalsRowFormula>
    </tableColumn>
  </tableColumns>
  <tableStyleInfo name="TableStyleMedium1" showFirstColumn="0" showLastColumn="0" showRowStripes="1" showColumnStripes="0"/>
</table>
</file>

<file path=xl/tables/table92.xml><?xml version="1.0" encoding="utf-8"?>
<table xmlns="http://schemas.openxmlformats.org/spreadsheetml/2006/main" id="93" name="Table11094" displayName="Table11094" ref="A1095:BD1103" totalsRowCount="1" headerRowDxfId="1016">
  <tableColumns count="56">
    <tableColumn id="1" name="  Grade" dataDxfId="1015" totalsRowDxfId="1014"/>
    <tableColumn id="13" name="Main Area $" dataDxfId="1013" totalsRowDxfId="1012"/>
    <tableColumn id="45" name="MA $/Sq Ft" totalsRowFunction="custom" dataDxfId="1011" totalsRowDxfId="1010">
      <calculatedColumnFormula>B1096/F1093</calculatedColumnFormula>
      <totalsRowFormula>AVERAGE(Table11094[MA $/Sq Ft])</totalsRowFormula>
    </tableColumn>
    <tableColumn id="16" name="Basic Allowance" totalsRowFunction="custom" dataDxfId="1009" totalsRowDxfId="1008">
      <totalsRowFormula>AVERAGE(Table11094[Basic Allowance])</totalsRowFormula>
    </tableColumn>
    <tableColumn id="43" name="BsmtVal" dataDxfId="1007" totalsRowDxfId="1006"/>
    <tableColumn id="46" name="Bsmt SqFt" dataDxfId="1005" totalsRowDxfId="1004"/>
    <tableColumn id="2" name="BsmtVal/Sq Ft" dataDxfId="1003" totalsRowDxfId="1002">
      <calculatedColumnFormula>E1096/F1096</calculatedColumnFormula>
    </tableColumn>
    <tableColumn id="17" name="Bsmt % Base" totalsRowFunction="custom" dataDxfId="1001" totalsRowDxfId="1000">
      <calculatedColumnFormula>G1096/C1096</calculatedColumnFormula>
      <totalsRowFormula>AVERAGE(Table11094[Bsmt % Base])</totalsRowFormula>
    </tableColumn>
    <tableColumn id="30" name="UnfBsmtVal" dataDxfId="999" totalsRowDxfId="998"/>
    <tableColumn id="47" name="UnfBsmt Sq Ft" dataDxfId="997" totalsRowDxfId="996"/>
    <tableColumn id="3" name="UnfBsmtVal/SqFt" dataDxfId="995" totalsRowDxfId="994">
      <calculatedColumnFormula>I1096/J1096</calculatedColumnFormula>
    </tableColumn>
    <tableColumn id="44" name="UnfBsmt % Base" totalsRowFunction="custom" dataDxfId="993" totalsRowDxfId="992">
      <calculatedColumnFormula>K1096/C1096</calculatedColumnFormula>
      <totalsRowFormula>AVERAGE(Table11094[[#Headers],[#Data],[UnfBsmt % Base]])</totalsRowFormula>
    </tableColumn>
    <tableColumn id="31" name="Lower Value" dataDxfId="991" totalsRowDxfId="990"/>
    <tableColumn id="48" name="Lower Sq Ft" dataDxfId="989" totalsRowDxfId="988"/>
    <tableColumn id="4" name="LowerVal/SqFt" totalsRowFunction="custom" dataDxfId="987" totalsRowDxfId="986">
      <calculatedColumnFormula>M1096/N1096</calculatedColumnFormula>
      <totalsRowFormula>AVERAGE(Table11094[LowerVal/SqFt])</totalsRowFormula>
    </tableColumn>
    <tableColumn id="32" name="Lower % Base" totalsRowFunction="custom" dataDxfId="985" totalsRowDxfId="984">
      <calculatedColumnFormula>O1096/C1096</calculatedColumnFormula>
      <totalsRowFormula>AVERAGE(Table11094[Lower % Base])</totalsRowFormula>
    </tableColumn>
    <tableColumn id="19" name="Unf Lower Value" dataDxfId="983" totalsRowDxfId="982"/>
    <tableColumn id="49" name="UnfLower Sq Ft" dataDxfId="981" totalsRowDxfId="980"/>
    <tableColumn id="14" name="UnfLowVal/SqFt2" dataDxfId="979" totalsRowDxfId="978">
      <calculatedColumnFormula>Q1096/R1096</calculatedColumnFormula>
    </tableColumn>
    <tableColumn id="33" name="Unf Lower % Base" totalsRowFunction="custom" dataDxfId="977" totalsRowDxfId="976">
      <calculatedColumnFormula>S1096/C1096</calculatedColumnFormula>
      <totalsRowFormula>AVERAGE(Table11094[Unf Lower % Base])</totalsRowFormula>
    </tableColumn>
    <tableColumn id="20" name="1/2 Story Value" dataDxfId="975" totalsRowDxfId="974"/>
    <tableColumn id="50" name="1/2 Story Sq Ft" dataDxfId="973" totalsRowDxfId="972"/>
    <tableColumn id="5" name="1/2 StoryVal/SqFt" dataDxfId="971" totalsRowDxfId="970">
      <calculatedColumnFormula>U1096/V1096</calculatedColumnFormula>
    </tableColumn>
    <tableColumn id="34" name="1/2 Story % Base" totalsRowFunction="custom" dataDxfId="969" totalsRowDxfId="968">
      <calculatedColumnFormula>W1096/C1096</calculatedColumnFormula>
      <totalsRowFormula>AVERAGE(Table11094[1/2 Story % Base])</totalsRowFormula>
    </tableColumn>
    <tableColumn id="21" name="2nd Story Value" dataDxfId="967" totalsRowDxfId="966"/>
    <tableColumn id="51" name="2nd Sty Sq Ft" dataDxfId="965" totalsRowDxfId="964"/>
    <tableColumn id="6" name="2ndStyVal/Sqft" dataDxfId="963" totalsRowDxfId="962">
      <calculatedColumnFormula>Y1096/Z1096</calculatedColumnFormula>
    </tableColumn>
    <tableColumn id="35" name="2nd Story % Base" totalsRowFunction="custom" dataDxfId="961" totalsRowDxfId="960">
      <calculatedColumnFormula>AA1096/C1096</calculatedColumnFormula>
      <totalsRowFormula>AVERAGE(Table11094[2nd Story % Base])</totalsRowFormula>
    </tableColumn>
    <tableColumn id="22" name="Att Gar Value" dataDxfId="959" totalsRowDxfId="958"/>
    <tableColumn id="52" name="Att Gar Sq Ft" dataDxfId="957" totalsRowDxfId="956"/>
    <tableColumn id="7" name="AttGarVal/SqFt" totalsRowFunction="custom" dataDxfId="955" totalsRowDxfId="954">
      <calculatedColumnFormula>AC1096/AD1096</calculatedColumnFormula>
      <totalsRowFormula>AVERAGE(Table11094[AttGarVal/SqFt])</totalsRowFormula>
    </tableColumn>
    <tableColumn id="36" name="Att Gar % Base" totalsRowFunction="custom" dataDxfId="953" totalsRowDxfId="952">
      <calculatedColumnFormula>AE1096/C1096</calculatedColumnFormula>
      <totalsRowFormula>AVERAGE(Table11094[Att Gar % Base])</totalsRowFormula>
    </tableColumn>
    <tableColumn id="23" name="Porch Value" dataDxfId="951" totalsRowDxfId="950"/>
    <tableColumn id="53" name="Porch Sq Ft" dataDxfId="949" totalsRowDxfId="948"/>
    <tableColumn id="8" name="PorchVal/SqFt" dataDxfId="947" totalsRowDxfId="946">
      <calculatedColumnFormula>AG1096/AH1096</calculatedColumnFormula>
    </tableColumn>
    <tableColumn id="37" name="Porch % Base" totalsRowFunction="custom" dataDxfId="945" totalsRowDxfId="944">
      <calculatedColumnFormula>AI1096/C1096</calculatedColumnFormula>
      <totalsRowFormula>AVERAGE(Table11094[Porch % Base])</totalsRowFormula>
    </tableColumn>
    <tableColumn id="24" name="Cov Porch Value" dataDxfId="943" totalsRowDxfId="942"/>
    <tableColumn id="54" name="Cov Porch Sq Ft" dataDxfId="941" totalsRowDxfId="940"/>
    <tableColumn id="9" name="CovPrVal/SqFt" dataDxfId="939" totalsRowDxfId="938">
      <calculatedColumnFormula>AK1096/AL1096</calculatedColumnFormula>
    </tableColumn>
    <tableColumn id="38" name="Cov Porch % Base" totalsRowFunction="custom" dataDxfId="937" totalsRowDxfId="936">
      <calculatedColumnFormula>AM1096/C1096</calculatedColumnFormula>
      <totalsRowFormula>AVERAGE(Table11094[Cov Porch % Base])</totalsRowFormula>
    </tableColumn>
    <tableColumn id="25" name="Deck Value" dataDxfId="935" totalsRowDxfId="934"/>
    <tableColumn id="55" name="Deck Sq Ft" dataDxfId="933" totalsRowDxfId="932"/>
    <tableColumn id="10" name="DeckVal/SqFt" dataDxfId="931" totalsRowDxfId="930">
      <calculatedColumnFormula>AO1096/AP1096</calculatedColumnFormula>
    </tableColumn>
    <tableColumn id="39" name="Deck % Base" totalsRowFunction="custom" dataDxfId="929" totalsRowDxfId="928">
      <calculatedColumnFormula>AQ1096/C1096</calculatedColumnFormula>
      <totalsRowFormula>AVERAGE(Table11094[Deck % Base])</totalsRowFormula>
    </tableColumn>
    <tableColumn id="26" name="Cov Deck Value" dataDxfId="927" totalsRowDxfId="926"/>
    <tableColumn id="56" name="CovDeck Sq Ft" dataDxfId="925" totalsRowDxfId="924"/>
    <tableColumn id="11" name="CovDeckVal/SqFt" totalsRowFunction="custom" dataDxfId="923" totalsRowDxfId="922">
      <calculatedColumnFormula>AS1096/AT1096</calculatedColumnFormula>
      <totalsRowFormula>AVERAGE(Table11094[CovDeckVal/SqFt])</totalsRowFormula>
    </tableColumn>
    <tableColumn id="40" name="CovDeck % Base" totalsRowFunction="custom" dataDxfId="921" totalsRowDxfId="920">
      <calculatedColumnFormula>AU1096/C1096</calculatedColumnFormula>
      <totalsRowFormula>AVERAGE(Table11094[CovDeck % Base])</totalsRowFormula>
    </tableColumn>
    <tableColumn id="27" name="CarP Value" dataDxfId="919" totalsRowDxfId="918"/>
    <tableColumn id="57" name="CarP Sq Ft" dataDxfId="917" totalsRowDxfId="916"/>
    <tableColumn id="12" name="CarPVal/SqFt" dataDxfId="915" totalsRowDxfId="914">
      <calculatedColumnFormula>AW1096/AX1096</calculatedColumnFormula>
    </tableColumn>
    <tableColumn id="41" name="CarP % Base" totalsRowFunction="custom" dataDxfId="913" totalsRowDxfId="912">
      <calculatedColumnFormula>AY1096/C1096</calculatedColumnFormula>
      <totalsRowFormula>AVERAGE(Table11094[CarP % Base])</totalsRowFormula>
    </tableColumn>
    <tableColumn id="28" name="EFP Value" dataDxfId="911" totalsRowDxfId="910"/>
    <tableColumn id="58" name="EFP Sq Ft" dataDxfId="909" totalsRowDxfId="908"/>
    <tableColumn id="15" name="EFPVal/SqFt" dataDxfId="907" totalsRowDxfId="906">
      <calculatedColumnFormula>BA1096/BB1096</calculatedColumnFormula>
    </tableColumn>
    <tableColumn id="29" name="EFP % Base" totalsRowFunction="custom" dataDxfId="905" totalsRowDxfId="904">
      <calculatedColumnFormula>BC1096/C1096</calculatedColumnFormula>
      <totalsRowFormula>AVERAGE(Table11094[EFP % Base])</totalsRowFormula>
    </tableColumn>
  </tableColumns>
  <tableStyleInfo name="TableStyleMedium1" showFirstColumn="0" showLastColumn="0" showRowStripes="1" showColumnStripes="0"/>
</table>
</file>

<file path=xl/tables/table93.xml><?xml version="1.0" encoding="utf-8"?>
<table xmlns="http://schemas.openxmlformats.org/spreadsheetml/2006/main" id="94" name="Table11095" displayName="Table11095" ref="A1107:BD1115" totalsRowCount="1" headerRowDxfId="903">
  <tableColumns count="56">
    <tableColumn id="1" name="  Grade" dataDxfId="902" totalsRowDxfId="901"/>
    <tableColumn id="13" name="Main Area $" dataDxfId="900" totalsRowDxfId="899"/>
    <tableColumn id="45" name="MA $/Sq Ft" totalsRowFunction="custom" dataDxfId="898" totalsRowDxfId="897">
      <calculatedColumnFormula>B1108/F1105</calculatedColumnFormula>
      <totalsRowFormula>AVERAGE(Table11095[MA $/Sq Ft])</totalsRowFormula>
    </tableColumn>
    <tableColumn id="16" name="Basic Allowance" totalsRowFunction="custom" dataDxfId="896" totalsRowDxfId="895">
      <totalsRowFormula>AVERAGE(Table11095[Basic Allowance])</totalsRowFormula>
    </tableColumn>
    <tableColumn id="43" name="BsmtVal" dataDxfId="894" totalsRowDxfId="893"/>
    <tableColumn id="46" name="Bsmt SqFt" dataDxfId="892" totalsRowDxfId="891"/>
    <tableColumn id="2" name="BsmtVal/Sq Ft" dataDxfId="890" totalsRowDxfId="889">
      <calculatedColumnFormula>E1108/F1108</calculatedColumnFormula>
    </tableColumn>
    <tableColumn id="17" name="Bsmt % Base" totalsRowFunction="custom" dataDxfId="888" totalsRowDxfId="887">
      <calculatedColumnFormula>G1108/C1108</calculatedColumnFormula>
      <totalsRowFormula>AVERAGE(Table11095[Bsmt % Base])</totalsRowFormula>
    </tableColumn>
    <tableColumn id="30" name="UnfBsmtVal" dataDxfId="886" totalsRowDxfId="885"/>
    <tableColumn id="47" name="UnfBsmt Sq Ft" dataDxfId="884" totalsRowDxfId="883"/>
    <tableColumn id="3" name="UnfBsmtVal/SqFt" dataDxfId="882" totalsRowDxfId="881">
      <calculatedColumnFormula>I1108/J1108</calculatedColumnFormula>
    </tableColumn>
    <tableColumn id="44" name="UnfBsmt % Base" totalsRowFunction="custom" dataDxfId="880" totalsRowDxfId="879">
      <calculatedColumnFormula>K1108/C1108</calculatedColumnFormula>
      <totalsRowFormula>AVERAGE(Table11095[[#Headers],[#Data],[UnfBsmt % Base]])</totalsRowFormula>
    </tableColumn>
    <tableColumn id="31" name="Lower Value" dataDxfId="878" totalsRowDxfId="877"/>
    <tableColumn id="48" name="Lower Sq Ft" dataDxfId="876" totalsRowDxfId="875"/>
    <tableColumn id="4" name="LowerVal/SqFt" totalsRowFunction="custom" dataDxfId="874" totalsRowDxfId="873">
      <calculatedColumnFormula>M1108/N1108</calculatedColumnFormula>
      <totalsRowFormula>AVERAGE(Table11095[LowerVal/SqFt])</totalsRowFormula>
    </tableColumn>
    <tableColumn id="32" name="Lower % Base" totalsRowFunction="custom" dataDxfId="872" totalsRowDxfId="871">
      <calculatedColumnFormula>O1108/C1108</calculatedColumnFormula>
      <totalsRowFormula>AVERAGE(Table11095[Lower % Base])</totalsRowFormula>
    </tableColumn>
    <tableColumn id="19" name="Unf Lower Value" dataDxfId="870" totalsRowDxfId="869"/>
    <tableColumn id="49" name="UnfLower Sq Ft" dataDxfId="868" totalsRowDxfId="867"/>
    <tableColumn id="14" name="UnfLowVal/SqFt2" dataDxfId="866" totalsRowDxfId="865">
      <calculatedColumnFormula>Q1108/R1108</calculatedColumnFormula>
    </tableColumn>
    <tableColumn id="33" name="Unf Lower % Base" totalsRowFunction="custom" dataDxfId="864" totalsRowDxfId="863">
      <calculatedColumnFormula>S1108/C1108</calculatedColumnFormula>
      <totalsRowFormula>AVERAGE(Table11095[Unf Lower % Base])</totalsRowFormula>
    </tableColumn>
    <tableColumn id="20" name="1/2 Story Value" dataDxfId="862" totalsRowDxfId="861"/>
    <tableColumn id="50" name="1/2 Story Sq Ft" dataDxfId="860" totalsRowDxfId="859"/>
    <tableColumn id="5" name="1/2 StoryVal/SqFt" dataDxfId="858" totalsRowDxfId="857">
      <calculatedColumnFormula>U1108/V1108</calculatedColumnFormula>
    </tableColumn>
    <tableColumn id="34" name="1/2 Story % Base" totalsRowFunction="custom" dataDxfId="856" totalsRowDxfId="855">
      <calculatedColumnFormula>W1108/C1108</calculatedColumnFormula>
      <totalsRowFormula>AVERAGE(Table11095[1/2 Story % Base])</totalsRowFormula>
    </tableColumn>
    <tableColumn id="21" name="2nd Story Value" dataDxfId="854" totalsRowDxfId="853"/>
    <tableColumn id="51" name="2nd Sty Sq Ft" dataDxfId="852" totalsRowDxfId="851"/>
    <tableColumn id="6" name="2ndStyVal/Sqft" dataDxfId="850" totalsRowDxfId="849">
      <calculatedColumnFormula>Y1108/Z1108</calculatedColumnFormula>
    </tableColumn>
    <tableColumn id="35" name="2nd Story % Base" totalsRowFunction="custom" dataDxfId="848" totalsRowDxfId="847">
      <calculatedColumnFormula>AA1108/C1108</calculatedColumnFormula>
      <totalsRowFormula>AVERAGE(Table11095[2nd Story % Base])</totalsRowFormula>
    </tableColumn>
    <tableColumn id="22" name="Att Gar Value" dataDxfId="846" totalsRowDxfId="845"/>
    <tableColumn id="52" name="Att Gar Sq Ft" dataDxfId="844" totalsRowDxfId="843"/>
    <tableColumn id="7" name="AttGarVal/SqFt" totalsRowFunction="custom" dataDxfId="842" totalsRowDxfId="841">
      <calculatedColumnFormula>AC1108/AD1108</calculatedColumnFormula>
      <totalsRowFormula>AVERAGE(Table11095[AttGarVal/SqFt])</totalsRowFormula>
    </tableColumn>
    <tableColumn id="36" name="Att Gar % Base" totalsRowFunction="custom" dataDxfId="840" totalsRowDxfId="839">
      <calculatedColumnFormula>AE1108/C1108</calculatedColumnFormula>
      <totalsRowFormula>AVERAGE(Table11095[Att Gar % Base])</totalsRowFormula>
    </tableColumn>
    <tableColumn id="23" name="Porch Value" dataDxfId="838" totalsRowDxfId="837"/>
    <tableColumn id="53" name="Porch Sq Ft" dataDxfId="836" totalsRowDxfId="835"/>
    <tableColumn id="8" name="PorchVal/SqFt" dataDxfId="834" totalsRowDxfId="833">
      <calculatedColumnFormula>AG1108/AH1108</calculatedColumnFormula>
    </tableColumn>
    <tableColumn id="37" name="Porch % Base" totalsRowFunction="custom" dataDxfId="832" totalsRowDxfId="831">
      <calculatedColumnFormula>AI1108/C1108</calculatedColumnFormula>
      <totalsRowFormula>AVERAGE(Table11095[Porch % Base])</totalsRowFormula>
    </tableColumn>
    <tableColumn id="24" name="Cov Porch Value" dataDxfId="830" totalsRowDxfId="829"/>
    <tableColumn id="54" name="Cov Porch Sq Ft" dataDxfId="828" totalsRowDxfId="827"/>
    <tableColumn id="9" name="CovPrVal/SqFt" dataDxfId="826" totalsRowDxfId="825">
      <calculatedColumnFormula>AK1108/AL1108</calculatedColumnFormula>
    </tableColumn>
    <tableColumn id="38" name="Cov Porch % Base" totalsRowFunction="custom" dataDxfId="824" totalsRowDxfId="823">
      <calculatedColumnFormula>AM1108/C1108</calculatedColumnFormula>
      <totalsRowFormula>AVERAGE(Table11095[Cov Porch % Base])</totalsRowFormula>
    </tableColumn>
    <tableColumn id="25" name="Deck Value" dataDxfId="822" totalsRowDxfId="821"/>
    <tableColumn id="55" name="Deck Sq Ft" dataDxfId="820" totalsRowDxfId="819"/>
    <tableColumn id="10" name="DeckVal/SqFt" dataDxfId="818" totalsRowDxfId="817">
      <calculatedColumnFormula>AO1108/AP1108</calculatedColumnFormula>
    </tableColumn>
    <tableColumn id="39" name="Deck % Base" totalsRowFunction="custom" dataDxfId="816" totalsRowDxfId="815">
      <calculatedColumnFormula>AQ1108/C1108</calculatedColumnFormula>
      <totalsRowFormula>AVERAGE(Table11095[Deck % Base])</totalsRowFormula>
    </tableColumn>
    <tableColumn id="26" name="Cov Deck Value" dataDxfId="814" totalsRowDxfId="813"/>
    <tableColumn id="56" name="CovDeck Sq Ft" dataDxfId="812" totalsRowDxfId="811"/>
    <tableColumn id="11" name="CovDeckVal/SqFt" totalsRowFunction="custom" dataDxfId="810" totalsRowDxfId="809">
      <calculatedColumnFormula>AS1108/AT1108</calculatedColumnFormula>
      <totalsRowFormula>AVERAGE(Table11095[CovDeckVal/SqFt])</totalsRowFormula>
    </tableColumn>
    <tableColumn id="40" name="CovDeck % Base" totalsRowFunction="custom" dataDxfId="808" totalsRowDxfId="807">
      <calculatedColumnFormula>AU1108/C1108</calculatedColumnFormula>
      <totalsRowFormula>AVERAGE(Table11095[CovDeck % Base])</totalsRowFormula>
    </tableColumn>
    <tableColumn id="27" name="CarP Value" dataDxfId="806" totalsRowDxfId="805"/>
    <tableColumn id="57" name="CarP Sq Ft" dataDxfId="804" totalsRowDxfId="803"/>
    <tableColumn id="12" name="CarPVal/SqFt" dataDxfId="802" totalsRowDxfId="801">
      <calculatedColumnFormula>AW1108/AX1108</calculatedColumnFormula>
    </tableColumn>
    <tableColumn id="41" name="CarP % Base" totalsRowFunction="custom" dataDxfId="800" totalsRowDxfId="799">
      <calculatedColumnFormula>AY1108/C1108</calculatedColumnFormula>
      <totalsRowFormula>AVERAGE(Table11095[CarP % Base])</totalsRowFormula>
    </tableColumn>
    <tableColumn id="28" name="EFP Value" dataDxfId="798" totalsRowDxfId="797"/>
    <tableColumn id="58" name="EFP Sq Ft" dataDxfId="796" totalsRowDxfId="795"/>
    <tableColumn id="15" name="EFPVal/SqFt" dataDxfId="794" totalsRowDxfId="793">
      <calculatedColumnFormula>BA1108/BB1108</calculatedColumnFormula>
    </tableColumn>
    <tableColumn id="29" name="EFP % Base" totalsRowFunction="custom" dataDxfId="792" totalsRowDxfId="791">
      <calculatedColumnFormula>BC1108/C1108</calculatedColumnFormula>
      <totalsRowFormula>AVERAGE(Table11095[EFP % Base])</totalsRowFormula>
    </tableColumn>
  </tableColumns>
  <tableStyleInfo name="TableStyleMedium1" showFirstColumn="0" showLastColumn="0" showRowStripes="1" showColumnStripes="0"/>
</table>
</file>

<file path=xl/tables/table94.xml><?xml version="1.0" encoding="utf-8"?>
<table xmlns="http://schemas.openxmlformats.org/spreadsheetml/2006/main" id="95" name="Table11096" displayName="Table11096" ref="A1119:BD1127" totalsRowCount="1" headerRowDxfId="790">
  <tableColumns count="56">
    <tableColumn id="1" name="  Grade" dataDxfId="789" totalsRowDxfId="788"/>
    <tableColumn id="13" name="Main Area $" dataDxfId="787" totalsRowDxfId="786"/>
    <tableColumn id="45" name="MA $/Sq Ft" totalsRowFunction="custom" dataDxfId="785" totalsRowDxfId="784">
      <calculatedColumnFormula>B1120/F1117</calculatedColumnFormula>
      <totalsRowFormula>AVERAGE(Table11096[MA $/Sq Ft])</totalsRowFormula>
    </tableColumn>
    <tableColumn id="16" name="Basic Allowance" totalsRowFunction="custom" dataDxfId="783" totalsRowDxfId="782">
      <totalsRowFormula>AVERAGE(Table11096[Basic Allowance])</totalsRowFormula>
    </tableColumn>
    <tableColumn id="43" name="BsmtVal" dataDxfId="781" totalsRowDxfId="780"/>
    <tableColumn id="46" name="Bsmt SqFt" dataDxfId="779" totalsRowDxfId="778"/>
    <tableColumn id="2" name="BsmtVal/Sq Ft" dataDxfId="777" totalsRowDxfId="776">
      <calculatedColumnFormula>E1120/F1120</calculatedColumnFormula>
    </tableColumn>
    <tableColumn id="17" name="Bsmt % Base" totalsRowFunction="custom" dataDxfId="775" totalsRowDxfId="774">
      <calculatedColumnFormula>G1120/C1120</calculatedColumnFormula>
      <totalsRowFormula>AVERAGE(Table11096[Bsmt % Base])</totalsRowFormula>
    </tableColumn>
    <tableColumn id="30" name="UnfBsmtVal" dataDxfId="773" totalsRowDxfId="772"/>
    <tableColumn id="47" name="UnfBsmt Sq Ft" dataDxfId="771" totalsRowDxfId="770"/>
    <tableColumn id="3" name="UnfBsmtVal/SqFt" dataDxfId="769" totalsRowDxfId="768">
      <calculatedColumnFormula>I1120/J1120</calculatedColumnFormula>
    </tableColumn>
    <tableColumn id="44" name="UnfBsmt % Base" totalsRowFunction="custom" dataDxfId="767" totalsRowDxfId="766">
      <calculatedColumnFormula>K1120/C1120</calculatedColumnFormula>
      <totalsRowFormula>AVERAGE(Table11096[[#Headers],[#Data],[UnfBsmt % Base]])</totalsRowFormula>
    </tableColumn>
    <tableColumn id="31" name="Lower Value" dataDxfId="765" totalsRowDxfId="764"/>
    <tableColumn id="48" name="Lower Sq Ft" dataDxfId="763" totalsRowDxfId="762"/>
    <tableColumn id="4" name="LowerVal/SqFt" totalsRowFunction="custom" dataDxfId="761" totalsRowDxfId="760">
      <calculatedColumnFormula>M1120/N1120</calculatedColumnFormula>
      <totalsRowFormula>AVERAGE(Table11096[LowerVal/SqFt])</totalsRowFormula>
    </tableColumn>
    <tableColumn id="32" name="Lower % Base" totalsRowFunction="custom" dataDxfId="759" totalsRowDxfId="758">
      <calculatedColumnFormula>O1120/C1120</calculatedColumnFormula>
      <totalsRowFormula>AVERAGE(Table11096[Lower % Base])</totalsRowFormula>
    </tableColumn>
    <tableColumn id="19" name="Unf Lower Value" dataDxfId="757" totalsRowDxfId="756"/>
    <tableColumn id="49" name="UnfLower Sq Ft" dataDxfId="755" totalsRowDxfId="754"/>
    <tableColumn id="14" name="UnfLowVal/SqFt2" dataDxfId="753" totalsRowDxfId="752">
      <calculatedColumnFormula>Q1120/R1120</calculatedColumnFormula>
    </tableColumn>
    <tableColumn id="33" name="Unf Lower % Base" totalsRowFunction="custom" dataDxfId="751" totalsRowDxfId="750">
      <calculatedColumnFormula>S1120/C1120</calculatedColumnFormula>
      <totalsRowFormula>AVERAGE(Table11096[Unf Lower % Base])</totalsRowFormula>
    </tableColumn>
    <tableColumn id="20" name="1/2 Story Value" dataDxfId="749" totalsRowDxfId="748"/>
    <tableColumn id="50" name="1/2 Story Sq Ft" dataDxfId="747" totalsRowDxfId="746"/>
    <tableColumn id="5" name="1/2 StoryVal/SqFt" dataDxfId="745" totalsRowDxfId="744">
      <calculatedColumnFormula>U1120/V1120</calculatedColumnFormula>
    </tableColumn>
    <tableColumn id="34" name="1/2 Story % Base" totalsRowFunction="custom" dataDxfId="743" totalsRowDxfId="742">
      <calculatedColumnFormula>W1120/C1120</calculatedColumnFormula>
      <totalsRowFormula>AVERAGE(Table11096[1/2 Story % Base])</totalsRowFormula>
    </tableColumn>
    <tableColumn id="21" name="2nd Story Value" dataDxfId="741" totalsRowDxfId="740"/>
    <tableColumn id="51" name="2nd Sty Sq Ft" dataDxfId="739" totalsRowDxfId="738"/>
    <tableColumn id="6" name="2ndStyVal/Sqft" dataDxfId="737" totalsRowDxfId="736">
      <calculatedColumnFormula>Y1120/Z1120</calculatedColumnFormula>
    </tableColumn>
    <tableColumn id="35" name="2nd Story % Base" totalsRowFunction="custom" dataDxfId="735" totalsRowDxfId="734">
      <calculatedColumnFormula>AA1120/C1120</calculatedColumnFormula>
      <totalsRowFormula>AVERAGE(Table11096[2nd Story % Base])</totalsRowFormula>
    </tableColumn>
    <tableColumn id="22" name="Att Gar Value" dataDxfId="733" totalsRowDxfId="732"/>
    <tableColumn id="52" name="Att Gar Sq Ft" dataDxfId="731" totalsRowDxfId="730"/>
    <tableColumn id="7" name="AttGarVal/SqFt" totalsRowFunction="custom" dataDxfId="729" totalsRowDxfId="728">
      <calculatedColumnFormula>AC1120/AD1120</calculatedColumnFormula>
      <totalsRowFormula>AVERAGE(Table11096[AttGarVal/SqFt])</totalsRowFormula>
    </tableColumn>
    <tableColumn id="36" name="Att Gar % Base" totalsRowFunction="custom" dataDxfId="727" totalsRowDxfId="726">
      <calculatedColumnFormula>AE1120/C1120</calculatedColumnFormula>
      <totalsRowFormula>AVERAGE(Table11096[Att Gar % Base])</totalsRowFormula>
    </tableColumn>
    <tableColumn id="23" name="Porch Value" dataDxfId="725" totalsRowDxfId="724"/>
    <tableColumn id="53" name="Porch Sq Ft" dataDxfId="723" totalsRowDxfId="722"/>
    <tableColumn id="8" name="PorchVal/SqFt" dataDxfId="721" totalsRowDxfId="720">
      <calculatedColumnFormula>AG1120/AH1120</calculatedColumnFormula>
    </tableColumn>
    <tableColumn id="37" name="Porch % Base" totalsRowFunction="custom" dataDxfId="719" totalsRowDxfId="718">
      <calculatedColumnFormula>AI1120/C1120</calculatedColumnFormula>
      <totalsRowFormula>AVERAGE(Table11096[Porch % Base])</totalsRowFormula>
    </tableColumn>
    <tableColumn id="24" name="Cov Porch Value" dataDxfId="717" totalsRowDxfId="716"/>
    <tableColumn id="54" name="Cov Porch Sq Ft" dataDxfId="715" totalsRowDxfId="714"/>
    <tableColumn id="9" name="CovPrVal/SqFt" dataDxfId="713" totalsRowDxfId="712">
      <calculatedColumnFormula>AK1120/AL1120</calculatedColumnFormula>
    </tableColumn>
    <tableColumn id="38" name="Cov Porch % Base" totalsRowFunction="custom" dataDxfId="711" totalsRowDxfId="710">
      <calculatedColumnFormula>AM1120/C1120</calculatedColumnFormula>
      <totalsRowFormula>AVERAGE(Table11096[Cov Porch % Base])</totalsRowFormula>
    </tableColumn>
    <tableColumn id="25" name="Deck Value" dataDxfId="709" totalsRowDxfId="708"/>
    <tableColumn id="55" name="Deck Sq Ft" dataDxfId="707" totalsRowDxfId="706"/>
    <tableColumn id="10" name="DeckVal/SqFt" dataDxfId="705" totalsRowDxfId="704">
      <calculatedColumnFormula>AO1120/AP1120</calculatedColumnFormula>
    </tableColumn>
    <tableColumn id="39" name="Deck % Base" totalsRowFunction="custom" dataDxfId="703" totalsRowDxfId="702">
      <calculatedColumnFormula>AQ1120/C1120</calculatedColumnFormula>
      <totalsRowFormula>AVERAGE(Table11096[Deck % Base])</totalsRowFormula>
    </tableColumn>
    <tableColumn id="26" name="Cov Deck Value" dataDxfId="701" totalsRowDxfId="700"/>
    <tableColumn id="56" name="CovDeck Sq Ft" dataDxfId="699" totalsRowDxfId="698"/>
    <tableColumn id="11" name="CovDeckVal/SqFt" totalsRowFunction="custom" dataDxfId="697" totalsRowDxfId="696">
      <calculatedColumnFormula>AS1120/AT1120</calculatedColumnFormula>
      <totalsRowFormula>AVERAGE(Table11096[CovDeckVal/SqFt])</totalsRowFormula>
    </tableColumn>
    <tableColumn id="40" name="CovDeck % Base" totalsRowFunction="custom" dataDxfId="695" totalsRowDxfId="694">
      <calculatedColumnFormula>AU1120/C1120</calculatedColumnFormula>
      <totalsRowFormula>AVERAGE(Table11096[CovDeck % Base])</totalsRowFormula>
    </tableColumn>
    <tableColumn id="27" name="CarP Value" dataDxfId="693" totalsRowDxfId="692"/>
    <tableColumn id="57" name="CarP Sq Ft" dataDxfId="691" totalsRowDxfId="690"/>
    <tableColumn id="12" name="CarPVal/SqFt" dataDxfId="689" totalsRowDxfId="688">
      <calculatedColumnFormula>AW1120/AX1120</calculatedColumnFormula>
    </tableColumn>
    <tableColumn id="41" name="CarP % Base" totalsRowFunction="custom" dataDxfId="687" totalsRowDxfId="686">
      <calculatedColumnFormula>AY1120/C1120</calculatedColumnFormula>
      <totalsRowFormula>AVERAGE(Table11096[CarP % Base])</totalsRowFormula>
    </tableColumn>
    <tableColumn id="28" name="EFP Value" dataDxfId="685" totalsRowDxfId="684"/>
    <tableColumn id="58" name="EFP Sq Ft" dataDxfId="683" totalsRowDxfId="682"/>
    <tableColumn id="15" name="EFPVal/SqFt" dataDxfId="681" totalsRowDxfId="680">
      <calculatedColumnFormula>BA1120/BB1120</calculatedColumnFormula>
    </tableColumn>
    <tableColumn id="29" name="EFP % Base" totalsRowFunction="custom" dataDxfId="679" totalsRowDxfId="678">
      <calculatedColumnFormula>BC1120/C1120</calculatedColumnFormula>
      <totalsRowFormula>AVERAGE(Table11096[EFP % Base])</totalsRowFormula>
    </tableColumn>
  </tableColumns>
  <tableStyleInfo name="TableStyleMedium1" showFirstColumn="0" showLastColumn="0" showRowStripes="1" showColumnStripes="0"/>
</table>
</file>

<file path=xl/tables/table95.xml><?xml version="1.0" encoding="utf-8"?>
<table xmlns="http://schemas.openxmlformats.org/spreadsheetml/2006/main" id="96" name="Table1107987" displayName="Table1107987" ref="A1131:BD1139" totalsRowCount="1" headerRowDxfId="677">
  <tableColumns count="56">
    <tableColumn id="1" name="  Grade" dataDxfId="676" totalsRowDxfId="675"/>
    <tableColumn id="13" name="Main Area $" dataDxfId="674" totalsRowDxfId="673"/>
    <tableColumn id="45" name="MA $/Sq Ft" totalsRowFunction="custom" dataDxfId="672" totalsRowDxfId="671">
      <calculatedColumnFormula>B1132/F1129</calculatedColumnFormula>
      <totalsRowFormula>AVERAGE(Table1107987[MA $/Sq Ft])</totalsRowFormula>
    </tableColumn>
    <tableColumn id="16" name="Basic Allowance" totalsRowFunction="custom" dataDxfId="670" totalsRowDxfId="669">
      <totalsRowFormula>AVERAGE(Table1107987[Basic Allowance])</totalsRowFormula>
    </tableColumn>
    <tableColumn id="43" name="BsmtVal" dataDxfId="668" totalsRowDxfId="667"/>
    <tableColumn id="46" name="Bsmt SqFt" dataDxfId="666" totalsRowDxfId="665"/>
    <tableColumn id="2" name="BsmtVal/Sq Ft" dataDxfId="664" totalsRowDxfId="663">
      <calculatedColumnFormula>E1132/F1132</calculatedColumnFormula>
    </tableColumn>
    <tableColumn id="17" name="Bsmt % Base" totalsRowFunction="custom" dataDxfId="662" totalsRowDxfId="661">
      <calculatedColumnFormula>G1132/C1132</calculatedColumnFormula>
      <totalsRowFormula>AVERAGE(Table1107987[Bsmt % Base])</totalsRowFormula>
    </tableColumn>
    <tableColumn id="30" name="UnfBsmtVal" dataDxfId="660" totalsRowDxfId="659"/>
    <tableColumn id="47" name="UnfBsmt Sq Ft" dataDxfId="658" totalsRowDxfId="657"/>
    <tableColumn id="3" name="UnfBsmtVal/SqFt" dataDxfId="656" totalsRowDxfId="655">
      <calculatedColumnFormula>I1132/J1132</calculatedColumnFormula>
    </tableColumn>
    <tableColumn id="44" name="UnfBsmt % Base" totalsRowFunction="custom" dataDxfId="654" totalsRowDxfId="653">
      <calculatedColumnFormula>K1132/C1132</calculatedColumnFormula>
      <totalsRowFormula>AVERAGE(Table1107987[[#Headers],[#Data],[UnfBsmt % Base]])</totalsRowFormula>
    </tableColumn>
    <tableColumn id="31" name="Lower Value" dataDxfId="652" totalsRowDxfId="651"/>
    <tableColumn id="48" name="Lower Sq Ft" dataDxfId="650" totalsRowDxfId="649"/>
    <tableColumn id="4" name="LowerVal/SqFt" totalsRowFunction="custom" dataDxfId="648" totalsRowDxfId="647">
      <calculatedColumnFormula>M1132/N1132</calculatedColumnFormula>
      <totalsRowFormula>AVERAGE(Table1107987[LowerVal/SqFt])</totalsRowFormula>
    </tableColumn>
    <tableColumn id="32" name="Lower % Base" totalsRowFunction="custom" dataDxfId="646" totalsRowDxfId="645">
      <calculatedColumnFormula>O1132/C1132</calculatedColumnFormula>
      <totalsRowFormula>AVERAGE(Table1107987[Lower % Base])</totalsRowFormula>
    </tableColumn>
    <tableColumn id="19" name="Unf Lower Value" dataDxfId="644" totalsRowDxfId="643"/>
    <tableColumn id="49" name="UnfLower Sq Ft" dataDxfId="642" totalsRowDxfId="641"/>
    <tableColumn id="14" name="UnfLowVal/SqFt2" dataDxfId="640" totalsRowDxfId="639">
      <calculatedColumnFormula>Q1132/R1132</calculatedColumnFormula>
    </tableColumn>
    <tableColumn id="33" name="Unf Lower % Base" totalsRowFunction="custom" dataDxfId="638" totalsRowDxfId="637">
      <calculatedColumnFormula>S1132/C1132</calculatedColumnFormula>
      <totalsRowFormula>AVERAGE(Table1107987[Unf Lower % Base])</totalsRowFormula>
    </tableColumn>
    <tableColumn id="20" name="1/2 Story Value" dataDxfId="636" totalsRowDxfId="635"/>
    <tableColumn id="50" name="1/2 Story Sq Ft" dataDxfId="634" totalsRowDxfId="633"/>
    <tableColumn id="5" name="1/2 StoryVal/SqFt" dataDxfId="632" totalsRowDxfId="631">
      <calculatedColumnFormula>U1132/V1132</calculatedColumnFormula>
    </tableColumn>
    <tableColumn id="34" name="1/2 Story % Base" totalsRowFunction="custom" dataDxfId="630" totalsRowDxfId="629">
      <calculatedColumnFormula>W1132/C1132</calculatedColumnFormula>
      <totalsRowFormula>AVERAGE(Table1107987[1/2 Story % Base])</totalsRowFormula>
    </tableColumn>
    <tableColumn id="21" name="2nd Story Value" dataDxfId="628" totalsRowDxfId="627"/>
    <tableColumn id="51" name="2nd Sty Sq Ft" dataDxfId="626" totalsRowDxfId="625"/>
    <tableColumn id="6" name="2ndStyVal/Sqft" dataDxfId="624" totalsRowDxfId="623">
      <calculatedColumnFormula>Y1132/Z1132</calculatedColumnFormula>
    </tableColumn>
    <tableColumn id="35" name="2nd Story % Base" totalsRowFunction="custom" dataDxfId="622" totalsRowDxfId="621">
      <calculatedColumnFormula>AA1132/C1132</calculatedColumnFormula>
      <totalsRowFormula>AVERAGE(Table1107987[2nd Story % Base])</totalsRowFormula>
    </tableColumn>
    <tableColumn id="22" name="Att Gar Value" dataDxfId="620" totalsRowDxfId="619"/>
    <tableColumn id="52" name="Att Gar Sq Ft" dataDxfId="618" totalsRowDxfId="617"/>
    <tableColumn id="7" name="AttGarVal/SqFt" totalsRowFunction="custom" dataDxfId="616" totalsRowDxfId="615">
      <calculatedColumnFormula>AC1132/AD1132</calculatedColumnFormula>
      <totalsRowFormula>AVERAGE(Table1107987[AttGarVal/SqFt])</totalsRowFormula>
    </tableColumn>
    <tableColumn id="36" name="Att Gar % Base" totalsRowFunction="custom" dataDxfId="614" totalsRowDxfId="613">
      <calculatedColumnFormula>AE1132/C1132</calculatedColumnFormula>
      <totalsRowFormula>AVERAGE(Table1107987[Att Gar % Base])</totalsRowFormula>
    </tableColumn>
    <tableColumn id="23" name="Porch Value" dataDxfId="612" totalsRowDxfId="611"/>
    <tableColumn id="53" name="Porch Sq Ft" dataDxfId="610" totalsRowDxfId="609"/>
    <tableColumn id="8" name="PorchVal/SqFt" dataDxfId="608" totalsRowDxfId="607">
      <calculatedColumnFormula>AG1132/AH1132</calculatedColumnFormula>
    </tableColumn>
    <tableColumn id="37" name="Porch % Base" totalsRowFunction="custom" dataDxfId="606" totalsRowDxfId="605">
      <calculatedColumnFormula>AI1132/C1132</calculatedColumnFormula>
      <totalsRowFormula>AVERAGE(Table1107987[Porch % Base])</totalsRowFormula>
    </tableColumn>
    <tableColumn id="24" name="Cov Porch Value" dataDxfId="604" totalsRowDxfId="603"/>
    <tableColumn id="54" name="Cov Porch Sq Ft" dataDxfId="602" totalsRowDxfId="601"/>
    <tableColumn id="9" name="CovPrVal/SqFt" dataDxfId="600" totalsRowDxfId="599">
      <calculatedColumnFormula>AK1132/AL1132</calculatedColumnFormula>
    </tableColumn>
    <tableColumn id="38" name="Cov Porch % Base" totalsRowFunction="custom" dataDxfId="598" totalsRowDxfId="597">
      <calculatedColumnFormula>AM1132/C1132</calculatedColumnFormula>
      <totalsRowFormula>AVERAGE(Table1107987[Cov Porch % Base])</totalsRowFormula>
    </tableColumn>
    <tableColumn id="25" name="Deck Value" dataDxfId="596" totalsRowDxfId="595"/>
    <tableColumn id="55" name="Deck Sq Ft" dataDxfId="594" totalsRowDxfId="593"/>
    <tableColumn id="10" name="DeckVal/SqFt" dataDxfId="592" totalsRowDxfId="591">
      <calculatedColumnFormula>AO1132/AP1132</calculatedColumnFormula>
    </tableColumn>
    <tableColumn id="39" name="Deck % Base" totalsRowFunction="custom" dataDxfId="590" totalsRowDxfId="589">
      <calculatedColumnFormula>AQ1132/C1132</calculatedColumnFormula>
      <totalsRowFormula>AVERAGE(Table1107987[Deck % Base])</totalsRowFormula>
    </tableColumn>
    <tableColumn id="26" name="Cov Deck Value" dataDxfId="588" totalsRowDxfId="587"/>
    <tableColumn id="56" name="CovDeck Sq Ft" dataDxfId="586" totalsRowDxfId="585"/>
    <tableColumn id="11" name="CovDeckVal/SqFt" totalsRowFunction="custom" dataDxfId="584" totalsRowDxfId="583">
      <calculatedColumnFormula>AS1132/AT1132</calculatedColumnFormula>
      <totalsRowFormula>AVERAGE(Table1107987[CovDeckVal/SqFt])</totalsRowFormula>
    </tableColumn>
    <tableColumn id="40" name="CovDeck % Base" totalsRowFunction="custom" dataDxfId="582" totalsRowDxfId="581">
      <calculatedColumnFormula>AU1132/C1132</calculatedColumnFormula>
      <totalsRowFormula>AVERAGE(Table1107987[CovDeck % Base])</totalsRowFormula>
    </tableColumn>
    <tableColumn id="27" name="CarP Value" dataDxfId="580" totalsRowDxfId="579"/>
    <tableColumn id="57" name="CarP Sq Ft" dataDxfId="578" totalsRowDxfId="577"/>
    <tableColumn id="12" name="CarPVal/SqFt" dataDxfId="576" totalsRowDxfId="575">
      <calculatedColumnFormula>AW1132/AX1132</calculatedColumnFormula>
    </tableColumn>
    <tableColumn id="41" name="CarP % Base" totalsRowFunction="custom" dataDxfId="574" totalsRowDxfId="573">
      <calculatedColumnFormula>AY1132/C1132</calculatedColumnFormula>
      <totalsRowFormula>AVERAGE(Table1107987[CarP % Base])</totalsRowFormula>
    </tableColumn>
    <tableColumn id="28" name="EFP Value" dataDxfId="572" totalsRowDxfId="571"/>
    <tableColumn id="58" name="EFP Sq Ft" dataDxfId="570" totalsRowDxfId="569"/>
    <tableColumn id="15" name="EFPVal/SqFt" dataDxfId="568" totalsRowDxfId="567">
      <calculatedColumnFormula>BA1132/BB1132</calculatedColumnFormula>
    </tableColumn>
    <tableColumn id="29" name="EFP % Base" totalsRowFunction="custom" dataDxfId="566" totalsRowDxfId="565">
      <calculatedColumnFormula>BC1132/C1132</calculatedColumnFormula>
      <totalsRowFormula>AVERAGE(Table1107987[EFP % Base])</totalsRowFormula>
    </tableColumn>
  </tableColumns>
  <tableStyleInfo name="TableStyleMedium1" showFirstColumn="0" showLastColumn="0" showRowStripes="1" showColumnStripes="0"/>
</table>
</file>

<file path=xl/tables/table96.xml><?xml version="1.0" encoding="utf-8"?>
<table xmlns="http://schemas.openxmlformats.org/spreadsheetml/2006/main" id="97" name="Table1107988" displayName="Table1107988" ref="A1143:BD1151" totalsRowCount="1" headerRowDxfId="564">
  <tableColumns count="56">
    <tableColumn id="1" name="  Grade" dataDxfId="563" totalsRowDxfId="562"/>
    <tableColumn id="13" name="Main Area $" dataDxfId="561" totalsRowDxfId="560"/>
    <tableColumn id="45" name="MA $/Sq Ft" totalsRowFunction="custom" dataDxfId="559" totalsRowDxfId="558">
      <calculatedColumnFormula>B1144/F1141</calculatedColumnFormula>
      <totalsRowFormula>AVERAGE(Table1107988[MA $/Sq Ft])</totalsRowFormula>
    </tableColumn>
    <tableColumn id="16" name="Basic Allowance" totalsRowFunction="custom" dataDxfId="557" totalsRowDxfId="556">
      <totalsRowFormula>AVERAGE(Table1107988[Basic Allowance])</totalsRowFormula>
    </tableColumn>
    <tableColumn id="43" name="BsmtVal" dataDxfId="555" totalsRowDxfId="554"/>
    <tableColumn id="46" name="Bsmt SqFt" dataDxfId="553" totalsRowDxfId="552"/>
    <tableColumn id="2" name="BsmtVal/Sq Ft" dataDxfId="551" totalsRowDxfId="550">
      <calculatedColumnFormula>E1144/F1144</calculatedColumnFormula>
    </tableColumn>
    <tableColumn id="17" name="Bsmt % Base" totalsRowFunction="custom" dataDxfId="549" totalsRowDxfId="548">
      <calculatedColumnFormula>G1144/C1144</calculatedColumnFormula>
      <totalsRowFormula>AVERAGE(Table1107988[Bsmt % Base])</totalsRowFormula>
    </tableColumn>
    <tableColumn id="30" name="UnfBsmtVal" dataDxfId="547" totalsRowDxfId="546"/>
    <tableColumn id="47" name="UnfBsmt Sq Ft" dataDxfId="545" totalsRowDxfId="544"/>
    <tableColumn id="3" name="UnfBsmtVal/SqFt" dataDxfId="543" totalsRowDxfId="542">
      <calculatedColumnFormula>I1144/J1144</calculatedColumnFormula>
    </tableColumn>
    <tableColumn id="44" name="UnfBsmt % Base" totalsRowFunction="custom" dataDxfId="541" totalsRowDxfId="540">
      <calculatedColumnFormula>K1144/C1144</calculatedColumnFormula>
      <totalsRowFormula>AVERAGE(Table1107988[[#Headers],[#Data],[UnfBsmt % Base]])</totalsRowFormula>
    </tableColumn>
    <tableColumn id="31" name="Lower Value" dataDxfId="539" totalsRowDxfId="538"/>
    <tableColumn id="48" name="Lower Sq Ft" dataDxfId="537" totalsRowDxfId="536"/>
    <tableColumn id="4" name="LowerVal/SqFt" totalsRowFunction="custom" dataDxfId="535" totalsRowDxfId="534">
      <calculatedColumnFormula>M1144/N1144</calculatedColumnFormula>
      <totalsRowFormula>AVERAGE(Table1107988[LowerVal/SqFt])</totalsRowFormula>
    </tableColumn>
    <tableColumn id="32" name="Lower % Base" totalsRowFunction="custom" dataDxfId="533" totalsRowDxfId="532">
      <calculatedColumnFormula>O1144/C1144</calculatedColumnFormula>
      <totalsRowFormula>AVERAGE(Table1107988[Lower % Base])</totalsRowFormula>
    </tableColumn>
    <tableColumn id="19" name="Unf Lower Value" dataDxfId="531" totalsRowDxfId="530"/>
    <tableColumn id="49" name="UnfLower Sq Ft" dataDxfId="529" totalsRowDxfId="528"/>
    <tableColumn id="14" name="UnfLowVal/SqFt2" dataDxfId="527" totalsRowDxfId="526">
      <calculatedColumnFormula>Q1144/R1144</calculatedColumnFormula>
    </tableColumn>
    <tableColumn id="33" name="Unf Lower % Base" totalsRowFunction="custom" dataDxfId="525" totalsRowDxfId="524">
      <calculatedColumnFormula>S1144/C1144</calculatedColumnFormula>
      <totalsRowFormula>AVERAGE(Table1107988[Unf Lower % Base])</totalsRowFormula>
    </tableColumn>
    <tableColumn id="20" name="1/2 Story Value" dataDxfId="523" totalsRowDxfId="522"/>
    <tableColumn id="50" name="1/2 Story Sq Ft" dataDxfId="521" totalsRowDxfId="520"/>
    <tableColumn id="5" name="1/2 StoryVal/SqFt" dataDxfId="519" totalsRowDxfId="518">
      <calculatedColumnFormula>U1144/V1144</calculatedColumnFormula>
    </tableColumn>
    <tableColumn id="34" name="1/2 Story % Base" totalsRowFunction="custom" dataDxfId="517" totalsRowDxfId="516">
      <calculatedColumnFormula>W1144/C1144</calculatedColumnFormula>
      <totalsRowFormula>AVERAGE(Table1107988[1/2 Story % Base])</totalsRowFormula>
    </tableColumn>
    <tableColumn id="21" name="2nd Story Value" dataDxfId="515" totalsRowDxfId="514"/>
    <tableColumn id="51" name="2nd Sty Sq Ft" dataDxfId="513" totalsRowDxfId="512"/>
    <tableColumn id="6" name="2ndStyVal/Sqft" dataDxfId="511" totalsRowDxfId="510">
      <calculatedColumnFormula>Y1144/Z1144</calculatedColumnFormula>
    </tableColumn>
    <tableColumn id="35" name="2nd Story % Base" totalsRowFunction="custom" dataDxfId="509" totalsRowDxfId="508">
      <calculatedColumnFormula>AA1144/C1144</calculatedColumnFormula>
      <totalsRowFormula>AVERAGE(Table1107988[2nd Story % Base])</totalsRowFormula>
    </tableColumn>
    <tableColumn id="22" name="Att Gar Value" dataDxfId="507" totalsRowDxfId="506"/>
    <tableColumn id="52" name="Att Gar Sq Ft" dataDxfId="505" totalsRowDxfId="504"/>
    <tableColumn id="7" name="AttGarVal/SqFt" totalsRowFunction="custom" dataDxfId="503" totalsRowDxfId="502">
      <calculatedColumnFormula>AC1144/AD1144</calculatedColumnFormula>
      <totalsRowFormula>AVERAGE(Table1107988[AttGarVal/SqFt])</totalsRowFormula>
    </tableColumn>
    <tableColumn id="36" name="Att Gar % Base" totalsRowFunction="custom" dataDxfId="501" totalsRowDxfId="500">
      <calculatedColumnFormula>AE1144/C1144</calculatedColumnFormula>
      <totalsRowFormula>AVERAGE(Table1107988[Att Gar % Base])</totalsRowFormula>
    </tableColumn>
    <tableColumn id="23" name="Porch Value" dataDxfId="499" totalsRowDxfId="498"/>
    <tableColumn id="53" name="Porch Sq Ft" dataDxfId="497" totalsRowDxfId="496"/>
    <tableColumn id="8" name="PorchVal/SqFt" dataDxfId="495" totalsRowDxfId="494">
      <calculatedColumnFormula>AG1144/AH1144</calculatedColumnFormula>
    </tableColumn>
    <tableColumn id="37" name="Porch % Base" totalsRowFunction="custom" dataDxfId="493" totalsRowDxfId="492">
      <calculatedColumnFormula>AI1144/C1144</calculatedColumnFormula>
      <totalsRowFormula>AVERAGE(Table1107988[Porch % Base])</totalsRowFormula>
    </tableColumn>
    <tableColumn id="24" name="Cov Porch Value" dataDxfId="491" totalsRowDxfId="490"/>
    <tableColumn id="54" name="Cov Porch Sq Ft" dataDxfId="489" totalsRowDxfId="488"/>
    <tableColumn id="9" name="CovPrVal/SqFt" dataDxfId="487" totalsRowDxfId="486">
      <calculatedColumnFormula>AK1144/AL1144</calculatedColumnFormula>
    </tableColumn>
    <tableColumn id="38" name="Cov Porch % Base" totalsRowFunction="custom" dataDxfId="485" totalsRowDxfId="484">
      <calculatedColumnFormula>AM1144/C1144</calculatedColumnFormula>
      <totalsRowFormula>AVERAGE(Table1107988[Cov Porch % Base])</totalsRowFormula>
    </tableColumn>
    <tableColumn id="25" name="Deck Value" dataDxfId="483" totalsRowDxfId="482"/>
    <tableColumn id="55" name="Deck Sq Ft" dataDxfId="481" totalsRowDxfId="480"/>
    <tableColumn id="10" name="DeckVal/SqFt" dataDxfId="479" totalsRowDxfId="478">
      <calculatedColumnFormula>AO1144/AP1144</calculatedColumnFormula>
    </tableColumn>
    <tableColumn id="39" name="Deck % Base" totalsRowFunction="custom" dataDxfId="477" totalsRowDxfId="476">
      <calculatedColumnFormula>AQ1144/C1144</calculatedColumnFormula>
      <totalsRowFormula>AVERAGE(Table1107988[Deck % Base])</totalsRowFormula>
    </tableColumn>
    <tableColumn id="26" name="Cov Deck Value" dataDxfId="475" totalsRowDxfId="474"/>
    <tableColumn id="56" name="CovDeck Sq Ft" dataDxfId="473" totalsRowDxfId="472"/>
    <tableColumn id="11" name="CovDeckVal/SqFt" totalsRowFunction="custom" dataDxfId="471" totalsRowDxfId="470">
      <calculatedColumnFormula>AS1144/AT1144</calculatedColumnFormula>
      <totalsRowFormula>AVERAGE(Table1107988[CovDeckVal/SqFt])</totalsRowFormula>
    </tableColumn>
    <tableColumn id="40" name="CovDeck % Base" totalsRowFunction="custom" dataDxfId="469" totalsRowDxfId="468">
      <calculatedColumnFormula>AU1144/C1144</calculatedColumnFormula>
      <totalsRowFormula>AVERAGE(Table1107988[CovDeck % Base])</totalsRowFormula>
    </tableColumn>
    <tableColumn id="27" name="CarP Value" dataDxfId="467" totalsRowDxfId="466"/>
    <tableColumn id="57" name="CarP Sq Ft" dataDxfId="465" totalsRowDxfId="464"/>
    <tableColumn id="12" name="CarPVal/SqFt" dataDxfId="463" totalsRowDxfId="462">
      <calculatedColumnFormula>AW1144/AX1144</calculatedColumnFormula>
    </tableColumn>
    <tableColumn id="41" name="CarP % Base" totalsRowFunction="custom" dataDxfId="461" totalsRowDxfId="460">
      <calculatedColumnFormula>AY1144/C1144</calculatedColumnFormula>
      <totalsRowFormula>AVERAGE(Table1107988[CarP % Base])</totalsRowFormula>
    </tableColumn>
    <tableColumn id="28" name="EFP Value" dataDxfId="459" totalsRowDxfId="458"/>
    <tableColumn id="58" name="EFP Sq Ft" dataDxfId="457" totalsRowDxfId="456"/>
    <tableColumn id="15" name="EFPVal/SqFt" dataDxfId="455" totalsRowDxfId="454">
      <calculatedColumnFormula>BA1144/BB1144</calculatedColumnFormula>
    </tableColumn>
    <tableColumn id="29" name="EFP % Base" totalsRowFunction="custom" dataDxfId="453" totalsRowDxfId="452">
      <calculatedColumnFormula>BC1144/C1144</calculatedColumnFormula>
      <totalsRowFormula>AVERAGE(Table1107988[EFP % Base])</totalsRowFormula>
    </tableColumn>
  </tableColumns>
  <tableStyleInfo name="TableStyleMedium1" showFirstColumn="0" showLastColumn="0" showRowStripes="1" showColumnStripes="0"/>
</table>
</file>

<file path=xl/tables/table97.xml><?xml version="1.0" encoding="utf-8"?>
<table xmlns="http://schemas.openxmlformats.org/spreadsheetml/2006/main" id="98" name="Table1107989" displayName="Table1107989" ref="A1155:BD1163" totalsRowCount="1" headerRowDxfId="451">
  <tableColumns count="56">
    <tableColumn id="1" name="  Grade" dataDxfId="450" totalsRowDxfId="449"/>
    <tableColumn id="13" name="Main Area $" dataDxfId="448" totalsRowDxfId="447"/>
    <tableColumn id="45" name="MA $/Sq Ft" totalsRowFunction="custom" dataDxfId="446" totalsRowDxfId="445">
      <calculatedColumnFormula>B1156/F1153</calculatedColumnFormula>
      <totalsRowFormula>AVERAGE(Table1107989[MA $/Sq Ft])</totalsRowFormula>
    </tableColumn>
    <tableColumn id="16" name="Basic Allowance" totalsRowFunction="custom" dataDxfId="444" totalsRowDxfId="443">
      <totalsRowFormula>AVERAGE(Table1107989[Basic Allowance])</totalsRowFormula>
    </tableColumn>
    <tableColumn id="43" name="BsmtVal" dataDxfId="442" totalsRowDxfId="441"/>
    <tableColumn id="46" name="Bsmt SqFt" dataDxfId="440" totalsRowDxfId="439"/>
    <tableColumn id="2" name="BsmtVal/Sq Ft" dataDxfId="438" totalsRowDxfId="437">
      <calculatedColumnFormula>E1156/F1156</calculatedColumnFormula>
    </tableColumn>
    <tableColumn id="17" name="Bsmt % Base" totalsRowFunction="custom" dataDxfId="436" totalsRowDxfId="435">
      <calculatedColumnFormula>G1156/C1156</calculatedColumnFormula>
      <totalsRowFormula>AVERAGE(Table1107989[Bsmt % Base])</totalsRowFormula>
    </tableColumn>
    <tableColumn id="30" name="UnfBsmtVal" dataDxfId="434" totalsRowDxfId="433"/>
    <tableColumn id="47" name="UnfBsmt Sq Ft" dataDxfId="432" totalsRowDxfId="431"/>
    <tableColumn id="3" name="UnfBsmtVal/SqFt" dataDxfId="430" totalsRowDxfId="429">
      <calculatedColumnFormula>I1156/J1156</calculatedColumnFormula>
    </tableColumn>
    <tableColumn id="44" name="UnfBsmt % Base" totalsRowFunction="custom" dataDxfId="428" totalsRowDxfId="427">
      <calculatedColumnFormula>K1156/C1156</calculatedColumnFormula>
      <totalsRowFormula>AVERAGE(Table1107989[[#Headers],[#Data],[UnfBsmt % Base]])</totalsRowFormula>
    </tableColumn>
    <tableColumn id="31" name="Lower Value" dataDxfId="426" totalsRowDxfId="425"/>
    <tableColumn id="48" name="Lower Sq Ft" dataDxfId="424" totalsRowDxfId="423"/>
    <tableColumn id="4" name="LowerVal/SqFt" totalsRowFunction="custom" dataDxfId="422" totalsRowDxfId="421">
      <calculatedColumnFormula>M1156/N1156</calculatedColumnFormula>
      <totalsRowFormula>AVERAGE(Table1107989[LowerVal/SqFt])</totalsRowFormula>
    </tableColumn>
    <tableColumn id="32" name="Lower % Base" totalsRowFunction="custom" dataDxfId="420" totalsRowDxfId="419">
      <calculatedColumnFormula>O1156/C1156</calculatedColumnFormula>
      <totalsRowFormula>AVERAGE(Table1107989[Lower % Base])</totalsRowFormula>
    </tableColumn>
    <tableColumn id="19" name="Unf Lower Value" dataDxfId="418" totalsRowDxfId="417"/>
    <tableColumn id="49" name="UnfLower Sq Ft" dataDxfId="416" totalsRowDxfId="415"/>
    <tableColumn id="14" name="UnfLowVal/SqFt2" dataDxfId="414" totalsRowDxfId="413">
      <calculatedColumnFormula>Q1156/R1156</calculatedColumnFormula>
    </tableColumn>
    <tableColumn id="33" name="Unf Lower % Base" totalsRowFunction="custom" dataDxfId="412" totalsRowDxfId="411">
      <calculatedColumnFormula>S1156/C1156</calculatedColumnFormula>
      <totalsRowFormula>AVERAGE(Table1107989[Unf Lower % Base])</totalsRowFormula>
    </tableColumn>
    <tableColumn id="20" name="1/2 Story Value" dataDxfId="410" totalsRowDxfId="409"/>
    <tableColumn id="50" name="1/2 Story Sq Ft" dataDxfId="408" totalsRowDxfId="407"/>
    <tableColumn id="5" name="1/2 StoryVal/SqFt" dataDxfId="406" totalsRowDxfId="405">
      <calculatedColumnFormula>U1156/V1156</calculatedColumnFormula>
    </tableColumn>
    <tableColumn id="34" name="1/2 Story % Base" totalsRowFunction="custom" dataDxfId="404" totalsRowDxfId="403">
      <calculatedColumnFormula>W1156/C1156</calculatedColumnFormula>
      <totalsRowFormula>AVERAGE(Table1107989[1/2 Story % Base])</totalsRowFormula>
    </tableColumn>
    <tableColumn id="21" name="2nd Story Value" dataDxfId="402" totalsRowDxfId="401"/>
    <tableColumn id="51" name="2nd Sty Sq Ft" dataDxfId="400" totalsRowDxfId="399"/>
    <tableColumn id="6" name="2ndStyVal/Sqft" dataDxfId="398" totalsRowDxfId="397">
      <calculatedColumnFormula>Y1156/Z1156</calculatedColumnFormula>
    </tableColumn>
    <tableColumn id="35" name="2nd Story % Base" totalsRowFunction="custom" dataDxfId="396" totalsRowDxfId="395">
      <calculatedColumnFormula>AA1156/C1156</calculatedColumnFormula>
      <totalsRowFormula>AVERAGE(Table1107989[2nd Story % Base])</totalsRowFormula>
    </tableColumn>
    <tableColumn id="22" name="Att Gar Value" dataDxfId="394" totalsRowDxfId="393"/>
    <tableColumn id="52" name="Att Gar Sq Ft" dataDxfId="392" totalsRowDxfId="391"/>
    <tableColumn id="7" name="AttGarVal/SqFt" totalsRowFunction="custom" dataDxfId="390" totalsRowDxfId="389">
      <calculatedColumnFormula>AC1156/AD1156</calculatedColumnFormula>
      <totalsRowFormula>AVERAGE(Table1107989[AttGarVal/SqFt])</totalsRowFormula>
    </tableColumn>
    <tableColumn id="36" name="Att Gar % Base" totalsRowFunction="custom" dataDxfId="388" totalsRowDxfId="387">
      <calculatedColumnFormula>AE1156/C1156</calculatedColumnFormula>
      <totalsRowFormula>AVERAGE(Table1107989[Att Gar % Base])</totalsRowFormula>
    </tableColumn>
    <tableColumn id="23" name="Porch Value" dataDxfId="386" totalsRowDxfId="385"/>
    <tableColumn id="53" name="Porch Sq Ft" dataDxfId="384" totalsRowDxfId="383"/>
    <tableColumn id="8" name="PorchVal/SqFt" dataDxfId="382" totalsRowDxfId="381">
      <calculatedColumnFormula>AG1156/AH1156</calculatedColumnFormula>
    </tableColumn>
    <tableColumn id="37" name="Porch % Base" totalsRowFunction="custom" dataDxfId="380" totalsRowDxfId="379">
      <calculatedColumnFormula>AI1156/C1156</calculatedColumnFormula>
      <totalsRowFormula>AVERAGE(Table1107989[Porch % Base])</totalsRowFormula>
    </tableColumn>
    <tableColumn id="24" name="Cov Porch Value" dataDxfId="378" totalsRowDxfId="377"/>
    <tableColumn id="54" name="Cov Porch Sq Ft" dataDxfId="376" totalsRowDxfId="375"/>
    <tableColumn id="9" name="CovPrVal/SqFt" dataDxfId="374" totalsRowDxfId="373">
      <calculatedColumnFormula>AK1156/AL1156</calculatedColumnFormula>
    </tableColumn>
    <tableColumn id="38" name="Cov Porch % Base" totalsRowFunction="custom" dataDxfId="372" totalsRowDxfId="371">
      <calculatedColumnFormula>AM1156/C1156</calculatedColumnFormula>
      <totalsRowFormula>AVERAGE(Table1107989[Cov Porch % Base])</totalsRowFormula>
    </tableColumn>
    <tableColumn id="25" name="Deck Value" dataDxfId="370" totalsRowDxfId="369"/>
    <tableColumn id="55" name="Deck Sq Ft" dataDxfId="368" totalsRowDxfId="367"/>
    <tableColumn id="10" name="DeckVal/SqFt" dataDxfId="366" totalsRowDxfId="365">
      <calculatedColumnFormula>AO1156/AP1156</calculatedColumnFormula>
    </tableColumn>
    <tableColumn id="39" name="Deck % Base" totalsRowFunction="custom" dataDxfId="364" totalsRowDxfId="363">
      <calculatedColumnFormula>AQ1156/C1156</calculatedColumnFormula>
      <totalsRowFormula>AVERAGE(Table1107989[Deck % Base])</totalsRowFormula>
    </tableColumn>
    <tableColumn id="26" name="Cov Deck Value" dataDxfId="362" totalsRowDxfId="361"/>
    <tableColumn id="56" name="CovDeck Sq Ft" dataDxfId="360" totalsRowDxfId="359"/>
    <tableColumn id="11" name="CovDeckVal/SqFt" totalsRowFunction="custom" dataDxfId="358" totalsRowDxfId="357">
      <calculatedColumnFormula>AS1156/AT1156</calculatedColumnFormula>
      <totalsRowFormula>AVERAGE(Table1107989[CovDeckVal/SqFt])</totalsRowFormula>
    </tableColumn>
    <tableColumn id="40" name="CovDeck % Base" totalsRowFunction="custom" dataDxfId="356" totalsRowDxfId="355">
      <calculatedColumnFormula>AU1156/C1156</calculatedColumnFormula>
      <totalsRowFormula>AVERAGE(Table1107989[CovDeck % Base])</totalsRowFormula>
    </tableColumn>
    <tableColumn id="27" name="CarP Value" dataDxfId="354" totalsRowDxfId="353"/>
    <tableColumn id="57" name="CarP Sq Ft" dataDxfId="352" totalsRowDxfId="351"/>
    <tableColumn id="12" name="CarPVal/SqFt" dataDxfId="350" totalsRowDxfId="349">
      <calculatedColumnFormula>AW1156/AX1156</calculatedColumnFormula>
    </tableColumn>
    <tableColumn id="41" name="CarP % Base" totalsRowFunction="custom" dataDxfId="348" totalsRowDxfId="347">
      <calculatedColumnFormula>AY1156/C1156</calculatedColumnFormula>
      <totalsRowFormula>AVERAGE(Table1107989[CarP % Base])</totalsRowFormula>
    </tableColumn>
    <tableColumn id="28" name="EFP Value" dataDxfId="346" totalsRowDxfId="345"/>
    <tableColumn id="58" name="EFP Sq Ft" dataDxfId="344" totalsRowDxfId="343"/>
    <tableColumn id="15" name="EFPVal/SqFt" dataDxfId="342" totalsRowDxfId="341">
      <calculatedColumnFormula>BA1156/BB1156</calculatedColumnFormula>
    </tableColumn>
    <tableColumn id="29" name="EFP % Base" totalsRowFunction="custom" dataDxfId="340" totalsRowDxfId="339">
      <calculatedColumnFormula>BC1156/C1156</calculatedColumnFormula>
      <totalsRowFormula>AVERAGE(Table1107989[EFP % Base])</totalsRowFormula>
    </tableColumn>
  </tableColumns>
  <tableStyleInfo name="TableStyleMedium1" showFirstColumn="0" showLastColumn="0" showRowStripes="1" showColumnStripes="0"/>
</table>
</file>

<file path=xl/tables/table98.xml><?xml version="1.0" encoding="utf-8"?>
<table xmlns="http://schemas.openxmlformats.org/spreadsheetml/2006/main" id="99" name="Table1107990" displayName="Table1107990" ref="A1167:BD1175" totalsRowCount="1" headerRowDxfId="338">
  <tableColumns count="56">
    <tableColumn id="1" name="  Grade" dataDxfId="337" totalsRowDxfId="336"/>
    <tableColumn id="13" name="Main Area $" dataDxfId="335" totalsRowDxfId="334"/>
    <tableColumn id="45" name="MA $/Sq Ft" totalsRowFunction="custom" dataDxfId="333" totalsRowDxfId="332">
      <calculatedColumnFormula>B1168/F1165</calculatedColumnFormula>
      <totalsRowFormula>AVERAGE(Table1107990[MA $/Sq Ft])</totalsRowFormula>
    </tableColumn>
    <tableColumn id="16" name="Basic Allowance" totalsRowFunction="custom" dataDxfId="331" totalsRowDxfId="330">
      <totalsRowFormula>AVERAGE(Table1107990[Basic Allowance])</totalsRowFormula>
    </tableColumn>
    <tableColumn id="43" name="BsmtVal" dataDxfId="329" totalsRowDxfId="328"/>
    <tableColumn id="46" name="Bsmt SqFt" dataDxfId="327" totalsRowDxfId="326"/>
    <tableColumn id="2" name="BsmtVal/Sq Ft" dataDxfId="325" totalsRowDxfId="324">
      <calculatedColumnFormula>E1168/F1168</calculatedColumnFormula>
    </tableColumn>
    <tableColumn id="17" name="Bsmt % Base" totalsRowFunction="custom" dataDxfId="323" totalsRowDxfId="322">
      <calculatedColumnFormula>G1168/C1168</calculatedColumnFormula>
      <totalsRowFormula>AVERAGE(Table1107990[Bsmt % Base])</totalsRowFormula>
    </tableColumn>
    <tableColumn id="30" name="UnfBsmtVal" dataDxfId="321" totalsRowDxfId="320"/>
    <tableColumn id="47" name="UnfBsmt Sq Ft" dataDxfId="319" totalsRowDxfId="318"/>
    <tableColumn id="3" name="UnfBsmtVal/SqFt" dataDxfId="317" totalsRowDxfId="316">
      <calculatedColumnFormula>I1168/J1168</calculatedColumnFormula>
    </tableColumn>
    <tableColumn id="44" name="UnfBsmt % Base" totalsRowFunction="custom" dataDxfId="315" totalsRowDxfId="314">
      <calculatedColumnFormula>K1168/C1168</calculatedColumnFormula>
      <totalsRowFormula>AVERAGE(Table1107990[[#Headers],[#Data],[UnfBsmt % Base]])</totalsRowFormula>
    </tableColumn>
    <tableColumn id="31" name="Lower Value" dataDxfId="313" totalsRowDxfId="312"/>
    <tableColumn id="48" name="Lower Sq Ft" dataDxfId="311" totalsRowDxfId="310"/>
    <tableColumn id="4" name="LowerVal/SqFt" totalsRowFunction="custom" dataDxfId="309" totalsRowDxfId="308">
      <calculatedColumnFormula>M1168/N1168</calculatedColumnFormula>
      <totalsRowFormula>AVERAGE(Table1107990[LowerVal/SqFt])</totalsRowFormula>
    </tableColumn>
    <tableColumn id="32" name="Lower % Base" totalsRowFunction="custom" dataDxfId="307" totalsRowDxfId="306">
      <calculatedColumnFormula>O1168/C1168</calculatedColumnFormula>
      <totalsRowFormula>AVERAGE(Table1107990[Lower % Base])</totalsRowFormula>
    </tableColumn>
    <tableColumn id="19" name="Unf Lower Value" dataDxfId="305" totalsRowDxfId="304"/>
    <tableColumn id="49" name="UnfLower Sq Ft" dataDxfId="303" totalsRowDxfId="302"/>
    <tableColumn id="14" name="UnfLowVal/SqFt2" dataDxfId="301" totalsRowDxfId="300">
      <calculatedColumnFormula>Q1168/R1168</calculatedColumnFormula>
    </tableColumn>
    <tableColumn id="33" name="Unf Lower % Base" totalsRowFunction="custom" dataDxfId="299" totalsRowDxfId="298">
      <calculatedColumnFormula>S1168/C1168</calculatedColumnFormula>
      <totalsRowFormula>AVERAGE(Table1107990[Unf Lower % Base])</totalsRowFormula>
    </tableColumn>
    <tableColumn id="20" name="1/2 Story Value" dataDxfId="297" totalsRowDxfId="296"/>
    <tableColumn id="50" name="1/2 Story Sq Ft" dataDxfId="295" totalsRowDxfId="294"/>
    <tableColumn id="5" name="1/2 StoryVal/SqFt" dataDxfId="293" totalsRowDxfId="292">
      <calculatedColumnFormula>U1168/V1168</calculatedColumnFormula>
    </tableColumn>
    <tableColumn id="34" name="1/2 Story % Base" totalsRowFunction="custom" dataDxfId="291" totalsRowDxfId="290">
      <calculatedColumnFormula>W1168/C1168</calculatedColumnFormula>
      <totalsRowFormula>AVERAGE(Table1107990[1/2 Story % Base])</totalsRowFormula>
    </tableColumn>
    <tableColumn id="21" name="2nd Story Value" dataDxfId="289" totalsRowDxfId="288"/>
    <tableColumn id="51" name="2nd Sty Sq Ft" dataDxfId="287" totalsRowDxfId="286"/>
    <tableColumn id="6" name="2ndStyVal/Sqft" dataDxfId="285" totalsRowDxfId="284">
      <calculatedColumnFormula>Y1168/Z1168</calculatedColumnFormula>
    </tableColumn>
    <tableColumn id="35" name="2nd Story % Base" totalsRowFunction="custom" dataDxfId="283" totalsRowDxfId="282">
      <calculatedColumnFormula>AA1168/C1168</calculatedColumnFormula>
      <totalsRowFormula>AVERAGE(Table1107990[2nd Story % Base])</totalsRowFormula>
    </tableColumn>
    <tableColumn id="22" name="Att Gar Value" dataDxfId="281" totalsRowDxfId="280"/>
    <tableColumn id="52" name="Att Gar Sq Ft" dataDxfId="279" totalsRowDxfId="278"/>
    <tableColumn id="7" name="AttGarVal/SqFt" totalsRowFunction="custom" dataDxfId="277" totalsRowDxfId="276">
      <calculatedColumnFormula>AC1168/AD1168</calculatedColumnFormula>
      <totalsRowFormula>AVERAGE(Table1107990[AttGarVal/SqFt])</totalsRowFormula>
    </tableColumn>
    <tableColumn id="36" name="Att Gar % Base" totalsRowFunction="custom" dataDxfId="275" totalsRowDxfId="274">
      <calculatedColumnFormula>AE1168/C1168</calculatedColumnFormula>
      <totalsRowFormula>AVERAGE(Table1107990[Att Gar % Base])</totalsRowFormula>
    </tableColumn>
    <tableColumn id="23" name="Porch Value" dataDxfId="273" totalsRowDxfId="272"/>
    <tableColumn id="53" name="Porch Sq Ft" dataDxfId="271" totalsRowDxfId="270"/>
    <tableColumn id="8" name="PorchVal/SqFt" dataDxfId="269" totalsRowDxfId="268">
      <calculatedColumnFormula>AG1168/AH1168</calculatedColumnFormula>
    </tableColumn>
    <tableColumn id="37" name="Porch % Base" totalsRowFunction="custom" dataDxfId="267" totalsRowDxfId="266">
      <calculatedColumnFormula>AI1168/C1168</calculatedColumnFormula>
      <totalsRowFormula>AVERAGE(Table1107990[Porch % Base])</totalsRowFormula>
    </tableColumn>
    <tableColumn id="24" name="Cov Porch Value" dataDxfId="265" totalsRowDxfId="264"/>
    <tableColumn id="54" name="Cov Porch Sq Ft" dataDxfId="263" totalsRowDxfId="262"/>
    <tableColumn id="9" name="CovPrVal/SqFt" dataDxfId="261" totalsRowDxfId="260">
      <calculatedColumnFormula>AK1168/AL1168</calculatedColumnFormula>
    </tableColumn>
    <tableColumn id="38" name="Cov Porch % Base" totalsRowFunction="custom" dataDxfId="259" totalsRowDxfId="258">
      <calculatedColumnFormula>AM1168/C1168</calculatedColumnFormula>
      <totalsRowFormula>AVERAGE(Table1107990[Cov Porch % Base])</totalsRowFormula>
    </tableColumn>
    <tableColumn id="25" name="Deck Value" dataDxfId="257" totalsRowDxfId="256"/>
    <tableColumn id="55" name="Deck Sq Ft" dataDxfId="255" totalsRowDxfId="254"/>
    <tableColumn id="10" name="DeckVal/SqFt" dataDxfId="253" totalsRowDxfId="252">
      <calculatedColumnFormula>AO1168/AP1168</calculatedColumnFormula>
    </tableColumn>
    <tableColumn id="39" name="Deck % Base" totalsRowFunction="custom" dataDxfId="251" totalsRowDxfId="250">
      <calculatedColumnFormula>AQ1168/C1168</calculatedColumnFormula>
      <totalsRowFormula>AVERAGE(Table1107990[Deck % Base])</totalsRowFormula>
    </tableColumn>
    <tableColumn id="26" name="Cov Deck Value" dataDxfId="249" totalsRowDxfId="248"/>
    <tableColumn id="56" name="CovDeck Sq Ft" dataDxfId="247" totalsRowDxfId="246"/>
    <tableColumn id="11" name="CovDeckVal/SqFt" totalsRowFunction="custom" dataDxfId="245" totalsRowDxfId="244">
      <calculatedColumnFormula>AS1168/AT1168</calculatedColumnFormula>
      <totalsRowFormula>AVERAGE(Table1107990[CovDeckVal/SqFt])</totalsRowFormula>
    </tableColumn>
    <tableColumn id="40" name="CovDeck % Base" totalsRowFunction="custom" dataDxfId="243" totalsRowDxfId="242">
      <calculatedColumnFormula>AU1168/C1168</calculatedColumnFormula>
      <totalsRowFormula>AVERAGE(Table1107990[CovDeck % Base])</totalsRowFormula>
    </tableColumn>
    <tableColumn id="27" name="CarP Value" dataDxfId="241" totalsRowDxfId="240"/>
    <tableColumn id="57" name="CarP Sq Ft" dataDxfId="239" totalsRowDxfId="238"/>
    <tableColumn id="12" name="CarPVal/SqFt" dataDxfId="237" totalsRowDxfId="236">
      <calculatedColumnFormula>AW1168/AX1168</calculatedColumnFormula>
    </tableColumn>
    <tableColumn id="41" name="CarP % Base" totalsRowFunction="custom" dataDxfId="235" totalsRowDxfId="234">
      <calculatedColumnFormula>AY1168/C1168</calculatedColumnFormula>
      <totalsRowFormula>AVERAGE(Table1107990[CarP % Base])</totalsRowFormula>
    </tableColumn>
    <tableColumn id="28" name="EFP Value" dataDxfId="233" totalsRowDxfId="232"/>
    <tableColumn id="58" name="EFP Sq Ft" dataDxfId="231" totalsRowDxfId="230"/>
    <tableColumn id="15" name="EFPVal/SqFt" dataDxfId="229" totalsRowDxfId="228">
      <calculatedColumnFormula>BA1168/BB1168</calculatedColumnFormula>
    </tableColumn>
    <tableColumn id="29" name="EFP % Base" totalsRowFunction="custom" dataDxfId="227" totalsRowDxfId="226">
      <calculatedColumnFormula>BC1168/C1168</calculatedColumnFormula>
      <totalsRowFormula>AVERAGE(Table1107990[EFP % Base])</totalsRowFormula>
    </tableColumn>
  </tableColumns>
  <tableStyleInfo name="TableStyleMedium1" showFirstColumn="0" showLastColumn="0" showRowStripes="1" showColumnStripes="0"/>
</table>
</file>

<file path=xl/tables/table99.xml><?xml version="1.0" encoding="utf-8"?>
<table xmlns="http://schemas.openxmlformats.org/spreadsheetml/2006/main" id="100" name="Table1107991" displayName="Table1107991" ref="A1179:BD1187" totalsRowCount="1" headerRowDxfId="225">
  <tableColumns count="56">
    <tableColumn id="1" name="  Grade" dataDxfId="224" totalsRowDxfId="223"/>
    <tableColumn id="13" name="Main Area $" dataDxfId="222" totalsRowDxfId="221"/>
    <tableColumn id="45" name="MA $/Sq Ft" totalsRowFunction="custom" dataDxfId="220" totalsRowDxfId="219">
      <calculatedColumnFormula>B1180/F1177</calculatedColumnFormula>
      <totalsRowFormula>AVERAGE(Table1107991[MA $/Sq Ft])</totalsRowFormula>
    </tableColumn>
    <tableColumn id="16" name="Basic Allowance" totalsRowFunction="custom" dataDxfId="218" totalsRowDxfId="217">
      <totalsRowFormula>AVERAGE(Table1107991[Basic Allowance])</totalsRowFormula>
    </tableColumn>
    <tableColumn id="43" name="BsmtVal" dataDxfId="216" totalsRowDxfId="215"/>
    <tableColumn id="46" name="Bsmt SqFt" dataDxfId="214" totalsRowDxfId="213"/>
    <tableColumn id="2" name="BsmtVal/Sq Ft" dataDxfId="212" totalsRowDxfId="211">
      <calculatedColumnFormula>E1180/F1180</calculatedColumnFormula>
    </tableColumn>
    <tableColumn id="17" name="Bsmt % Base" totalsRowFunction="custom" dataDxfId="210" totalsRowDxfId="209">
      <calculatedColumnFormula>G1180/C1180</calculatedColumnFormula>
      <totalsRowFormula>AVERAGE(Table1107991[Bsmt % Base])</totalsRowFormula>
    </tableColumn>
    <tableColumn id="30" name="UnfBsmtVal" dataDxfId="208" totalsRowDxfId="207"/>
    <tableColumn id="47" name="UnfBsmt Sq Ft" dataDxfId="206" totalsRowDxfId="205"/>
    <tableColumn id="3" name="UnfBsmtVal/SqFt" dataDxfId="204" totalsRowDxfId="203">
      <calculatedColumnFormula>I1180/J1180</calculatedColumnFormula>
    </tableColumn>
    <tableColumn id="44" name="UnfBsmt % Base" totalsRowFunction="custom" dataDxfId="202" totalsRowDxfId="201">
      <calculatedColumnFormula>K1180/C1180</calculatedColumnFormula>
      <totalsRowFormula>AVERAGE(Table1107991[[#Headers],[#Data],[UnfBsmt % Base]])</totalsRowFormula>
    </tableColumn>
    <tableColumn id="31" name="Lower Value" dataDxfId="200" totalsRowDxfId="199"/>
    <tableColumn id="48" name="Lower Sq Ft" dataDxfId="198" totalsRowDxfId="197"/>
    <tableColumn id="4" name="LowerVal/SqFt" totalsRowFunction="custom" dataDxfId="196" totalsRowDxfId="195">
      <calculatedColumnFormula>M1180/N1180</calculatedColumnFormula>
      <totalsRowFormula>AVERAGE(Table1107991[LowerVal/SqFt])</totalsRowFormula>
    </tableColumn>
    <tableColumn id="32" name="Lower % Base" totalsRowFunction="custom" dataDxfId="194" totalsRowDxfId="193">
      <calculatedColumnFormula>O1180/C1180</calculatedColumnFormula>
      <totalsRowFormula>AVERAGE(Table1107991[Lower % Base])</totalsRowFormula>
    </tableColumn>
    <tableColumn id="19" name="Unf Lower Value" dataDxfId="192" totalsRowDxfId="191"/>
    <tableColumn id="49" name="UnfLower Sq Ft" dataDxfId="190" totalsRowDxfId="189"/>
    <tableColumn id="14" name="UnfLowVal/SqFt2" dataDxfId="188" totalsRowDxfId="187">
      <calculatedColumnFormula>Q1180/R1180</calculatedColumnFormula>
    </tableColumn>
    <tableColumn id="33" name="Unf Lower % Base" totalsRowFunction="custom" dataDxfId="186" totalsRowDxfId="185">
      <calculatedColumnFormula>S1180/C1180</calculatedColumnFormula>
      <totalsRowFormula>AVERAGE(Table1107991[Unf Lower % Base])</totalsRowFormula>
    </tableColumn>
    <tableColumn id="20" name="1/2 Story Value" dataDxfId="184" totalsRowDxfId="183"/>
    <tableColumn id="50" name="1/2 Story Sq Ft" dataDxfId="182" totalsRowDxfId="181"/>
    <tableColumn id="5" name="1/2 StoryVal/SqFt" dataDxfId="180" totalsRowDxfId="179">
      <calculatedColumnFormula>U1180/V1180</calculatedColumnFormula>
    </tableColumn>
    <tableColumn id="34" name="1/2 Story % Base" totalsRowFunction="custom" dataDxfId="178" totalsRowDxfId="177">
      <calculatedColumnFormula>W1180/C1180</calculatedColumnFormula>
      <totalsRowFormula>AVERAGE(Table1107991[1/2 Story % Base])</totalsRowFormula>
    </tableColumn>
    <tableColumn id="21" name="2nd Story Value" dataDxfId="176" totalsRowDxfId="175"/>
    <tableColumn id="51" name="2nd Sty Sq Ft" dataDxfId="174" totalsRowDxfId="173"/>
    <tableColumn id="6" name="2ndStyVal/Sqft" dataDxfId="172" totalsRowDxfId="171">
      <calculatedColumnFormula>Y1180/Z1180</calculatedColumnFormula>
    </tableColumn>
    <tableColumn id="35" name="2nd Story % Base" totalsRowFunction="custom" dataDxfId="170" totalsRowDxfId="169">
      <calculatedColumnFormula>AA1180/C1180</calculatedColumnFormula>
      <totalsRowFormula>AVERAGE(Table1107991[2nd Story % Base])</totalsRowFormula>
    </tableColumn>
    <tableColumn id="22" name="Att Gar Value" dataDxfId="168" totalsRowDxfId="167"/>
    <tableColumn id="52" name="Att Gar Sq Ft" dataDxfId="166" totalsRowDxfId="165"/>
    <tableColumn id="7" name="AttGarVal/SqFt" totalsRowFunction="custom" dataDxfId="164" totalsRowDxfId="163">
      <calculatedColumnFormula>AC1180/AD1180</calculatedColumnFormula>
      <totalsRowFormula>AVERAGE(Table1107991[AttGarVal/SqFt])</totalsRowFormula>
    </tableColumn>
    <tableColumn id="36" name="Att Gar % Base" totalsRowFunction="custom" dataDxfId="162" totalsRowDxfId="161">
      <calculatedColumnFormula>AE1180/C1180</calculatedColumnFormula>
      <totalsRowFormula>AVERAGE(Table1107991[Att Gar % Base])</totalsRowFormula>
    </tableColumn>
    <tableColumn id="23" name="Porch Value" dataDxfId="160" totalsRowDxfId="159"/>
    <tableColumn id="53" name="Porch Sq Ft" dataDxfId="158" totalsRowDxfId="157"/>
    <tableColumn id="8" name="PorchVal/SqFt" dataDxfId="156" totalsRowDxfId="155">
      <calculatedColumnFormula>AG1180/AH1180</calculatedColumnFormula>
    </tableColumn>
    <tableColumn id="37" name="Porch % Base" totalsRowFunction="custom" dataDxfId="154" totalsRowDxfId="153">
      <calculatedColumnFormula>AI1180/C1180</calculatedColumnFormula>
      <totalsRowFormula>AVERAGE(Table1107991[Porch % Base])</totalsRowFormula>
    </tableColumn>
    <tableColumn id="24" name="Cov Porch Value" dataDxfId="152" totalsRowDxfId="151"/>
    <tableColumn id="54" name="Cov Porch Sq Ft" dataDxfId="150" totalsRowDxfId="149"/>
    <tableColumn id="9" name="CovPrVal/SqFt" dataDxfId="148" totalsRowDxfId="147">
      <calculatedColumnFormula>AK1180/AL1180</calculatedColumnFormula>
    </tableColumn>
    <tableColumn id="38" name="Cov Porch % Base" totalsRowFunction="custom" dataDxfId="146" totalsRowDxfId="145">
      <calculatedColumnFormula>AM1180/C1180</calculatedColumnFormula>
      <totalsRowFormula>AVERAGE(Table1107991[Cov Porch % Base])</totalsRowFormula>
    </tableColumn>
    <tableColumn id="25" name="Deck Value" dataDxfId="144" totalsRowDxfId="143"/>
    <tableColumn id="55" name="Deck Sq Ft" dataDxfId="142" totalsRowDxfId="141"/>
    <tableColumn id="10" name="DeckVal/SqFt" dataDxfId="140" totalsRowDxfId="139">
      <calculatedColumnFormula>AO1180/AP1180</calculatedColumnFormula>
    </tableColumn>
    <tableColumn id="39" name="Deck % Base" totalsRowFunction="custom" dataDxfId="138" totalsRowDxfId="137">
      <calculatedColumnFormula>AQ1180/C1180</calculatedColumnFormula>
      <totalsRowFormula>AVERAGE(Table1107991[Deck % Base])</totalsRowFormula>
    </tableColumn>
    <tableColumn id="26" name="Cov Deck Value" dataDxfId="136" totalsRowDxfId="135"/>
    <tableColumn id="56" name="CovDeck Sq Ft" dataDxfId="134" totalsRowDxfId="133"/>
    <tableColumn id="11" name="CovDeckVal/SqFt" totalsRowFunction="custom" dataDxfId="132" totalsRowDxfId="131">
      <calculatedColumnFormula>AS1180/AT1180</calculatedColumnFormula>
      <totalsRowFormula>AVERAGE(Table1107991[CovDeckVal/SqFt])</totalsRowFormula>
    </tableColumn>
    <tableColumn id="40" name="CovDeck % Base" totalsRowFunction="custom" dataDxfId="130" totalsRowDxfId="129">
      <calculatedColumnFormula>AU1180/C1180</calculatedColumnFormula>
      <totalsRowFormula>AVERAGE(Table1107991[CovDeck % Base])</totalsRowFormula>
    </tableColumn>
    <tableColumn id="27" name="CarP Value" dataDxfId="128" totalsRowDxfId="127"/>
    <tableColumn id="57" name="CarP Sq Ft" dataDxfId="126" totalsRowDxfId="125"/>
    <tableColumn id="12" name="CarPVal/SqFt" dataDxfId="124" totalsRowDxfId="123">
      <calculatedColumnFormula>AW1180/AX1180</calculatedColumnFormula>
    </tableColumn>
    <tableColumn id="41" name="CarP % Base" totalsRowFunction="custom" dataDxfId="122" totalsRowDxfId="121">
      <calculatedColumnFormula>AY1180/C1180</calculatedColumnFormula>
      <totalsRowFormula>AVERAGE(Table1107991[CarP % Base])</totalsRowFormula>
    </tableColumn>
    <tableColumn id="28" name="EFP Value" dataDxfId="120" totalsRowDxfId="119"/>
    <tableColumn id="58" name="EFP Sq Ft" dataDxfId="118" totalsRowDxfId="117"/>
    <tableColumn id="15" name="EFPVal/SqFt" dataDxfId="116" totalsRowDxfId="115">
      <calculatedColumnFormula>BA1180/BB1180</calculatedColumnFormula>
    </tableColumn>
    <tableColumn id="29" name="EFP % Base" totalsRowFunction="custom" dataDxfId="114" totalsRowDxfId="113">
      <calculatedColumnFormula>BC1180/C1180</calculatedColumnFormula>
      <totalsRowFormula>AVERAGE(Table1107991[EFP % Base])</totalsRowFormula>
    </tableColumn>
  </tableColumns>
  <tableStyleInfo name="TableStyleMedium1" showFirstColumn="0" showLastColumn="0" showRowStripes="1" showColumnStripes="0"/>
</table>
</file>

<file path=xl/tables/table100.xml><?xml version="1.0" encoding="utf-8"?>
<table xmlns="http://schemas.openxmlformats.org/spreadsheetml/2006/main" id="9" name="Table110" displayName="Table110" ref="A3:BD11" totalsRowCount="1" headerRowDxfId="112">
  <tableColumns count="56">
    <tableColumn id="1" name="  Grade" dataDxfId="111" totalsRowDxfId="110"/>
    <tableColumn id="13" name="Main Area $" dataDxfId="109" totalsRowDxfId="108"/>
    <tableColumn id="45" name="MA $/Sq Ft" totalsRowFunction="custom" dataDxfId="107" totalsRowDxfId="106">
      <calculatedColumnFormula>B4/F1</calculatedColumnFormula>
      <totalsRowFormula>AVERAGE(Table110[MA $/Sq Ft])</totalsRowFormula>
    </tableColumn>
    <tableColumn id="16" name="Basic Allowance" totalsRowFunction="custom" dataDxfId="105" totalsRowDxfId="104">
      <totalsRowFormula>AVERAGE(Table110[Basic Allowance])</totalsRowFormula>
    </tableColumn>
    <tableColumn id="43" name="BsmtVal" dataDxfId="103" totalsRowDxfId="102"/>
    <tableColumn id="46" name="Bsmt SqFt" dataDxfId="101" totalsRowDxfId="100"/>
    <tableColumn id="2" name="BsmtVal/Sq Ft" dataDxfId="99" totalsRowDxfId="98">
      <calculatedColumnFormula>E4/F4</calculatedColumnFormula>
    </tableColumn>
    <tableColumn id="17" name="Bsmt % Base" totalsRowFunction="custom" dataDxfId="97" totalsRowDxfId="96">
      <calculatedColumnFormula>G4/C4</calculatedColumnFormula>
      <totalsRowFormula>AVERAGE(Table110[Bsmt % Base])</totalsRowFormula>
    </tableColumn>
    <tableColumn id="30" name="UnfBsmtVal" dataDxfId="95" totalsRowDxfId="94"/>
    <tableColumn id="47" name="UnfBsmt Sq Ft" dataDxfId="93" totalsRowDxfId="92"/>
    <tableColumn id="3" name="UnfBsmtVal/SqFt" dataDxfId="91" totalsRowDxfId="90">
      <calculatedColumnFormula>I4/J4</calculatedColumnFormula>
    </tableColumn>
    <tableColumn id="44" name="UnfBsmt % Base" totalsRowFunction="custom" dataDxfId="89" totalsRowDxfId="88">
      <calculatedColumnFormula>K4/C4</calculatedColumnFormula>
      <totalsRowFormula>AVERAGE(Table110[[#Headers],[#Data],[UnfBsmt % Base]])</totalsRowFormula>
    </tableColumn>
    <tableColumn id="31" name="Lower Value" dataDxfId="87" totalsRowDxfId="86"/>
    <tableColumn id="48" name="Lower Sq Ft" dataDxfId="85" totalsRowDxfId="84"/>
    <tableColumn id="4" name="LowerVal/SqFt" totalsRowFunction="custom" dataDxfId="83" totalsRowDxfId="82">
      <calculatedColumnFormula>M4/N4</calculatedColumnFormula>
      <totalsRowFormula>AVERAGE(Table110[LowerVal/SqFt])</totalsRowFormula>
    </tableColumn>
    <tableColumn id="32" name="Lower % Base" totalsRowFunction="custom" dataDxfId="81" totalsRowDxfId="80">
      <calculatedColumnFormula>O4/C4</calculatedColumnFormula>
      <totalsRowFormula>AVERAGE(Table110[Lower % Base])</totalsRowFormula>
    </tableColumn>
    <tableColumn id="19" name="Unf Lower Value" dataDxfId="79" totalsRowDxfId="78"/>
    <tableColumn id="49" name="UnfLower Sq Ft" dataDxfId="77" totalsRowDxfId="76"/>
    <tableColumn id="14" name="UnfLowVal/SqFt2" dataDxfId="75" totalsRowDxfId="74">
      <calculatedColumnFormula>Q4/R4</calculatedColumnFormula>
    </tableColumn>
    <tableColumn id="33" name="Unf Lower % Base" totalsRowFunction="custom" dataDxfId="73" totalsRowDxfId="72">
      <calculatedColumnFormula>S4/C4</calculatedColumnFormula>
      <totalsRowFormula>AVERAGE(Table110[Unf Lower % Base])</totalsRowFormula>
    </tableColumn>
    <tableColumn id="20" name="1/2 Story Value" dataDxfId="71" totalsRowDxfId="70"/>
    <tableColumn id="50" name="1/2 Story Sq Ft" dataDxfId="69" totalsRowDxfId="68"/>
    <tableColumn id="5" name="1/2 StoryVal/SqFt" dataDxfId="67" totalsRowDxfId="66">
      <calculatedColumnFormula>U4/V4</calculatedColumnFormula>
    </tableColumn>
    <tableColumn id="34" name="1/2 Story % Base" totalsRowFunction="custom" dataDxfId="65" totalsRowDxfId="64">
      <calculatedColumnFormula>W4/C4</calculatedColumnFormula>
      <totalsRowFormula>AVERAGE(Table110[1/2 Story % Base])</totalsRowFormula>
    </tableColumn>
    <tableColumn id="21" name="2nd Story Value" dataDxfId="63" totalsRowDxfId="62"/>
    <tableColumn id="51" name="2nd Sty Sq Ft" dataDxfId="61" totalsRowDxfId="60"/>
    <tableColumn id="6" name="2ndStyVal/Sqft" dataDxfId="59" totalsRowDxfId="58">
      <calculatedColumnFormula>Y4/Z4</calculatedColumnFormula>
    </tableColumn>
    <tableColumn id="35" name="2nd Story % Base" totalsRowFunction="custom" dataDxfId="57" totalsRowDxfId="56">
      <calculatedColumnFormula>AA4/C4</calculatedColumnFormula>
      <totalsRowFormula>AVERAGE(Table110[2nd Story % Base])</totalsRowFormula>
    </tableColumn>
    <tableColumn id="22" name="Att Gar Value" dataDxfId="55" totalsRowDxfId="54"/>
    <tableColumn id="52" name="Att Gar Sq Ft" dataDxfId="53" totalsRowDxfId="52"/>
    <tableColumn id="7" name="AttGarVal/SqFt" totalsRowFunction="custom" dataDxfId="51" totalsRowDxfId="50">
      <calculatedColumnFormula>AC4/AD4</calculatedColumnFormula>
      <totalsRowFormula>AVERAGE(Table110[AttGarVal/SqFt])</totalsRowFormula>
    </tableColumn>
    <tableColumn id="36" name="Att Gar % Base" totalsRowFunction="custom" dataDxfId="49" totalsRowDxfId="48">
      <calculatedColumnFormula>AE4/C4</calculatedColumnFormula>
      <totalsRowFormula>AVERAGE(Table110[Att Gar % Base])</totalsRowFormula>
    </tableColumn>
    <tableColumn id="23" name="Porch Value" dataDxfId="47" totalsRowDxfId="46"/>
    <tableColumn id="53" name="Porch Sq Ft" dataDxfId="45" totalsRowDxfId="44"/>
    <tableColumn id="8" name="PorchVal/SqFt" dataDxfId="43" totalsRowDxfId="42">
      <calculatedColumnFormula>AG4/AH4</calculatedColumnFormula>
    </tableColumn>
    <tableColumn id="37" name="Porch % Base" totalsRowFunction="custom" dataDxfId="41" totalsRowDxfId="40">
      <calculatedColumnFormula>AI4/C4</calculatedColumnFormula>
      <totalsRowFormula>AVERAGE(Table110[Porch % Base])</totalsRowFormula>
    </tableColumn>
    <tableColumn id="24" name="Cov Porch Value" dataDxfId="39" totalsRowDxfId="38"/>
    <tableColumn id="54" name="Cov Porch Sq Ft" dataDxfId="37" totalsRowDxfId="36"/>
    <tableColumn id="9" name="CovPrVal/SqFt" dataDxfId="35" totalsRowDxfId="34">
      <calculatedColumnFormula>AK4/AL4</calculatedColumnFormula>
    </tableColumn>
    <tableColumn id="38" name="Cov Porch % Base" totalsRowFunction="custom" dataDxfId="33" totalsRowDxfId="32">
      <calculatedColumnFormula>AM4/C4</calculatedColumnFormula>
      <totalsRowFormula>AVERAGE(Table110[Cov Porch % Base])</totalsRowFormula>
    </tableColumn>
    <tableColumn id="25" name="Deck Value" dataDxfId="31" totalsRowDxfId="30"/>
    <tableColumn id="55" name="Deck Sq Ft" dataDxfId="29" totalsRowDxfId="28"/>
    <tableColumn id="10" name="DeckVal/SqFt" dataDxfId="27" totalsRowDxfId="26">
      <calculatedColumnFormula>AO4/AP4</calculatedColumnFormula>
    </tableColumn>
    <tableColumn id="39" name="Deck % Base" totalsRowFunction="custom" dataDxfId="25" totalsRowDxfId="24">
      <calculatedColumnFormula>AQ4/C4</calculatedColumnFormula>
      <totalsRowFormula>AVERAGE(Table110[Deck % Base])</totalsRowFormula>
    </tableColumn>
    <tableColumn id="26" name="Cov Deck Value" dataDxfId="23" totalsRowDxfId="22"/>
    <tableColumn id="56" name="CovDeck Sq Ft" dataDxfId="21" totalsRowDxfId="20"/>
    <tableColumn id="11" name="CovDeckVal/SqFt" totalsRowFunction="custom" dataDxfId="19" totalsRowDxfId="18">
      <calculatedColumnFormula>AS4/AT4</calculatedColumnFormula>
      <totalsRowFormula>AVERAGE(Table110[CovDeckVal/SqFt])</totalsRowFormula>
    </tableColumn>
    <tableColumn id="40" name="CovDeck % Base" totalsRowFunction="custom" dataDxfId="17" totalsRowDxfId="16">
      <calculatedColumnFormula>AU4/C4</calculatedColumnFormula>
      <totalsRowFormula>AVERAGE(Table110[CovDeck % Base])</totalsRowFormula>
    </tableColumn>
    <tableColumn id="27" name="CarP Value" dataDxfId="15" totalsRowDxfId="14"/>
    <tableColumn id="57" name="CarP Sq Ft" dataDxfId="13" totalsRowDxfId="12"/>
    <tableColumn id="12" name="CarPVal/SqFt" dataDxfId="11" totalsRowDxfId="10">
      <calculatedColumnFormula>AW4/AX4</calculatedColumnFormula>
    </tableColumn>
    <tableColumn id="41" name="CarP % Base" totalsRowFunction="custom" dataDxfId="9" totalsRowDxfId="8">
      <calculatedColumnFormula>AY4/C4</calculatedColumnFormula>
      <totalsRowFormula>AVERAGE(Table110[CarP % Base])</totalsRowFormula>
    </tableColumn>
    <tableColumn id="28" name="EFP Value" dataDxfId="7" totalsRowDxfId="6"/>
    <tableColumn id="58" name="EFP Sq Ft" dataDxfId="5" totalsRowDxfId="4"/>
    <tableColumn id="15" name="EFPVal/SqFt" dataDxfId="3" totalsRowDxfId="2">
      <calculatedColumnFormula>BA4/BB4</calculatedColumnFormula>
    </tableColumn>
    <tableColumn id="29" name="EFP % Base" totalsRowFunction="custom" dataDxfId="1" totalsRowDxfId="0">
      <calculatedColumnFormula>BC4/C4</calculatedColumnFormula>
      <totalsRowFormula>AVERAGE(Table110[EFP % Base])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5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47" Type="http://schemas.openxmlformats.org/officeDocument/2006/relationships/table" Target="../tables/table46.xml"/><Relationship Id="rId50" Type="http://schemas.openxmlformats.org/officeDocument/2006/relationships/table" Target="../tables/table49.xml"/><Relationship Id="rId55" Type="http://schemas.openxmlformats.org/officeDocument/2006/relationships/table" Target="../tables/table54.xml"/><Relationship Id="rId63" Type="http://schemas.openxmlformats.org/officeDocument/2006/relationships/table" Target="../tables/table62.xml"/><Relationship Id="rId68" Type="http://schemas.openxmlformats.org/officeDocument/2006/relationships/table" Target="../tables/table67.xml"/><Relationship Id="rId76" Type="http://schemas.openxmlformats.org/officeDocument/2006/relationships/table" Target="../tables/table75.xml"/><Relationship Id="rId84" Type="http://schemas.openxmlformats.org/officeDocument/2006/relationships/table" Target="../tables/table83.xml"/><Relationship Id="rId89" Type="http://schemas.openxmlformats.org/officeDocument/2006/relationships/table" Target="../tables/table88.xml"/><Relationship Id="rId97" Type="http://schemas.openxmlformats.org/officeDocument/2006/relationships/table" Target="../tables/table96.xml"/><Relationship Id="rId7" Type="http://schemas.openxmlformats.org/officeDocument/2006/relationships/table" Target="../tables/table6.xml"/><Relationship Id="rId71" Type="http://schemas.openxmlformats.org/officeDocument/2006/relationships/table" Target="../tables/table70.xml"/><Relationship Id="rId92" Type="http://schemas.openxmlformats.org/officeDocument/2006/relationships/table" Target="../tables/table9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9" Type="http://schemas.openxmlformats.org/officeDocument/2006/relationships/table" Target="../tables/table28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53" Type="http://schemas.openxmlformats.org/officeDocument/2006/relationships/table" Target="../tables/table52.xml"/><Relationship Id="rId58" Type="http://schemas.openxmlformats.org/officeDocument/2006/relationships/table" Target="../tables/table57.xml"/><Relationship Id="rId66" Type="http://schemas.openxmlformats.org/officeDocument/2006/relationships/table" Target="../tables/table65.xml"/><Relationship Id="rId74" Type="http://schemas.openxmlformats.org/officeDocument/2006/relationships/table" Target="../tables/table73.xml"/><Relationship Id="rId79" Type="http://schemas.openxmlformats.org/officeDocument/2006/relationships/table" Target="../tables/table78.xml"/><Relationship Id="rId87" Type="http://schemas.openxmlformats.org/officeDocument/2006/relationships/table" Target="../tables/table86.xml"/><Relationship Id="rId5" Type="http://schemas.openxmlformats.org/officeDocument/2006/relationships/table" Target="../tables/table4.xml"/><Relationship Id="rId61" Type="http://schemas.openxmlformats.org/officeDocument/2006/relationships/table" Target="../tables/table60.xml"/><Relationship Id="rId82" Type="http://schemas.openxmlformats.org/officeDocument/2006/relationships/table" Target="../tables/table81.xml"/><Relationship Id="rId90" Type="http://schemas.openxmlformats.org/officeDocument/2006/relationships/table" Target="../tables/table89.xml"/><Relationship Id="rId95" Type="http://schemas.openxmlformats.org/officeDocument/2006/relationships/table" Target="../tables/table94.xml"/><Relationship Id="rId19" Type="http://schemas.openxmlformats.org/officeDocument/2006/relationships/table" Target="../tables/table1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Relationship Id="rId48" Type="http://schemas.openxmlformats.org/officeDocument/2006/relationships/table" Target="../tables/table47.xml"/><Relationship Id="rId56" Type="http://schemas.openxmlformats.org/officeDocument/2006/relationships/table" Target="../tables/table55.xml"/><Relationship Id="rId64" Type="http://schemas.openxmlformats.org/officeDocument/2006/relationships/table" Target="../tables/table63.xml"/><Relationship Id="rId69" Type="http://schemas.openxmlformats.org/officeDocument/2006/relationships/table" Target="../tables/table68.xml"/><Relationship Id="rId77" Type="http://schemas.openxmlformats.org/officeDocument/2006/relationships/table" Target="../tables/table76.xml"/><Relationship Id="rId100" Type="http://schemas.openxmlformats.org/officeDocument/2006/relationships/table" Target="../tables/table99.xml"/><Relationship Id="rId8" Type="http://schemas.openxmlformats.org/officeDocument/2006/relationships/table" Target="../tables/table7.xml"/><Relationship Id="rId51" Type="http://schemas.openxmlformats.org/officeDocument/2006/relationships/table" Target="../tables/table50.xml"/><Relationship Id="rId72" Type="http://schemas.openxmlformats.org/officeDocument/2006/relationships/table" Target="../tables/table71.xml"/><Relationship Id="rId80" Type="http://schemas.openxmlformats.org/officeDocument/2006/relationships/table" Target="../tables/table79.xml"/><Relationship Id="rId85" Type="http://schemas.openxmlformats.org/officeDocument/2006/relationships/table" Target="../tables/table84.xml"/><Relationship Id="rId93" Type="http://schemas.openxmlformats.org/officeDocument/2006/relationships/table" Target="../tables/table92.xml"/><Relationship Id="rId98" Type="http://schemas.openxmlformats.org/officeDocument/2006/relationships/table" Target="../tables/table97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46" Type="http://schemas.openxmlformats.org/officeDocument/2006/relationships/table" Target="../tables/table45.xml"/><Relationship Id="rId59" Type="http://schemas.openxmlformats.org/officeDocument/2006/relationships/table" Target="../tables/table58.xml"/><Relationship Id="rId67" Type="http://schemas.openxmlformats.org/officeDocument/2006/relationships/table" Target="../tables/table66.xml"/><Relationship Id="rId20" Type="http://schemas.openxmlformats.org/officeDocument/2006/relationships/table" Target="../tables/table19.xml"/><Relationship Id="rId41" Type="http://schemas.openxmlformats.org/officeDocument/2006/relationships/table" Target="../tables/table40.xml"/><Relationship Id="rId54" Type="http://schemas.openxmlformats.org/officeDocument/2006/relationships/table" Target="../tables/table53.xml"/><Relationship Id="rId62" Type="http://schemas.openxmlformats.org/officeDocument/2006/relationships/table" Target="../tables/table61.xml"/><Relationship Id="rId70" Type="http://schemas.openxmlformats.org/officeDocument/2006/relationships/table" Target="../tables/table69.xml"/><Relationship Id="rId75" Type="http://schemas.openxmlformats.org/officeDocument/2006/relationships/table" Target="../tables/table74.xml"/><Relationship Id="rId83" Type="http://schemas.openxmlformats.org/officeDocument/2006/relationships/table" Target="../tables/table82.xml"/><Relationship Id="rId88" Type="http://schemas.openxmlformats.org/officeDocument/2006/relationships/table" Target="../tables/table87.xml"/><Relationship Id="rId91" Type="http://schemas.openxmlformats.org/officeDocument/2006/relationships/table" Target="../tables/table90.xml"/><Relationship Id="rId96" Type="http://schemas.openxmlformats.org/officeDocument/2006/relationships/table" Target="../tables/table9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49" Type="http://schemas.openxmlformats.org/officeDocument/2006/relationships/table" Target="../tables/table48.xml"/><Relationship Id="rId57" Type="http://schemas.openxmlformats.org/officeDocument/2006/relationships/table" Target="../tables/table56.xml"/><Relationship Id="rId10" Type="http://schemas.openxmlformats.org/officeDocument/2006/relationships/table" Target="../tables/table9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52" Type="http://schemas.openxmlformats.org/officeDocument/2006/relationships/table" Target="../tables/table51.xml"/><Relationship Id="rId60" Type="http://schemas.openxmlformats.org/officeDocument/2006/relationships/table" Target="../tables/table59.xml"/><Relationship Id="rId65" Type="http://schemas.openxmlformats.org/officeDocument/2006/relationships/table" Target="../tables/table64.xml"/><Relationship Id="rId73" Type="http://schemas.openxmlformats.org/officeDocument/2006/relationships/table" Target="../tables/table72.xml"/><Relationship Id="rId78" Type="http://schemas.openxmlformats.org/officeDocument/2006/relationships/table" Target="../tables/table77.xml"/><Relationship Id="rId81" Type="http://schemas.openxmlformats.org/officeDocument/2006/relationships/table" Target="../tables/table80.xml"/><Relationship Id="rId86" Type="http://schemas.openxmlformats.org/officeDocument/2006/relationships/table" Target="../tables/table85.xml"/><Relationship Id="rId94" Type="http://schemas.openxmlformats.org/officeDocument/2006/relationships/table" Target="../tables/table93.xml"/><Relationship Id="rId99" Type="http://schemas.openxmlformats.org/officeDocument/2006/relationships/table" Target="../tables/table9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9" Type="http://schemas.openxmlformats.org/officeDocument/2006/relationships/table" Target="../tables/table3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tabSelected="1" workbookViewId="0">
      <selection activeCell="F16" sqref="F16"/>
    </sheetView>
  </sheetViews>
  <sheetFormatPr defaultRowHeight="15" x14ac:dyDescent="0.25"/>
  <cols>
    <col min="1" max="1" width="3" customWidth="1"/>
    <col min="2" max="2" width="19.85546875" customWidth="1"/>
    <col min="3" max="4" width="13.7109375" customWidth="1"/>
  </cols>
  <sheetData>
    <row r="1" spans="2:5" ht="15.75" thickBot="1" x14ac:dyDescent="0.3">
      <c r="B1" s="97" t="s">
        <v>223</v>
      </c>
      <c r="C1" s="1" t="s">
        <v>221</v>
      </c>
      <c r="D1" s="1" t="s">
        <v>224</v>
      </c>
    </row>
    <row r="2" spans="2:5" x14ac:dyDescent="0.25">
      <c r="B2" s="98" t="s">
        <v>27</v>
      </c>
      <c r="C2" s="94">
        <f>AVERAGE(Worksheet!H71,Worksheet!H119,Worksheet!H167,Worksheet!H287,Worksheet!H299,Worksheet!H311,Worksheet!H347,Worksheet!H443,Worksheet!H599,Worksheet!H611,Worksheet!H647,Worksheet!H719,Worksheet!H731,Worksheet!H767,Worksheet!H803,Worksheet!H851,Worksheet!H887,Worksheet!H899,Worksheet!H971,Worksheet!H1043,Worksheet!H1187)</f>
        <v>0.54764467837693953</v>
      </c>
      <c r="D2" s="95">
        <f>AVERAGE(Worksheet!H66:H68,Worksheet!H114,Worksheet!H115,Worksheet!H116,Worksheet!H162,Worksheet!H163,Worksheet!H164,Worksheet!H282,Worksheet!H283,Worksheet!H284,Worksheet!H294,Worksheet!H295,Worksheet!H296,Worksheet!H306,Worksheet!H307,Worksheet!H308,Worksheet!H342,Worksheet!H343,Worksheet!H344,Worksheet!H438,Worksheet!H439,Worksheet!H440,Worksheet!H594,Worksheet!H595,Worksheet!H596,Worksheet!H606,Worksheet!H607,Worksheet!H608,Worksheet!H642,Worksheet!H643,Worksheet!H644,Worksheet!H714,Worksheet!H715,Worksheet!H716,Worksheet!H727,Worksheet!H726,Worksheet!H728,Worksheet!H762,Worksheet!H763,Worksheet!H764,Worksheet!H798,Worksheet!H799,Worksheet!H800,Worksheet!H846,Worksheet!H847,Worksheet!H848,Worksheet!H882,Worksheet!H883,Worksheet!H884,Worksheet!H894,Worksheet!H895,Worksheet!H896,Worksheet!H966,Worksheet!H967,Worksheet!H968,Worksheet!H1038,Worksheet!H1039,Worksheet!H1040,Worksheet!H1182,Worksheet!H1183,Worksheet!H1184)</f>
        <v>0.56631290883305097</v>
      </c>
    </row>
    <row r="3" spans="2:5" x14ac:dyDescent="0.25">
      <c r="B3" s="99" t="s">
        <v>28</v>
      </c>
      <c r="C3" s="93">
        <f>AVERAGE(Worksheet!L311,Worksheet!L491,Worksheet!L707,Worksheet!L887,Worksheet!L899,Worksheet!L935,Worksheet!L1043,Worksheet!L1067,Worksheet!L1187)</f>
        <v>0.25600626648739411</v>
      </c>
      <c r="D3" s="96">
        <f>AVERAGE(Worksheet!L306:L308,Worksheet!L486,Worksheet!L487,Worksheet!L488,Worksheet!L702,Worksheet!L703,Worksheet!L704,Worksheet!L882,Worksheet!L883,Worksheet!L884,Worksheet!L894,Worksheet!L895,Worksheet!L896,Worksheet!L930,Worksheet!L931,Worksheet!L932,Worksheet!L1038,Worksheet!L1039,Worksheet!L1040,Worksheet!L1062,Worksheet!L1063,Worksheet!L1064,Worksheet!L1182,Worksheet!L1183,Worksheet!L1184)</f>
        <v>0.26355130103102575</v>
      </c>
    </row>
    <row r="4" spans="2:5" x14ac:dyDescent="0.25">
      <c r="B4" s="100" t="s">
        <v>7</v>
      </c>
      <c r="C4" s="93">
        <f>AVERAGE(Worksheet!P11,Worksheet!P95,Worksheet!P191,Worksheet!P203,Worksheet!P251,Worksheet!P263,Worksheet!P275,Worksheet!P503,Worksheet!P527,Worksheet!P875,Worksheet!P923,Worksheet!P983,Worksheet!P995,Worksheet!P1007,Worksheet!P1019,Worksheet!P1031,Worksheet!P1055)</f>
        <v>0.60337570383706507</v>
      </c>
      <c r="D4" s="96">
        <f>AVERAGE(Worksheet!P6:P8,Worksheet!P90,Worksheet!P91,Worksheet!P92,Worksheet!P186,Worksheet!P187,Worksheet!P188,Worksheet!P198,Worksheet!P199,Worksheet!P200,Worksheet!P246,Worksheet!P247,Worksheet!P248,Worksheet!P258,Worksheet!P259,Worksheet!P260,Worksheet!P270,Worksheet!P271,Worksheet!P272,Worksheet!P498,Worksheet!P499,Worksheet!P500,Worksheet!P522,Worksheet!P523,Worksheet!P524,Worksheet!P870,Worksheet!P871,Worksheet!P872,Worksheet!P918,Worksheet!P919,Worksheet!P920,Worksheet!P978,Worksheet!P979,Worksheet!P980,Worksheet!P990,Worksheet!P991,Worksheet!P992,Worksheet!P1002,Worksheet!P1003,Worksheet!P1004,Worksheet!P1014,Worksheet!P1015,Worksheet!P1016,Worksheet!P1026,Worksheet!P1027,Worksheet!P1028,Worksheet!P1050,Worksheet!P1051,Worksheet!P1052)</f>
        <v>0.62551364978427293</v>
      </c>
    </row>
    <row r="5" spans="2:5" x14ac:dyDescent="0.25">
      <c r="B5" s="101" t="s">
        <v>29</v>
      </c>
      <c r="C5" s="93">
        <f>AVERAGE(Worksheet!T1055,Worksheet!T1031,Worksheet!T1019,Worksheet!T1007,Worksheet!T923)</f>
        <v>0.30030964781405833</v>
      </c>
      <c r="D5" s="96">
        <f>AVERAGE(Worksheet!T918:T920,Worksheet!T1002,Worksheet!T1003,Worksheet!T1004,Worksheet!T1014,Worksheet!T1015,Worksheet!T1016,Worksheet!T1026,Worksheet!T1027,Worksheet!T1028,Worksheet!T1050,Worksheet!T1051,Worksheet!T1052)</f>
        <v>0.30495906313570026</v>
      </c>
    </row>
    <row r="6" spans="2:5" x14ac:dyDescent="0.25">
      <c r="B6" s="102" t="s">
        <v>8</v>
      </c>
      <c r="C6" s="93">
        <f>AVERAGE(Worksheet!X575,Worksheet!X611,Worksheet!X623,Worksheet!X659,Worksheet!X671,Worksheet!X695,Worksheet!X707,Worksheet!X815,Worksheet!X827,Worksheet!X839,Worksheet!X851,Worksheet!X863,Worksheet!X935)</f>
        <v>0.67280246837048174</v>
      </c>
      <c r="D6" s="96">
        <f>AVERAGE(Worksheet!X570:X572,Worksheet!X606,Worksheet!X607,Worksheet!X608,Worksheet!X618,Worksheet!X619,Worksheet!X620,Worksheet!X654,Worksheet!X655,Worksheet!X656,Worksheet!X666,Worksheet!X667,Worksheet!X668,Worksheet!X690,Worksheet!X691,Worksheet!X692,Worksheet!X702,Worksheet!X703,Worksheet!X704,Worksheet!X810,Worksheet!X811,Worksheet!X812,Worksheet!X822,Worksheet!X823,Worksheet!X824,Worksheet!X834,Worksheet!X835,Worksheet!X836,Worksheet!X846,Worksheet!X847,Worksheet!X848,Worksheet!X858,Worksheet!X859,Worksheet!X860,Worksheet!X930,Worksheet!X931,Worksheet!X932)</f>
        <v>0.68444941950130811</v>
      </c>
    </row>
    <row r="7" spans="2:5" x14ac:dyDescent="0.25">
      <c r="B7" s="103" t="s">
        <v>220</v>
      </c>
      <c r="C7" s="93">
        <f>AVERAGE(Worksheet!AB71,Worksheet!AB107,Worksheet!AB143,Worksheet!AB179,Worksheet!AB191,Worksheet!AB227,Worksheet!AB239,Worksheet!AB263,Worksheet!AB275,Worksheet!AB287,Worksheet!AB299,Worksheet!AB323,Worksheet!AB359,Worksheet!AB395,Worksheet!AB467,Worksheet!AB479,Worksheet!AB515,Worksheet!AB527,Worksheet!AB623,Worksheet!AB803,Worksheet!AB875,Worksheet!AB947,Worksheet!AB959,Worksheet!AB983,Worksheet!AB1019,Worksheet!AB1127,Worksheet!AB1163,Worksheet!AB1175)</f>
        <v>0.83018774854417543</v>
      </c>
      <c r="D7" s="96">
        <f>AVERAGE(Worksheet!AB66:AB68,Worksheet!AB102,Worksheet!AB103,Worksheet!AB104,Worksheet!AB138,Worksheet!AB140,Worksheet!AB139,Worksheet!AB174,Worksheet!AB175,Worksheet!AB176,Worksheet!AB186,Worksheet!AB187,Worksheet!AB188,Worksheet!AB222,Worksheet!AB223,Worksheet!AB224,Worksheet!AB234,Worksheet!AB235,Worksheet!AB236,Worksheet!AB258,Worksheet!AB259,Worksheet!AB260,Worksheet!AB270,Worksheet!AB271,Worksheet!AB272,Worksheet!AB282,Worksheet!AB283,Worksheet!AB284,Worksheet!AB294,Worksheet!AB295,Worksheet!AB296,Worksheet!AB318,Worksheet!AB319,Worksheet!AB320,Worksheet!AB354,Worksheet!AB355,Worksheet!AB356,Worksheet!AB390,Worksheet!AB391,Worksheet!AB392,Worksheet!AB462,Worksheet!AB463,Worksheet!AB464,Worksheet!AB474,Worksheet!AB475,Worksheet!AB476,Worksheet!AB510,Worksheet!AB511,Worksheet!AB512,Worksheet!AB522,Worksheet!AB523,Worksheet!AB524,Worksheet!AB618,Worksheet!AB619,Worksheet!AB620,Worksheet!AB798,Worksheet!AB799,Worksheet!AB800,Worksheet!AB870,Worksheet!AB871,Worksheet!AB872,Worksheet!AB942,Worksheet!AB943,Worksheet!AB944,Worksheet!AB954,Worksheet!AB955,Worksheet!AB956,Worksheet!AB978,Worksheet!AB979,Worksheet!AB980,Worksheet!AB1014,Worksheet!AB1015,Worksheet!AB1016,Worksheet!AB1122,Worksheet!AB1123,Worksheet!AB1124,Worksheet!AB1158,Worksheet!AB1159,Worksheet!AB1160,Worksheet!AB1170,Worksheet!AB1171,Worksheet!AB1172)</f>
        <v>0.84076687361241209</v>
      </c>
      <c r="E7" t="s">
        <v>225</v>
      </c>
    </row>
    <row r="8" spans="2:5" x14ac:dyDescent="0.25">
      <c r="B8" s="104" t="s">
        <v>34</v>
      </c>
      <c r="C8" s="93">
        <f>AVERAGE(Worksheet!AF11,Worksheet!AF23,Worksheet!AF35,Worksheet!AF47,Worksheet!AF59,Worksheet!AF71,Worksheet!AF107,Worksheet!AF119,Worksheet!AF131,Worksheet!AF143,Worksheet!AF155,Worksheet!AF167,Worksheet!AF179,Worksheet!AF191,Worksheet!AF203,Worksheet!AF215,Worksheet!AF227,Worksheet!AF239,Worksheet!AF251,Worksheet!AF263,Worksheet!AF275,Worksheet!AF323,Worksheet!AF335,Worksheet!AF347,Worksheet!AF359,Worksheet!AF371,Worksheet!AF383,Worksheet!AF395,Worksheet!AF407,Worksheet!AF455,Worksheet!AF467,Worksheet!AF479,Worksheet!AF503,Worksheet!AF515,Worksheet!AF527,Worksheet!AF587,Worksheet!AF683,Worksheet!AF719,Worksheet!AF767,Worksheet!AF779,Worksheet!AF791,Worksheet!AF803,Worksheet!AF875,Worksheet!AF899,Worksheet!AF947,Worksheet!AF959,Worksheet!AF971,Worksheet!AF983,Worksheet!AF995,Worksheet!AF1007,Worksheet!AF1019,Worksheet!AF1031,Worksheet!AF1043,Worksheet!AF1055,Worksheet!AF1103,Worksheet!AF1139,Worksheet!AF1151,Worksheet!AF1163,Worksheet!AF1175,Worksheet!AF1187)</f>
        <v>0.30653794423994291</v>
      </c>
      <c r="D8" s="96">
        <f>AVERAGE(Worksheet!AF6:AF8,Worksheet!AF18,Worksheet!AF19,Worksheet!AF20,Worksheet!AF30,Worksheet!AF31,Worksheet!AF32,Worksheet!AF42,Worksheet!AF43,Worksheet!AF44,Worksheet!AF54,Worksheet!AF55,Worksheet!AF56,Worksheet!AF66,Worksheet!AF67,Worksheet!AF68,Worksheet!AF102,Worksheet!AF103,Worksheet!AF104,Worksheet!AF114,Worksheet!AF115,Worksheet!AF116,Worksheet!AF126,Worksheet!AF127,Worksheet!AF128,Worksheet!AF138,Worksheet!AF139,Worksheet!AF140,Worksheet!AF150,Worksheet!AF151,Worksheet!AF152,Worksheet!AF162,Worksheet!AF163,Worksheet!AF164,Worksheet!AF174,Worksheet!AF175,Worksheet!AF176,Worksheet!AF186,Worksheet!AF187,Worksheet!AF188,Worksheet!AF198,Worksheet!AF199,Worksheet!AF200,Worksheet!AF210,Worksheet!AF211,Worksheet!AF212,Worksheet!AF222,Worksheet!AF223,Worksheet!AF224,Worksheet!AF234,Worksheet!AF235,Worksheet!AF236,Worksheet!AF246,Worksheet!AF247,Worksheet!AF248,Worksheet!AF258,Worksheet!AF259,Worksheet!AF260,Worksheet!AF270,Worksheet!AF271,Worksheet!AF272,Worksheet!AF318,Worksheet!AF319,Worksheet!AF320,Worksheet!AF330,Worksheet!AF331,Worksheet!AF332,Worksheet!AF342,Worksheet!AF343,Worksheet!AF344,Worksheet!AF354,Worksheet!AF355,Worksheet!AF356,Worksheet!AF366,Worksheet!AF367,Worksheet!AF368,Worksheet!AF378,Worksheet!AF379,Worksheet!AF380,Worksheet!AF390,Worksheet!AF391,Worksheet!AF392,Worksheet!AF402,Worksheet!AF403,Worksheet!AF404,Worksheet!AF450,Worksheet!AF451,Worksheet!AF452,Worksheet!AF462,Worksheet!AF463,Worksheet!AF464,Worksheet!AF474,Worksheet!AF475,Worksheet!AF476,Worksheet!AF498,Worksheet!AF499,Worksheet!AF500,Worksheet!AF510,Worksheet!AF511,Worksheet!AF512,Worksheet!AF522,Worksheet!AF523,Worksheet!AF524,Worksheet!AF582,Worksheet!AF583,Worksheet!AF584,Worksheet!AF678,Worksheet!AF679,Worksheet!AF680,Worksheet!AF714,Worksheet!AF715,Worksheet!AF716,Worksheet!AF762,Worksheet!AF763,Worksheet!AF764,Worksheet!AF774,Worksheet!AF775,Worksheet!AF776,Worksheet!AF786,Worksheet!AF787,Worksheet!AF788,Worksheet!AF798,Worksheet!AF799,Worksheet!AF800)</f>
        <v>0.32595932354581592</v>
      </c>
    </row>
    <row r="9" spans="2:5" x14ac:dyDescent="0.25">
      <c r="B9" s="105" t="s">
        <v>9</v>
      </c>
      <c r="C9" s="93">
        <f>AVERAGE(Worksheet!AJ167,Worksheet!AJ515,Worksheet!AJ1187)</f>
        <v>4.9030822590973966E-2</v>
      </c>
      <c r="D9" s="96">
        <f>AVERAGE(Worksheet!AJ162:AJ164,Worksheet!AJ510,Worksheet!AJ511,Worksheet!AJ512,Worksheet!AJ1182,Worksheet!AJ1183,Worksheet!AJ1184)</f>
        <v>4.6019054434247586E-2</v>
      </c>
    </row>
    <row r="10" spans="2:5" x14ac:dyDescent="0.25">
      <c r="B10" s="106" t="s">
        <v>35</v>
      </c>
      <c r="C10" s="93">
        <f>AVERAGE(Worksheet!AN23,Worksheet!AN47,Worksheet!AN107,Worksheet!AN119,Worksheet!AN131,Worksheet!AN143,Worksheet!AN155,Worksheet!AN167,Worksheet!AN215,Worksheet!AN227,Worksheet!AN239,Worksheet!AN251,Worksheet!AN287,Worksheet!AN299,Worksheet!AN323,Worksheet!AN335,Worksheet!AN347,Worksheet!AN371,Worksheet!AN383,Worksheet!AN395,Worksheet!AN407,Worksheet!AN419,Worksheet!AN431,Worksheet!AN455,Worksheet!AN467,Worksheet!AN479,Worksheet!AN491,Worksheet!AN551,Worksheet!AN563,Worksheet!AN587,Worksheet!AN611,Worksheet!AN647,Worksheet!AN659,Worksheet!AN719,Worksheet!AN731,Worksheet!AN743,Worksheet!AN767,Worksheet!AN779,Worksheet!AN803+Worksheet!AN839,Worksheet!AN887,Worksheet!AN911,Worksheet!AN947,Worksheet!AN959,Worksheet!AN971,Worksheet!AN1079,Worksheet!AN1091,Worksheet!AN1103,Worksheet!AN1115,Worksheet!AN1151)</f>
        <v>0.19086123758158299</v>
      </c>
      <c r="D10" s="96">
        <f>AVERAGE(Worksheet!AN18:AN20,Worksheet!AN42,Worksheet!AN43,Worksheet!AN44,Worksheet!AN102,Worksheet!AN103,Worksheet!AN104,Worksheet!AN114,Worksheet!AN115,Worksheet!AN116,Worksheet!AN126,Worksheet!AN127,Worksheet!AN128,Worksheet!AN138,Worksheet!AN139,Worksheet!AN140,Worksheet!AN150,Worksheet!AN151,Worksheet!AN152,Worksheet!AN162,Worksheet!AN163,Worksheet!AN164,Worksheet!AN210,Worksheet!AN211,Worksheet!AN212,Worksheet!AN222,Worksheet!AN223,Worksheet!AN224,Worksheet!AN234,Worksheet!AN235,Worksheet!AN236,Worksheet!AN246,Worksheet!AN247,Worksheet!AN249,Worksheet!AN282,Worksheet!AN283,Worksheet!AN284,Worksheet!AN294,Worksheet!AN295,Worksheet!AN296,Worksheet!AN318,Worksheet!AN319,Worksheet!AN320,Worksheet!AN330,Worksheet!AN331,Worksheet!AN332,Worksheet!AN342,Worksheet!AN343,Worksheet!AN344,Worksheet!AN366,Worksheet!AN367,Worksheet!AN368,Worksheet!AN378,Worksheet!AN379,Worksheet!AN380,Worksheet!AN390,Worksheet!AN391,Worksheet!AN392,Worksheet!AN402,Worksheet!AN403,Worksheet!AN404,Worksheet!AN414,Worksheet!AN415,Worksheet!AN416,Worksheet!AN426,Worksheet!AN427,Worksheet!AN428,Worksheet!AN450,Worksheet!AN451,Worksheet!AN452,Worksheet!AN462,Worksheet!AN463,Worksheet!AN464,Worksheet!AN474,Worksheet!AN475,Worksheet!AN476,Worksheet!AN486,Worksheet!AN487,Worksheet!AN488,Worksheet!AN546,Worksheet!AN547,Worksheet!AN548,Worksheet!AN558,Worksheet!AN559,Worksheet!AN560,Worksheet!AN582,Worksheet!AN583,Worksheet!AN584,Worksheet!AN606,Worksheet!AN607,Worksheet!AN608,Worksheet!AN642,Worksheet!AN643,Worksheet!AN644,Worksheet!AN655,Worksheet!AN654,Worksheet!AN656,Worksheet!AN714,Worksheet!AN715,Worksheet!AN716,Worksheet!AN726,Worksheet!AN727,Worksheet!AN728,Worksheet!AN738,Worksheet!AN739,Worksheet!AN740,Worksheet!AN762,Worksheet!AN763,Worksheet!AN764,Worksheet!AN774,Worksheet!AN775,Worksheet!AN776,Worksheet!AN798,Worksheet!AN799,Worksheet!AN800,Worksheet!AN834,Worksheet!AN835,Worksheet!AN836,Worksheet!AN882,Worksheet!AN883,Worksheet!AN884)</f>
        <v>0.19566242051988347</v>
      </c>
      <c r="E10" t="s">
        <v>226</v>
      </c>
    </row>
    <row r="11" spans="2:5" x14ac:dyDescent="0.25">
      <c r="B11" s="100" t="s">
        <v>10</v>
      </c>
      <c r="C11" s="93">
        <f>AVERAGE(Worksheet!AR59,Worksheet!AR71,Worksheet!AR95,Worksheet!AR119,Worksheet!AR191,Worksheet!AR203,Worksheet!AR227,Worksheet!AR263,Worksheet!AR275,Worksheet!AR299,Worksheet!AR503,Worksheet!AR515,Worksheet!AR527,Worksheet!AR599,Worksheet!AR707,Worksheet!AR743,Worksheet!AR791,Worksheet!AR923,Worksheet!AR971,Worksheet!AR1007,Worksheet!AR1019,Worksheet!AR1031,Worksheet!AR1055,Worksheet!AR1067,Worksheet!AR1127,Worksheet!AR1187)</f>
        <v>0.16260722265566616</v>
      </c>
      <c r="D11" s="96">
        <f>AVERAGE(Worksheet!AR54:AR56,Worksheet!AR66,Worksheet!AR67,Worksheet!AR68,Worksheet!AR90,Worksheet!AR91,Worksheet!AR92,Worksheet!AR114,Worksheet!AR115,Worksheet!AR116,Worksheet!AR186,Worksheet!AR187,Worksheet!AR188,Worksheet!AR198,Worksheet!AR199,Worksheet!AR200,Worksheet!AR222,Worksheet!AR223,Worksheet!AR224,Worksheet!AR258,Worksheet!AR259,Worksheet!AR260,Worksheet!AR270,Worksheet!AR271,Worksheet!AR272,Worksheet!AR294,Worksheet!AR295,Worksheet!AR296,Worksheet!AR498,Worksheet!AR499,Worksheet!AR500,Worksheet!AR510,Worksheet!AR511,Worksheet!AR512,Worksheet!AR522,Worksheet!AR523,Worksheet!AR524,Worksheet!AR594,Worksheet!AR595,Worksheet!AR596,Worksheet!AR702,Worksheet!AR704,Worksheet!AR703,Worksheet!AR738,Worksheet!AR739,Worksheet!AR740,Worksheet!AR786,Worksheet!AR787,Worksheet!AR788,Worksheet!AR918,Worksheet!AR919,Worksheet!AR920,Worksheet!AR966,Worksheet!AR967,Worksheet!AR968,Worksheet!AR1002,Worksheet!AR1003,Worksheet!AR1004,Worksheet!AR1014,Worksheet!AR1015,Worksheet!AR1016,Worksheet!AR1026,Worksheet!AR1027,Worksheet!AR1028,Worksheet!AR1050,Worksheet!AR1051,Worksheet!AR1052,Worksheet!AR1062,Worksheet!AR1063,Worksheet!AR1064,Worksheet!AR1122,Worksheet!AR1123,Worksheet!AR1124,Worksheet!AR1182,Worksheet!AR1183,Worksheet!AR1184)</f>
        <v>0.16450196806066772</v>
      </c>
    </row>
    <row r="12" spans="2:5" x14ac:dyDescent="0.25">
      <c r="B12" s="101" t="s">
        <v>36</v>
      </c>
      <c r="C12" s="93">
        <f>AVERAGE(Worksheet!AV11,Worksheet!AV59,Worksheet!AV71,Worksheet!AV83,Worksheet!AV167,Worksheet!AV179,Worksheet!AV191,Worksheet!AV287,Worksheet!AV299,Worksheet!AV671,Worksheet!AV695,Worksheet!AV875,Worksheet!AV1067)</f>
        <v>0.28756217152354657</v>
      </c>
      <c r="D12" s="96">
        <f>AVERAGE(Worksheet!AV6:AV8,Worksheet!AV54,Worksheet!AV55,Worksheet!AV56,Worksheet!AV66,Worksheet!AV68,Worksheet!AV67,Worksheet!AV78,Worksheet!AV79,Worksheet!AV80,Worksheet!AV162,Worksheet!AV163,Worksheet!AV164,Worksheet!AV174,Worksheet!AV175,Worksheet!AV176,Worksheet!AV186,Worksheet!AV187,Worksheet!AV188,Worksheet!AV282,Worksheet!AV283,Worksheet!AV284,Worksheet!AV294,Worksheet!AV295,Worksheet!AV296,Worksheet!AV666,Worksheet!AV667,Worksheet!AV668,Worksheet!AV691,Worksheet!AV690,Worksheet!AV692,Worksheet!AV870:AV871,Worksheet!AV871,Worksheet!AV872,Worksheet!AV1062,Worksheet!AV1063,Worksheet!AV1064)</f>
        <v>0.3009736994842856</v>
      </c>
    </row>
    <row r="13" spans="2:5" x14ac:dyDescent="0.25">
      <c r="B13" s="107" t="s">
        <v>11</v>
      </c>
      <c r="C13" s="93">
        <f>AVERAGE(Worksheet!AZ311,Worksheet!AZ515,Worksheet!AZ539,Worksheet!AZ551,Worksheet!AZ563,Worksheet!AZ731,Worksheet!AZ743,Worksheet!AZ755,Worksheet!AZ779,Worksheet!AZ1127)</f>
        <v>0.16411387986075177</v>
      </c>
      <c r="D13" s="96">
        <f>AVERAGE(Worksheet!AZ306:AZ308,Worksheet!AZ510,Worksheet!AZ511,Worksheet!AZ512,Worksheet!AZ534,Worksheet!AZ535,Worksheet!AZ536,Worksheet!AZ546,Worksheet!AZ547,Worksheet!AZ548,Worksheet!AZ558,Worksheet!AZ559,Worksheet!AZ560,Worksheet!AZ726,Worksheet!AZ727,Worksheet!AZ728,Worksheet!AZ738,Worksheet!AZ739,Worksheet!AZ740,Worksheet!AZ750,Worksheet!AZ751,Worksheet!AZ752,Worksheet!AZ774,Worksheet!AZ775,Worksheet!AZ776,Worksheet!AZ1122,Worksheet!AZ1123,Worksheet!AZ1124)</f>
        <v>0.17057071529894335</v>
      </c>
    </row>
    <row r="14" spans="2:5" x14ac:dyDescent="0.25">
      <c r="B14" s="108" t="s">
        <v>17</v>
      </c>
      <c r="C14" s="93">
        <f>AVERAGE(Worksheet!BD491,Worksheet!BD635,Worksheet!BD647,Worksheet!BD659,Worksheet!BD671,Worksheet!BD695,Worksheet!BD887,Worksheet!BD899,Worksheet!BD911,Worksheet!BD1067)</f>
        <v>0.5658609207681925</v>
      </c>
      <c r="D14" s="96">
        <f>AVERAGE(Worksheet!BD78:BD80,Worksheet!BD486,Worksheet!BD487,Worksheet!BD488,Worksheet!BD630,Worksheet!BD631,Worksheet!BD632,Worksheet!BD642,Worksheet!BD643,Worksheet!BD644,Worksheet!BD654,Worksheet!BD655,Worksheet!BD656,Worksheet!BD666,Worksheet!BD667,Worksheet!BD668,Worksheet!BD690,Worksheet!BD691,Worksheet!BD692,Worksheet!BD882,Worksheet!BD883,Worksheet!BD884,Worksheet!BD894,Worksheet!BD895,Worksheet!BD896,Worksheet!BD906,Worksheet!BD907,Worksheet!BD908,Worksheet!BD1062,Worksheet!BD1063,Worksheet!BD1064)</f>
        <v>0.59403758466707746</v>
      </c>
    </row>
    <row r="15" spans="2:5" ht="15.75" thickBot="1" x14ac:dyDescent="0.3">
      <c r="B15" s="109" t="s">
        <v>216</v>
      </c>
      <c r="C15" s="110">
        <f>AVERAGE(Worksheet!BD1175,Worksheet!BD1163)</f>
        <v>0.29770385643378749</v>
      </c>
      <c r="D15" s="111">
        <f>AVERAGE(Worksheet!BD1170,Worksheet!BD1171,Worksheet!BD1172,Worksheet!BD1158,Worksheet!BD1159,Worksheet!BD1160)</f>
        <v>0.31572662785719796</v>
      </c>
    </row>
    <row r="17" spans="2:2" x14ac:dyDescent="0.25">
      <c r="B17" t="s">
        <v>222</v>
      </c>
    </row>
    <row r="20" spans="2:2" x14ac:dyDescent="0.25">
      <c r="B20" t="s">
        <v>227</v>
      </c>
    </row>
    <row r="21" spans="2:2" x14ac:dyDescent="0.25">
      <c r="B21" t="s">
        <v>228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87"/>
  <sheetViews>
    <sheetView topLeftCell="A817" zoomScale="85" zoomScaleNormal="85" workbookViewId="0">
      <pane xSplit="1" topLeftCell="B1" activePane="topRight" state="frozen"/>
      <selection pane="topRight" activeCell="E844" sqref="E844"/>
    </sheetView>
  </sheetViews>
  <sheetFormatPr defaultRowHeight="15" x14ac:dyDescent="0.25"/>
  <cols>
    <col min="1" max="2" width="15.85546875" customWidth="1"/>
    <col min="3" max="3" width="17" customWidth="1"/>
    <col min="4" max="4" width="14.28515625" customWidth="1"/>
    <col min="5" max="5" width="15.28515625" customWidth="1"/>
    <col min="6" max="6" width="12.5703125" customWidth="1"/>
    <col min="7" max="7" width="13.5703125" customWidth="1"/>
    <col min="8" max="8" width="15.42578125" customWidth="1"/>
    <col min="9" max="9" width="13.7109375" customWidth="1"/>
    <col min="10" max="10" width="14.7109375" customWidth="1"/>
    <col min="11" max="11" width="15.85546875" customWidth="1"/>
    <col min="12" max="12" width="16.7109375" customWidth="1"/>
    <col min="13" max="13" width="14.28515625" customWidth="1"/>
    <col min="14" max="14" width="13.85546875" customWidth="1"/>
    <col min="15" max="15" width="14.7109375" customWidth="1"/>
    <col min="16" max="16" width="15.5703125" customWidth="1"/>
    <col min="17" max="29" width="15.85546875" customWidth="1"/>
    <col min="30" max="30" width="18.7109375" customWidth="1"/>
    <col min="31" max="32" width="15.85546875" customWidth="1"/>
    <col min="33" max="33" width="13.5703125" customWidth="1"/>
    <col min="34" max="34" width="11.7109375" customWidth="1"/>
    <col min="35" max="35" width="14.85546875" customWidth="1"/>
    <col min="36" max="36" width="14.5703125" customWidth="1"/>
    <col min="37" max="40" width="15.85546875" customWidth="1"/>
    <col min="41" max="41" width="13.28515625" customWidth="1"/>
    <col min="42" max="42" width="11.140625" customWidth="1"/>
    <col min="43" max="43" width="12.85546875" customWidth="1"/>
    <col min="44" max="44" width="13.7109375" customWidth="1"/>
    <col min="45" max="45" width="14.42578125" customWidth="1"/>
    <col min="46" max="46" width="11.42578125" customWidth="1"/>
    <col min="47" max="48" width="12.28515625" customWidth="1"/>
    <col min="51" max="51" width="13.42578125" customWidth="1"/>
    <col min="52" max="52" width="12.28515625" customWidth="1"/>
    <col min="53" max="53" width="10.85546875" customWidth="1"/>
    <col min="54" max="54" width="10.7109375" customWidth="1"/>
    <col min="55" max="55" width="11.140625" customWidth="1"/>
  </cols>
  <sheetData>
    <row r="1" spans="1:56" ht="15.75" thickBot="1" x14ac:dyDescent="0.3">
      <c r="A1" s="84"/>
      <c r="B1" s="74" t="s">
        <v>12</v>
      </c>
      <c r="C1" s="74"/>
      <c r="D1" s="74"/>
      <c r="E1" s="74" t="s">
        <v>33</v>
      </c>
      <c r="F1" s="75">
        <v>1424</v>
      </c>
      <c r="G1" s="74"/>
      <c r="H1" s="74" t="s">
        <v>14</v>
      </c>
      <c r="I1" s="74"/>
      <c r="J1" s="74" t="s">
        <v>83</v>
      </c>
      <c r="K1" s="75">
        <v>1976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6"/>
    </row>
    <row r="2" spans="1:56" x14ac:dyDescent="0.25">
      <c r="A2" s="112"/>
      <c r="B2" s="113"/>
      <c r="C2" s="113"/>
      <c r="D2" s="114"/>
      <c r="E2" s="115" t="s">
        <v>27</v>
      </c>
      <c r="F2" s="116"/>
      <c r="G2" s="116"/>
      <c r="H2" s="117"/>
      <c r="I2" s="118" t="s">
        <v>28</v>
      </c>
      <c r="J2" s="119"/>
      <c r="K2" s="119"/>
      <c r="L2" s="120"/>
      <c r="M2" s="121" t="s">
        <v>7</v>
      </c>
      <c r="N2" s="122"/>
      <c r="O2" s="122"/>
      <c r="P2" s="122"/>
      <c r="Q2" s="124" t="s">
        <v>29</v>
      </c>
      <c r="R2" s="125"/>
      <c r="S2" s="125"/>
      <c r="T2" s="126"/>
      <c r="U2" s="128" t="s">
        <v>8</v>
      </c>
      <c r="V2" s="128"/>
      <c r="W2" s="128"/>
      <c r="X2" s="129"/>
      <c r="Y2" s="130" t="s">
        <v>0</v>
      </c>
      <c r="Z2" s="131"/>
      <c r="AA2" s="131"/>
      <c r="AB2" s="132"/>
      <c r="AC2" s="133" t="s">
        <v>34</v>
      </c>
      <c r="AD2" s="134"/>
      <c r="AE2" s="134"/>
      <c r="AF2" s="135"/>
      <c r="AG2" s="115" t="s">
        <v>9</v>
      </c>
      <c r="AH2" s="116"/>
      <c r="AI2" s="116"/>
      <c r="AJ2" s="117"/>
      <c r="AK2" s="136" t="s">
        <v>35</v>
      </c>
      <c r="AL2" s="137"/>
      <c r="AM2" s="137"/>
      <c r="AN2" s="138"/>
      <c r="AO2" s="139" t="s">
        <v>10</v>
      </c>
      <c r="AP2" s="140"/>
      <c r="AQ2" s="140"/>
      <c r="AR2" s="141"/>
      <c r="AS2" s="124" t="s">
        <v>36</v>
      </c>
      <c r="AT2" s="125"/>
      <c r="AU2" s="125"/>
      <c r="AV2" s="126"/>
      <c r="AW2" s="142" t="s">
        <v>11</v>
      </c>
      <c r="AX2" s="143"/>
      <c r="AY2" s="143"/>
      <c r="AZ2" s="144"/>
      <c r="BA2" s="148" t="s">
        <v>17</v>
      </c>
      <c r="BB2" s="149"/>
      <c r="BC2" s="149"/>
      <c r="BD2" s="150"/>
    </row>
    <row r="3" spans="1:56" s="1" customFormat="1" ht="15.75" thickBot="1" x14ac:dyDescent="0.3">
      <c r="A3" s="41" t="s">
        <v>13</v>
      </c>
      <c r="B3" s="42" t="s">
        <v>15</v>
      </c>
      <c r="C3" s="42" t="s">
        <v>32</v>
      </c>
      <c r="D3" s="43" t="s">
        <v>18</v>
      </c>
      <c r="E3" s="30" t="s">
        <v>30</v>
      </c>
      <c r="F3" s="31" t="s">
        <v>61</v>
      </c>
      <c r="G3" s="31" t="s">
        <v>38</v>
      </c>
      <c r="H3" s="32" t="s">
        <v>62</v>
      </c>
      <c r="I3" s="37" t="s">
        <v>31</v>
      </c>
      <c r="J3" s="38" t="s">
        <v>39</v>
      </c>
      <c r="K3" s="38" t="s">
        <v>40</v>
      </c>
      <c r="L3" s="39" t="s">
        <v>63</v>
      </c>
      <c r="M3" s="40" t="s">
        <v>19</v>
      </c>
      <c r="N3" s="7" t="s">
        <v>41</v>
      </c>
      <c r="O3" s="7" t="s">
        <v>37</v>
      </c>
      <c r="P3" s="7" t="s">
        <v>64</v>
      </c>
      <c r="Q3" s="27" t="s">
        <v>20</v>
      </c>
      <c r="R3" s="28" t="s">
        <v>60</v>
      </c>
      <c r="S3" s="28" t="s">
        <v>59</v>
      </c>
      <c r="T3" s="29" t="s">
        <v>65</v>
      </c>
      <c r="U3" s="48" t="s">
        <v>21</v>
      </c>
      <c r="V3" s="48" t="s">
        <v>42</v>
      </c>
      <c r="W3" s="48" t="s">
        <v>43</v>
      </c>
      <c r="X3" s="49" t="s">
        <v>66</v>
      </c>
      <c r="Y3" s="50" t="s">
        <v>22</v>
      </c>
      <c r="Z3" s="51" t="s">
        <v>44</v>
      </c>
      <c r="AA3" s="51" t="s">
        <v>45</v>
      </c>
      <c r="AB3" s="52" t="s">
        <v>67</v>
      </c>
      <c r="AC3" s="45" t="s">
        <v>23</v>
      </c>
      <c r="AD3" s="46" t="s">
        <v>46</v>
      </c>
      <c r="AE3" s="46" t="s">
        <v>47</v>
      </c>
      <c r="AF3" s="47" t="s">
        <v>68</v>
      </c>
      <c r="AG3" s="30" t="s">
        <v>24</v>
      </c>
      <c r="AH3" s="31" t="s">
        <v>48</v>
      </c>
      <c r="AI3" s="31" t="s">
        <v>49</v>
      </c>
      <c r="AJ3" s="32" t="s">
        <v>69</v>
      </c>
      <c r="AK3" s="53" t="s">
        <v>25</v>
      </c>
      <c r="AL3" s="54" t="s">
        <v>50</v>
      </c>
      <c r="AM3" s="54" t="s">
        <v>51</v>
      </c>
      <c r="AN3" s="55" t="s">
        <v>70</v>
      </c>
      <c r="AO3" s="56" t="s">
        <v>26</v>
      </c>
      <c r="AP3" s="57" t="s">
        <v>52</v>
      </c>
      <c r="AQ3" s="57" t="s">
        <v>53</v>
      </c>
      <c r="AR3" s="58" t="s">
        <v>71</v>
      </c>
      <c r="AS3" s="59" t="s">
        <v>55</v>
      </c>
      <c r="AT3" s="60" t="s">
        <v>54</v>
      </c>
      <c r="AU3" s="60" t="s">
        <v>56</v>
      </c>
      <c r="AV3" s="61" t="s">
        <v>76</v>
      </c>
      <c r="AW3" s="62" t="s">
        <v>72</v>
      </c>
      <c r="AX3" s="63" t="s">
        <v>73</v>
      </c>
      <c r="AY3" s="63" t="s">
        <v>74</v>
      </c>
      <c r="AZ3" s="64" t="s">
        <v>75</v>
      </c>
      <c r="BA3" s="71" t="s">
        <v>77</v>
      </c>
      <c r="BB3" s="72" t="s">
        <v>57</v>
      </c>
      <c r="BC3" s="72" t="s">
        <v>58</v>
      </c>
      <c r="BD3" s="73" t="s">
        <v>78</v>
      </c>
    </row>
    <row r="4" spans="1:56" x14ac:dyDescent="0.25">
      <c r="A4" s="17" t="s">
        <v>1</v>
      </c>
      <c r="B4" s="14">
        <v>70380</v>
      </c>
      <c r="C4" s="34">
        <f>B4/F1</f>
        <v>49.424157303370784</v>
      </c>
      <c r="D4" s="14">
        <v>1525</v>
      </c>
      <c r="E4" s="67">
        <v>0</v>
      </c>
      <c r="F4" s="69">
        <v>0</v>
      </c>
      <c r="G4" s="34" t="e">
        <f t="shared" ref="G4:G10" si="0">E4/F4</f>
        <v>#DIV/0!</v>
      </c>
      <c r="H4" s="10" t="e">
        <f t="shared" ref="H4:H10" si="1">G4/C4</f>
        <v>#DIV/0!</v>
      </c>
      <c r="I4" s="34">
        <v>0</v>
      </c>
      <c r="J4" s="69">
        <v>0</v>
      </c>
      <c r="K4" s="34" t="e">
        <f t="shared" ref="K4:K10" si="2">I4/J4</f>
        <v>#DIV/0!</v>
      </c>
      <c r="L4" s="9" t="e">
        <f t="shared" ref="L4:L10" si="3">K4/C4</f>
        <v>#DIV/0!</v>
      </c>
      <c r="M4" s="67">
        <v>21270</v>
      </c>
      <c r="N4" s="26">
        <v>672</v>
      </c>
      <c r="O4" s="34">
        <f t="shared" ref="O4:O10" si="4">M4/N4</f>
        <v>31.651785714285715</v>
      </c>
      <c r="P4" s="10">
        <f t="shared" ref="P4:P10" si="5">O4/C4</f>
        <v>0.64041123695855162</v>
      </c>
      <c r="Q4" s="35">
        <v>0</v>
      </c>
      <c r="R4" s="66">
        <v>0</v>
      </c>
      <c r="S4" s="35" t="e">
        <f t="shared" ref="S4:S10" si="6">Q4/R4</f>
        <v>#DIV/0!</v>
      </c>
      <c r="T4" s="6" t="e">
        <f t="shared" ref="T4:T10" si="7">S4/C4</f>
        <v>#DIV/0!</v>
      </c>
      <c r="U4" s="67">
        <v>0</v>
      </c>
      <c r="V4" s="65">
        <v>0</v>
      </c>
      <c r="W4" s="18" t="e">
        <f t="shared" ref="W4:W10" si="8">U4/V4</f>
        <v>#DIV/0!</v>
      </c>
      <c r="X4" s="9" t="e">
        <f t="shared" ref="X4:X10" si="9">W4/C4</f>
        <v>#DIV/0!</v>
      </c>
      <c r="Y4" s="67">
        <v>0</v>
      </c>
      <c r="Z4" s="69">
        <v>0</v>
      </c>
      <c r="AA4" s="34" t="e">
        <f t="shared" ref="AA4:AA10" si="10">Y4/Z4</f>
        <v>#DIV/0!</v>
      </c>
      <c r="AB4" s="10" t="e">
        <f t="shared" ref="AB4:AB10" si="11">AA4/C4</f>
        <v>#DIV/0!</v>
      </c>
      <c r="AC4" s="34">
        <v>7860</v>
      </c>
      <c r="AD4" s="33">
        <v>528</v>
      </c>
      <c r="AE4" s="34">
        <f t="shared" ref="AE4:AE10" si="12">AC4/AD4</f>
        <v>14.886363636363637</v>
      </c>
      <c r="AF4" s="9">
        <f t="shared" ref="AF4:AF10" si="13">AE4/C4</f>
        <v>0.30119610426515797</v>
      </c>
      <c r="AG4" s="67">
        <v>0</v>
      </c>
      <c r="AH4" s="65">
        <v>0</v>
      </c>
      <c r="AI4" s="34" t="e">
        <f t="shared" ref="AI4:AI10" si="14">AG4/AH4</f>
        <v>#DIV/0!</v>
      </c>
      <c r="AJ4" s="9" t="e">
        <f t="shared" ref="AJ4:AJ10" si="15">AI4/C4</f>
        <v>#DIV/0!</v>
      </c>
      <c r="AK4" s="67">
        <v>0</v>
      </c>
      <c r="AL4" s="65">
        <v>0</v>
      </c>
      <c r="AM4" s="34" t="e">
        <f t="shared" ref="AM4:AM10" si="16">AK4/AL4</f>
        <v>#DIV/0!</v>
      </c>
      <c r="AN4" s="9" t="e">
        <f t="shared" ref="AN4:AN10" si="17">AM4/C4</f>
        <v>#DIV/0!</v>
      </c>
      <c r="AO4" s="67">
        <v>0</v>
      </c>
      <c r="AP4" s="65">
        <v>0</v>
      </c>
      <c r="AQ4" s="34" t="e">
        <f t="shared" ref="AQ4:AQ10" si="18">AO4/AP4</f>
        <v>#DIV/0!</v>
      </c>
      <c r="AR4" s="9" t="e">
        <f t="shared" ref="AR4:AR10" si="19">AQ4/C4</f>
        <v>#DIV/0!</v>
      </c>
      <c r="AS4" s="67">
        <v>1860</v>
      </c>
      <c r="AT4" s="65">
        <v>120</v>
      </c>
      <c r="AU4" s="34">
        <f t="shared" ref="AU4:AU10" si="20">AS4/AT4</f>
        <v>15.5</v>
      </c>
      <c r="AV4" s="9">
        <f t="shared" ref="AV4:AV10" si="21">AU4/C4</f>
        <v>0.31361182154021028</v>
      </c>
      <c r="AW4" s="67">
        <v>0</v>
      </c>
      <c r="AX4" s="65">
        <v>0</v>
      </c>
      <c r="AY4" s="34" t="e">
        <f t="shared" ref="AY4:AY10" si="22">AW4/AX4</f>
        <v>#DIV/0!</v>
      </c>
      <c r="AZ4" s="9" t="e">
        <f t="shared" ref="AZ4:AZ10" si="23">AY4/C4</f>
        <v>#DIV/0!</v>
      </c>
      <c r="BA4" s="67">
        <v>0</v>
      </c>
      <c r="BB4" s="65">
        <v>0</v>
      </c>
      <c r="BC4" s="34" t="e">
        <f t="shared" ref="BC4:BC10" si="24">BA4/BB4</f>
        <v>#DIV/0!</v>
      </c>
      <c r="BD4" s="10" t="e">
        <f t="shared" ref="BD4:BD10" si="25">BC4/C4</f>
        <v>#DIV/0!</v>
      </c>
    </row>
    <row r="5" spans="1:56" x14ac:dyDescent="0.25">
      <c r="A5" s="19" t="s">
        <v>16</v>
      </c>
      <c r="B5" s="8">
        <v>82800</v>
      </c>
      <c r="C5" s="35">
        <f>B5/F1</f>
        <v>58.146067415730336</v>
      </c>
      <c r="D5" s="8">
        <v>1525</v>
      </c>
      <c r="E5" s="68">
        <v>0</v>
      </c>
      <c r="F5" s="70">
        <v>0</v>
      </c>
      <c r="G5" s="35" t="e">
        <f t="shared" si="0"/>
        <v>#DIV/0!</v>
      </c>
      <c r="H5" s="11" t="e">
        <f t="shared" si="1"/>
        <v>#DIV/0!</v>
      </c>
      <c r="I5" s="35">
        <v>0</v>
      </c>
      <c r="J5" s="70">
        <v>0</v>
      </c>
      <c r="K5" s="35" t="e">
        <f t="shared" si="2"/>
        <v>#DIV/0!</v>
      </c>
      <c r="L5" s="6" t="e">
        <f t="shared" si="3"/>
        <v>#DIV/0!</v>
      </c>
      <c r="M5" s="68">
        <v>26510</v>
      </c>
      <c r="N5" s="5">
        <v>672</v>
      </c>
      <c r="O5" s="35">
        <f t="shared" si="4"/>
        <v>39.449404761904759</v>
      </c>
      <c r="P5" s="11">
        <f t="shared" si="5"/>
        <v>0.67845353117092244</v>
      </c>
      <c r="Q5" s="35">
        <v>0</v>
      </c>
      <c r="R5" s="66">
        <v>0</v>
      </c>
      <c r="S5" s="35" t="e">
        <f t="shared" si="6"/>
        <v>#DIV/0!</v>
      </c>
      <c r="T5" s="6" t="e">
        <f t="shared" si="7"/>
        <v>#DIV/0!</v>
      </c>
      <c r="U5" s="68">
        <v>0</v>
      </c>
      <c r="V5" s="66">
        <v>0</v>
      </c>
      <c r="W5" s="20" t="e">
        <f t="shared" si="8"/>
        <v>#DIV/0!</v>
      </c>
      <c r="X5" s="6" t="e">
        <f t="shared" si="9"/>
        <v>#DIV/0!</v>
      </c>
      <c r="Y5" s="68">
        <v>0</v>
      </c>
      <c r="Z5" s="70">
        <v>0</v>
      </c>
      <c r="AA5" s="35" t="e">
        <f t="shared" si="10"/>
        <v>#DIV/0!</v>
      </c>
      <c r="AB5" s="11" t="e">
        <f t="shared" si="11"/>
        <v>#DIV/0!</v>
      </c>
      <c r="AC5" s="35">
        <v>10750</v>
      </c>
      <c r="AD5" s="36">
        <v>528</v>
      </c>
      <c r="AE5" s="35">
        <f t="shared" si="12"/>
        <v>20.359848484848484</v>
      </c>
      <c r="AF5" s="6">
        <f t="shared" si="13"/>
        <v>0.35015005123700776</v>
      </c>
      <c r="AG5" s="68">
        <v>0</v>
      </c>
      <c r="AH5" s="66">
        <v>0</v>
      </c>
      <c r="AI5" s="35" t="e">
        <f t="shared" si="14"/>
        <v>#DIV/0!</v>
      </c>
      <c r="AJ5" s="6" t="e">
        <f t="shared" si="15"/>
        <v>#DIV/0!</v>
      </c>
      <c r="AK5" s="68">
        <v>0</v>
      </c>
      <c r="AL5" s="66">
        <v>0</v>
      </c>
      <c r="AM5" s="35" t="e">
        <f t="shared" si="16"/>
        <v>#DIV/0!</v>
      </c>
      <c r="AN5" s="6" t="e">
        <f t="shared" si="17"/>
        <v>#DIV/0!</v>
      </c>
      <c r="AO5" s="68">
        <v>0</v>
      </c>
      <c r="AP5" s="66">
        <v>0</v>
      </c>
      <c r="AQ5" s="35" t="e">
        <f t="shared" si="18"/>
        <v>#DIV/0!</v>
      </c>
      <c r="AR5" s="6" t="e">
        <f t="shared" si="19"/>
        <v>#DIV/0!</v>
      </c>
      <c r="AS5" s="68">
        <v>2640</v>
      </c>
      <c r="AT5" s="66">
        <v>120</v>
      </c>
      <c r="AU5" s="35">
        <f t="shared" si="20"/>
        <v>22</v>
      </c>
      <c r="AV5" s="6">
        <f t="shared" si="21"/>
        <v>0.37835748792270535</v>
      </c>
      <c r="AW5" s="68">
        <v>0</v>
      </c>
      <c r="AX5" s="66">
        <v>0</v>
      </c>
      <c r="AY5" s="35" t="e">
        <f t="shared" si="22"/>
        <v>#DIV/0!</v>
      </c>
      <c r="AZ5" s="6" t="e">
        <f t="shared" si="23"/>
        <v>#DIV/0!</v>
      </c>
      <c r="BA5" s="68">
        <v>0</v>
      </c>
      <c r="BB5" s="66">
        <v>0</v>
      </c>
      <c r="BC5" s="35" t="e">
        <f t="shared" si="24"/>
        <v>#DIV/0!</v>
      </c>
      <c r="BD5" s="11" t="e">
        <f t="shared" si="25"/>
        <v>#DIV/0!</v>
      </c>
    </row>
    <row r="6" spans="1:56" x14ac:dyDescent="0.25">
      <c r="A6" s="19" t="s">
        <v>2</v>
      </c>
      <c r="B6" s="8">
        <v>96770</v>
      </c>
      <c r="C6" s="35">
        <f>B6/F1</f>
        <v>67.956460674157299</v>
      </c>
      <c r="D6" s="8">
        <v>2100</v>
      </c>
      <c r="E6" s="68">
        <v>0</v>
      </c>
      <c r="F6" s="70">
        <v>0</v>
      </c>
      <c r="G6" s="35" t="e">
        <f t="shared" si="0"/>
        <v>#DIV/0!</v>
      </c>
      <c r="H6" s="11" t="e">
        <f t="shared" si="1"/>
        <v>#DIV/0!</v>
      </c>
      <c r="I6" s="35">
        <v>0</v>
      </c>
      <c r="J6" s="70">
        <v>0</v>
      </c>
      <c r="K6" s="35" t="e">
        <f t="shared" si="2"/>
        <v>#DIV/0!</v>
      </c>
      <c r="L6" s="6" t="e">
        <f t="shared" si="3"/>
        <v>#DIV/0!</v>
      </c>
      <c r="M6" s="68">
        <v>30290</v>
      </c>
      <c r="N6" s="5">
        <v>672</v>
      </c>
      <c r="O6" s="35">
        <f t="shared" si="4"/>
        <v>45.074404761904759</v>
      </c>
      <c r="P6" s="11">
        <f t="shared" si="5"/>
        <v>0.66328358355846218</v>
      </c>
      <c r="Q6" s="35">
        <v>0</v>
      </c>
      <c r="R6" s="66">
        <v>0</v>
      </c>
      <c r="S6" s="35" t="e">
        <f t="shared" si="6"/>
        <v>#DIV/0!</v>
      </c>
      <c r="T6" s="6" t="e">
        <f t="shared" si="7"/>
        <v>#DIV/0!</v>
      </c>
      <c r="U6" s="68">
        <v>0</v>
      </c>
      <c r="V6" s="66">
        <v>0</v>
      </c>
      <c r="W6" s="20" t="e">
        <f t="shared" si="8"/>
        <v>#DIV/0!</v>
      </c>
      <c r="X6" s="6" t="e">
        <f t="shared" si="9"/>
        <v>#DIV/0!</v>
      </c>
      <c r="Y6" s="68">
        <v>0</v>
      </c>
      <c r="Z6" s="70">
        <v>0</v>
      </c>
      <c r="AA6" s="35" t="e">
        <f t="shared" si="10"/>
        <v>#DIV/0!</v>
      </c>
      <c r="AB6" s="11" t="e">
        <f t="shared" si="11"/>
        <v>#DIV/0!</v>
      </c>
      <c r="AC6" s="35">
        <v>13350</v>
      </c>
      <c r="AD6" s="36">
        <v>528</v>
      </c>
      <c r="AE6" s="35">
        <f t="shared" si="12"/>
        <v>25.28409090909091</v>
      </c>
      <c r="AF6" s="6">
        <f t="shared" si="13"/>
        <v>0.37206309243097507</v>
      </c>
      <c r="AG6" s="68">
        <v>0</v>
      </c>
      <c r="AH6" s="66">
        <v>0</v>
      </c>
      <c r="AI6" s="35" t="e">
        <f t="shared" si="14"/>
        <v>#DIV/0!</v>
      </c>
      <c r="AJ6" s="6" t="e">
        <f t="shared" si="15"/>
        <v>#DIV/0!</v>
      </c>
      <c r="AK6" s="68">
        <v>0</v>
      </c>
      <c r="AL6" s="66">
        <v>0</v>
      </c>
      <c r="AM6" s="35" t="e">
        <f t="shared" si="16"/>
        <v>#DIV/0!</v>
      </c>
      <c r="AN6" s="6" t="e">
        <f t="shared" si="17"/>
        <v>#DIV/0!</v>
      </c>
      <c r="AO6" s="68">
        <v>0</v>
      </c>
      <c r="AP6" s="66">
        <v>0</v>
      </c>
      <c r="AQ6" s="35" t="e">
        <f t="shared" si="18"/>
        <v>#DIV/0!</v>
      </c>
      <c r="AR6" s="6" t="e">
        <f t="shared" si="19"/>
        <v>#DIV/0!</v>
      </c>
      <c r="AS6" s="68">
        <v>2930</v>
      </c>
      <c r="AT6" s="66">
        <v>120</v>
      </c>
      <c r="AU6" s="35">
        <f t="shared" si="20"/>
        <v>24.416666666666668</v>
      </c>
      <c r="AV6" s="6">
        <f t="shared" si="21"/>
        <v>0.35929868072060905</v>
      </c>
      <c r="AW6" s="68">
        <v>0</v>
      </c>
      <c r="AX6" s="66">
        <v>0</v>
      </c>
      <c r="AY6" s="35" t="e">
        <f t="shared" si="22"/>
        <v>#DIV/0!</v>
      </c>
      <c r="AZ6" s="6" t="e">
        <f t="shared" si="23"/>
        <v>#DIV/0!</v>
      </c>
      <c r="BA6" s="68">
        <v>0</v>
      </c>
      <c r="BB6" s="66">
        <v>0</v>
      </c>
      <c r="BC6" s="35" t="e">
        <f t="shared" si="24"/>
        <v>#DIV/0!</v>
      </c>
      <c r="BD6" s="11" t="e">
        <f t="shared" si="25"/>
        <v>#DIV/0!</v>
      </c>
    </row>
    <row r="7" spans="1:56" x14ac:dyDescent="0.25">
      <c r="A7" s="19" t="s">
        <v>3</v>
      </c>
      <c r="B7" s="8">
        <v>117080</v>
      </c>
      <c r="C7" s="35">
        <f>B7/F1</f>
        <v>82.219101123595507</v>
      </c>
      <c r="D7" s="8">
        <v>2700</v>
      </c>
      <c r="E7" s="68">
        <v>0</v>
      </c>
      <c r="F7" s="70">
        <v>0</v>
      </c>
      <c r="G7" s="35" t="e">
        <f t="shared" si="0"/>
        <v>#DIV/0!</v>
      </c>
      <c r="H7" s="11" t="e">
        <f t="shared" si="1"/>
        <v>#DIV/0!</v>
      </c>
      <c r="I7" s="35">
        <v>0</v>
      </c>
      <c r="J7" s="70">
        <v>0</v>
      </c>
      <c r="K7" s="35" t="e">
        <f t="shared" si="2"/>
        <v>#DIV/0!</v>
      </c>
      <c r="L7" s="6" t="e">
        <f t="shared" si="3"/>
        <v>#DIV/0!</v>
      </c>
      <c r="M7" s="68">
        <v>34770</v>
      </c>
      <c r="N7" s="5">
        <v>672</v>
      </c>
      <c r="O7" s="35">
        <f t="shared" si="4"/>
        <v>51.741071428571431</v>
      </c>
      <c r="P7" s="11">
        <f t="shared" si="5"/>
        <v>0.62930718922348583</v>
      </c>
      <c r="Q7" s="35">
        <v>0</v>
      </c>
      <c r="R7" s="66">
        <v>0</v>
      </c>
      <c r="S7" s="35" t="e">
        <f t="shared" si="6"/>
        <v>#DIV/0!</v>
      </c>
      <c r="T7" s="6" t="e">
        <f t="shared" si="7"/>
        <v>#DIV/0!</v>
      </c>
      <c r="U7" s="68">
        <v>0</v>
      </c>
      <c r="V7" s="66">
        <v>0</v>
      </c>
      <c r="W7" s="20" t="e">
        <f t="shared" si="8"/>
        <v>#DIV/0!</v>
      </c>
      <c r="X7" s="6" t="e">
        <f t="shared" si="9"/>
        <v>#DIV/0!</v>
      </c>
      <c r="Y7" s="68">
        <v>0</v>
      </c>
      <c r="Z7" s="70">
        <v>0</v>
      </c>
      <c r="AA7" s="35" t="e">
        <f t="shared" si="10"/>
        <v>#DIV/0!</v>
      </c>
      <c r="AB7" s="11" t="e">
        <f t="shared" si="11"/>
        <v>#DIV/0!</v>
      </c>
      <c r="AC7" s="35">
        <v>14170</v>
      </c>
      <c r="AD7" s="36">
        <v>528</v>
      </c>
      <c r="AE7" s="35">
        <f t="shared" si="12"/>
        <v>26.837121212121211</v>
      </c>
      <c r="AF7" s="6">
        <f t="shared" si="13"/>
        <v>0.32640981043782547</v>
      </c>
      <c r="AG7" s="68">
        <v>0</v>
      </c>
      <c r="AH7" s="66">
        <v>0</v>
      </c>
      <c r="AI7" s="35" t="e">
        <f t="shared" si="14"/>
        <v>#DIV/0!</v>
      </c>
      <c r="AJ7" s="6" t="e">
        <f t="shared" si="15"/>
        <v>#DIV/0!</v>
      </c>
      <c r="AK7" s="68">
        <v>0</v>
      </c>
      <c r="AL7" s="66">
        <v>0</v>
      </c>
      <c r="AM7" s="35" t="e">
        <f t="shared" si="16"/>
        <v>#DIV/0!</v>
      </c>
      <c r="AN7" s="6" t="e">
        <f t="shared" si="17"/>
        <v>#DIV/0!</v>
      </c>
      <c r="AO7" s="68">
        <v>0</v>
      </c>
      <c r="AP7" s="66">
        <v>0</v>
      </c>
      <c r="AQ7" s="35" t="e">
        <f t="shared" si="18"/>
        <v>#DIV/0!</v>
      </c>
      <c r="AR7" s="6" t="e">
        <f t="shared" si="19"/>
        <v>#DIV/0!</v>
      </c>
      <c r="AS7" s="68">
        <v>3470</v>
      </c>
      <c r="AT7" s="66">
        <v>120</v>
      </c>
      <c r="AU7" s="35">
        <f t="shared" si="20"/>
        <v>28.916666666666668</v>
      </c>
      <c r="AV7" s="6">
        <f t="shared" si="21"/>
        <v>0.35170253957408043</v>
      </c>
      <c r="AW7" s="68">
        <v>0</v>
      </c>
      <c r="AX7" s="66">
        <v>0</v>
      </c>
      <c r="AY7" s="35" t="e">
        <f t="shared" si="22"/>
        <v>#DIV/0!</v>
      </c>
      <c r="AZ7" s="6" t="e">
        <f t="shared" si="23"/>
        <v>#DIV/0!</v>
      </c>
      <c r="BA7" s="68">
        <v>0</v>
      </c>
      <c r="BB7" s="66">
        <v>0</v>
      </c>
      <c r="BC7" s="35" t="e">
        <f t="shared" si="24"/>
        <v>#DIV/0!</v>
      </c>
      <c r="BD7" s="11" t="e">
        <f t="shared" si="25"/>
        <v>#DIV/0!</v>
      </c>
    </row>
    <row r="8" spans="1:56" x14ac:dyDescent="0.25">
      <c r="A8" s="19" t="s">
        <v>4</v>
      </c>
      <c r="B8" s="8">
        <v>145500</v>
      </c>
      <c r="C8" s="35">
        <f>B8/F1</f>
        <v>102.17696629213484</v>
      </c>
      <c r="D8" s="8">
        <v>5250</v>
      </c>
      <c r="E8" s="68">
        <v>0</v>
      </c>
      <c r="F8" s="70">
        <v>0</v>
      </c>
      <c r="G8" s="35" t="e">
        <f t="shared" si="0"/>
        <v>#DIV/0!</v>
      </c>
      <c r="H8" s="11" t="e">
        <f t="shared" si="1"/>
        <v>#DIV/0!</v>
      </c>
      <c r="I8" s="35">
        <v>0</v>
      </c>
      <c r="J8" s="70">
        <v>0</v>
      </c>
      <c r="K8" s="35" t="e">
        <f t="shared" si="2"/>
        <v>#DIV/0!</v>
      </c>
      <c r="L8" s="6" t="e">
        <f t="shared" si="3"/>
        <v>#DIV/0!</v>
      </c>
      <c r="M8" s="68">
        <v>47650</v>
      </c>
      <c r="N8" s="5">
        <v>672</v>
      </c>
      <c r="O8" s="35">
        <f t="shared" si="4"/>
        <v>70.907738095238102</v>
      </c>
      <c r="P8" s="11">
        <f t="shared" si="5"/>
        <v>0.69396989036164303</v>
      </c>
      <c r="Q8" s="35">
        <v>0</v>
      </c>
      <c r="R8" s="66">
        <v>0</v>
      </c>
      <c r="S8" s="35" t="e">
        <f t="shared" si="6"/>
        <v>#DIV/0!</v>
      </c>
      <c r="T8" s="6" t="e">
        <f t="shared" si="7"/>
        <v>#DIV/0!</v>
      </c>
      <c r="U8" s="68">
        <v>0</v>
      </c>
      <c r="V8" s="66">
        <v>0</v>
      </c>
      <c r="W8" s="20" t="e">
        <f t="shared" si="8"/>
        <v>#DIV/0!</v>
      </c>
      <c r="X8" s="6" t="e">
        <f t="shared" si="9"/>
        <v>#DIV/0!</v>
      </c>
      <c r="Y8" s="68">
        <v>0</v>
      </c>
      <c r="Z8" s="70">
        <v>0</v>
      </c>
      <c r="AA8" s="35" t="e">
        <f t="shared" si="10"/>
        <v>#DIV/0!</v>
      </c>
      <c r="AB8" s="11" t="e">
        <f t="shared" si="11"/>
        <v>#DIV/0!</v>
      </c>
      <c r="AC8" s="35">
        <v>16150</v>
      </c>
      <c r="AD8" s="36">
        <v>528</v>
      </c>
      <c r="AE8" s="35">
        <f t="shared" si="12"/>
        <v>30.587121212121211</v>
      </c>
      <c r="AF8" s="6">
        <f t="shared" si="13"/>
        <v>0.29935436842653335</v>
      </c>
      <c r="AG8" s="68">
        <v>0</v>
      </c>
      <c r="AH8" s="66">
        <v>0</v>
      </c>
      <c r="AI8" s="35" t="e">
        <f t="shared" si="14"/>
        <v>#DIV/0!</v>
      </c>
      <c r="AJ8" s="6" t="e">
        <f t="shared" si="15"/>
        <v>#DIV/0!</v>
      </c>
      <c r="AK8" s="68">
        <v>0</v>
      </c>
      <c r="AL8" s="66">
        <v>0</v>
      </c>
      <c r="AM8" s="35" t="e">
        <f t="shared" si="16"/>
        <v>#DIV/0!</v>
      </c>
      <c r="AN8" s="6" t="e">
        <f t="shared" si="17"/>
        <v>#DIV/0!</v>
      </c>
      <c r="AO8" s="68">
        <v>0</v>
      </c>
      <c r="AP8" s="66">
        <v>0</v>
      </c>
      <c r="AQ8" s="35" t="e">
        <f t="shared" si="18"/>
        <v>#DIV/0!</v>
      </c>
      <c r="AR8" s="6" t="e">
        <f t="shared" si="19"/>
        <v>#DIV/0!</v>
      </c>
      <c r="AS8" s="68">
        <v>4110</v>
      </c>
      <c r="AT8" s="66">
        <v>120</v>
      </c>
      <c r="AU8" s="35">
        <f t="shared" si="20"/>
        <v>34.25</v>
      </c>
      <c r="AV8" s="6">
        <f t="shared" si="21"/>
        <v>0.33520274914089343</v>
      </c>
      <c r="AW8" s="68">
        <v>0</v>
      </c>
      <c r="AX8" s="66">
        <v>0</v>
      </c>
      <c r="AY8" s="35" t="e">
        <f t="shared" si="22"/>
        <v>#DIV/0!</v>
      </c>
      <c r="AZ8" s="6" t="e">
        <f t="shared" si="23"/>
        <v>#DIV/0!</v>
      </c>
      <c r="BA8" s="68">
        <v>0</v>
      </c>
      <c r="BB8" s="66">
        <v>0</v>
      </c>
      <c r="BC8" s="35" t="e">
        <f t="shared" si="24"/>
        <v>#DIV/0!</v>
      </c>
      <c r="BD8" s="11" t="e">
        <f t="shared" si="25"/>
        <v>#DIV/0!</v>
      </c>
    </row>
    <row r="9" spans="1:56" x14ac:dyDescent="0.25">
      <c r="A9" s="19" t="s">
        <v>5</v>
      </c>
      <c r="B9" s="8">
        <v>192270</v>
      </c>
      <c r="C9" s="35">
        <f>B9/F1</f>
        <v>135.02106741573033</v>
      </c>
      <c r="D9" s="8">
        <v>7050</v>
      </c>
      <c r="E9" s="68">
        <v>0</v>
      </c>
      <c r="F9" s="70">
        <v>0</v>
      </c>
      <c r="G9" s="35" t="e">
        <f t="shared" si="0"/>
        <v>#DIV/0!</v>
      </c>
      <c r="H9" s="11" t="e">
        <f t="shared" si="1"/>
        <v>#DIV/0!</v>
      </c>
      <c r="I9" s="35">
        <v>0</v>
      </c>
      <c r="J9" s="70">
        <v>0</v>
      </c>
      <c r="K9" s="35" t="e">
        <f t="shared" si="2"/>
        <v>#DIV/0!</v>
      </c>
      <c r="L9" s="6" t="e">
        <f t="shared" si="3"/>
        <v>#DIV/0!</v>
      </c>
      <c r="M9" s="68">
        <v>52700</v>
      </c>
      <c r="N9" s="5">
        <v>672</v>
      </c>
      <c r="O9" s="35">
        <f t="shared" si="4"/>
        <v>78.422619047619051</v>
      </c>
      <c r="P9" s="11">
        <f t="shared" si="5"/>
        <v>0.58081764978316708</v>
      </c>
      <c r="Q9" s="35">
        <v>0</v>
      </c>
      <c r="R9" s="66">
        <v>0</v>
      </c>
      <c r="S9" s="35" t="e">
        <f t="shared" si="6"/>
        <v>#DIV/0!</v>
      </c>
      <c r="T9" s="6" t="e">
        <f t="shared" si="7"/>
        <v>#DIV/0!</v>
      </c>
      <c r="U9" s="68">
        <v>0</v>
      </c>
      <c r="V9" s="66">
        <v>0</v>
      </c>
      <c r="W9" s="20" t="e">
        <f t="shared" si="8"/>
        <v>#DIV/0!</v>
      </c>
      <c r="X9" s="6" t="e">
        <f t="shared" si="9"/>
        <v>#DIV/0!</v>
      </c>
      <c r="Y9" s="68">
        <v>0</v>
      </c>
      <c r="Z9" s="70">
        <v>0</v>
      </c>
      <c r="AA9" s="35" t="e">
        <f t="shared" si="10"/>
        <v>#DIV/0!</v>
      </c>
      <c r="AB9" s="11" t="e">
        <f t="shared" si="11"/>
        <v>#DIV/0!</v>
      </c>
      <c r="AC9" s="35">
        <v>18200</v>
      </c>
      <c r="AD9" s="36">
        <v>528</v>
      </c>
      <c r="AE9" s="35">
        <f t="shared" si="12"/>
        <v>34.469696969696969</v>
      </c>
      <c r="AF9" s="6">
        <f t="shared" si="13"/>
        <v>0.2552912492060565</v>
      </c>
      <c r="AG9" s="68">
        <v>0</v>
      </c>
      <c r="AH9" s="66">
        <v>0</v>
      </c>
      <c r="AI9" s="35" t="e">
        <f t="shared" si="14"/>
        <v>#DIV/0!</v>
      </c>
      <c r="AJ9" s="6" t="e">
        <f t="shared" si="15"/>
        <v>#DIV/0!</v>
      </c>
      <c r="AK9" s="68">
        <v>0</v>
      </c>
      <c r="AL9" s="66">
        <v>0</v>
      </c>
      <c r="AM9" s="35" t="e">
        <f t="shared" si="16"/>
        <v>#DIV/0!</v>
      </c>
      <c r="AN9" s="6" t="e">
        <f t="shared" si="17"/>
        <v>#DIV/0!</v>
      </c>
      <c r="AO9" s="68">
        <v>0</v>
      </c>
      <c r="AP9" s="66">
        <v>0</v>
      </c>
      <c r="AQ9" s="35" t="e">
        <f t="shared" si="18"/>
        <v>#DIV/0!</v>
      </c>
      <c r="AR9" s="6" t="e">
        <f t="shared" si="19"/>
        <v>#DIV/0!</v>
      </c>
      <c r="AS9" s="68">
        <v>4780</v>
      </c>
      <c r="AT9" s="66">
        <v>120</v>
      </c>
      <c r="AU9" s="35">
        <f t="shared" si="20"/>
        <v>39.833333333333336</v>
      </c>
      <c r="AV9" s="6">
        <f t="shared" si="21"/>
        <v>0.2950156897418561</v>
      </c>
      <c r="AW9" s="68">
        <v>0</v>
      </c>
      <c r="AX9" s="66">
        <v>0</v>
      </c>
      <c r="AY9" s="35" t="e">
        <f t="shared" si="22"/>
        <v>#DIV/0!</v>
      </c>
      <c r="AZ9" s="6" t="e">
        <f t="shared" si="23"/>
        <v>#DIV/0!</v>
      </c>
      <c r="BA9" s="68">
        <v>0</v>
      </c>
      <c r="BB9" s="66">
        <v>0</v>
      </c>
      <c r="BC9" s="35" t="e">
        <f t="shared" si="24"/>
        <v>#DIV/0!</v>
      </c>
      <c r="BD9" s="11" t="e">
        <f t="shared" si="25"/>
        <v>#DIV/0!</v>
      </c>
    </row>
    <row r="10" spans="1:56" x14ac:dyDescent="0.25">
      <c r="A10" s="19" t="s">
        <v>6</v>
      </c>
      <c r="B10" s="8">
        <v>232940</v>
      </c>
      <c r="C10" s="35">
        <f>B10/F1</f>
        <v>163.58146067415731</v>
      </c>
      <c r="D10" s="8">
        <v>10950</v>
      </c>
      <c r="E10" s="68">
        <v>0</v>
      </c>
      <c r="F10" s="70">
        <v>0</v>
      </c>
      <c r="G10" s="35" t="e">
        <f t="shared" si="0"/>
        <v>#DIV/0!</v>
      </c>
      <c r="H10" s="11" t="e">
        <f t="shared" si="1"/>
        <v>#DIV/0!</v>
      </c>
      <c r="I10" s="35">
        <v>0</v>
      </c>
      <c r="J10" s="70">
        <v>0</v>
      </c>
      <c r="K10" s="35" t="e">
        <f t="shared" si="2"/>
        <v>#DIV/0!</v>
      </c>
      <c r="L10" s="6" t="e">
        <f t="shared" si="3"/>
        <v>#DIV/0!</v>
      </c>
      <c r="M10" s="68">
        <v>63320</v>
      </c>
      <c r="N10" s="5">
        <v>672</v>
      </c>
      <c r="O10" s="35">
        <f t="shared" si="4"/>
        <v>94.226190476190482</v>
      </c>
      <c r="P10" s="11">
        <f t="shared" si="5"/>
        <v>0.57601998470891747</v>
      </c>
      <c r="Q10" s="35">
        <v>0</v>
      </c>
      <c r="R10" s="66">
        <v>0</v>
      </c>
      <c r="S10" s="35" t="e">
        <f t="shared" si="6"/>
        <v>#DIV/0!</v>
      </c>
      <c r="T10" s="6" t="e">
        <f t="shared" si="7"/>
        <v>#DIV/0!</v>
      </c>
      <c r="U10" s="68">
        <v>0</v>
      </c>
      <c r="V10" s="66">
        <v>0</v>
      </c>
      <c r="W10" s="20" t="e">
        <f t="shared" si="8"/>
        <v>#DIV/0!</v>
      </c>
      <c r="X10" s="6" t="e">
        <f t="shared" si="9"/>
        <v>#DIV/0!</v>
      </c>
      <c r="Y10" s="68">
        <v>0</v>
      </c>
      <c r="Z10" s="70">
        <v>0</v>
      </c>
      <c r="AA10" s="35" t="e">
        <f t="shared" si="10"/>
        <v>#DIV/0!</v>
      </c>
      <c r="AB10" s="11" t="e">
        <f t="shared" si="11"/>
        <v>#DIV/0!</v>
      </c>
      <c r="AC10" s="35">
        <v>26050</v>
      </c>
      <c r="AD10" s="36">
        <v>528</v>
      </c>
      <c r="AE10" s="35">
        <f t="shared" si="12"/>
        <v>49.337121212121211</v>
      </c>
      <c r="AF10" s="6">
        <f t="shared" si="13"/>
        <v>0.30160582384330986</v>
      </c>
      <c r="AG10" s="68">
        <v>0</v>
      </c>
      <c r="AH10" s="66">
        <v>0</v>
      </c>
      <c r="AI10" s="35" t="e">
        <f t="shared" si="14"/>
        <v>#DIV/0!</v>
      </c>
      <c r="AJ10" s="6" t="e">
        <f t="shared" si="15"/>
        <v>#DIV/0!</v>
      </c>
      <c r="AK10" s="68">
        <v>0</v>
      </c>
      <c r="AL10" s="66">
        <v>0</v>
      </c>
      <c r="AM10" s="35" t="e">
        <f t="shared" si="16"/>
        <v>#DIV/0!</v>
      </c>
      <c r="AN10" s="6" t="e">
        <f t="shared" si="17"/>
        <v>#DIV/0!</v>
      </c>
      <c r="AO10" s="68">
        <v>0</v>
      </c>
      <c r="AP10" s="66">
        <v>0</v>
      </c>
      <c r="AQ10" s="35" t="e">
        <f t="shared" si="18"/>
        <v>#DIV/0!</v>
      </c>
      <c r="AR10" s="6" t="e">
        <f t="shared" si="19"/>
        <v>#DIV/0!</v>
      </c>
      <c r="AS10" s="68">
        <v>5430</v>
      </c>
      <c r="AT10" s="66">
        <v>120</v>
      </c>
      <c r="AU10" s="35">
        <f t="shared" si="20"/>
        <v>45.25</v>
      </c>
      <c r="AV10" s="6">
        <f t="shared" si="21"/>
        <v>0.27662058899287367</v>
      </c>
      <c r="AW10" s="68">
        <v>0</v>
      </c>
      <c r="AX10" s="66">
        <v>0</v>
      </c>
      <c r="AY10" s="35" t="e">
        <f t="shared" si="22"/>
        <v>#DIV/0!</v>
      </c>
      <c r="AZ10" s="6" t="e">
        <f t="shared" si="23"/>
        <v>#DIV/0!</v>
      </c>
      <c r="BA10" s="68">
        <v>0</v>
      </c>
      <c r="BB10" s="66">
        <v>0</v>
      </c>
      <c r="BC10" s="35" t="e">
        <f t="shared" si="24"/>
        <v>#DIV/0!</v>
      </c>
      <c r="BD10" s="11" t="e">
        <f t="shared" si="25"/>
        <v>#DIV/0!</v>
      </c>
    </row>
    <row r="11" spans="1:56" ht="15.75" thickBot="1" x14ac:dyDescent="0.3">
      <c r="A11" s="21"/>
      <c r="B11" s="22"/>
      <c r="C11" s="23">
        <f>AVERAGE(Table1[MA $/Sq Ft])</f>
        <v>94.075040128410919</v>
      </c>
      <c r="D11" s="22">
        <f>AVERAGE(Table1[Basic Allowance])</f>
        <v>4442.8571428571431</v>
      </c>
      <c r="E11" s="16"/>
      <c r="F11" s="22"/>
      <c r="G11" s="15"/>
      <c r="H11" s="24" t="e">
        <f>AVERAGE(Table1[Bsmt % Base])</f>
        <v>#DIV/0!</v>
      </c>
      <c r="I11" s="15"/>
      <c r="J11" s="15"/>
      <c r="K11" s="15"/>
      <c r="L11" s="25" t="e">
        <f>AVERAGE(Table1[[#Headers],[#Data],[UnfBsmt % Base]])</f>
        <v>#DIV/0!</v>
      </c>
      <c r="M11" s="16">
        <f>AVERAGE(Table1[Lower Value])</f>
        <v>39501.428571428572</v>
      </c>
      <c r="N11" s="15"/>
      <c r="O11" s="23">
        <f>AVERAGE(Table1[LowerVal/SqFt])</f>
        <v>58.781887755102048</v>
      </c>
      <c r="P11" s="24">
        <f>AVERAGE(Table1[Lower % Base])</f>
        <v>0.63746615225216419</v>
      </c>
      <c r="Q11" s="13"/>
      <c r="R11" s="13"/>
      <c r="S11" s="13"/>
      <c r="T11" s="25" t="e">
        <f>AVERAGE(Table1[Unf Lower % Base])</f>
        <v>#DIV/0!</v>
      </c>
      <c r="U11" s="12"/>
      <c r="V11" s="13"/>
      <c r="W11" s="13"/>
      <c r="X11" s="25" t="e">
        <f>AVERAGE(Table1[1/2 Story % Base])</f>
        <v>#DIV/0!</v>
      </c>
      <c r="Y11" s="12"/>
      <c r="Z11" s="13"/>
      <c r="AA11" s="13"/>
      <c r="AB11" s="24" t="e">
        <f>AVERAGE(Table1[2nd Story % Base])</f>
        <v>#DIV/0!</v>
      </c>
      <c r="AC11" s="22">
        <f>SUBTOTAL(101,Table1[Att Gar Value])</f>
        <v>15218.571428571429</v>
      </c>
      <c r="AD11" s="13"/>
      <c r="AE11" s="23">
        <f>AVERAGE(Table1[AttGarVal/SqFt])</f>
        <v>28.823051948051951</v>
      </c>
      <c r="AF11" s="25">
        <f>AVERAGE(Table1[Att Gar % Base])</f>
        <v>0.31515292854955229</v>
      </c>
      <c r="AG11" s="12"/>
      <c r="AH11" s="13"/>
      <c r="AI11" s="13"/>
      <c r="AJ11" s="25" t="e">
        <f>AVERAGE(Table1[Porch % Base])</f>
        <v>#DIV/0!</v>
      </c>
      <c r="AK11" s="12"/>
      <c r="AL11" s="13"/>
      <c r="AM11" s="13"/>
      <c r="AN11" s="25" t="e">
        <f>AVERAGE(Table1[Cov Porch % Base])</f>
        <v>#DIV/0!</v>
      </c>
      <c r="AO11" s="12"/>
      <c r="AP11" s="13"/>
      <c r="AQ11" s="13"/>
      <c r="AR11" s="25" t="e">
        <f>AVERAGE(Table1[Deck % Base])</f>
        <v>#DIV/0!</v>
      </c>
      <c r="AS11" s="16">
        <f>SUBTOTAL(101,Table1[Cov Deck Value])</f>
        <v>3602.8571428571427</v>
      </c>
      <c r="AT11" s="13"/>
      <c r="AU11" s="23">
        <f>AVERAGE(Table1[CovDeckVal/SqFt])</f>
        <v>30.023809523809526</v>
      </c>
      <c r="AV11" s="25">
        <f>AVERAGE(Table1[CovDeck % Base])</f>
        <v>0.32997279394760398</v>
      </c>
      <c r="AW11" s="12"/>
      <c r="AX11" s="13"/>
      <c r="AY11" s="13"/>
      <c r="AZ11" s="25" t="e">
        <f>AVERAGE(Table1[CarP % Base])</f>
        <v>#DIV/0!</v>
      </c>
      <c r="BA11" s="12"/>
      <c r="BB11" s="13"/>
      <c r="BC11" s="13"/>
      <c r="BD11" s="24" t="e">
        <f>AVERAGE(Table1[EFP % Base])</f>
        <v>#DIV/0!</v>
      </c>
    </row>
    <row r="13" spans="1:56" ht="15.75" thickBot="1" x14ac:dyDescent="0.3">
      <c r="A13" s="84"/>
      <c r="B13" s="74" t="s">
        <v>81</v>
      </c>
      <c r="C13" s="74"/>
      <c r="D13" s="74"/>
      <c r="E13" s="74" t="s">
        <v>33</v>
      </c>
      <c r="F13" s="75">
        <v>1961</v>
      </c>
      <c r="G13" s="74"/>
      <c r="H13" s="74" t="s">
        <v>82</v>
      </c>
      <c r="I13" s="74"/>
      <c r="J13" s="74" t="s">
        <v>83</v>
      </c>
      <c r="K13" s="75">
        <v>1993</v>
      </c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6"/>
    </row>
    <row r="14" spans="1:56" x14ac:dyDescent="0.25">
      <c r="A14" s="112"/>
      <c r="B14" s="113"/>
      <c r="C14" s="113"/>
      <c r="D14" s="114"/>
      <c r="E14" s="115" t="s">
        <v>27</v>
      </c>
      <c r="F14" s="116"/>
      <c r="G14" s="116"/>
      <c r="H14" s="117"/>
      <c r="I14" s="118" t="s">
        <v>28</v>
      </c>
      <c r="J14" s="119"/>
      <c r="K14" s="119"/>
      <c r="L14" s="120"/>
      <c r="M14" s="121" t="s">
        <v>7</v>
      </c>
      <c r="N14" s="122"/>
      <c r="O14" s="122"/>
      <c r="P14" s="122"/>
      <c r="Q14" s="124" t="s">
        <v>29</v>
      </c>
      <c r="R14" s="125"/>
      <c r="S14" s="125"/>
      <c r="T14" s="126"/>
      <c r="U14" s="128" t="s">
        <v>8</v>
      </c>
      <c r="V14" s="128"/>
      <c r="W14" s="128"/>
      <c r="X14" s="129"/>
      <c r="Y14" s="130" t="s">
        <v>0</v>
      </c>
      <c r="Z14" s="131"/>
      <c r="AA14" s="131"/>
      <c r="AB14" s="132"/>
      <c r="AC14" s="133" t="s">
        <v>34</v>
      </c>
      <c r="AD14" s="134"/>
      <c r="AE14" s="134"/>
      <c r="AF14" s="135"/>
      <c r="AG14" s="115" t="s">
        <v>9</v>
      </c>
      <c r="AH14" s="116"/>
      <c r="AI14" s="116"/>
      <c r="AJ14" s="117"/>
      <c r="AK14" s="136" t="s">
        <v>35</v>
      </c>
      <c r="AL14" s="137"/>
      <c r="AM14" s="137"/>
      <c r="AN14" s="138"/>
      <c r="AO14" s="139" t="s">
        <v>10</v>
      </c>
      <c r="AP14" s="140"/>
      <c r="AQ14" s="140"/>
      <c r="AR14" s="141"/>
      <c r="AS14" s="124" t="s">
        <v>36</v>
      </c>
      <c r="AT14" s="125"/>
      <c r="AU14" s="125"/>
      <c r="AV14" s="126"/>
      <c r="AW14" s="142" t="s">
        <v>11</v>
      </c>
      <c r="AX14" s="143"/>
      <c r="AY14" s="143"/>
      <c r="AZ14" s="144"/>
      <c r="BA14" s="148" t="s">
        <v>17</v>
      </c>
      <c r="BB14" s="149"/>
      <c r="BC14" s="149"/>
      <c r="BD14" s="150"/>
    </row>
    <row r="15" spans="1:56" s="1" customFormat="1" ht="15.75" thickBot="1" x14ac:dyDescent="0.3">
      <c r="A15" s="41" t="s">
        <v>13</v>
      </c>
      <c r="B15" s="42" t="s">
        <v>15</v>
      </c>
      <c r="C15" s="42" t="s">
        <v>32</v>
      </c>
      <c r="D15" s="43" t="s">
        <v>18</v>
      </c>
      <c r="E15" s="30" t="s">
        <v>30</v>
      </c>
      <c r="F15" s="31" t="s">
        <v>61</v>
      </c>
      <c r="G15" s="31" t="s">
        <v>38</v>
      </c>
      <c r="H15" s="32" t="s">
        <v>62</v>
      </c>
      <c r="I15" s="37" t="s">
        <v>31</v>
      </c>
      <c r="J15" s="38" t="s">
        <v>39</v>
      </c>
      <c r="K15" s="38" t="s">
        <v>40</v>
      </c>
      <c r="L15" s="39" t="s">
        <v>63</v>
      </c>
      <c r="M15" s="40" t="s">
        <v>19</v>
      </c>
      <c r="N15" s="7" t="s">
        <v>41</v>
      </c>
      <c r="O15" s="7" t="s">
        <v>37</v>
      </c>
      <c r="P15" s="7" t="s">
        <v>64</v>
      </c>
      <c r="Q15" s="27" t="s">
        <v>20</v>
      </c>
      <c r="R15" s="28" t="s">
        <v>60</v>
      </c>
      <c r="S15" s="28" t="s">
        <v>59</v>
      </c>
      <c r="T15" s="29" t="s">
        <v>65</v>
      </c>
      <c r="U15" s="48" t="s">
        <v>21</v>
      </c>
      <c r="V15" s="48" t="s">
        <v>42</v>
      </c>
      <c r="W15" s="48" t="s">
        <v>43</v>
      </c>
      <c r="X15" s="49" t="s">
        <v>66</v>
      </c>
      <c r="Y15" s="50" t="s">
        <v>22</v>
      </c>
      <c r="Z15" s="51" t="s">
        <v>44</v>
      </c>
      <c r="AA15" s="51" t="s">
        <v>45</v>
      </c>
      <c r="AB15" s="52" t="s">
        <v>67</v>
      </c>
      <c r="AC15" s="45" t="s">
        <v>23</v>
      </c>
      <c r="AD15" s="46" t="s">
        <v>46</v>
      </c>
      <c r="AE15" s="46" t="s">
        <v>47</v>
      </c>
      <c r="AF15" s="47" t="s">
        <v>68</v>
      </c>
      <c r="AG15" s="30" t="s">
        <v>24</v>
      </c>
      <c r="AH15" s="31" t="s">
        <v>48</v>
      </c>
      <c r="AI15" s="31" t="s">
        <v>49</v>
      </c>
      <c r="AJ15" s="32" t="s">
        <v>69</v>
      </c>
      <c r="AK15" s="53" t="s">
        <v>25</v>
      </c>
      <c r="AL15" s="54" t="s">
        <v>50</v>
      </c>
      <c r="AM15" s="54" t="s">
        <v>51</v>
      </c>
      <c r="AN15" s="55" t="s">
        <v>70</v>
      </c>
      <c r="AO15" s="56" t="s">
        <v>26</v>
      </c>
      <c r="AP15" s="57" t="s">
        <v>52</v>
      </c>
      <c r="AQ15" s="57" t="s">
        <v>53</v>
      </c>
      <c r="AR15" s="58" t="s">
        <v>71</v>
      </c>
      <c r="AS15" s="59" t="s">
        <v>55</v>
      </c>
      <c r="AT15" s="60" t="s">
        <v>54</v>
      </c>
      <c r="AU15" s="60" t="s">
        <v>56</v>
      </c>
      <c r="AV15" s="61" t="s">
        <v>76</v>
      </c>
      <c r="AW15" s="62" t="s">
        <v>72</v>
      </c>
      <c r="AX15" s="63" t="s">
        <v>73</v>
      </c>
      <c r="AY15" s="63" t="s">
        <v>74</v>
      </c>
      <c r="AZ15" s="64" t="s">
        <v>75</v>
      </c>
      <c r="BA15" s="71" t="s">
        <v>77</v>
      </c>
      <c r="BB15" s="72" t="s">
        <v>57</v>
      </c>
      <c r="BC15" s="72" t="s">
        <v>58</v>
      </c>
      <c r="BD15" s="73" t="s">
        <v>78</v>
      </c>
    </row>
    <row r="16" spans="1:56" x14ac:dyDescent="0.25">
      <c r="A16" s="17" t="s">
        <v>1</v>
      </c>
      <c r="B16" s="14">
        <v>92520</v>
      </c>
      <c r="C16" s="34">
        <f>B16/F13</f>
        <v>47.180010198878122</v>
      </c>
      <c r="D16" s="14">
        <v>1525</v>
      </c>
      <c r="E16" s="67">
        <v>0</v>
      </c>
      <c r="F16" s="69">
        <v>0</v>
      </c>
      <c r="G16" s="34" t="e">
        <f t="shared" ref="G16:G22" si="26">E16/F16</f>
        <v>#DIV/0!</v>
      </c>
      <c r="H16" s="10" t="e">
        <f t="shared" ref="H16:H22" si="27">G16/C16</f>
        <v>#DIV/0!</v>
      </c>
      <c r="I16" s="34">
        <v>0</v>
      </c>
      <c r="J16" s="69">
        <v>0</v>
      </c>
      <c r="K16" s="34" t="e">
        <f t="shared" ref="K16:K22" si="28">I16/J16</f>
        <v>#DIV/0!</v>
      </c>
      <c r="L16" s="9" t="e">
        <f t="shared" ref="L16:L22" si="29">K16/C16</f>
        <v>#DIV/0!</v>
      </c>
      <c r="M16" s="67">
        <v>0</v>
      </c>
      <c r="N16" s="26">
        <v>0</v>
      </c>
      <c r="O16" s="34" t="e">
        <f t="shared" ref="O16:O22" si="30">M16/N16</f>
        <v>#DIV/0!</v>
      </c>
      <c r="P16" s="10" t="e">
        <f t="shared" ref="P16:P22" si="31">O16/C16</f>
        <v>#DIV/0!</v>
      </c>
      <c r="Q16" s="35">
        <v>0</v>
      </c>
      <c r="R16" s="66">
        <v>0</v>
      </c>
      <c r="S16" s="35" t="e">
        <f t="shared" ref="S16:S22" si="32">Q16/R16</f>
        <v>#DIV/0!</v>
      </c>
      <c r="T16" s="6" t="e">
        <f t="shared" ref="T16:T22" si="33">S16/C16</f>
        <v>#DIV/0!</v>
      </c>
      <c r="U16" s="67">
        <v>0</v>
      </c>
      <c r="V16" s="65">
        <v>0</v>
      </c>
      <c r="W16" s="18" t="e">
        <f t="shared" ref="W16:W22" si="34">U16/V16</f>
        <v>#DIV/0!</v>
      </c>
      <c r="X16" s="9" t="e">
        <f t="shared" ref="X16:X22" si="35">W16/C16</f>
        <v>#DIV/0!</v>
      </c>
      <c r="Y16" s="67">
        <v>0</v>
      </c>
      <c r="Z16" s="69">
        <v>0</v>
      </c>
      <c r="AA16" s="34" t="e">
        <f t="shared" ref="AA16:AA22" si="36">Y16/Z16</f>
        <v>#DIV/0!</v>
      </c>
      <c r="AB16" s="10" t="e">
        <f t="shared" ref="AB16:AB22" si="37">AA16/C16</f>
        <v>#DIV/0!</v>
      </c>
      <c r="AC16" s="34">
        <v>7750</v>
      </c>
      <c r="AD16" s="33">
        <v>519</v>
      </c>
      <c r="AE16" s="34">
        <f t="shared" ref="AE16:AE22" si="38">AC16/AD16</f>
        <v>14.932562620423893</v>
      </c>
      <c r="AF16" s="9">
        <f t="shared" ref="AF16:AF22" si="39">AE16/C16</f>
        <v>0.31650189471088686</v>
      </c>
      <c r="AG16" s="67">
        <v>0</v>
      </c>
      <c r="AH16" s="65">
        <v>0</v>
      </c>
      <c r="AI16" s="34" t="e">
        <f t="shared" ref="AI16:AI22" si="40">AG16/AH16</f>
        <v>#DIV/0!</v>
      </c>
      <c r="AJ16" s="9" t="e">
        <f t="shared" ref="AJ16:AJ22" si="41">AI16/C16</f>
        <v>#DIV/0!</v>
      </c>
      <c r="AK16" s="67">
        <v>1110</v>
      </c>
      <c r="AL16" s="65">
        <v>132</v>
      </c>
      <c r="AM16" s="34">
        <f t="shared" ref="AM16:AM22" si="42">AK16/AL16</f>
        <v>8.4090909090909083</v>
      </c>
      <c r="AN16" s="9">
        <f t="shared" ref="AN16:AN22" si="43">AM16/C16</f>
        <v>0.17823419015053255</v>
      </c>
      <c r="AO16" s="67">
        <v>0</v>
      </c>
      <c r="AP16" s="65">
        <v>0</v>
      </c>
      <c r="AQ16" s="34" t="e">
        <f t="shared" ref="AQ16:AQ22" si="44">AO16/AP16</f>
        <v>#DIV/0!</v>
      </c>
      <c r="AR16" s="9" t="e">
        <f t="shared" ref="AR16:AR22" si="45">AQ16/C16</f>
        <v>#DIV/0!</v>
      </c>
      <c r="AS16" s="67">
        <v>0</v>
      </c>
      <c r="AT16" s="65">
        <v>0</v>
      </c>
      <c r="AU16" s="34" t="e">
        <f t="shared" ref="AU16:AU22" si="46">AS16/AT16</f>
        <v>#DIV/0!</v>
      </c>
      <c r="AV16" s="9" t="e">
        <f t="shared" ref="AV16:AV22" si="47">AU16/C16</f>
        <v>#DIV/0!</v>
      </c>
      <c r="AW16" s="67">
        <v>0</v>
      </c>
      <c r="AX16" s="65">
        <v>0</v>
      </c>
      <c r="AY16" s="34" t="e">
        <f t="shared" ref="AY16:AY22" si="48">AW16/AX16</f>
        <v>#DIV/0!</v>
      </c>
      <c r="AZ16" s="9" t="e">
        <f t="shared" ref="AZ16:AZ22" si="49">AY16/C16</f>
        <v>#DIV/0!</v>
      </c>
      <c r="BA16" s="67">
        <v>0</v>
      </c>
      <c r="BB16" s="65">
        <v>0</v>
      </c>
      <c r="BC16" s="34" t="e">
        <f t="shared" ref="BC16:BC22" si="50">BA16/BB16</f>
        <v>#DIV/0!</v>
      </c>
      <c r="BD16" s="10" t="e">
        <f t="shared" ref="BD16:BD22" si="51">BC16/C16</f>
        <v>#DIV/0!</v>
      </c>
    </row>
    <row r="17" spans="1:56" x14ac:dyDescent="0.25">
      <c r="A17" s="19" t="s">
        <v>16</v>
      </c>
      <c r="B17" s="8">
        <v>108800</v>
      </c>
      <c r="C17" s="35">
        <f>B17/F13</f>
        <v>55.481896991330956</v>
      </c>
      <c r="D17" s="8">
        <v>1525</v>
      </c>
      <c r="E17" s="68">
        <v>0</v>
      </c>
      <c r="F17" s="70">
        <v>0</v>
      </c>
      <c r="G17" s="35" t="e">
        <f t="shared" si="26"/>
        <v>#DIV/0!</v>
      </c>
      <c r="H17" s="11" t="e">
        <f t="shared" si="27"/>
        <v>#DIV/0!</v>
      </c>
      <c r="I17" s="35">
        <v>0</v>
      </c>
      <c r="J17" s="70">
        <v>0</v>
      </c>
      <c r="K17" s="35" t="e">
        <f t="shared" si="28"/>
        <v>#DIV/0!</v>
      </c>
      <c r="L17" s="6" t="e">
        <f t="shared" si="29"/>
        <v>#DIV/0!</v>
      </c>
      <c r="M17" s="68">
        <v>0</v>
      </c>
      <c r="N17" s="5">
        <v>0</v>
      </c>
      <c r="O17" s="35" t="e">
        <f t="shared" si="30"/>
        <v>#DIV/0!</v>
      </c>
      <c r="P17" s="11" t="e">
        <f t="shared" si="31"/>
        <v>#DIV/0!</v>
      </c>
      <c r="Q17" s="35">
        <v>0</v>
      </c>
      <c r="R17" s="66">
        <v>0</v>
      </c>
      <c r="S17" s="35" t="e">
        <f t="shared" si="32"/>
        <v>#DIV/0!</v>
      </c>
      <c r="T17" s="6" t="e">
        <f t="shared" si="33"/>
        <v>#DIV/0!</v>
      </c>
      <c r="U17" s="68">
        <v>0</v>
      </c>
      <c r="V17" s="66">
        <v>0</v>
      </c>
      <c r="W17" s="20" t="e">
        <f t="shared" si="34"/>
        <v>#DIV/0!</v>
      </c>
      <c r="X17" s="6" t="e">
        <f t="shared" si="35"/>
        <v>#DIV/0!</v>
      </c>
      <c r="Y17" s="68">
        <v>0</v>
      </c>
      <c r="Z17" s="70">
        <v>0</v>
      </c>
      <c r="AA17" s="35" t="e">
        <f t="shared" si="36"/>
        <v>#DIV/0!</v>
      </c>
      <c r="AB17" s="11" t="e">
        <f t="shared" si="37"/>
        <v>#DIV/0!</v>
      </c>
      <c r="AC17" s="35">
        <v>10610</v>
      </c>
      <c r="AD17" s="36">
        <v>519</v>
      </c>
      <c r="AE17" s="35">
        <f t="shared" si="38"/>
        <v>20.443159922928707</v>
      </c>
      <c r="AF17" s="6">
        <f t="shared" si="39"/>
        <v>0.36846541000793376</v>
      </c>
      <c r="AG17" s="68">
        <v>0</v>
      </c>
      <c r="AH17" s="66">
        <v>0</v>
      </c>
      <c r="AI17" s="35" t="e">
        <f t="shared" si="40"/>
        <v>#DIV/0!</v>
      </c>
      <c r="AJ17" s="6" t="e">
        <f t="shared" si="41"/>
        <v>#DIV/0!</v>
      </c>
      <c r="AK17" s="68">
        <v>1540</v>
      </c>
      <c r="AL17" s="66">
        <v>132</v>
      </c>
      <c r="AM17" s="35">
        <f t="shared" si="42"/>
        <v>11.666666666666666</v>
      </c>
      <c r="AN17" s="6">
        <f t="shared" si="43"/>
        <v>0.21027879901960783</v>
      </c>
      <c r="AO17" s="68">
        <v>0</v>
      </c>
      <c r="AP17" s="66">
        <v>0</v>
      </c>
      <c r="AQ17" s="35" t="e">
        <f t="shared" si="44"/>
        <v>#DIV/0!</v>
      </c>
      <c r="AR17" s="6" t="e">
        <f t="shared" si="45"/>
        <v>#DIV/0!</v>
      </c>
      <c r="AS17" s="68">
        <v>0</v>
      </c>
      <c r="AT17" s="66">
        <v>0</v>
      </c>
      <c r="AU17" s="35" t="e">
        <f t="shared" si="46"/>
        <v>#DIV/0!</v>
      </c>
      <c r="AV17" s="6" t="e">
        <f t="shared" si="47"/>
        <v>#DIV/0!</v>
      </c>
      <c r="AW17" s="68">
        <v>0</v>
      </c>
      <c r="AX17" s="66">
        <v>0</v>
      </c>
      <c r="AY17" s="35" t="e">
        <f t="shared" si="48"/>
        <v>#DIV/0!</v>
      </c>
      <c r="AZ17" s="6" t="e">
        <f t="shared" si="49"/>
        <v>#DIV/0!</v>
      </c>
      <c r="BA17" s="68">
        <v>0</v>
      </c>
      <c r="BB17" s="66">
        <v>0</v>
      </c>
      <c r="BC17" s="35" t="e">
        <f t="shared" si="50"/>
        <v>#DIV/0!</v>
      </c>
      <c r="BD17" s="11" t="e">
        <f t="shared" si="51"/>
        <v>#DIV/0!</v>
      </c>
    </row>
    <row r="18" spans="1:56" x14ac:dyDescent="0.25">
      <c r="A18" s="19" t="s">
        <v>2</v>
      </c>
      <c r="B18" s="8">
        <v>126810</v>
      </c>
      <c r="C18" s="35">
        <f>B18/F13</f>
        <v>64.66598674145844</v>
      </c>
      <c r="D18" s="8">
        <v>2100</v>
      </c>
      <c r="E18" s="68">
        <v>0</v>
      </c>
      <c r="F18" s="70">
        <v>0</v>
      </c>
      <c r="G18" s="35" t="e">
        <f t="shared" si="26"/>
        <v>#DIV/0!</v>
      </c>
      <c r="H18" s="11" t="e">
        <f t="shared" si="27"/>
        <v>#DIV/0!</v>
      </c>
      <c r="I18" s="35">
        <v>0</v>
      </c>
      <c r="J18" s="70">
        <v>0</v>
      </c>
      <c r="K18" s="35" t="e">
        <f t="shared" si="28"/>
        <v>#DIV/0!</v>
      </c>
      <c r="L18" s="6" t="e">
        <f t="shared" si="29"/>
        <v>#DIV/0!</v>
      </c>
      <c r="M18" s="68">
        <v>0</v>
      </c>
      <c r="N18" s="5">
        <v>0</v>
      </c>
      <c r="O18" s="35" t="e">
        <f t="shared" si="30"/>
        <v>#DIV/0!</v>
      </c>
      <c r="P18" s="11" t="e">
        <f t="shared" si="31"/>
        <v>#DIV/0!</v>
      </c>
      <c r="Q18" s="35">
        <v>0</v>
      </c>
      <c r="R18" s="66">
        <v>0</v>
      </c>
      <c r="S18" s="35" t="e">
        <f t="shared" si="32"/>
        <v>#DIV/0!</v>
      </c>
      <c r="T18" s="6" t="e">
        <f t="shared" si="33"/>
        <v>#DIV/0!</v>
      </c>
      <c r="U18" s="68">
        <v>0</v>
      </c>
      <c r="V18" s="66">
        <v>0</v>
      </c>
      <c r="W18" s="20" t="e">
        <f t="shared" si="34"/>
        <v>#DIV/0!</v>
      </c>
      <c r="X18" s="6" t="e">
        <f t="shared" si="35"/>
        <v>#DIV/0!</v>
      </c>
      <c r="Y18" s="68">
        <v>0</v>
      </c>
      <c r="Z18" s="70">
        <v>0</v>
      </c>
      <c r="AA18" s="35" t="e">
        <f t="shared" si="36"/>
        <v>#DIV/0!</v>
      </c>
      <c r="AB18" s="11" t="e">
        <f t="shared" si="37"/>
        <v>#DIV/0!</v>
      </c>
      <c r="AC18" s="35">
        <v>13140</v>
      </c>
      <c r="AD18" s="36">
        <v>519</v>
      </c>
      <c r="AE18" s="35">
        <f t="shared" si="38"/>
        <v>25.317919075144509</v>
      </c>
      <c r="AF18" s="6">
        <f t="shared" si="39"/>
        <v>0.39151832904627698</v>
      </c>
      <c r="AG18" s="68">
        <v>0</v>
      </c>
      <c r="AH18" s="66">
        <v>0</v>
      </c>
      <c r="AI18" s="35" t="e">
        <f t="shared" si="40"/>
        <v>#DIV/0!</v>
      </c>
      <c r="AJ18" s="6" t="e">
        <f t="shared" si="41"/>
        <v>#DIV/0!</v>
      </c>
      <c r="AK18" s="68">
        <v>1800</v>
      </c>
      <c r="AL18" s="66">
        <v>132</v>
      </c>
      <c r="AM18" s="35">
        <f t="shared" si="42"/>
        <v>13.636363636363637</v>
      </c>
      <c r="AN18" s="6">
        <f t="shared" si="43"/>
        <v>0.21087381981633224</v>
      </c>
      <c r="AO18" s="68">
        <v>0</v>
      </c>
      <c r="AP18" s="66">
        <v>0</v>
      </c>
      <c r="AQ18" s="35" t="e">
        <f t="shared" si="44"/>
        <v>#DIV/0!</v>
      </c>
      <c r="AR18" s="6" t="e">
        <f t="shared" si="45"/>
        <v>#DIV/0!</v>
      </c>
      <c r="AS18" s="68">
        <v>0</v>
      </c>
      <c r="AT18" s="66">
        <v>0</v>
      </c>
      <c r="AU18" s="35" t="e">
        <f t="shared" si="46"/>
        <v>#DIV/0!</v>
      </c>
      <c r="AV18" s="6" t="e">
        <f t="shared" si="47"/>
        <v>#DIV/0!</v>
      </c>
      <c r="AW18" s="68">
        <v>0</v>
      </c>
      <c r="AX18" s="66">
        <v>0</v>
      </c>
      <c r="AY18" s="35" t="e">
        <f t="shared" si="48"/>
        <v>#DIV/0!</v>
      </c>
      <c r="AZ18" s="6" t="e">
        <f t="shared" si="49"/>
        <v>#DIV/0!</v>
      </c>
      <c r="BA18" s="68">
        <v>0</v>
      </c>
      <c r="BB18" s="66">
        <v>0</v>
      </c>
      <c r="BC18" s="35" t="e">
        <f t="shared" si="50"/>
        <v>#DIV/0!</v>
      </c>
      <c r="BD18" s="11" t="e">
        <f t="shared" si="51"/>
        <v>#DIV/0!</v>
      </c>
    </row>
    <row r="19" spans="1:56" x14ac:dyDescent="0.25">
      <c r="A19" s="19" t="s">
        <v>3</v>
      </c>
      <c r="B19" s="8">
        <v>155150</v>
      </c>
      <c r="C19" s="35">
        <f>B19/F13</f>
        <v>79.11779704232535</v>
      </c>
      <c r="D19" s="8">
        <v>2700</v>
      </c>
      <c r="E19" s="68">
        <v>0</v>
      </c>
      <c r="F19" s="70">
        <v>0</v>
      </c>
      <c r="G19" s="35" t="e">
        <f t="shared" si="26"/>
        <v>#DIV/0!</v>
      </c>
      <c r="H19" s="11" t="e">
        <f t="shared" si="27"/>
        <v>#DIV/0!</v>
      </c>
      <c r="I19" s="35">
        <v>0</v>
      </c>
      <c r="J19" s="70">
        <v>0</v>
      </c>
      <c r="K19" s="35" t="e">
        <f t="shared" si="28"/>
        <v>#DIV/0!</v>
      </c>
      <c r="L19" s="6" t="e">
        <f t="shared" si="29"/>
        <v>#DIV/0!</v>
      </c>
      <c r="M19" s="68">
        <v>0</v>
      </c>
      <c r="N19" s="5">
        <v>0</v>
      </c>
      <c r="O19" s="35" t="e">
        <f t="shared" si="30"/>
        <v>#DIV/0!</v>
      </c>
      <c r="P19" s="11" t="e">
        <f t="shared" si="31"/>
        <v>#DIV/0!</v>
      </c>
      <c r="Q19" s="35">
        <v>0</v>
      </c>
      <c r="R19" s="66">
        <v>0</v>
      </c>
      <c r="S19" s="35" t="e">
        <f t="shared" si="32"/>
        <v>#DIV/0!</v>
      </c>
      <c r="T19" s="6" t="e">
        <f t="shared" si="33"/>
        <v>#DIV/0!</v>
      </c>
      <c r="U19" s="68">
        <v>0</v>
      </c>
      <c r="V19" s="66">
        <v>0</v>
      </c>
      <c r="W19" s="20" t="e">
        <f t="shared" si="34"/>
        <v>#DIV/0!</v>
      </c>
      <c r="X19" s="6" t="e">
        <f t="shared" si="35"/>
        <v>#DIV/0!</v>
      </c>
      <c r="Y19" s="68">
        <v>0</v>
      </c>
      <c r="Z19" s="70">
        <v>0</v>
      </c>
      <c r="AA19" s="35" t="e">
        <f t="shared" si="36"/>
        <v>#DIV/0!</v>
      </c>
      <c r="AB19" s="11" t="e">
        <f t="shared" si="37"/>
        <v>#DIV/0!</v>
      </c>
      <c r="AC19" s="35">
        <v>13950</v>
      </c>
      <c r="AD19" s="36">
        <v>519</v>
      </c>
      <c r="AE19" s="35">
        <f t="shared" si="38"/>
        <v>26.878612716763005</v>
      </c>
      <c r="AF19" s="6">
        <f t="shared" si="39"/>
        <v>0.33972903343585076</v>
      </c>
      <c r="AG19" s="68">
        <v>0</v>
      </c>
      <c r="AH19" s="66">
        <v>0</v>
      </c>
      <c r="AI19" s="35" t="e">
        <f t="shared" si="40"/>
        <v>#DIV/0!</v>
      </c>
      <c r="AJ19" s="6" t="e">
        <f t="shared" si="41"/>
        <v>#DIV/0!</v>
      </c>
      <c r="AK19" s="68">
        <v>2350</v>
      </c>
      <c r="AL19" s="66">
        <v>132</v>
      </c>
      <c r="AM19" s="35">
        <f t="shared" si="42"/>
        <v>17.803030303030305</v>
      </c>
      <c r="AN19" s="6">
        <f t="shared" si="43"/>
        <v>0.22501928729772752</v>
      </c>
      <c r="AO19" s="68">
        <v>0</v>
      </c>
      <c r="AP19" s="66">
        <v>0</v>
      </c>
      <c r="AQ19" s="35" t="e">
        <f t="shared" si="44"/>
        <v>#DIV/0!</v>
      </c>
      <c r="AR19" s="6" t="e">
        <f t="shared" si="45"/>
        <v>#DIV/0!</v>
      </c>
      <c r="AS19" s="68">
        <v>0</v>
      </c>
      <c r="AT19" s="66">
        <v>0</v>
      </c>
      <c r="AU19" s="35" t="e">
        <f t="shared" si="46"/>
        <v>#DIV/0!</v>
      </c>
      <c r="AV19" s="6" t="e">
        <f t="shared" si="47"/>
        <v>#DIV/0!</v>
      </c>
      <c r="AW19" s="68">
        <v>0</v>
      </c>
      <c r="AX19" s="66">
        <v>0</v>
      </c>
      <c r="AY19" s="35" t="e">
        <f t="shared" si="48"/>
        <v>#DIV/0!</v>
      </c>
      <c r="AZ19" s="6" t="e">
        <f t="shared" si="49"/>
        <v>#DIV/0!</v>
      </c>
      <c r="BA19" s="68">
        <v>0</v>
      </c>
      <c r="BB19" s="66">
        <v>0</v>
      </c>
      <c r="BC19" s="35" t="e">
        <f t="shared" si="50"/>
        <v>#DIV/0!</v>
      </c>
      <c r="BD19" s="11" t="e">
        <f t="shared" si="51"/>
        <v>#DIV/0!</v>
      </c>
    </row>
    <row r="20" spans="1:56" x14ac:dyDescent="0.25">
      <c r="A20" s="19" t="s">
        <v>4</v>
      </c>
      <c r="B20" s="8">
        <v>191770</v>
      </c>
      <c r="C20" s="35">
        <f>B20/F13</f>
        <v>97.791942886282513</v>
      </c>
      <c r="D20" s="8">
        <v>5250</v>
      </c>
      <c r="E20" s="68">
        <v>0</v>
      </c>
      <c r="F20" s="70">
        <v>0</v>
      </c>
      <c r="G20" s="35" t="e">
        <f t="shared" si="26"/>
        <v>#DIV/0!</v>
      </c>
      <c r="H20" s="11" t="e">
        <f t="shared" si="27"/>
        <v>#DIV/0!</v>
      </c>
      <c r="I20" s="35">
        <v>0</v>
      </c>
      <c r="J20" s="70">
        <v>0</v>
      </c>
      <c r="K20" s="35" t="e">
        <f t="shared" si="28"/>
        <v>#DIV/0!</v>
      </c>
      <c r="L20" s="6" t="e">
        <f t="shared" si="29"/>
        <v>#DIV/0!</v>
      </c>
      <c r="M20" s="68">
        <v>0</v>
      </c>
      <c r="N20" s="5">
        <v>0</v>
      </c>
      <c r="O20" s="35" t="e">
        <f t="shared" si="30"/>
        <v>#DIV/0!</v>
      </c>
      <c r="P20" s="11" t="e">
        <f t="shared" si="31"/>
        <v>#DIV/0!</v>
      </c>
      <c r="Q20" s="35">
        <v>0</v>
      </c>
      <c r="R20" s="66">
        <v>0</v>
      </c>
      <c r="S20" s="35" t="e">
        <f t="shared" si="32"/>
        <v>#DIV/0!</v>
      </c>
      <c r="T20" s="6" t="e">
        <f t="shared" si="33"/>
        <v>#DIV/0!</v>
      </c>
      <c r="U20" s="68">
        <v>0</v>
      </c>
      <c r="V20" s="66">
        <v>0</v>
      </c>
      <c r="W20" s="20" t="e">
        <f t="shared" si="34"/>
        <v>#DIV/0!</v>
      </c>
      <c r="X20" s="6" t="e">
        <f t="shared" si="35"/>
        <v>#DIV/0!</v>
      </c>
      <c r="Y20" s="68">
        <v>0</v>
      </c>
      <c r="Z20" s="70">
        <v>0</v>
      </c>
      <c r="AA20" s="35" t="e">
        <f t="shared" si="36"/>
        <v>#DIV/0!</v>
      </c>
      <c r="AB20" s="11" t="e">
        <f t="shared" si="37"/>
        <v>#DIV/0!</v>
      </c>
      <c r="AC20" s="35">
        <v>15890</v>
      </c>
      <c r="AD20" s="36">
        <v>519</v>
      </c>
      <c r="AE20" s="35">
        <f t="shared" si="38"/>
        <v>30.616570327552985</v>
      </c>
      <c r="AF20" s="6">
        <f t="shared" si="39"/>
        <v>0.31307865887433595</v>
      </c>
      <c r="AG20" s="68">
        <v>0</v>
      </c>
      <c r="AH20" s="66">
        <v>0</v>
      </c>
      <c r="AI20" s="35" t="e">
        <f t="shared" si="40"/>
        <v>#DIV/0!</v>
      </c>
      <c r="AJ20" s="6" t="e">
        <f t="shared" si="41"/>
        <v>#DIV/0!</v>
      </c>
      <c r="AK20" s="68">
        <v>2580</v>
      </c>
      <c r="AL20" s="66">
        <v>132</v>
      </c>
      <c r="AM20" s="35">
        <f t="shared" si="42"/>
        <v>19.545454545454547</v>
      </c>
      <c r="AN20" s="6">
        <f t="shared" si="43"/>
        <v>0.19986773928996385</v>
      </c>
      <c r="AO20" s="68">
        <v>0</v>
      </c>
      <c r="AP20" s="66">
        <v>0</v>
      </c>
      <c r="AQ20" s="35" t="e">
        <f t="shared" si="44"/>
        <v>#DIV/0!</v>
      </c>
      <c r="AR20" s="6" t="e">
        <f t="shared" si="45"/>
        <v>#DIV/0!</v>
      </c>
      <c r="AS20" s="68">
        <v>0</v>
      </c>
      <c r="AT20" s="66">
        <v>0</v>
      </c>
      <c r="AU20" s="35" t="e">
        <f t="shared" si="46"/>
        <v>#DIV/0!</v>
      </c>
      <c r="AV20" s="6" t="e">
        <f t="shared" si="47"/>
        <v>#DIV/0!</v>
      </c>
      <c r="AW20" s="68">
        <v>0</v>
      </c>
      <c r="AX20" s="66">
        <v>0</v>
      </c>
      <c r="AY20" s="35" t="e">
        <f t="shared" si="48"/>
        <v>#DIV/0!</v>
      </c>
      <c r="AZ20" s="6" t="e">
        <f t="shared" si="49"/>
        <v>#DIV/0!</v>
      </c>
      <c r="BA20" s="68">
        <v>0</v>
      </c>
      <c r="BB20" s="66">
        <v>0</v>
      </c>
      <c r="BC20" s="35" t="e">
        <f t="shared" si="50"/>
        <v>#DIV/0!</v>
      </c>
      <c r="BD20" s="11" t="e">
        <f t="shared" si="51"/>
        <v>#DIV/0!</v>
      </c>
    </row>
    <row r="21" spans="1:56" x14ac:dyDescent="0.25">
      <c r="A21" s="19" t="s">
        <v>5</v>
      </c>
      <c r="B21" s="8">
        <v>255900</v>
      </c>
      <c r="C21" s="35">
        <f>B21/F13</f>
        <v>130.49464558898521</v>
      </c>
      <c r="D21" s="8">
        <v>7050</v>
      </c>
      <c r="E21" s="68">
        <v>0</v>
      </c>
      <c r="F21" s="70">
        <v>0</v>
      </c>
      <c r="G21" s="35" t="e">
        <f t="shared" si="26"/>
        <v>#DIV/0!</v>
      </c>
      <c r="H21" s="11" t="e">
        <f t="shared" si="27"/>
        <v>#DIV/0!</v>
      </c>
      <c r="I21" s="35">
        <v>0</v>
      </c>
      <c r="J21" s="70">
        <v>0</v>
      </c>
      <c r="K21" s="35" t="e">
        <f t="shared" si="28"/>
        <v>#DIV/0!</v>
      </c>
      <c r="L21" s="6" t="e">
        <f t="shared" si="29"/>
        <v>#DIV/0!</v>
      </c>
      <c r="M21" s="68">
        <v>0</v>
      </c>
      <c r="N21" s="5">
        <v>0</v>
      </c>
      <c r="O21" s="35" t="e">
        <f t="shared" si="30"/>
        <v>#DIV/0!</v>
      </c>
      <c r="P21" s="11" t="e">
        <f t="shared" si="31"/>
        <v>#DIV/0!</v>
      </c>
      <c r="Q21" s="35">
        <v>0</v>
      </c>
      <c r="R21" s="66">
        <v>0</v>
      </c>
      <c r="S21" s="35" t="e">
        <f t="shared" si="32"/>
        <v>#DIV/0!</v>
      </c>
      <c r="T21" s="6" t="e">
        <f t="shared" si="33"/>
        <v>#DIV/0!</v>
      </c>
      <c r="U21" s="68">
        <v>0</v>
      </c>
      <c r="V21" s="66">
        <v>0</v>
      </c>
      <c r="W21" s="20" t="e">
        <f t="shared" si="34"/>
        <v>#DIV/0!</v>
      </c>
      <c r="X21" s="6" t="e">
        <f t="shared" si="35"/>
        <v>#DIV/0!</v>
      </c>
      <c r="Y21" s="68">
        <v>0</v>
      </c>
      <c r="Z21" s="70">
        <v>0</v>
      </c>
      <c r="AA21" s="35" t="e">
        <f t="shared" si="36"/>
        <v>#DIV/0!</v>
      </c>
      <c r="AB21" s="11" t="e">
        <f t="shared" si="37"/>
        <v>#DIV/0!</v>
      </c>
      <c r="AC21" s="35">
        <v>17940</v>
      </c>
      <c r="AD21" s="36">
        <v>519</v>
      </c>
      <c r="AE21" s="35">
        <f t="shared" si="38"/>
        <v>34.566473988439306</v>
      </c>
      <c r="AF21" s="6">
        <f t="shared" si="39"/>
        <v>0.2648880636628741</v>
      </c>
      <c r="AG21" s="68">
        <v>0</v>
      </c>
      <c r="AH21" s="66">
        <v>0</v>
      </c>
      <c r="AI21" s="35" t="e">
        <f t="shared" si="40"/>
        <v>#DIV/0!</v>
      </c>
      <c r="AJ21" s="6" t="e">
        <f t="shared" si="41"/>
        <v>#DIV/0!</v>
      </c>
      <c r="AK21" s="68">
        <v>3160</v>
      </c>
      <c r="AL21" s="66">
        <v>132</v>
      </c>
      <c r="AM21" s="35">
        <f t="shared" si="42"/>
        <v>23.939393939393938</v>
      </c>
      <c r="AN21" s="6">
        <f t="shared" si="43"/>
        <v>0.18345115871493362</v>
      </c>
      <c r="AO21" s="68">
        <v>0</v>
      </c>
      <c r="AP21" s="66">
        <v>0</v>
      </c>
      <c r="AQ21" s="35" t="e">
        <f t="shared" si="44"/>
        <v>#DIV/0!</v>
      </c>
      <c r="AR21" s="6" t="e">
        <f t="shared" si="45"/>
        <v>#DIV/0!</v>
      </c>
      <c r="AS21" s="68">
        <v>0</v>
      </c>
      <c r="AT21" s="66">
        <v>0</v>
      </c>
      <c r="AU21" s="35" t="e">
        <f t="shared" si="46"/>
        <v>#DIV/0!</v>
      </c>
      <c r="AV21" s="6" t="e">
        <f t="shared" si="47"/>
        <v>#DIV/0!</v>
      </c>
      <c r="AW21" s="68">
        <v>0</v>
      </c>
      <c r="AX21" s="66">
        <v>0</v>
      </c>
      <c r="AY21" s="35" t="e">
        <f t="shared" si="48"/>
        <v>#DIV/0!</v>
      </c>
      <c r="AZ21" s="6" t="e">
        <f t="shared" si="49"/>
        <v>#DIV/0!</v>
      </c>
      <c r="BA21" s="68">
        <v>0</v>
      </c>
      <c r="BB21" s="66">
        <v>0</v>
      </c>
      <c r="BC21" s="35" t="e">
        <f t="shared" si="50"/>
        <v>#DIV/0!</v>
      </c>
      <c r="BD21" s="11" t="e">
        <f t="shared" si="51"/>
        <v>#DIV/0!</v>
      </c>
    </row>
    <row r="22" spans="1:56" x14ac:dyDescent="0.25">
      <c r="A22" s="19" t="s">
        <v>6</v>
      </c>
      <c r="B22" s="8">
        <v>309790</v>
      </c>
      <c r="C22" s="35">
        <f>B22/F13</f>
        <v>157.97552269250383</v>
      </c>
      <c r="D22" s="8">
        <v>10950</v>
      </c>
      <c r="E22" s="68">
        <v>0</v>
      </c>
      <c r="F22" s="70">
        <v>0</v>
      </c>
      <c r="G22" s="35" t="e">
        <f t="shared" si="26"/>
        <v>#DIV/0!</v>
      </c>
      <c r="H22" s="11" t="e">
        <f t="shared" si="27"/>
        <v>#DIV/0!</v>
      </c>
      <c r="I22" s="35">
        <v>0</v>
      </c>
      <c r="J22" s="70">
        <v>0</v>
      </c>
      <c r="K22" s="35" t="e">
        <f t="shared" si="28"/>
        <v>#DIV/0!</v>
      </c>
      <c r="L22" s="6" t="e">
        <f t="shared" si="29"/>
        <v>#DIV/0!</v>
      </c>
      <c r="M22" s="68">
        <v>0</v>
      </c>
      <c r="N22" s="5">
        <v>0</v>
      </c>
      <c r="O22" s="35" t="e">
        <f t="shared" si="30"/>
        <v>#DIV/0!</v>
      </c>
      <c r="P22" s="11" t="e">
        <f t="shared" si="31"/>
        <v>#DIV/0!</v>
      </c>
      <c r="Q22" s="35">
        <v>0</v>
      </c>
      <c r="R22" s="66">
        <v>0</v>
      </c>
      <c r="S22" s="35" t="e">
        <f t="shared" si="32"/>
        <v>#DIV/0!</v>
      </c>
      <c r="T22" s="6" t="e">
        <f t="shared" si="33"/>
        <v>#DIV/0!</v>
      </c>
      <c r="U22" s="68">
        <v>0</v>
      </c>
      <c r="V22" s="66">
        <v>0</v>
      </c>
      <c r="W22" s="20" t="e">
        <f t="shared" si="34"/>
        <v>#DIV/0!</v>
      </c>
      <c r="X22" s="6" t="e">
        <f t="shared" si="35"/>
        <v>#DIV/0!</v>
      </c>
      <c r="Y22" s="68">
        <v>0</v>
      </c>
      <c r="Z22" s="70">
        <v>0</v>
      </c>
      <c r="AA22" s="35" t="e">
        <f t="shared" si="36"/>
        <v>#DIV/0!</v>
      </c>
      <c r="AB22" s="11" t="e">
        <f t="shared" si="37"/>
        <v>#DIV/0!</v>
      </c>
      <c r="AC22" s="35">
        <v>25670</v>
      </c>
      <c r="AD22" s="36">
        <v>519</v>
      </c>
      <c r="AE22" s="35">
        <f t="shared" si="38"/>
        <v>49.460500963391134</v>
      </c>
      <c r="AF22" s="6">
        <f t="shared" si="39"/>
        <v>0.31308964908231385</v>
      </c>
      <c r="AG22" s="68">
        <v>0</v>
      </c>
      <c r="AH22" s="66">
        <v>0</v>
      </c>
      <c r="AI22" s="35" t="e">
        <f t="shared" si="40"/>
        <v>#DIV/0!</v>
      </c>
      <c r="AJ22" s="6" t="e">
        <f t="shared" si="41"/>
        <v>#DIV/0!</v>
      </c>
      <c r="AK22" s="68">
        <v>3830</v>
      </c>
      <c r="AL22" s="66">
        <v>132</v>
      </c>
      <c r="AM22" s="35">
        <f t="shared" si="42"/>
        <v>29.015151515151516</v>
      </c>
      <c r="AN22" s="6">
        <f t="shared" si="43"/>
        <v>0.18366865334972762</v>
      </c>
      <c r="AO22" s="68">
        <v>0</v>
      </c>
      <c r="AP22" s="66">
        <v>0</v>
      </c>
      <c r="AQ22" s="35" t="e">
        <f t="shared" si="44"/>
        <v>#DIV/0!</v>
      </c>
      <c r="AR22" s="6" t="e">
        <f t="shared" si="45"/>
        <v>#DIV/0!</v>
      </c>
      <c r="AS22" s="68">
        <v>0</v>
      </c>
      <c r="AT22" s="66">
        <v>0</v>
      </c>
      <c r="AU22" s="35" t="e">
        <f t="shared" si="46"/>
        <v>#DIV/0!</v>
      </c>
      <c r="AV22" s="6" t="e">
        <f t="shared" si="47"/>
        <v>#DIV/0!</v>
      </c>
      <c r="AW22" s="68">
        <v>0</v>
      </c>
      <c r="AX22" s="66">
        <v>0</v>
      </c>
      <c r="AY22" s="35" t="e">
        <f t="shared" si="48"/>
        <v>#DIV/0!</v>
      </c>
      <c r="AZ22" s="6" t="e">
        <f t="shared" si="49"/>
        <v>#DIV/0!</v>
      </c>
      <c r="BA22" s="68">
        <v>0</v>
      </c>
      <c r="BB22" s="66">
        <v>0</v>
      </c>
      <c r="BC22" s="35" t="e">
        <f t="shared" si="50"/>
        <v>#DIV/0!</v>
      </c>
      <c r="BD22" s="11" t="e">
        <f t="shared" si="51"/>
        <v>#DIV/0!</v>
      </c>
    </row>
    <row r="23" spans="1:56" ht="15.75" thickBot="1" x14ac:dyDescent="0.3">
      <c r="A23" s="21"/>
      <c r="B23" s="22"/>
      <c r="C23" s="23">
        <f>AVERAGE(Table11011[MA $/Sq Ft])</f>
        <v>90.386828877394919</v>
      </c>
      <c r="D23" s="22">
        <f>AVERAGE(Table11011[Basic Allowance])</f>
        <v>4442.8571428571431</v>
      </c>
      <c r="E23" s="16"/>
      <c r="F23" s="22"/>
      <c r="G23" s="15"/>
      <c r="H23" s="24" t="e">
        <f>AVERAGE(Table11011[Bsmt % Base])</f>
        <v>#DIV/0!</v>
      </c>
      <c r="I23" s="15"/>
      <c r="J23" s="15"/>
      <c r="K23" s="15"/>
      <c r="L23" s="25" t="e">
        <f>AVERAGE(Table11011[[#Headers],[#Data],[UnfBsmt % Base]])</f>
        <v>#DIV/0!</v>
      </c>
      <c r="M23" s="44"/>
      <c r="N23" s="15"/>
      <c r="O23" s="23" t="e">
        <f>AVERAGE(Table11011[LowerVal/SqFt])</f>
        <v>#DIV/0!</v>
      </c>
      <c r="P23" s="24" t="e">
        <f>AVERAGE(Table11011[Lower % Base])</f>
        <v>#DIV/0!</v>
      </c>
      <c r="Q23" s="13"/>
      <c r="R23" s="13"/>
      <c r="S23" s="13"/>
      <c r="T23" s="25" t="e">
        <f>AVERAGE(Table11011[Unf Lower % Base])</f>
        <v>#DIV/0!</v>
      </c>
      <c r="U23" s="12"/>
      <c r="V23" s="13"/>
      <c r="W23" s="13"/>
      <c r="X23" s="25" t="e">
        <f>AVERAGE(Table11011[1/2 Story % Base])</f>
        <v>#DIV/0!</v>
      </c>
      <c r="Y23" s="12"/>
      <c r="Z23" s="13"/>
      <c r="AA23" s="13"/>
      <c r="AB23" s="24" t="e">
        <f>AVERAGE(Table11011[2nd Story % Base])</f>
        <v>#DIV/0!</v>
      </c>
      <c r="AC23" s="22">
        <f>SUBTOTAL(101,Table11011[Att Gar Value])</f>
        <v>14992.857142857143</v>
      </c>
      <c r="AD23" s="13"/>
      <c r="AE23" s="23">
        <f>AVERAGE(Table11011[AttGarVal/SqFt])</f>
        <v>28.887971373520504</v>
      </c>
      <c r="AF23" s="25">
        <f>AVERAGE(Table11011[Att Gar % Base])</f>
        <v>0.32961014840292463</v>
      </c>
      <c r="AG23" s="12"/>
      <c r="AH23" s="13"/>
      <c r="AI23" s="13"/>
      <c r="AJ23" s="25" t="e">
        <f>AVERAGE(Table11011[Porch % Base])</f>
        <v>#DIV/0!</v>
      </c>
      <c r="AK23" s="12"/>
      <c r="AL23" s="13"/>
      <c r="AM23" s="13"/>
      <c r="AN23" s="25">
        <f>AVERAGE(Table11011[Cov Porch % Base])</f>
        <v>0.19877052109126075</v>
      </c>
      <c r="AO23" s="12"/>
      <c r="AP23" s="13"/>
      <c r="AQ23" s="13"/>
      <c r="AR23" s="25" t="e">
        <f>AVERAGE(Table11011[Deck % Base])</f>
        <v>#DIV/0!</v>
      </c>
      <c r="AS23" s="12"/>
      <c r="AT23" s="13"/>
      <c r="AU23" s="23" t="e">
        <f>AVERAGE(Table11011[CovDeckVal/SqFt])</f>
        <v>#DIV/0!</v>
      </c>
      <c r="AV23" s="25" t="e">
        <f>AVERAGE(Table11011[CovDeck % Base])</f>
        <v>#DIV/0!</v>
      </c>
      <c r="AW23" s="12"/>
      <c r="AX23" s="13"/>
      <c r="AY23" s="13"/>
      <c r="AZ23" s="25" t="e">
        <f>AVERAGE(Table11011[CarP % Base])</f>
        <v>#DIV/0!</v>
      </c>
      <c r="BA23" s="12"/>
      <c r="BB23" s="13"/>
      <c r="BC23" s="13"/>
      <c r="BD23" s="24" t="e">
        <f>AVERAGE(Table11011[EFP % Base])</f>
        <v>#DIV/0!</v>
      </c>
    </row>
    <row r="24" spans="1:56" x14ac:dyDescent="0.25">
      <c r="B24" s="2"/>
      <c r="C24" s="2"/>
      <c r="D24" s="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</row>
    <row r="25" spans="1:56" ht="15.75" thickBot="1" x14ac:dyDescent="0.3">
      <c r="A25" s="84"/>
      <c r="B25" s="74" t="s">
        <v>84</v>
      </c>
      <c r="C25" s="74"/>
      <c r="D25" s="74"/>
      <c r="E25" s="74" t="s">
        <v>33</v>
      </c>
      <c r="F25" s="75">
        <v>2082</v>
      </c>
      <c r="G25" s="74"/>
      <c r="H25" s="74" t="s">
        <v>82</v>
      </c>
      <c r="I25" s="74"/>
      <c r="J25" s="74" t="s">
        <v>83</v>
      </c>
      <c r="K25" s="75">
        <v>1976</v>
      </c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6"/>
    </row>
    <row r="26" spans="1:56" x14ac:dyDescent="0.25">
      <c r="A26" s="112"/>
      <c r="B26" s="113"/>
      <c r="C26" s="113"/>
      <c r="D26" s="114"/>
      <c r="E26" s="115" t="s">
        <v>27</v>
      </c>
      <c r="F26" s="116"/>
      <c r="G26" s="116"/>
      <c r="H26" s="117"/>
      <c r="I26" s="118" t="s">
        <v>28</v>
      </c>
      <c r="J26" s="119"/>
      <c r="K26" s="119"/>
      <c r="L26" s="120"/>
      <c r="M26" s="121" t="s">
        <v>7</v>
      </c>
      <c r="N26" s="122"/>
      <c r="O26" s="122"/>
      <c r="P26" s="122"/>
      <c r="Q26" s="124" t="s">
        <v>29</v>
      </c>
      <c r="R26" s="125"/>
      <c r="S26" s="125"/>
      <c r="T26" s="126"/>
      <c r="U26" s="128" t="s">
        <v>8</v>
      </c>
      <c r="V26" s="128"/>
      <c r="W26" s="128"/>
      <c r="X26" s="129"/>
      <c r="Y26" s="130" t="s">
        <v>0</v>
      </c>
      <c r="Z26" s="131"/>
      <c r="AA26" s="131"/>
      <c r="AB26" s="132"/>
      <c r="AC26" s="133" t="s">
        <v>34</v>
      </c>
      <c r="AD26" s="134"/>
      <c r="AE26" s="134"/>
      <c r="AF26" s="135"/>
      <c r="AG26" s="115" t="s">
        <v>9</v>
      </c>
      <c r="AH26" s="116"/>
      <c r="AI26" s="116"/>
      <c r="AJ26" s="117"/>
      <c r="AK26" s="136" t="s">
        <v>35</v>
      </c>
      <c r="AL26" s="137"/>
      <c r="AM26" s="137"/>
      <c r="AN26" s="138"/>
      <c r="AO26" s="139" t="s">
        <v>10</v>
      </c>
      <c r="AP26" s="140"/>
      <c r="AQ26" s="140"/>
      <c r="AR26" s="141"/>
      <c r="AS26" s="124" t="s">
        <v>36</v>
      </c>
      <c r="AT26" s="125"/>
      <c r="AU26" s="125"/>
      <c r="AV26" s="126"/>
      <c r="AW26" s="142" t="s">
        <v>11</v>
      </c>
      <c r="AX26" s="143"/>
      <c r="AY26" s="143"/>
      <c r="AZ26" s="144"/>
      <c r="BA26" s="148" t="s">
        <v>17</v>
      </c>
      <c r="BB26" s="149"/>
      <c r="BC26" s="149"/>
      <c r="BD26" s="150"/>
    </row>
    <row r="27" spans="1:56" s="1" customFormat="1" ht="15.75" thickBot="1" x14ac:dyDescent="0.3">
      <c r="A27" s="41" t="s">
        <v>13</v>
      </c>
      <c r="B27" s="42" t="s">
        <v>15</v>
      </c>
      <c r="C27" s="42" t="s">
        <v>32</v>
      </c>
      <c r="D27" s="43" t="s">
        <v>18</v>
      </c>
      <c r="E27" s="30" t="s">
        <v>30</v>
      </c>
      <c r="F27" s="31" t="s">
        <v>61</v>
      </c>
      <c r="G27" s="31" t="s">
        <v>38</v>
      </c>
      <c r="H27" s="32" t="s">
        <v>62</v>
      </c>
      <c r="I27" s="37" t="s">
        <v>31</v>
      </c>
      <c r="J27" s="38" t="s">
        <v>39</v>
      </c>
      <c r="K27" s="38" t="s">
        <v>40</v>
      </c>
      <c r="L27" s="39" t="s">
        <v>63</v>
      </c>
      <c r="M27" s="40" t="s">
        <v>19</v>
      </c>
      <c r="N27" s="7" t="s">
        <v>41</v>
      </c>
      <c r="O27" s="7" t="s">
        <v>37</v>
      </c>
      <c r="P27" s="7" t="s">
        <v>64</v>
      </c>
      <c r="Q27" s="27" t="s">
        <v>20</v>
      </c>
      <c r="R27" s="28" t="s">
        <v>60</v>
      </c>
      <c r="S27" s="28" t="s">
        <v>59</v>
      </c>
      <c r="T27" s="29" t="s">
        <v>65</v>
      </c>
      <c r="U27" s="48" t="s">
        <v>21</v>
      </c>
      <c r="V27" s="48" t="s">
        <v>42</v>
      </c>
      <c r="W27" s="48" t="s">
        <v>43</v>
      </c>
      <c r="X27" s="49" t="s">
        <v>66</v>
      </c>
      <c r="Y27" s="50" t="s">
        <v>22</v>
      </c>
      <c r="Z27" s="51" t="s">
        <v>44</v>
      </c>
      <c r="AA27" s="51" t="s">
        <v>45</v>
      </c>
      <c r="AB27" s="52" t="s">
        <v>67</v>
      </c>
      <c r="AC27" s="45" t="s">
        <v>23</v>
      </c>
      <c r="AD27" s="46" t="s">
        <v>46</v>
      </c>
      <c r="AE27" s="46" t="s">
        <v>47</v>
      </c>
      <c r="AF27" s="47" t="s">
        <v>68</v>
      </c>
      <c r="AG27" s="30" t="s">
        <v>24</v>
      </c>
      <c r="AH27" s="31" t="s">
        <v>48</v>
      </c>
      <c r="AI27" s="31" t="s">
        <v>49</v>
      </c>
      <c r="AJ27" s="32" t="s">
        <v>69</v>
      </c>
      <c r="AK27" s="53" t="s">
        <v>25</v>
      </c>
      <c r="AL27" s="54" t="s">
        <v>50</v>
      </c>
      <c r="AM27" s="54" t="s">
        <v>51</v>
      </c>
      <c r="AN27" s="55" t="s">
        <v>70</v>
      </c>
      <c r="AO27" s="56" t="s">
        <v>26</v>
      </c>
      <c r="AP27" s="57" t="s">
        <v>52</v>
      </c>
      <c r="AQ27" s="57" t="s">
        <v>53</v>
      </c>
      <c r="AR27" s="58" t="s">
        <v>71</v>
      </c>
      <c r="AS27" s="59" t="s">
        <v>55</v>
      </c>
      <c r="AT27" s="60" t="s">
        <v>54</v>
      </c>
      <c r="AU27" s="60" t="s">
        <v>56</v>
      </c>
      <c r="AV27" s="61" t="s">
        <v>76</v>
      </c>
      <c r="AW27" s="62" t="s">
        <v>72</v>
      </c>
      <c r="AX27" s="63" t="s">
        <v>73</v>
      </c>
      <c r="AY27" s="63" t="s">
        <v>74</v>
      </c>
      <c r="AZ27" s="64" t="s">
        <v>75</v>
      </c>
      <c r="BA27" s="71" t="s">
        <v>77</v>
      </c>
      <c r="BB27" s="72" t="s">
        <v>57</v>
      </c>
      <c r="BC27" s="72" t="s">
        <v>58</v>
      </c>
      <c r="BD27" s="73" t="s">
        <v>78</v>
      </c>
    </row>
    <row r="28" spans="1:56" x14ac:dyDescent="0.25">
      <c r="A28" s="17" t="s">
        <v>1</v>
      </c>
      <c r="B28" s="14">
        <v>97030</v>
      </c>
      <c r="C28" s="34">
        <f>B28/F25</f>
        <v>46.604226705091257</v>
      </c>
      <c r="D28" s="14">
        <v>1525</v>
      </c>
      <c r="E28" s="67">
        <v>0</v>
      </c>
      <c r="F28" s="69">
        <v>0</v>
      </c>
      <c r="G28" s="34" t="e">
        <f t="shared" ref="G28:G34" si="52">E28/F28</f>
        <v>#DIV/0!</v>
      </c>
      <c r="H28" s="10" t="e">
        <f t="shared" ref="H28:H34" si="53">G28/C28</f>
        <v>#DIV/0!</v>
      </c>
      <c r="I28" s="34">
        <v>0</v>
      </c>
      <c r="J28" s="69">
        <v>0</v>
      </c>
      <c r="K28" s="34" t="e">
        <f t="shared" ref="K28:K34" si="54">I28/J28</f>
        <v>#DIV/0!</v>
      </c>
      <c r="L28" s="9" t="e">
        <f t="shared" ref="L28:L34" si="55">K28/C28</f>
        <v>#DIV/0!</v>
      </c>
      <c r="M28" s="67">
        <v>0</v>
      </c>
      <c r="N28" s="26">
        <v>0</v>
      </c>
      <c r="O28" s="34" t="e">
        <f t="shared" ref="O28:O34" si="56">M28/N28</f>
        <v>#DIV/0!</v>
      </c>
      <c r="P28" s="10" t="e">
        <f t="shared" ref="P28:P34" si="57">O28/C28</f>
        <v>#DIV/0!</v>
      </c>
      <c r="Q28" s="35">
        <v>0</v>
      </c>
      <c r="R28" s="66">
        <v>0</v>
      </c>
      <c r="S28" s="35" t="e">
        <f t="shared" ref="S28:S34" si="58">Q28/R28</f>
        <v>#DIV/0!</v>
      </c>
      <c r="T28" s="6" t="e">
        <f t="shared" ref="T28:T34" si="59">S28/C28</f>
        <v>#DIV/0!</v>
      </c>
      <c r="U28" s="67">
        <v>0</v>
      </c>
      <c r="V28" s="65">
        <v>0</v>
      </c>
      <c r="W28" s="18" t="e">
        <f t="shared" ref="W28:W34" si="60">U28/V28</f>
        <v>#DIV/0!</v>
      </c>
      <c r="X28" s="9" t="e">
        <f t="shared" ref="X28:X34" si="61">W28/C28</f>
        <v>#DIV/0!</v>
      </c>
      <c r="Y28" s="67">
        <v>0</v>
      </c>
      <c r="Z28" s="69">
        <v>0</v>
      </c>
      <c r="AA28" s="34" t="e">
        <f t="shared" ref="AA28:AA34" si="62">Y28/Z28</f>
        <v>#DIV/0!</v>
      </c>
      <c r="AB28" s="10" t="e">
        <f t="shared" ref="AB28:AB34" si="63">AA28/C28</f>
        <v>#DIV/0!</v>
      </c>
      <c r="AC28" s="34">
        <v>8160</v>
      </c>
      <c r="AD28" s="33">
        <v>552</v>
      </c>
      <c r="AE28" s="34">
        <f t="shared" ref="AE28:AE34" si="64">AC28/AD28</f>
        <v>14.782608695652174</v>
      </c>
      <c r="AF28" s="9">
        <f t="shared" ref="AF28:AF34" si="65">AE28/C28</f>
        <v>0.31719459243891401</v>
      </c>
      <c r="AG28" s="67">
        <v>0</v>
      </c>
      <c r="AH28" s="65">
        <v>0</v>
      </c>
      <c r="AI28" s="34" t="e">
        <f t="shared" ref="AI28:AI34" si="66">AG28/AH28</f>
        <v>#DIV/0!</v>
      </c>
      <c r="AJ28" s="9" t="e">
        <f t="shared" ref="AJ28:AJ34" si="67">AI28/C28</f>
        <v>#DIV/0!</v>
      </c>
      <c r="AK28" s="67">
        <v>0</v>
      </c>
      <c r="AL28" s="65">
        <v>0</v>
      </c>
      <c r="AM28" s="34" t="e">
        <f t="shared" ref="AM28:AM34" si="68">AK28/AL28</f>
        <v>#DIV/0!</v>
      </c>
      <c r="AN28" s="9" t="e">
        <f t="shared" ref="AN28:AN34" si="69">AM28/C28</f>
        <v>#DIV/0!</v>
      </c>
      <c r="AO28" s="67">
        <v>0</v>
      </c>
      <c r="AP28" s="65">
        <v>0</v>
      </c>
      <c r="AQ28" s="34" t="e">
        <f t="shared" ref="AQ28:AQ34" si="70">AO28/AP28</f>
        <v>#DIV/0!</v>
      </c>
      <c r="AR28" s="9" t="e">
        <f t="shared" ref="AR28:AR34" si="71">AQ28/C28</f>
        <v>#DIV/0!</v>
      </c>
      <c r="AS28" s="67">
        <v>0</v>
      </c>
      <c r="AT28" s="65">
        <v>0</v>
      </c>
      <c r="AU28" s="34" t="e">
        <f t="shared" ref="AU28:AU34" si="72">AS28/AT28</f>
        <v>#DIV/0!</v>
      </c>
      <c r="AV28" s="9" t="e">
        <f t="shared" ref="AV28:AV34" si="73">AU28/C28</f>
        <v>#DIV/0!</v>
      </c>
      <c r="AW28" s="67">
        <v>0</v>
      </c>
      <c r="AX28" s="65">
        <v>0</v>
      </c>
      <c r="AY28" s="34" t="e">
        <f t="shared" ref="AY28:AY34" si="74">AW28/AX28</f>
        <v>#DIV/0!</v>
      </c>
      <c r="AZ28" s="9" t="e">
        <f t="shared" ref="AZ28:AZ34" si="75">AY28/C28</f>
        <v>#DIV/0!</v>
      </c>
      <c r="BA28" s="67">
        <v>0</v>
      </c>
      <c r="BB28" s="65">
        <v>0</v>
      </c>
      <c r="BC28" s="34" t="e">
        <f t="shared" ref="BC28:BC34" si="76">BA28/BB28</f>
        <v>#DIV/0!</v>
      </c>
      <c r="BD28" s="10" t="e">
        <f t="shared" ref="BD28:BD34" si="77">BC28/C28</f>
        <v>#DIV/0!</v>
      </c>
    </row>
    <row r="29" spans="1:56" x14ac:dyDescent="0.25">
      <c r="A29" s="19" t="s">
        <v>16</v>
      </c>
      <c r="B29" s="8">
        <v>114090</v>
      </c>
      <c r="C29" s="35">
        <f>B29/F25</f>
        <v>54.798270893371757</v>
      </c>
      <c r="D29" s="8">
        <v>1525</v>
      </c>
      <c r="E29" s="68">
        <v>0</v>
      </c>
      <c r="F29" s="70">
        <v>0</v>
      </c>
      <c r="G29" s="35" t="e">
        <f t="shared" si="52"/>
        <v>#DIV/0!</v>
      </c>
      <c r="H29" s="11" t="e">
        <f t="shared" si="53"/>
        <v>#DIV/0!</v>
      </c>
      <c r="I29" s="35">
        <v>0</v>
      </c>
      <c r="J29" s="70">
        <v>0</v>
      </c>
      <c r="K29" s="35" t="e">
        <f t="shared" si="54"/>
        <v>#DIV/0!</v>
      </c>
      <c r="L29" s="6" t="e">
        <f t="shared" si="55"/>
        <v>#DIV/0!</v>
      </c>
      <c r="M29" s="68">
        <v>0</v>
      </c>
      <c r="N29" s="5">
        <v>0</v>
      </c>
      <c r="O29" s="35" t="e">
        <f t="shared" si="56"/>
        <v>#DIV/0!</v>
      </c>
      <c r="P29" s="11" t="e">
        <f t="shared" si="57"/>
        <v>#DIV/0!</v>
      </c>
      <c r="Q29" s="35">
        <v>0</v>
      </c>
      <c r="R29" s="66">
        <v>0</v>
      </c>
      <c r="S29" s="35" t="e">
        <f t="shared" si="58"/>
        <v>#DIV/0!</v>
      </c>
      <c r="T29" s="6" t="e">
        <f t="shared" si="59"/>
        <v>#DIV/0!</v>
      </c>
      <c r="U29" s="68">
        <v>0</v>
      </c>
      <c r="V29" s="66">
        <v>0</v>
      </c>
      <c r="W29" s="20" t="e">
        <f t="shared" si="60"/>
        <v>#DIV/0!</v>
      </c>
      <c r="X29" s="6" t="e">
        <f t="shared" si="61"/>
        <v>#DIV/0!</v>
      </c>
      <c r="Y29" s="68">
        <v>0</v>
      </c>
      <c r="Z29" s="70">
        <v>0</v>
      </c>
      <c r="AA29" s="35" t="e">
        <f t="shared" si="62"/>
        <v>#DIV/0!</v>
      </c>
      <c r="AB29" s="11" t="e">
        <f t="shared" si="63"/>
        <v>#DIV/0!</v>
      </c>
      <c r="AC29" s="35">
        <v>11110</v>
      </c>
      <c r="AD29" s="36">
        <v>552</v>
      </c>
      <c r="AE29" s="35">
        <f t="shared" si="64"/>
        <v>20.126811594202898</v>
      </c>
      <c r="AF29" s="6">
        <f t="shared" si="65"/>
        <v>0.36728917292602714</v>
      </c>
      <c r="AG29" s="68">
        <v>0</v>
      </c>
      <c r="AH29" s="66">
        <v>0</v>
      </c>
      <c r="AI29" s="35" t="e">
        <f t="shared" si="66"/>
        <v>#DIV/0!</v>
      </c>
      <c r="AJ29" s="6" t="e">
        <f t="shared" si="67"/>
        <v>#DIV/0!</v>
      </c>
      <c r="AK29" s="68">
        <v>0</v>
      </c>
      <c r="AL29" s="66">
        <v>0</v>
      </c>
      <c r="AM29" s="35" t="e">
        <f t="shared" si="68"/>
        <v>#DIV/0!</v>
      </c>
      <c r="AN29" s="6" t="e">
        <f t="shared" si="69"/>
        <v>#DIV/0!</v>
      </c>
      <c r="AO29" s="68">
        <v>0</v>
      </c>
      <c r="AP29" s="66">
        <v>0</v>
      </c>
      <c r="AQ29" s="35" t="e">
        <f t="shared" si="70"/>
        <v>#DIV/0!</v>
      </c>
      <c r="AR29" s="6" t="e">
        <f t="shared" si="71"/>
        <v>#DIV/0!</v>
      </c>
      <c r="AS29" s="68">
        <v>0</v>
      </c>
      <c r="AT29" s="66">
        <v>0</v>
      </c>
      <c r="AU29" s="35" t="e">
        <f t="shared" si="72"/>
        <v>#DIV/0!</v>
      </c>
      <c r="AV29" s="6" t="e">
        <f t="shared" si="73"/>
        <v>#DIV/0!</v>
      </c>
      <c r="AW29" s="68">
        <v>0</v>
      </c>
      <c r="AX29" s="66">
        <v>0</v>
      </c>
      <c r="AY29" s="35" t="e">
        <f t="shared" si="74"/>
        <v>#DIV/0!</v>
      </c>
      <c r="AZ29" s="6" t="e">
        <f t="shared" si="75"/>
        <v>#DIV/0!</v>
      </c>
      <c r="BA29" s="68">
        <v>0</v>
      </c>
      <c r="BB29" s="66">
        <v>0</v>
      </c>
      <c r="BC29" s="35" t="e">
        <f t="shared" si="76"/>
        <v>#DIV/0!</v>
      </c>
      <c r="BD29" s="11" t="e">
        <f t="shared" si="77"/>
        <v>#DIV/0!</v>
      </c>
    </row>
    <row r="30" spans="1:56" x14ac:dyDescent="0.25">
      <c r="A30" s="19" t="s">
        <v>2</v>
      </c>
      <c r="B30" s="8">
        <v>132880</v>
      </c>
      <c r="C30" s="35">
        <f>B30/F25</f>
        <v>63.823246878001925</v>
      </c>
      <c r="D30" s="8">
        <v>2100</v>
      </c>
      <c r="E30" s="68">
        <v>0</v>
      </c>
      <c r="F30" s="70">
        <v>0</v>
      </c>
      <c r="G30" s="35" t="e">
        <f t="shared" si="52"/>
        <v>#DIV/0!</v>
      </c>
      <c r="H30" s="11" t="e">
        <f t="shared" si="53"/>
        <v>#DIV/0!</v>
      </c>
      <c r="I30" s="35">
        <v>0</v>
      </c>
      <c r="J30" s="70">
        <v>0</v>
      </c>
      <c r="K30" s="35" t="e">
        <f t="shared" si="54"/>
        <v>#DIV/0!</v>
      </c>
      <c r="L30" s="6" t="e">
        <f t="shared" si="55"/>
        <v>#DIV/0!</v>
      </c>
      <c r="M30" s="68">
        <v>0</v>
      </c>
      <c r="N30" s="5">
        <v>0</v>
      </c>
      <c r="O30" s="35" t="e">
        <f t="shared" si="56"/>
        <v>#DIV/0!</v>
      </c>
      <c r="P30" s="11" t="e">
        <f t="shared" si="57"/>
        <v>#DIV/0!</v>
      </c>
      <c r="Q30" s="35">
        <v>0</v>
      </c>
      <c r="R30" s="66">
        <v>0</v>
      </c>
      <c r="S30" s="35" t="e">
        <f t="shared" si="58"/>
        <v>#DIV/0!</v>
      </c>
      <c r="T30" s="6" t="e">
        <f t="shared" si="59"/>
        <v>#DIV/0!</v>
      </c>
      <c r="U30" s="68">
        <v>0</v>
      </c>
      <c r="V30" s="66">
        <v>0</v>
      </c>
      <c r="W30" s="20" t="e">
        <f t="shared" si="60"/>
        <v>#DIV/0!</v>
      </c>
      <c r="X30" s="6" t="e">
        <f t="shared" si="61"/>
        <v>#DIV/0!</v>
      </c>
      <c r="Y30" s="68">
        <v>0</v>
      </c>
      <c r="Z30" s="70">
        <v>0</v>
      </c>
      <c r="AA30" s="35" t="e">
        <f t="shared" si="62"/>
        <v>#DIV/0!</v>
      </c>
      <c r="AB30" s="11" t="e">
        <f t="shared" si="63"/>
        <v>#DIV/0!</v>
      </c>
      <c r="AC30" s="35">
        <v>13900</v>
      </c>
      <c r="AD30" s="36">
        <v>552</v>
      </c>
      <c r="AE30" s="35">
        <f t="shared" si="64"/>
        <v>25.181159420289855</v>
      </c>
      <c r="AF30" s="6">
        <f t="shared" si="65"/>
        <v>0.39454525822579378</v>
      </c>
      <c r="AG30" s="68">
        <v>0</v>
      </c>
      <c r="AH30" s="66">
        <v>0</v>
      </c>
      <c r="AI30" s="35" t="e">
        <f t="shared" si="66"/>
        <v>#DIV/0!</v>
      </c>
      <c r="AJ30" s="6" t="e">
        <f t="shared" si="67"/>
        <v>#DIV/0!</v>
      </c>
      <c r="AK30" s="68">
        <v>0</v>
      </c>
      <c r="AL30" s="66">
        <v>0</v>
      </c>
      <c r="AM30" s="35" t="e">
        <f t="shared" si="68"/>
        <v>#DIV/0!</v>
      </c>
      <c r="AN30" s="6" t="e">
        <f t="shared" si="69"/>
        <v>#DIV/0!</v>
      </c>
      <c r="AO30" s="68">
        <v>0</v>
      </c>
      <c r="AP30" s="66">
        <v>0</v>
      </c>
      <c r="AQ30" s="35" t="e">
        <f t="shared" si="70"/>
        <v>#DIV/0!</v>
      </c>
      <c r="AR30" s="6" t="e">
        <f t="shared" si="71"/>
        <v>#DIV/0!</v>
      </c>
      <c r="AS30" s="68">
        <v>0</v>
      </c>
      <c r="AT30" s="66">
        <v>0</v>
      </c>
      <c r="AU30" s="35" t="e">
        <f t="shared" si="72"/>
        <v>#DIV/0!</v>
      </c>
      <c r="AV30" s="6" t="e">
        <f t="shared" si="73"/>
        <v>#DIV/0!</v>
      </c>
      <c r="AW30" s="68">
        <v>0</v>
      </c>
      <c r="AX30" s="66">
        <v>0</v>
      </c>
      <c r="AY30" s="35" t="e">
        <f t="shared" si="74"/>
        <v>#DIV/0!</v>
      </c>
      <c r="AZ30" s="6" t="e">
        <f t="shared" si="75"/>
        <v>#DIV/0!</v>
      </c>
      <c r="BA30" s="68">
        <v>0</v>
      </c>
      <c r="BB30" s="66">
        <v>0</v>
      </c>
      <c r="BC30" s="35" t="e">
        <f t="shared" si="76"/>
        <v>#DIV/0!</v>
      </c>
      <c r="BD30" s="11" t="e">
        <f t="shared" si="77"/>
        <v>#DIV/0!</v>
      </c>
    </row>
    <row r="31" spans="1:56" x14ac:dyDescent="0.25">
      <c r="A31" s="19" t="s">
        <v>3</v>
      </c>
      <c r="B31" s="8">
        <v>163830</v>
      </c>
      <c r="C31" s="35">
        <f>B31/F25</f>
        <v>78.68876080691642</v>
      </c>
      <c r="D31" s="8">
        <v>2700</v>
      </c>
      <c r="E31" s="68">
        <v>0</v>
      </c>
      <c r="F31" s="70">
        <v>0</v>
      </c>
      <c r="G31" s="35" t="e">
        <f t="shared" si="52"/>
        <v>#DIV/0!</v>
      </c>
      <c r="H31" s="11" t="e">
        <f t="shared" si="53"/>
        <v>#DIV/0!</v>
      </c>
      <c r="I31" s="35">
        <v>0</v>
      </c>
      <c r="J31" s="70">
        <v>0</v>
      </c>
      <c r="K31" s="35" t="e">
        <f t="shared" si="54"/>
        <v>#DIV/0!</v>
      </c>
      <c r="L31" s="6" t="e">
        <f t="shared" si="55"/>
        <v>#DIV/0!</v>
      </c>
      <c r="M31" s="68">
        <v>0</v>
      </c>
      <c r="N31" s="5">
        <v>0</v>
      </c>
      <c r="O31" s="35" t="e">
        <f t="shared" si="56"/>
        <v>#DIV/0!</v>
      </c>
      <c r="P31" s="11" t="e">
        <f t="shared" si="57"/>
        <v>#DIV/0!</v>
      </c>
      <c r="Q31" s="35">
        <v>0</v>
      </c>
      <c r="R31" s="66">
        <v>0</v>
      </c>
      <c r="S31" s="35" t="e">
        <f t="shared" si="58"/>
        <v>#DIV/0!</v>
      </c>
      <c r="T31" s="6" t="e">
        <f t="shared" si="59"/>
        <v>#DIV/0!</v>
      </c>
      <c r="U31" s="68">
        <v>0</v>
      </c>
      <c r="V31" s="66">
        <v>0</v>
      </c>
      <c r="W31" s="20" t="e">
        <f t="shared" si="60"/>
        <v>#DIV/0!</v>
      </c>
      <c r="X31" s="6" t="e">
        <f t="shared" si="61"/>
        <v>#DIV/0!</v>
      </c>
      <c r="Y31" s="68">
        <v>0</v>
      </c>
      <c r="Z31" s="70">
        <v>0</v>
      </c>
      <c r="AA31" s="35" t="e">
        <f t="shared" si="62"/>
        <v>#DIV/0!</v>
      </c>
      <c r="AB31" s="11" t="e">
        <f t="shared" si="63"/>
        <v>#DIV/0!</v>
      </c>
      <c r="AC31" s="35">
        <v>14770</v>
      </c>
      <c r="AD31" s="36">
        <v>552</v>
      </c>
      <c r="AE31" s="35">
        <f t="shared" si="64"/>
        <v>26.757246376811594</v>
      </c>
      <c r="AF31" s="6">
        <f t="shared" si="65"/>
        <v>0.3400389852683986</v>
      </c>
      <c r="AG31" s="68">
        <v>0</v>
      </c>
      <c r="AH31" s="66">
        <v>0</v>
      </c>
      <c r="AI31" s="35" t="e">
        <f t="shared" si="66"/>
        <v>#DIV/0!</v>
      </c>
      <c r="AJ31" s="6" t="e">
        <f t="shared" si="67"/>
        <v>#DIV/0!</v>
      </c>
      <c r="AK31" s="68">
        <v>0</v>
      </c>
      <c r="AL31" s="66">
        <v>0</v>
      </c>
      <c r="AM31" s="35" t="e">
        <f t="shared" si="68"/>
        <v>#DIV/0!</v>
      </c>
      <c r="AN31" s="6" t="e">
        <f t="shared" si="69"/>
        <v>#DIV/0!</v>
      </c>
      <c r="AO31" s="68">
        <v>0</v>
      </c>
      <c r="AP31" s="66">
        <v>0</v>
      </c>
      <c r="AQ31" s="35" t="e">
        <f t="shared" si="70"/>
        <v>#DIV/0!</v>
      </c>
      <c r="AR31" s="6" t="e">
        <f t="shared" si="71"/>
        <v>#DIV/0!</v>
      </c>
      <c r="AS31" s="68">
        <v>0</v>
      </c>
      <c r="AT31" s="66">
        <v>0</v>
      </c>
      <c r="AU31" s="35" t="e">
        <f t="shared" si="72"/>
        <v>#DIV/0!</v>
      </c>
      <c r="AV31" s="6" t="e">
        <f t="shared" si="73"/>
        <v>#DIV/0!</v>
      </c>
      <c r="AW31" s="68">
        <v>0</v>
      </c>
      <c r="AX31" s="66">
        <v>0</v>
      </c>
      <c r="AY31" s="35" t="e">
        <f t="shared" si="74"/>
        <v>#DIV/0!</v>
      </c>
      <c r="AZ31" s="6" t="e">
        <f t="shared" si="75"/>
        <v>#DIV/0!</v>
      </c>
      <c r="BA31" s="68">
        <v>0</v>
      </c>
      <c r="BB31" s="66">
        <v>0</v>
      </c>
      <c r="BC31" s="35" t="e">
        <f t="shared" si="76"/>
        <v>#DIV/0!</v>
      </c>
      <c r="BD31" s="11" t="e">
        <f t="shared" si="77"/>
        <v>#DIV/0!</v>
      </c>
    </row>
    <row r="32" spans="1:56" x14ac:dyDescent="0.25">
      <c r="A32" s="19" t="s">
        <v>4</v>
      </c>
      <c r="B32" s="8">
        <v>202360</v>
      </c>
      <c r="C32" s="35">
        <f>B32/F25</f>
        <v>97.195004803073971</v>
      </c>
      <c r="D32" s="8">
        <v>5250</v>
      </c>
      <c r="E32" s="68">
        <v>0</v>
      </c>
      <c r="F32" s="70">
        <v>0</v>
      </c>
      <c r="G32" s="35" t="e">
        <f t="shared" si="52"/>
        <v>#DIV/0!</v>
      </c>
      <c r="H32" s="11" t="e">
        <f t="shared" si="53"/>
        <v>#DIV/0!</v>
      </c>
      <c r="I32" s="35">
        <v>0</v>
      </c>
      <c r="J32" s="70">
        <v>0</v>
      </c>
      <c r="K32" s="35" t="e">
        <f t="shared" si="54"/>
        <v>#DIV/0!</v>
      </c>
      <c r="L32" s="6" t="e">
        <f t="shared" si="55"/>
        <v>#DIV/0!</v>
      </c>
      <c r="M32" s="68">
        <v>0</v>
      </c>
      <c r="N32" s="5">
        <v>0</v>
      </c>
      <c r="O32" s="35" t="e">
        <f t="shared" si="56"/>
        <v>#DIV/0!</v>
      </c>
      <c r="P32" s="11" t="e">
        <f t="shared" si="57"/>
        <v>#DIV/0!</v>
      </c>
      <c r="Q32" s="35">
        <v>0</v>
      </c>
      <c r="R32" s="66">
        <v>0</v>
      </c>
      <c r="S32" s="35" t="e">
        <f t="shared" si="58"/>
        <v>#DIV/0!</v>
      </c>
      <c r="T32" s="6" t="e">
        <f t="shared" si="59"/>
        <v>#DIV/0!</v>
      </c>
      <c r="U32" s="68">
        <v>0</v>
      </c>
      <c r="V32" s="66">
        <v>0</v>
      </c>
      <c r="W32" s="20" t="e">
        <f t="shared" si="60"/>
        <v>#DIV/0!</v>
      </c>
      <c r="X32" s="6" t="e">
        <f t="shared" si="61"/>
        <v>#DIV/0!</v>
      </c>
      <c r="Y32" s="68">
        <v>0</v>
      </c>
      <c r="Z32" s="70">
        <v>0</v>
      </c>
      <c r="AA32" s="35" t="e">
        <f t="shared" si="62"/>
        <v>#DIV/0!</v>
      </c>
      <c r="AB32" s="11" t="e">
        <f t="shared" si="63"/>
        <v>#DIV/0!</v>
      </c>
      <c r="AC32" s="35">
        <v>16820</v>
      </c>
      <c r="AD32" s="36">
        <v>552</v>
      </c>
      <c r="AE32" s="35">
        <f t="shared" si="64"/>
        <v>30.471014492753625</v>
      </c>
      <c r="AF32" s="6">
        <f t="shared" si="65"/>
        <v>0.31350391467638389</v>
      </c>
      <c r="AG32" s="68">
        <v>0</v>
      </c>
      <c r="AH32" s="66">
        <v>0</v>
      </c>
      <c r="AI32" s="35" t="e">
        <f t="shared" si="66"/>
        <v>#DIV/0!</v>
      </c>
      <c r="AJ32" s="6" t="e">
        <f t="shared" si="67"/>
        <v>#DIV/0!</v>
      </c>
      <c r="AK32" s="68">
        <v>0</v>
      </c>
      <c r="AL32" s="66">
        <v>0</v>
      </c>
      <c r="AM32" s="35" t="e">
        <f t="shared" si="68"/>
        <v>#DIV/0!</v>
      </c>
      <c r="AN32" s="6" t="e">
        <f t="shared" si="69"/>
        <v>#DIV/0!</v>
      </c>
      <c r="AO32" s="68">
        <v>0</v>
      </c>
      <c r="AP32" s="66">
        <v>0</v>
      </c>
      <c r="AQ32" s="35" t="e">
        <f t="shared" si="70"/>
        <v>#DIV/0!</v>
      </c>
      <c r="AR32" s="6" t="e">
        <f t="shared" si="71"/>
        <v>#DIV/0!</v>
      </c>
      <c r="AS32" s="68">
        <v>0</v>
      </c>
      <c r="AT32" s="66">
        <v>0</v>
      </c>
      <c r="AU32" s="35" t="e">
        <f t="shared" si="72"/>
        <v>#DIV/0!</v>
      </c>
      <c r="AV32" s="6" t="e">
        <f t="shared" si="73"/>
        <v>#DIV/0!</v>
      </c>
      <c r="AW32" s="68">
        <v>0</v>
      </c>
      <c r="AX32" s="66">
        <v>0</v>
      </c>
      <c r="AY32" s="35" t="e">
        <f t="shared" si="74"/>
        <v>#DIV/0!</v>
      </c>
      <c r="AZ32" s="6" t="e">
        <f t="shared" si="75"/>
        <v>#DIV/0!</v>
      </c>
      <c r="BA32" s="68">
        <v>0</v>
      </c>
      <c r="BB32" s="66">
        <v>0</v>
      </c>
      <c r="BC32" s="35" t="e">
        <f t="shared" si="76"/>
        <v>#DIV/0!</v>
      </c>
      <c r="BD32" s="11" t="e">
        <f t="shared" si="77"/>
        <v>#DIV/0!</v>
      </c>
    </row>
    <row r="33" spans="1:56" x14ac:dyDescent="0.25">
      <c r="A33" s="19" t="s">
        <v>5</v>
      </c>
      <c r="B33" s="8">
        <v>270790</v>
      </c>
      <c r="C33" s="35">
        <f>B33/F25</f>
        <v>130.06243996157542</v>
      </c>
      <c r="D33" s="8">
        <v>7050</v>
      </c>
      <c r="E33" s="68">
        <v>0</v>
      </c>
      <c r="F33" s="70">
        <v>0</v>
      </c>
      <c r="G33" s="35" t="e">
        <f t="shared" si="52"/>
        <v>#DIV/0!</v>
      </c>
      <c r="H33" s="11" t="e">
        <f t="shared" si="53"/>
        <v>#DIV/0!</v>
      </c>
      <c r="I33" s="35">
        <v>0</v>
      </c>
      <c r="J33" s="70">
        <v>0</v>
      </c>
      <c r="K33" s="35" t="e">
        <f t="shared" si="54"/>
        <v>#DIV/0!</v>
      </c>
      <c r="L33" s="6" t="e">
        <f t="shared" si="55"/>
        <v>#DIV/0!</v>
      </c>
      <c r="M33" s="68">
        <v>0</v>
      </c>
      <c r="N33" s="5">
        <v>0</v>
      </c>
      <c r="O33" s="35" t="e">
        <f t="shared" si="56"/>
        <v>#DIV/0!</v>
      </c>
      <c r="P33" s="11" t="e">
        <f t="shared" si="57"/>
        <v>#DIV/0!</v>
      </c>
      <c r="Q33" s="35">
        <v>0</v>
      </c>
      <c r="R33" s="66">
        <v>0</v>
      </c>
      <c r="S33" s="35" t="e">
        <f t="shared" si="58"/>
        <v>#DIV/0!</v>
      </c>
      <c r="T33" s="6" t="e">
        <f t="shared" si="59"/>
        <v>#DIV/0!</v>
      </c>
      <c r="U33" s="68">
        <v>0</v>
      </c>
      <c r="V33" s="66">
        <v>0</v>
      </c>
      <c r="W33" s="20" t="e">
        <f t="shared" si="60"/>
        <v>#DIV/0!</v>
      </c>
      <c r="X33" s="6" t="e">
        <f t="shared" si="61"/>
        <v>#DIV/0!</v>
      </c>
      <c r="Y33" s="68">
        <v>0</v>
      </c>
      <c r="Z33" s="70">
        <v>0</v>
      </c>
      <c r="AA33" s="35" t="e">
        <f t="shared" si="62"/>
        <v>#DIV/0!</v>
      </c>
      <c r="AB33" s="11" t="e">
        <f t="shared" si="63"/>
        <v>#DIV/0!</v>
      </c>
      <c r="AC33" s="35">
        <v>18880</v>
      </c>
      <c r="AD33" s="36">
        <v>552</v>
      </c>
      <c r="AE33" s="35">
        <f t="shared" si="64"/>
        <v>34.20289855072464</v>
      </c>
      <c r="AF33" s="6">
        <f t="shared" si="65"/>
        <v>0.26297291178628712</v>
      </c>
      <c r="AG33" s="68">
        <v>0</v>
      </c>
      <c r="AH33" s="66">
        <v>0</v>
      </c>
      <c r="AI33" s="35" t="e">
        <f t="shared" si="66"/>
        <v>#DIV/0!</v>
      </c>
      <c r="AJ33" s="6" t="e">
        <f t="shared" si="67"/>
        <v>#DIV/0!</v>
      </c>
      <c r="AK33" s="68">
        <v>0</v>
      </c>
      <c r="AL33" s="66">
        <v>0</v>
      </c>
      <c r="AM33" s="35" t="e">
        <f t="shared" si="68"/>
        <v>#DIV/0!</v>
      </c>
      <c r="AN33" s="6" t="e">
        <f t="shared" si="69"/>
        <v>#DIV/0!</v>
      </c>
      <c r="AO33" s="68">
        <v>0</v>
      </c>
      <c r="AP33" s="66">
        <v>0</v>
      </c>
      <c r="AQ33" s="35" t="e">
        <f t="shared" si="70"/>
        <v>#DIV/0!</v>
      </c>
      <c r="AR33" s="6" t="e">
        <f t="shared" si="71"/>
        <v>#DIV/0!</v>
      </c>
      <c r="AS33" s="68">
        <v>0</v>
      </c>
      <c r="AT33" s="66">
        <v>0</v>
      </c>
      <c r="AU33" s="35" t="e">
        <f t="shared" si="72"/>
        <v>#DIV/0!</v>
      </c>
      <c r="AV33" s="6" t="e">
        <f t="shared" si="73"/>
        <v>#DIV/0!</v>
      </c>
      <c r="AW33" s="68">
        <v>0</v>
      </c>
      <c r="AX33" s="66">
        <v>0</v>
      </c>
      <c r="AY33" s="35" t="e">
        <f t="shared" si="74"/>
        <v>#DIV/0!</v>
      </c>
      <c r="AZ33" s="6" t="e">
        <f t="shared" si="75"/>
        <v>#DIV/0!</v>
      </c>
      <c r="BA33" s="68">
        <v>0</v>
      </c>
      <c r="BB33" s="66">
        <v>0</v>
      </c>
      <c r="BC33" s="35" t="e">
        <f t="shared" si="76"/>
        <v>#DIV/0!</v>
      </c>
      <c r="BD33" s="11" t="e">
        <f t="shared" si="77"/>
        <v>#DIV/0!</v>
      </c>
    </row>
    <row r="34" spans="1:56" x14ac:dyDescent="0.25">
      <c r="A34" s="19" t="s">
        <v>6</v>
      </c>
      <c r="B34" s="8">
        <v>326750</v>
      </c>
      <c r="C34" s="35">
        <f>B34/F25</f>
        <v>156.940441882805</v>
      </c>
      <c r="D34" s="8">
        <v>10950</v>
      </c>
      <c r="E34" s="68">
        <v>0</v>
      </c>
      <c r="F34" s="70">
        <v>0</v>
      </c>
      <c r="G34" s="35" t="e">
        <f t="shared" si="52"/>
        <v>#DIV/0!</v>
      </c>
      <c r="H34" s="11" t="e">
        <f t="shared" si="53"/>
        <v>#DIV/0!</v>
      </c>
      <c r="I34" s="35">
        <v>0</v>
      </c>
      <c r="J34" s="70">
        <v>0</v>
      </c>
      <c r="K34" s="35" t="e">
        <f t="shared" si="54"/>
        <v>#DIV/0!</v>
      </c>
      <c r="L34" s="6" t="e">
        <f t="shared" si="55"/>
        <v>#DIV/0!</v>
      </c>
      <c r="M34" s="68">
        <v>0</v>
      </c>
      <c r="N34" s="5">
        <v>0</v>
      </c>
      <c r="O34" s="35" t="e">
        <f t="shared" si="56"/>
        <v>#DIV/0!</v>
      </c>
      <c r="P34" s="11" t="e">
        <f t="shared" si="57"/>
        <v>#DIV/0!</v>
      </c>
      <c r="Q34" s="35">
        <v>0</v>
      </c>
      <c r="R34" s="66">
        <v>0</v>
      </c>
      <c r="S34" s="35" t="e">
        <f t="shared" si="58"/>
        <v>#DIV/0!</v>
      </c>
      <c r="T34" s="6" t="e">
        <f t="shared" si="59"/>
        <v>#DIV/0!</v>
      </c>
      <c r="U34" s="68">
        <v>0</v>
      </c>
      <c r="V34" s="66">
        <v>0</v>
      </c>
      <c r="W34" s="20" t="e">
        <f t="shared" si="60"/>
        <v>#DIV/0!</v>
      </c>
      <c r="X34" s="6" t="e">
        <f t="shared" si="61"/>
        <v>#DIV/0!</v>
      </c>
      <c r="Y34" s="68">
        <v>0</v>
      </c>
      <c r="Z34" s="70">
        <v>0</v>
      </c>
      <c r="AA34" s="35" t="e">
        <f t="shared" si="62"/>
        <v>#DIV/0!</v>
      </c>
      <c r="AB34" s="11" t="e">
        <f t="shared" si="63"/>
        <v>#DIV/0!</v>
      </c>
      <c r="AC34" s="35">
        <v>27050</v>
      </c>
      <c r="AD34" s="36">
        <v>552</v>
      </c>
      <c r="AE34" s="35">
        <f t="shared" si="64"/>
        <v>49.003623188405797</v>
      </c>
      <c r="AF34" s="6">
        <f t="shared" si="65"/>
        <v>0.31224343834203783</v>
      </c>
      <c r="AG34" s="68">
        <v>0</v>
      </c>
      <c r="AH34" s="66">
        <v>0</v>
      </c>
      <c r="AI34" s="35" t="e">
        <f t="shared" si="66"/>
        <v>#DIV/0!</v>
      </c>
      <c r="AJ34" s="6" t="e">
        <f t="shared" si="67"/>
        <v>#DIV/0!</v>
      </c>
      <c r="AK34" s="68">
        <v>0</v>
      </c>
      <c r="AL34" s="66">
        <v>0</v>
      </c>
      <c r="AM34" s="35" t="e">
        <f t="shared" si="68"/>
        <v>#DIV/0!</v>
      </c>
      <c r="AN34" s="6" t="e">
        <f t="shared" si="69"/>
        <v>#DIV/0!</v>
      </c>
      <c r="AO34" s="68">
        <v>0</v>
      </c>
      <c r="AP34" s="66">
        <v>0</v>
      </c>
      <c r="AQ34" s="35" t="e">
        <f t="shared" si="70"/>
        <v>#DIV/0!</v>
      </c>
      <c r="AR34" s="6" t="e">
        <f t="shared" si="71"/>
        <v>#DIV/0!</v>
      </c>
      <c r="AS34" s="68">
        <v>0</v>
      </c>
      <c r="AT34" s="66">
        <v>0</v>
      </c>
      <c r="AU34" s="35" t="e">
        <f t="shared" si="72"/>
        <v>#DIV/0!</v>
      </c>
      <c r="AV34" s="6" t="e">
        <f t="shared" si="73"/>
        <v>#DIV/0!</v>
      </c>
      <c r="AW34" s="68">
        <v>0</v>
      </c>
      <c r="AX34" s="66">
        <v>0</v>
      </c>
      <c r="AY34" s="35" t="e">
        <f t="shared" si="74"/>
        <v>#DIV/0!</v>
      </c>
      <c r="AZ34" s="6" t="e">
        <f t="shared" si="75"/>
        <v>#DIV/0!</v>
      </c>
      <c r="BA34" s="68">
        <v>0</v>
      </c>
      <c r="BB34" s="66">
        <v>0</v>
      </c>
      <c r="BC34" s="35" t="e">
        <f t="shared" si="76"/>
        <v>#DIV/0!</v>
      </c>
      <c r="BD34" s="11" t="e">
        <f t="shared" si="77"/>
        <v>#DIV/0!</v>
      </c>
    </row>
    <row r="35" spans="1:56" ht="15.75" thickBot="1" x14ac:dyDescent="0.3">
      <c r="A35" s="21"/>
      <c r="B35" s="22"/>
      <c r="C35" s="23">
        <f>AVERAGE(Table1103[MA $/Sq Ft])</f>
        <v>89.730341704405106</v>
      </c>
      <c r="D35" s="22">
        <f>AVERAGE(Table1103[Basic Allowance])</f>
        <v>4442.8571428571431</v>
      </c>
      <c r="E35" s="16"/>
      <c r="F35" s="22"/>
      <c r="G35" s="15"/>
      <c r="H35" s="24" t="e">
        <f>AVERAGE(Table1103[Bsmt % Base])</f>
        <v>#DIV/0!</v>
      </c>
      <c r="I35" s="15"/>
      <c r="J35" s="15"/>
      <c r="K35" s="15"/>
      <c r="L35" s="25" t="e">
        <f>AVERAGE(Table1103[[#Headers],[#Data],[UnfBsmt % Base]])</f>
        <v>#DIV/0!</v>
      </c>
      <c r="M35" s="44"/>
      <c r="N35" s="15"/>
      <c r="O35" s="23" t="e">
        <f>AVERAGE(Table1103[LowerVal/SqFt])</f>
        <v>#DIV/0!</v>
      </c>
      <c r="P35" s="24" t="e">
        <f>AVERAGE(Table1103[Lower % Base])</f>
        <v>#DIV/0!</v>
      </c>
      <c r="Q35" s="13"/>
      <c r="R35" s="13"/>
      <c r="S35" s="13"/>
      <c r="T35" s="25" t="e">
        <f>AVERAGE(Table1103[Unf Lower % Base])</f>
        <v>#DIV/0!</v>
      </c>
      <c r="U35" s="12"/>
      <c r="V35" s="13"/>
      <c r="W35" s="13"/>
      <c r="X35" s="25" t="e">
        <f>AVERAGE(Table1103[1/2 Story % Base])</f>
        <v>#DIV/0!</v>
      </c>
      <c r="Y35" s="12"/>
      <c r="Z35" s="13"/>
      <c r="AA35" s="13"/>
      <c r="AB35" s="24" t="e">
        <f>AVERAGE(Table1103[2nd Story % Base])</f>
        <v>#DIV/0!</v>
      </c>
      <c r="AC35" s="13"/>
      <c r="AD35" s="13"/>
      <c r="AE35" s="23">
        <f>AVERAGE(Table1103[AttGarVal/SqFt])</f>
        <v>28.646480331262939</v>
      </c>
      <c r="AF35" s="25">
        <f>AVERAGE(Table1103[Att Gar % Base])</f>
        <v>0.32968403909483462</v>
      </c>
      <c r="AG35" s="12"/>
      <c r="AH35" s="13"/>
      <c r="AI35" s="13"/>
      <c r="AJ35" s="25" t="e">
        <f>AVERAGE(Table1103[Porch % Base])</f>
        <v>#DIV/0!</v>
      </c>
      <c r="AK35" s="12"/>
      <c r="AL35" s="13"/>
      <c r="AM35" s="13"/>
      <c r="AN35" s="25" t="e">
        <f>AVERAGE(Table1103[Cov Porch % Base])</f>
        <v>#DIV/0!</v>
      </c>
      <c r="AO35" s="12"/>
      <c r="AP35" s="13"/>
      <c r="AQ35" s="13"/>
      <c r="AR35" s="25" t="e">
        <f>AVERAGE(Table1103[Deck % Base])</f>
        <v>#DIV/0!</v>
      </c>
      <c r="AS35" s="12"/>
      <c r="AT35" s="13"/>
      <c r="AU35" s="23" t="e">
        <f>AVERAGE(Table1103[CovDeckVal/SqFt])</f>
        <v>#DIV/0!</v>
      </c>
      <c r="AV35" s="25" t="e">
        <f>AVERAGE(Table1103[CovDeck % Base])</f>
        <v>#DIV/0!</v>
      </c>
      <c r="AW35" s="12"/>
      <c r="AX35" s="13"/>
      <c r="AY35" s="13"/>
      <c r="AZ35" s="25" t="e">
        <f>AVERAGE(Table1103[CarP % Base])</f>
        <v>#DIV/0!</v>
      </c>
      <c r="BA35" s="12"/>
      <c r="BB35" s="13"/>
      <c r="BC35" s="13"/>
      <c r="BD35" s="24" t="e">
        <f>AVERAGE(Table1103[EFP % Base])</f>
        <v>#DIV/0!</v>
      </c>
    </row>
    <row r="36" spans="1:56" x14ac:dyDescent="0.25">
      <c r="B36" s="2"/>
      <c r="C36" s="2"/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</row>
    <row r="37" spans="1:56" ht="15.75" thickBot="1" x14ac:dyDescent="0.3">
      <c r="A37" s="84"/>
      <c r="B37" s="74" t="s">
        <v>85</v>
      </c>
      <c r="C37" s="74"/>
      <c r="D37" s="74"/>
      <c r="E37" s="74" t="s">
        <v>33</v>
      </c>
      <c r="F37" s="75">
        <v>768</v>
      </c>
      <c r="G37" s="74"/>
      <c r="H37" s="74" t="s">
        <v>86</v>
      </c>
      <c r="I37" s="74"/>
      <c r="J37" s="74" t="s">
        <v>83</v>
      </c>
      <c r="K37" s="75">
        <v>1948</v>
      </c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6"/>
    </row>
    <row r="38" spans="1:56" x14ac:dyDescent="0.25">
      <c r="A38" s="112"/>
      <c r="B38" s="113"/>
      <c r="C38" s="113"/>
      <c r="D38" s="114"/>
      <c r="E38" s="115" t="s">
        <v>27</v>
      </c>
      <c r="F38" s="116"/>
      <c r="G38" s="116"/>
      <c r="H38" s="117"/>
      <c r="I38" s="118" t="s">
        <v>28</v>
      </c>
      <c r="J38" s="119"/>
      <c r="K38" s="119"/>
      <c r="L38" s="120"/>
      <c r="M38" s="121" t="s">
        <v>7</v>
      </c>
      <c r="N38" s="122"/>
      <c r="O38" s="122"/>
      <c r="P38" s="122"/>
      <c r="Q38" s="124" t="s">
        <v>29</v>
      </c>
      <c r="R38" s="125"/>
      <c r="S38" s="125"/>
      <c r="T38" s="126"/>
      <c r="U38" s="128" t="s">
        <v>8</v>
      </c>
      <c r="V38" s="128"/>
      <c r="W38" s="128"/>
      <c r="X38" s="129"/>
      <c r="Y38" s="130" t="s">
        <v>0</v>
      </c>
      <c r="Z38" s="131"/>
      <c r="AA38" s="131"/>
      <c r="AB38" s="132"/>
      <c r="AC38" s="133" t="s">
        <v>34</v>
      </c>
      <c r="AD38" s="134"/>
      <c r="AE38" s="134"/>
      <c r="AF38" s="135"/>
      <c r="AG38" s="115" t="s">
        <v>9</v>
      </c>
      <c r="AH38" s="116"/>
      <c r="AI38" s="116"/>
      <c r="AJ38" s="117"/>
      <c r="AK38" s="136" t="s">
        <v>35</v>
      </c>
      <c r="AL38" s="137"/>
      <c r="AM38" s="137"/>
      <c r="AN38" s="138"/>
      <c r="AO38" s="139" t="s">
        <v>10</v>
      </c>
      <c r="AP38" s="140"/>
      <c r="AQ38" s="140"/>
      <c r="AR38" s="141"/>
      <c r="AS38" s="124" t="s">
        <v>36</v>
      </c>
      <c r="AT38" s="125"/>
      <c r="AU38" s="125"/>
      <c r="AV38" s="126"/>
      <c r="AW38" s="142" t="s">
        <v>11</v>
      </c>
      <c r="AX38" s="143"/>
      <c r="AY38" s="143"/>
      <c r="AZ38" s="144"/>
      <c r="BA38" s="148" t="s">
        <v>17</v>
      </c>
      <c r="BB38" s="149"/>
      <c r="BC38" s="149"/>
      <c r="BD38" s="150"/>
    </row>
    <row r="39" spans="1:56" s="1" customFormat="1" ht="15.75" thickBot="1" x14ac:dyDescent="0.3">
      <c r="A39" s="41" t="s">
        <v>13</v>
      </c>
      <c r="B39" s="42" t="s">
        <v>15</v>
      </c>
      <c r="C39" s="42" t="s">
        <v>32</v>
      </c>
      <c r="D39" s="43" t="s">
        <v>18</v>
      </c>
      <c r="E39" s="30" t="s">
        <v>30</v>
      </c>
      <c r="F39" s="31" t="s">
        <v>61</v>
      </c>
      <c r="G39" s="31" t="s">
        <v>38</v>
      </c>
      <c r="H39" s="32" t="s">
        <v>62</v>
      </c>
      <c r="I39" s="37" t="s">
        <v>31</v>
      </c>
      <c r="J39" s="38" t="s">
        <v>39</v>
      </c>
      <c r="K39" s="38" t="s">
        <v>40</v>
      </c>
      <c r="L39" s="39" t="s">
        <v>63</v>
      </c>
      <c r="M39" s="40" t="s">
        <v>19</v>
      </c>
      <c r="N39" s="7" t="s">
        <v>41</v>
      </c>
      <c r="O39" s="7" t="s">
        <v>37</v>
      </c>
      <c r="P39" s="7" t="s">
        <v>64</v>
      </c>
      <c r="Q39" s="27" t="s">
        <v>20</v>
      </c>
      <c r="R39" s="28" t="s">
        <v>60</v>
      </c>
      <c r="S39" s="28" t="s">
        <v>59</v>
      </c>
      <c r="T39" s="29" t="s">
        <v>65</v>
      </c>
      <c r="U39" s="48" t="s">
        <v>21</v>
      </c>
      <c r="V39" s="48" t="s">
        <v>42</v>
      </c>
      <c r="W39" s="48" t="s">
        <v>43</v>
      </c>
      <c r="X39" s="49" t="s">
        <v>66</v>
      </c>
      <c r="Y39" s="50" t="s">
        <v>22</v>
      </c>
      <c r="Z39" s="51" t="s">
        <v>44</v>
      </c>
      <c r="AA39" s="51" t="s">
        <v>45</v>
      </c>
      <c r="AB39" s="52" t="s">
        <v>67</v>
      </c>
      <c r="AC39" s="45" t="s">
        <v>23</v>
      </c>
      <c r="AD39" s="46" t="s">
        <v>46</v>
      </c>
      <c r="AE39" s="46" t="s">
        <v>47</v>
      </c>
      <c r="AF39" s="47" t="s">
        <v>68</v>
      </c>
      <c r="AG39" s="30" t="s">
        <v>24</v>
      </c>
      <c r="AH39" s="31" t="s">
        <v>48</v>
      </c>
      <c r="AI39" s="31" t="s">
        <v>49</v>
      </c>
      <c r="AJ39" s="32" t="s">
        <v>69</v>
      </c>
      <c r="AK39" s="53" t="s">
        <v>25</v>
      </c>
      <c r="AL39" s="54" t="s">
        <v>50</v>
      </c>
      <c r="AM39" s="54" t="s">
        <v>51</v>
      </c>
      <c r="AN39" s="55" t="s">
        <v>70</v>
      </c>
      <c r="AO39" s="56" t="s">
        <v>26</v>
      </c>
      <c r="AP39" s="57" t="s">
        <v>52</v>
      </c>
      <c r="AQ39" s="57" t="s">
        <v>53</v>
      </c>
      <c r="AR39" s="58" t="s">
        <v>71</v>
      </c>
      <c r="AS39" s="59" t="s">
        <v>55</v>
      </c>
      <c r="AT39" s="60" t="s">
        <v>54</v>
      </c>
      <c r="AU39" s="60" t="s">
        <v>56</v>
      </c>
      <c r="AV39" s="61" t="s">
        <v>76</v>
      </c>
      <c r="AW39" s="62" t="s">
        <v>72</v>
      </c>
      <c r="AX39" s="63" t="s">
        <v>73</v>
      </c>
      <c r="AY39" s="63" t="s">
        <v>74</v>
      </c>
      <c r="AZ39" s="64" t="s">
        <v>75</v>
      </c>
      <c r="BA39" s="71" t="s">
        <v>77</v>
      </c>
      <c r="BB39" s="72" t="s">
        <v>57</v>
      </c>
      <c r="BC39" s="72" t="s">
        <v>58</v>
      </c>
      <c r="BD39" s="73" t="s">
        <v>78</v>
      </c>
    </row>
    <row r="40" spans="1:56" x14ac:dyDescent="0.25">
      <c r="A40" s="17" t="s">
        <v>1</v>
      </c>
      <c r="B40" s="14">
        <v>42240</v>
      </c>
      <c r="C40" s="34">
        <f>B40/F37</f>
        <v>55</v>
      </c>
      <c r="D40" s="14">
        <v>1525</v>
      </c>
      <c r="E40" s="67">
        <v>0</v>
      </c>
      <c r="F40" s="69">
        <v>0</v>
      </c>
      <c r="G40" s="34" t="e">
        <f t="shared" ref="G40:G46" si="78">E40/F40</f>
        <v>#DIV/0!</v>
      </c>
      <c r="H40" s="10" t="e">
        <f t="shared" ref="H40:H46" si="79">G40/C40</f>
        <v>#DIV/0!</v>
      </c>
      <c r="I40" s="34">
        <v>0</v>
      </c>
      <c r="J40" s="69">
        <v>0</v>
      </c>
      <c r="K40" s="34" t="e">
        <f t="shared" ref="K40:K46" si="80">I40/J40</f>
        <v>#DIV/0!</v>
      </c>
      <c r="L40" s="9" t="e">
        <f t="shared" ref="L40:L46" si="81">K40/C40</f>
        <v>#DIV/0!</v>
      </c>
      <c r="M40" s="67">
        <v>0</v>
      </c>
      <c r="N40" s="26">
        <v>0</v>
      </c>
      <c r="O40" s="34" t="e">
        <f t="shared" ref="O40:O46" si="82">M40/N40</f>
        <v>#DIV/0!</v>
      </c>
      <c r="P40" s="10" t="e">
        <f t="shared" ref="P40:P46" si="83">O40/C40</f>
        <v>#DIV/0!</v>
      </c>
      <c r="Q40" s="35">
        <v>0</v>
      </c>
      <c r="R40" s="66">
        <v>0</v>
      </c>
      <c r="S40" s="35" t="e">
        <f t="shared" ref="S40:S46" si="84">Q40/R40</f>
        <v>#DIV/0!</v>
      </c>
      <c r="T40" s="6" t="e">
        <f t="shared" ref="T40:T46" si="85">S40/C40</f>
        <v>#DIV/0!</v>
      </c>
      <c r="U40" s="67">
        <v>0</v>
      </c>
      <c r="V40" s="65">
        <v>0</v>
      </c>
      <c r="W40" s="18" t="e">
        <f t="shared" ref="W40:W46" si="86">U40/V40</f>
        <v>#DIV/0!</v>
      </c>
      <c r="X40" s="9" t="e">
        <f t="shared" ref="X40:X46" si="87">W40/C40</f>
        <v>#DIV/0!</v>
      </c>
      <c r="Y40" s="67">
        <v>0</v>
      </c>
      <c r="Z40" s="69">
        <v>0</v>
      </c>
      <c r="AA40" s="34" t="e">
        <f t="shared" ref="AA40:AA46" si="88">Y40/Z40</f>
        <v>#DIV/0!</v>
      </c>
      <c r="AB40" s="10" t="e">
        <f t="shared" ref="AB40:AB46" si="89">AA40/C40</f>
        <v>#DIV/0!</v>
      </c>
      <c r="AC40" s="34">
        <v>5570</v>
      </c>
      <c r="AD40" s="33">
        <v>336</v>
      </c>
      <c r="AE40" s="34">
        <f t="shared" ref="AE40:AE46" si="90">AC40/AD40</f>
        <v>16.577380952380953</v>
      </c>
      <c r="AF40" s="9">
        <f t="shared" ref="AF40:AF46" si="91">AE40/C40</f>
        <v>0.3014069264069264</v>
      </c>
      <c r="AG40" s="67">
        <v>0</v>
      </c>
      <c r="AH40" s="65">
        <v>0</v>
      </c>
      <c r="AI40" s="34" t="e">
        <f t="shared" ref="AI40:AI46" si="92">AG40/AH40</f>
        <v>#DIV/0!</v>
      </c>
      <c r="AJ40" s="9" t="e">
        <f t="shared" ref="AJ40:AJ46" si="93">AI40/C40</f>
        <v>#DIV/0!</v>
      </c>
      <c r="AK40" s="67">
        <v>2190</v>
      </c>
      <c r="AL40" s="65">
        <v>364</v>
      </c>
      <c r="AM40" s="34">
        <f t="shared" ref="AM40:AM46" si="94">AK40/AL40</f>
        <v>6.0164835164835164</v>
      </c>
      <c r="AN40" s="9">
        <f t="shared" ref="AN40:AN46" si="95">AM40/C40</f>
        <v>0.10939060939060939</v>
      </c>
      <c r="AO40" s="67">
        <v>0</v>
      </c>
      <c r="AP40" s="65">
        <v>0</v>
      </c>
      <c r="AQ40" s="34" t="e">
        <f t="shared" ref="AQ40:AQ46" si="96">AO40/AP40</f>
        <v>#DIV/0!</v>
      </c>
      <c r="AR40" s="9" t="e">
        <f t="shared" ref="AR40:AR46" si="97">AQ40/C40</f>
        <v>#DIV/0!</v>
      </c>
      <c r="AS40" s="67">
        <v>0</v>
      </c>
      <c r="AT40" s="65">
        <v>0</v>
      </c>
      <c r="AU40" s="34" t="e">
        <f t="shared" ref="AU40:AU46" si="98">AS40/AT40</f>
        <v>#DIV/0!</v>
      </c>
      <c r="AV40" s="9" t="e">
        <f t="shared" ref="AV40:AV46" si="99">AU40/C40</f>
        <v>#DIV/0!</v>
      </c>
      <c r="AW40" s="67">
        <v>0</v>
      </c>
      <c r="AX40" s="65">
        <v>0</v>
      </c>
      <c r="AY40" s="34" t="e">
        <f t="shared" ref="AY40:AY46" si="100">AW40/AX40</f>
        <v>#DIV/0!</v>
      </c>
      <c r="AZ40" s="9" t="e">
        <f t="shared" ref="AZ40:AZ46" si="101">AY40/C40</f>
        <v>#DIV/0!</v>
      </c>
      <c r="BA40" s="67">
        <v>0</v>
      </c>
      <c r="BB40" s="65">
        <v>0</v>
      </c>
      <c r="BC40" s="34" t="e">
        <f t="shared" ref="BC40:BC46" si="102">BA40/BB40</f>
        <v>#DIV/0!</v>
      </c>
      <c r="BD40" s="10" t="e">
        <f t="shared" ref="BD40:BD46" si="103">BC40/C40</f>
        <v>#DIV/0!</v>
      </c>
    </row>
    <row r="41" spans="1:56" x14ac:dyDescent="0.25">
      <c r="A41" s="19" t="s">
        <v>16</v>
      </c>
      <c r="B41" s="8">
        <v>49700</v>
      </c>
      <c r="C41" s="35">
        <f>B41/F37</f>
        <v>64.713541666666671</v>
      </c>
      <c r="D41" s="8">
        <v>1525</v>
      </c>
      <c r="E41" s="68">
        <v>0</v>
      </c>
      <c r="F41" s="70">
        <v>0</v>
      </c>
      <c r="G41" s="35" t="e">
        <f t="shared" si="78"/>
        <v>#DIV/0!</v>
      </c>
      <c r="H41" s="11" t="e">
        <f t="shared" si="79"/>
        <v>#DIV/0!</v>
      </c>
      <c r="I41" s="35">
        <v>0</v>
      </c>
      <c r="J41" s="70">
        <v>0</v>
      </c>
      <c r="K41" s="35" t="e">
        <f t="shared" si="80"/>
        <v>#DIV/0!</v>
      </c>
      <c r="L41" s="6" t="e">
        <f t="shared" si="81"/>
        <v>#DIV/0!</v>
      </c>
      <c r="M41" s="68">
        <v>0</v>
      </c>
      <c r="N41" s="5">
        <v>0</v>
      </c>
      <c r="O41" s="35" t="e">
        <f t="shared" si="82"/>
        <v>#DIV/0!</v>
      </c>
      <c r="P41" s="11" t="e">
        <f t="shared" si="83"/>
        <v>#DIV/0!</v>
      </c>
      <c r="Q41" s="35">
        <v>0</v>
      </c>
      <c r="R41" s="66">
        <v>0</v>
      </c>
      <c r="S41" s="35" t="e">
        <f t="shared" si="84"/>
        <v>#DIV/0!</v>
      </c>
      <c r="T41" s="6" t="e">
        <f t="shared" si="85"/>
        <v>#DIV/0!</v>
      </c>
      <c r="U41" s="68">
        <v>0</v>
      </c>
      <c r="V41" s="66">
        <v>0</v>
      </c>
      <c r="W41" s="20" t="e">
        <f t="shared" si="86"/>
        <v>#DIV/0!</v>
      </c>
      <c r="X41" s="6" t="e">
        <f t="shared" si="87"/>
        <v>#DIV/0!</v>
      </c>
      <c r="Y41" s="68">
        <v>0</v>
      </c>
      <c r="Z41" s="70">
        <v>0</v>
      </c>
      <c r="AA41" s="35" t="e">
        <f t="shared" si="88"/>
        <v>#DIV/0!</v>
      </c>
      <c r="AB41" s="11" t="e">
        <f t="shared" si="89"/>
        <v>#DIV/0!</v>
      </c>
      <c r="AC41" s="35">
        <v>7780</v>
      </c>
      <c r="AD41" s="36">
        <v>336</v>
      </c>
      <c r="AE41" s="35">
        <f t="shared" si="90"/>
        <v>23.154761904761905</v>
      </c>
      <c r="AF41" s="6">
        <f t="shared" si="91"/>
        <v>0.35780396665708536</v>
      </c>
      <c r="AG41" s="68">
        <v>0</v>
      </c>
      <c r="AH41" s="66">
        <v>0</v>
      </c>
      <c r="AI41" s="35" t="e">
        <f t="shared" si="92"/>
        <v>#DIV/0!</v>
      </c>
      <c r="AJ41" s="6" t="e">
        <f t="shared" si="93"/>
        <v>#DIV/0!</v>
      </c>
      <c r="AK41" s="68">
        <v>3180</v>
      </c>
      <c r="AL41" s="66">
        <v>364</v>
      </c>
      <c r="AM41" s="35">
        <f t="shared" si="94"/>
        <v>8.7362637362637354</v>
      </c>
      <c r="AN41" s="6">
        <f t="shared" si="95"/>
        <v>0.13499900501912573</v>
      </c>
      <c r="AO41" s="68">
        <v>0</v>
      </c>
      <c r="AP41" s="66">
        <v>0</v>
      </c>
      <c r="AQ41" s="35" t="e">
        <f t="shared" si="96"/>
        <v>#DIV/0!</v>
      </c>
      <c r="AR41" s="6" t="e">
        <f t="shared" si="97"/>
        <v>#DIV/0!</v>
      </c>
      <c r="AS41" s="68">
        <v>0</v>
      </c>
      <c r="AT41" s="66">
        <v>0</v>
      </c>
      <c r="AU41" s="35" t="e">
        <f t="shared" si="98"/>
        <v>#DIV/0!</v>
      </c>
      <c r="AV41" s="6" t="e">
        <f t="shared" si="99"/>
        <v>#DIV/0!</v>
      </c>
      <c r="AW41" s="68">
        <v>0</v>
      </c>
      <c r="AX41" s="66">
        <v>0</v>
      </c>
      <c r="AY41" s="35" t="e">
        <f t="shared" si="100"/>
        <v>#DIV/0!</v>
      </c>
      <c r="AZ41" s="6" t="e">
        <f t="shared" si="101"/>
        <v>#DIV/0!</v>
      </c>
      <c r="BA41" s="68">
        <v>0</v>
      </c>
      <c r="BB41" s="66">
        <v>0</v>
      </c>
      <c r="BC41" s="35" t="e">
        <f t="shared" si="102"/>
        <v>#DIV/0!</v>
      </c>
      <c r="BD41" s="11" t="e">
        <f t="shared" si="103"/>
        <v>#DIV/0!</v>
      </c>
    </row>
    <row r="42" spans="1:56" x14ac:dyDescent="0.25">
      <c r="A42" s="19" t="s">
        <v>2</v>
      </c>
      <c r="B42" s="8">
        <v>58220</v>
      </c>
      <c r="C42" s="35">
        <f>B42/F37</f>
        <v>75.807291666666671</v>
      </c>
      <c r="D42" s="8">
        <v>2100</v>
      </c>
      <c r="E42" s="68">
        <v>0</v>
      </c>
      <c r="F42" s="70">
        <v>0</v>
      </c>
      <c r="G42" s="35" t="e">
        <f t="shared" si="78"/>
        <v>#DIV/0!</v>
      </c>
      <c r="H42" s="11" t="e">
        <f t="shared" si="79"/>
        <v>#DIV/0!</v>
      </c>
      <c r="I42" s="35">
        <v>0</v>
      </c>
      <c r="J42" s="70">
        <v>0</v>
      </c>
      <c r="K42" s="35" t="e">
        <f t="shared" si="80"/>
        <v>#DIV/0!</v>
      </c>
      <c r="L42" s="6" t="e">
        <f t="shared" si="81"/>
        <v>#DIV/0!</v>
      </c>
      <c r="M42" s="68">
        <v>0</v>
      </c>
      <c r="N42" s="5">
        <v>0</v>
      </c>
      <c r="O42" s="35" t="e">
        <f t="shared" si="82"/>
        <v>#DIV/0!</v>
      </c>
      <c r="P42" s="11" t="e">
        <f t="shared" si="83"/>
        <v>#DIV/0!</v>
      </c>
      <c r="Q42" s="35">
        <v>0</v>
      </c>
      <c r="R42" s="66">
        <v>0</v>
      </c>
      <c r="S42" s="35" t="e">
        <f t="shared" si="84"/>
        <v>#DIV/0!</v>
      </c>
      <c r="T42" s="6" t="e">
        <f t="shared" si="85"/>
        <v>#DIV/0!</v>
      </c>
      <c r="U42" s="68">
        <v>0</v>
      </c>
      <c r="V42" s="66">
        <v>0</v>
      </c>
      <c r="W42" s="20" t="e">
        <f t="shared" si="86"/>
        <v>#DIV/0!</v>
      </c>
      <c r="X42" s="6" t="e">
        <f t="shared" si="87"/>
        <v>#DIV/0!</v>
      </c>
      <c r="Y42" s="68">
        <v>0</v>
      </c>
      <c r="Z42" s="70">
        <v>0</v>
      </c>
      <c r="AA42" s="35" t="e">
        <f t="shared" si="88"/>
        <v>#DIV/0!</v>
      </c>
      <c r="AB42" s="11" t="e">
        <f t="shared" si="89"/>
        <v>#DIV/0!</v>
      </c>
      <c r="AC42" s="35">
        <v>9460</v>
      </c>
      <c r="AD42" s="36">
        <v>336</v>
      </c>
      <c r="AE42" s="35">
        <f t="shared" si="90"/>
        <v>28.154761904761905</v>
      </c>
      <c r="AF42" s="6">
        <f t="shared" si="91"/>
        <v>0.37139912646611373</v>
      </c>
      <c r="AG42" s="68">
        <v>0</v>
      </c>
      <c r="AH42" s="66">
        <v>0</v>
      </c>
      <c r="AI42" s="35" t="e">
        <f t="shared" si="92"/>
        <v>#DIV/0!</v>
      </c>
      <c r="AJ42" s="6" t="e">
        <f t="shared" si="93"/>
        <v>#DIV/0!</v>
      </c>
      <c r="AK42" s="68">
        <v>3510</v>
      </c>
      <c r="AL42" s="66">
        <v>364</v>
      </c>
      <c r="AM42" s="35">
        <f t="shared" si="94"/>
        <v>9.6428571428571423</v>
      </c>
      <c r="AN42" s="6">
        <f t="shared" si="95"/>
        <v>0.12720223781714676</v>
      </c>
      <c r="AO42" s="68">
        <v>0</v>
      </c>
      <c r="AP42" s="66">
        <v>0</v>
      </c>
      <c r="AQ42" s="35" t="e">
        <f t="shared" si="96"/>
        <v>#DIV/0!</v>
      </c>
      <c r="AR42" s="6" t="e">
        <f t="shared" si="97"/>
        <v>#DIV/0!</v>
      </c>
      <c r="AS42" s="68">
        <v>0</v>
      </c>
      <c r="AT42" s="66">
        <v>0</v>
      </c>
      <c r="AU42" s="35" t="e">
        <f t="shared" si="98"/>
        <v>#DIV/0!</v>
      </c>
      <c r="AV42" s="6" t="e">
        <f t="shared" si="99"/>
        <v>#DIV/0!</v>
      </c>
      <c r="AW42" s="68">
        <v>0</v>
      </c>
      <c r="AX42" s="66">
        <v>0</v>
      </c>
      <c r="AY42" s="35" t="e">
        <f t="shared" si="100"/>
        <v>#DIV/0!</v>
      </c>
      <c r="AZ42" s="6" t="e">
        <f t="shared" si="101"/>
        <v>#DIV/0!</v>
      </c>
      <c r="BA42" s="68">
        <v>0</v>
      </c>
      <c r="BB42" s="66">
        <v>0</v>
      </c>
      <c r="BC42" s="35" t="e">
        <f t="shared" si="102"/>
        <v>#DIV/0!</v>
      </c>
      <c r="BD42" s="11" t="e">
        <f t="shared" si="103"/>
        <v>#DIV/0!</v>
      </c>
    </row>
    <row r="43" spans="1:56" x14ac:dyDescent="0.25">
      <c r="A43" s="19" t="s">
        <v>3</v>
      </c>
      <c r="B43" s="8">
        <v>69450</v>
      </c>
      <c r="C43" s="35">
        <f>B43/F37</f>
        <v>90.4296875</v>
      </c>
      <c r="D43" s="8">
        <v>2700</v>
      </c>
      <c r="E43" s="68">
        <v>0</v>
      </c>
      <c r="F43" s="70">
        <v>0</v>
      </c>
      <c r="G43" s="35" t="e">
        <f t="shared" si="78"/>
        <v>#DIV/0!</v>
      </c>
      <c r="H43" s="11" t="e">
        <f t="shared" si="79"/>
        <v>#DIV/0!</v>
      </c>
      <c r="I43" s="35">
        <v>0</v>
      </c>
      <c r="J43" s="70">
        <v>0</v>
      </c>
      <c r="K43" s="35" t="e">
        <f t="shared" si="80"/>
        <v>#DIV/0!</v>
      </c>
      <c r="L43" s="6" t="e">
        <f t="shared" si="81"/>
        <v>#DIV/0!</v>
      </c>
      <c r="M43" s="68">
        <v>0</v>
      </c>
      <c r="N43" s="5">
        <v>0</v>
      </c>
      <c r="O43" s="35" t="e">
        <f t="shared" si="82"/>
        <v>#DIV/0!</v>
      </c>
      <c r="P43" s="11" t="e">
        <f t="shared" si="83"/>
        <v>#DIV/0!</v>
      </c>
      <c r="Q43" s="35">
        <v>0</v>
      </c>
      <c r="R43" s="66">
        <v>0</v>
      </c>
      <c r="S43" s="35" t="e">
        <f t="shared" si="84"/>
        <v>#DIV/0!</v>
      </c>
      <c r="T43" s="6" t="e">
        <f t="shared" si="85"/>
        <v>#DIV/0!</v>
      </c>
      <c r="U43" s="68">
        <v>0</v>
      </c>
      <c r="V43" s="66">
        <v>0</v>
      </c>
      <c r="W43" s="20" t="e">
        <f t="shared" si="86"/>
        <v>#DIV/0!</v>
      </c>
      <c r="X43" s="6" t="e">
        <f t="shared" si="87"/>
        <v>#DIV/0!</v>
      </c>
      <c r="Y43" s="68">
        <v>0</v>
      </c>
      <c r="Z43" s="70">
        <v>0</v>
      </c>
      <c r="AA43" s="35" t="e">
        <f t="shared" si="88"/>
        <v>#DIV/0!</v>
      </c>
      <c r="AB43" s="11" t="e">
        <f t="shared" si="89"/>
        <v>#DIV/0!</v>
      </c>
      <c r="AC43" s="35">
        <v>9920</v>
      </c>
      <c r="AD43" s="36">
        <v>336</v>
      </c>
      <c r="AE43" s="35">
        <f t="shared" si="90"/>
        <v>29.523809523809526</v>
      </c>
      <c r="AF43" s="6">
        <f t="shared" si="91"/>
        <v>0.32648359559806645</v>
      </c>
      <c r="AG43" s="68">
        <v>0</v>
      </c>
      <c r="AH43" s="66">
        <v>0</v>
      </c>
      <c r="AI43" s="35" t="e">
        <f t="shared" si="92"/>
        <v>#DIV/0!</v>
      </c>
      <c r="AJ43" s="6" t="e">
        <f t="shared" si="93"/>
        <v>#DIV/0!</v>
      </c>
      <c r="AK43" s="68">
        <v>4000</v>
      </c>
      <c r="AL43" s="66">
        <v>364</v>
      </c>
      <c r="AM43" s="35">
        <f t="shared" si="94"/>
        <v>10.989010989010989</v>
      </c>
      <c r="AN43" s="6">
        <f t="shared" si="95"/>
        <v>0.12151994873377163</v>
      </c>
      <c r="AO43" s="68">
        <v>0</v>
      </c>
      <c r="AP43" s="66">
        <v>0</v>
      </c>
      <c r="AQ43" s="35" t="e">
        <f t="shared" si="96"/>
        <v>#DIV/0!</v>
      </c>
      <c r="AR43" s="6" t="e">
        <f t="shared" si="97"/>
        <v>#DIV/0!</v>
      </c>
      <c r="AS43" s="68">
        <v>0</v>
      </c>
      <c r="AT43" s="66">
        <v>0</v>
      </c>
      <c r="AU43" s="35" t="e">
        <f t="shared" si="98"/>
        <v>#DIV/0!</v>
      </c>
      <c r="AV43" s="6" t="e">
        <f t="shared" si="99"/>
        <v>#DIV/0!</v>
      </c>
      <c r="AW43" s="68">
        <v>0</v>
      </c>
      <c r="AX43" s="66">
        <v>0</v>
      </c>
      <c r="AY43" s="35" t="e">
        <f t="shared" si="100"/>
        <v>#DIV/0!</v>
      </c>
      <c r="AZ43" s="6" t="e">
        <f t="shared" si="101"/>
        <v>#DIV/0!</v>
      </c>
      <c r="BA43" s="68">
        <v>0</v>
      </c>
      <c r="BB43" s="66">
        <v>0</v>
      </c>
      <c r="BC43" s="35" t="e">
        <f t="shared" si="102"/>
        <v>#DIV/0!</v>
      </c>
      <c r="BD43" s="11" t="e">
        <f t="shared" si="103"/>
        <v>#DIV/0!</v>
      </c>
    </row>
    <row r="44" spans="1:56" x14ac:dyDescent="0.25">
      <c r="A44" s="19" t="s">
        <v>4</v>
      </c>
      <c r="B44" s="8">
        <v>86320</v>
      </c>
      <c r="C44" s="35">
        <f>B44/F37</f>
        <v>112.39583333333333</v>
      </c>
      <c r="D44" s="8">
        <v>5250</v>
      </c>
      <c r="E44" s="68">
        <v>0</v>
      </c>
      <c r="F44" s="70">
        <v>0</v>
      </c>
      <c r="G44" s="35" t="e">
        <f t="shared" si="78"/>
        <v>#DIV/0!</v>
      </c>
      <c r="H44" s="11" t="e">
        <f t="shared" si="79"/>
        <v>#DIV/0!</v>
      </c>
      <c r="I44" s="35">
        <v>0</v>
      </c>
      <c r="J44" s="70">
        <v>0</v>
      </c>
      <c r="K44" s="35" t="e">
        <f t="shared" si="80"/>
        <v>#DIV/0!</v>
      </c>
      <c r="L44" s="6" t="e">
        <f t="shared" si="81"/>
        <v>#DIV/0!</v>
      </c>
      <c r="M44" s="68">
        <v>0</v>
      </c>
      <c r="N44" s="5">
        <v>0</v>
      </c>
      <c r="O44" s="35" t="e">
        <f t="shared" si="82"/>
        <v>#DIV/0!</v>
      </c>
      <c r="P44" s="11" t="e">
        <f t="shared" si="83"/>
        <v>#DIV/0!</v>
      </c>
      <c r="Q44" s="35">
        <v>0</v>
      </c>
      <c r="R44" s="66">
        <v>0</v>
      </c>
      <c r="S44" s="35" t="e">
        <f t="shared" si="84"/>
        <v>#DIV/0!</v>
      </c>
      <c r="T44" s="6" t="e">
        <f t="shared" si="85"/>
        <v>#DIV/0!</v>
      </c>
      <c r="U44" s="68">
        <v>0</v>
      </c>
      <c r="V44" s="66">
        <v>0</v>
      </c>
      <c r="W44" s="20" t="e">
        <f t="shared" si="86"/>
        <v>#DIV/0!</v>
      </c>
      <c r="X44" s="6" t="e">
        <f t="shared" si="87"/>
        <v>#DIV/0!</v>
      </c>
      <c r="Y44" s="68">
        <v>0</v>
      </c>
      <c r="Z44" s="70">
        <v>0</v>
      </c>
      <c r="AA44" s="35" t="e">
        <f t="shared" si="88"/>
        <v>#DIV/0!</v>
      </c>
      <c r="AB44" s="11" t="e">
        <f t="shared" si="89"/>
        <v>#DIV/0!</v>
      </c>
      <c r="AC44" s="35">
        <v>11360</v>
      </c>
      <c r="AD44" s="36">
        <v>336</v>
      </c>
      <c r="AE44" s="35">
        <f t="shared" si="90"/>
        <v>33.80952380952381</v>
      </c>
      <c r="AF44" s="6">
        <f t="shared" si="91"/>
        <v>0.30080762610883094</v>
      </c>
      <c r="AG44" s="68">
        <v>0</v>
      </c>
      <c r="AH44" s="66">
        <v>0</v>
      </c>
      <c r="AI44" s="35" t="e">
        <f t="shared" si="92"/>
        <v>#DIV/0!</v>
      </c>
      <c r="AJ44" s="6" t="e">
        <f t="shared" si="93"/>
        <v>#DIV/0!</v>
      </c>
      <c r="AK44" s="68">
        <v>4640</v>
      </c>
      <c r="AL44" s="66">
        <v>364</v>
      </c>
      <c r="AM44" s="35">
        <f t="shared" si="94"/>
        <v>12.747252747252746</v>
      </c>
      <c r="AN44" s="6">
        <f t="shared" si="95"/>
        <v>0.11341392620354622</v>
      </c>
      <c r="AO44" s="68">
        <v>0</v>
      </c>
      <c r="AP44" s="66">
        <v>0</v>
      </c>
      <c r="AQ44" s="35" t="e">
        <f t="shared" si="96"/>
        <v>#DIV/0!</v>
      </c>
      <c r="AR44" s="6" t="e">
        <f t="shared" si="97"/>
        <v>#DIV/0!</v>
      </c>
      <c r="AS44" s="68">
        <v>0</v>
      </c>
      <c r="AT44" s="66">
        <v>0</v>
      </c>
      <c r="AU44" s="35" t="e">
        <f t="shared" si="98"/>
        <v>#DIV/0!</v>
      </c>
      <c r="AV44" s="6" t="e">
        <f t="shared" si="99"/>
        <v>#DIV/0!</v>
      </c>
      <c r="AW44" s="68">
        <v>0</v>
      </c>
      <c r="AX44" s="66">
        <v>0</v>
      </c>
      <c r="AY44" s="35" t="e">
        <f t="shared" si="100"/>
        <v>#DIV/0!</v>
      </c>
      <c r="AZ44" s="6" t="e">
        <f t="shared" si="101"/>
        <v>#DIV/0!</v>
      </c>
      <c r="BA44" s="68">
        <v>0</v>
      </c>
      <c r="BB44" s="66">
        <v>0</v>
      </c>
      <c r="BC44" s="35" t="e">
        <f t="shared" si="102"/>
        <v>#DIV/0!</v>
      </c>
      <c r="BD44" s="11" t="e">
        <f t="shared" si="103"/>
        <v>#DIV/0!</v>
      </c>
    </row>
    <row r="45" spans="1:56" x14ac:dyDescent="0.25">
      <c r="A45" s="19" t="s">
        <v>5</v>
      </c>
      <c r="B45" s="8">
        <v>109860</v>
      </c>
      <c r="C45" s="35">
        <f>B45/F37</f>
        <v>143.046875</v>
      </c>
      <c r="D45" s="8">
        <v>7050</v>
      </c>
      <c r="E45" s="68">
        <v>0</v>
      </c>
      <c r="F45" s="70">
        <v>0</v>
      </c>
      <c r="G45" s="35" t="e">
        <f t="shared" si="78"/>
        <v>#DIV/0!</v>
      </c>
      <c r="H45" s="11" t="e">
        <f t="shared" si="79"/>
        <v>#DIV/0!</v>
      </c>
      <c r="I45" s="35">
        <v>0</v>
      </c>
      <c r="J45" s="70">
        <v>0</v>
      </c>
      <c r="K45" s="35" t="e">
        <f t="shared" si="80"/>
        <v>#DIV/0!</v>
      </c>
      <c r="L45" s="6" t="e">
        <f t="shared" si="81"/>
        <v>#DIV/0!</v>
      </c>
      <c r="M45" s="68">
        <v>0</v>
      </c>
      <c r="N45" s="5">
        <v>0</v>
      </c>
      <c r="O45" s="35" t="e">
        <f t="shared" si="82"/>
        <v>#DIV/0!</v>
      </c>
      <c r="P45" s="11" t="e">
        <f t="shared" si="83"/>
        <v>#DIV/0!</v>
      </c>
      <c r="Q45" s="35">
        <v>0</v>
      </c>
      <c r="R45" s="66">
        <v>0</v>
      </c>
      <c r="S45" s="35" t="e">
        <f t="shared" si="84"/>
        <v>#DIV/0!</v>
      </c>
      <c r="T45" s="6" t="e">
        <f t="shared" si="85"/>
        <v>#DIV/0!</v>
      </c>
      <c r="U45" s="68">
        <v>0</v>
      </c>
      <c r="V45" s="66">
        <v>0</v>
      </c>
      <c r="W45" s="20" t="e">
        <f t="shared" si="86"/>
        <v>#DIV/0!</v>
      </c>
      <c r="X45" s="6" t="e">
        <f t="shared" si="87"/>
        <v>#DIV/0!</v>
      </c>
      <c r="Y45" s="68">
        <v>0</v>
      </c>
      <c r="Z45" s="70">
        <v>0</v>
      </c>
      <c r="AA45" s="35" t="e">
        <f t="shared" si="88"/>
        <v>#DIV/0!</v>
      </c>
      <c r="AB45" s="11" t="e">
        <f t="shared" si="89"/>
        <v>#DIV/0!</v>
      </c>
      <c r="AC45" s="35">
        <v>13150</v>
      </c>
      <c r="AD45" s="36">
        <v>336</v>
      </c>
      <c r="AE45" s="35">
        <f t="shared" si="90"/>
        <v>39.136904761904759</v>
      </c>
      <c r="AF45" s="6">
        <f t="shared" si="91"/>
        <v>0.27359496502041558</v>
      </c>
      <c r="AG45" s="68">
        <v>0</v>
      </c>
      <c r="AH45" s="66">
        <v>0</v>
      </c>
      <c r="AI45" s="35" t="e">
        <f t="shared" si="92"/>
        <v>#DIV/0!</v>
      </c>
      <c r="AJ45" s="6" t="e">
        <f t="shared" si="93"/>
        <v>#DIV/0!</v>
      </c>
      <c r="AK45" s="68">
        <v>5270</v>
      </c>
      <c r="AL45" s="66">
        <v>364</v>
      </c>
      <c r="AM45" s="35">
        <f t="shared" si="94"/>
        <v>14.478021978021978</v>
      </c>
      <c r="AN45" s="6">
        <f t="shared" si="95"/>
        <v>0.101211732014572</v>
      </c>
      <c r="AO45" s="68">
        <v>0</v>
      </c>
      <c r="AP45" s="66">
        <v>0</v>
      </c>
      <c r="AQ45" s="35" t="e">
        <f t="shared" si="96"/>
        <v>#DIV/0!</v>
      </c>
      <c r="AR45" s="6" t="e">
        <f t="shared" si="97"/>
        <v>#DIV/0!</v>
      </c>
      <c r="AS45" s="68">
        <v>0</v>
      </c>
      <c r="AT45" s="66">
        <v>0</v>
      </c>
      <c r="AU45" s="35" t="e">
        <f t="shared" si="98"/>
        <v>#DIV/0!</v>
      </c>
      <c r="AV45" s="6" t="e">
        <f t="shared" si="99"/>
        <v>#DIV/0!</v>
      </c>
      <c r="AW45" s="68">
        <v>0</v>
      </c>
      <c r="AX45" s="66">
        <v>0</v>
      </c>
      <c r="AY45" s="35" t="e">
        <f t="shared" si="100"/>
        <v>#DIV/0!</v>
      </c>
      <c r="AZ45" s="6" t="e">
        <f t="shared" si="101"/>
        <v>#DIV/0!</v>
      </c>
      <c r="BA45" s="68">
        <v>0</v>
      </c>
      <c r="BB45" s="66">
        <v>0</v>
      </c>
      <c r="BC45" s="35" t="e">
        <f t="shared" si="102"/>
        <v>#DIV/0!</v>
      </c>
      <c r="BD45" s="11" t="e">
        <f t="shared" si="103"/>
        <v>#DIV/0!</v>
      </c>
    </row>
    <row r="46" spans="1:56" x14ac:dyDescent="0.25">
      <c r="A46" s="19" t="s">
        <v>6</v>
      </c>
      <c r="B46" s="8">
        <v>125820</v>
      </c>
      <c r="C46" s="35">
        <f>B46/F37</f>
        <v>163.828125</v>
      </c>
      <c r="D46" s="8">
        <v>10950</v>
      </c>
      <c r="E46" s="68">
        <v>0</v>
      </c>
      <c r="F46" s="70">
        <v>0</v>
      </c>
      <c r="G46" s="35" t="e">
        <f t="shared" si="78"/>
        <v>#DIV/0!</v>
      </c>
      <c r="H46" s="11" t="e">
        <f t="shared" si="79"/>
        <v>#DIV/0!</v>
      </c>
      <c r="I46" s="35">
        <v>0</v>
      </c>
      <c r="J46" s="70">
        <v>0</v>
      </c>
      <c r="K46" s="35" t="e">
        <f t="shared" si="80"/>
        <v>#DIV/0!</v>
      </c>
      <c r="L46" s="6" t="e">
        <f t="shared" si="81"/>
        <v>#DIV/0!</v>
      </c>
      <c r="M46" s="68">
        <v>0</v>
      </c>
      <c r="N46" s="5">
        <v>0</v>
      </c>
      <c r="O46" s="35" t="e">
        <f t="shared" si="82"/>
        <v>#DIV/0!</v>
      </c>
      <c r="P46" s="11" t="e">
        <f t="shared" si="83"/>
        <v>#DIV/0!</v>
      </c>
      <c r="Q46" s="35">
        <v>0</v>
      </c>
      <c r="R46" s="66">
        <v>0</v>
      </c>
      <c r="S46" s="35" t="e">
        <f t="shared" si="84"/>
        <v>#DIV/0!</v>
      </c>
      <c r="T46" s="6" t="e">
        <f t="shared" si="85"/>
        <v>#DIV/0!</v>
      </c>
      <c r="U46" s="68">
        <v>0</v>
      </c>
      <c r="V46" s="66">
        <v>0</v>
      </c>
      <c r="W46" s="20" t="e">
        <f t="shared" si="86"/>
        <v>#DIV/0!</v>
      </c>
      <c r="X46" s="6" t="e">
        <f t="shared" si="87"/>
        <v>#DIV/0!</v>
      </c>
      <c r="Y46" s="68">
        <v>0</v>
      </c>
      <c r="Z46" s="70">
        <v>0</v>
      </c>
      <c r="AA46" s="35" t="e">
        <f t="shared" si="88"/>
        <v>#DIV/0!</v>
      </c>
      <c r="AB46" s="11" t="e">
        <f t="shared" si="89"/>
        <v>#DIV/0!</v>
      </c>
      <c r="AC46" s="35">
        <v>18650</v>
      </c>
      <c r="AD46" s="36">
        <v>336</v>
      </c>
      <c r="AE46" s="35">
        <f t="shared" si="90"/>
        <v>55.50595238095238</v>
      </c>
      <c r="AF46" s="6">
        <f t="shared" si="91"/>
        <v>0.33880600404205552</v>
      </c>
      <c r="AG46" s="68">
        <v>0</v>
      </c>
      <c r="AH46" s="66">
        <v>0</v>
      </c>
      <c r="AI46" s="35" t="e">
        <f t="shared" si="92"/>
        <v>#DIV/0!</v>
      </c>
      <c r="AJ46" s="6" t="e">
        <f t="shared" si="93"/>
        <v>#DIV/0!</v>
      </c>
      <c r="AK46" s="68">
        <v>6020</v>
      </c>
      <c r="AL46" s="66">
        <v>364</v>
      </c>
      <c r="AM46" s="35">
        <f t="shared" si="94"/>
        <v>16.53846153846154</v>
      </c>
      <c r="AN46" s="6">
        <f t="shared" si="95"/>
        <v>0.10095007519900225</v>
      </c>
      <c r="AO46" s="68">
        <v>0</v>
      </c>
      <c r="AP46" s="66">
        <v>0</v>
      </c>
      <c r="AQ46" s="35" t="e">
        <f t="shared" si="96"/>
        <v>#DIV/0!</v>
      </c>
      <c r="AR46" s="6" t="e">
        <f t="shared" si="97"/>
        <v>#DIV/0!</v>
      </c>
      <c r="AS46" s="68">
        <v>0</v>
      </c>
      <c r="AT46" s="66">
        <v>0</v>
      </c>
      <c r="AU46" s="35" t="e">
        <f t="shared" si="98"/>
        <v>#DIV/0!</v>
      </c>
      <c r="AV46" s="6" t="e">
        <f t="shared" si="99"/>
        <v>#DIV/0!</v>
      </c>
      <c r="AW46" s="68">
        <v>0</v>
      </c>
      <c r="AX46" s="66">
        <v>0</v>
      </c>
      <c r="AY46" s="35" t="e">
        <f t="shared" si="100"/>
        <v>#DIV/0!</v>
      </c>
      <c r="AZ46" s="6" t="e">
        <f t="shared" si="101"/>
        <v>#DIV/0!</v>
      </c>
      <c r="BA46" s="68">
        <v>0</v>
      </c>
      <c r="BB46" s="66">
        <v>0</v>
      </c>
      <c r="BC46" s="35" t="e">
        <f t="shared" si="102"/>
        <v>#DIV/0!</v>
      </c>
      <c r="BD46" s="11" t="e">
        <f t="shared" si="103"/>
        <v>#DIV/0!</v>
      </c>
    </row>
    <row r="47" spans="1:56" ht="15.75" thickBot="1" x14ac:dyDescent="0.3">
      <c r="A47" s="21"/>
      <c r="B47" s="22"/>
      <c r="C47" s="23">
        <f>AVERAGE(Table1104[MA $/Sq Ft])</f>
        <v>100.74590773809526</v>
      </c>
      <c r="D47" s="22">
        <f>AVERAGE(Table1104[Basic Allowance])</f>
        <v>4442.8571428571431</v>
      </c>
      <c r="E47" s="16"/>
      <c r="F47" s="22"/>
      <c r="G47" s="15"/>
      <c r="H47" s="24" t="e">
        <f>AVERAGE(Table1104[Bsmt % Base])</f>
        <v>#DIV/0!</v>
      </c>
      <c r="I47" s="15"/>
      <c r="J47" s="15"/>
      <c r="K47" s="15"/>
      <c r="L47" s="25" t="e">
        <f>AVERAGE(Table1104[[#Headers],[#Data],[UnfBsmt % Base]])</f>
        <v>#DIV/0!</v>
      </c>
      <c r="M47" s="44"/>
      <c r="N47" s="15"/>
      <c r="O47" s="23" t="e">
        <f>AVERAGE(Table1104[LowerVal/SqFt])</f>
        <v>#DIV/0!</v>
      </c>
      <c r="P47" s="24" t="e">
        <f>AVERAGE(Table1104[Lower % Base])</f>
        <v>#DIV/0!</v>
      </c>
      <c r="Q47" s="13"/>
      <c r="R47" s="13"/>
      <c r="S47" s="13"/>
      <c r="T47" s="25" t="e">
        <f>AVERAGE(Table1104[Unf Lower % Base])</f>
        <v>#DIV/0!</v>
      </c>
      <c r="U47" s="12"/>
      <c r="V47" s="13"/>
      <c r="W47" s="13"/>
      <c r="X47" s="25" t="e">
        <f>AVERAGE(Table1104[1/2 Story % Base])</f>
        <v>#DIV/0!</v>
      </c>
      <c r="Y47" s="12"/>
      <c r="Z47" s="13"/>
      <c r="AA47" s="13"/>
      <c r="AB47" s="24" t="e">
        <f>AVERAGE(Table1104[2nd Story % Base])</f>
        <v>#DIV/0!</v>
      </c>
      <c r="AC47" s="22">
        <f>SUBTOTAL(101,Table1104[Att Gar Value])</f>
        <v>10841.428571428571</v>
      </c>
      <c r="AD47" s="13"/>
      <c r="AE47" s="23">
        <f>AVERAGE(Table1104[AttGarVal/SqFt])</f>
        <v>32.26615646258503</v>
      </c>
      <c r="AF47" s="25">
        <f>AVERAGE(Table1104[Att Gar % Base])</f>
        <v>0.32432888718564196</v>
      </c>
      <c r="AG47" s="12"/>
      <c r="AH47" s="13"/>
      <c r="AI47" s="13"/>
      <c r="AJ47" s="25" t="e">
        <f>AVERAGE(Table1104[Porch % Base])</f>
        <v>#DIV/0!</v>
      </c>
      <c r="AK47" s="12"/>
      <c r="AL47" s="13"/>
      <c r="AM47" s="13"/>
      <c r="AN47" s="25">
        <f>AVERAGE(Table1104[Cov Porch % Base])</f>
        <v>0.11552679062539628</v>
      </c>
      <c r="AO47" s="12"/>
      <c r="AP47" s="13"/>
      <c r="AQ47" s="13"/>
      <c r="AR47" s="25" t="e">
        <f>AVERAGE(Table1104[Deck % Base])</f>
        <v>#DIV/0!</v>
      </c>
      <c r="AS47" s="12"/>
      <c r="AT47" s="13"/>
      <c r="AU47" s="23" t="e">
        <f>AVERAGE(Table1104[CovDeckVal/SqFt])</f>
        <v>#DIV/0!</v>
      </c>
      <c r="AV47" s="25" t="e">
        <f>AVERAGE(Table1104[CovDeck % Base])</f>
        <v>#DIV/0!</v>
      </c>
      <c r="AW47" s="12"/>
      <c r="AX47" s="13"/>
      <c r="AY47" s="13"/>
      <c r="AZ47" s="25" t="e">
        <f>AVERAGE(Table1104[CarP % Base])</f>
        <v>#DIV/0!</v>
      </c>
      <c r="BA47" s="12"/>
      <c r="BB47" s="13"/>
      <c r="BC47" s="13"/>
      <c r="BD47" s="24" t="e">
        <f>AVERAGE(Table1104[EFP % Base])</f>
        <v>#DIV/0!</v>
      </c>
    </row>
    <row r="49" spans="1:56" ht="15.75" thickBot="1" x14ac:dyDescent="0.3">
      <c r="A49" s="84"/>
      <c r="B49" s="74" t="s">
        <v>87</v>
      </c>
      <c r="C49" s="74"/>
      <c r="D49" s="74"/>
      <c r="E49" s="74" t="s">
        <v>33</v>
      </c>
      <c r="F49" s="75">
        <v>960</v>
      </c>
      <c r="G49" s="74"/>
      <c r="H49" s="74" t="s">
        <v>82</v>
      </c>
      <c r="I49" s="74"/>
      <c r="J49" s="74" t="s">
        <v>83</v>
      </c>
      <c r="K49" s="75">
        <v>1975</v>
      </c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6"/>
    </row>
    <row r="50" spans="1:56" x14ac:dyDescent="0.25">
      <c r="A50" s="112"/>
      <c r="B50" s="113"/>
      <c r="C50" s="113"/>
      <c r="D50" s="114"/>
      <c r="E50" s="115" t="s">
        <v>27</v>
      </c>
      <c r="F50" s="116"/>
      <c r="G50" s="116"/>
      <c r="H50" s="117"/>
      <c r="I50" s="118" t="s">
        <v>28</v>
      </c>
      <c r="J50" s="119"/>
      <c r="K50" s="119"/>
      <c r="L50" s="120"/>
      <c r="M50" s="121" t="s">
        <v>7</v>
      </c>
      <c r="N50" s="122"/>
      <c r="O50" s="122"/>
      <c r="P50" s="122"/>
      <c r="Q50" s="124" t="s">
        <v>29</v>
      </c>
      <c r="R50" s="125"/>
      <c r="S50" s="125"/>
      <c r="T50" s="126"/>
      <c r="U50" s="128" t="s">
        <v>8</v>
      </c>
      <c r="V50" s="128"/>
      <c r="W50" s="128"/>
      <c r="X50" s="129"/>
      <c r="Y50" s="130" t="s">
        <v>0</v>
      </c>
      <c r="Z50" s="131"/>
      <c r="AA50" s="131"/>
      <c r="AB50" s="132"/>
      <c r="AC50" s="133" t="s">
        <v>34</v>
      </c>
      <c r="AD50" s="134"/>
      <c r="AE50" s="134"/>
      <c r="AF50" s="135"/>
      <c r="AG50" s="115" t="s">
        <v>9</v>
      </c>
      <c r="AH50" s="116"/>
      <c r="AI50" s="116"/>
      <c r="AJ50" s="117"/>
      <c r="AK50" s="136" t="s">
        <v>35</v>
      </c>
      <c r="AL50" s="137"/>
      <c r="AM50" s="137"/>
      <c r="AN50" s="138"/>
      <c r="AO50" s="139" t="s">
        <v>10</v>
      </c>
      <c r="AP50" s="140"/>
      <c r="AQ50" s="140"/>
      <c r="AR50" s="141"/>
      <c r="AS50" s="124" t="s">
        <v>36</v>
      </c>
      <c r="AT50" s="125"/>
      <c r="AU50" s="125"/>
      <c r="AV50" s="126"/>
      <c r="AW50" s="142" t="s">
        <v>11</v>
      </c>
      <c r="AX50" s="143"/>
      <c r="AY50" s="143"/>
      <c r="AZ50" s="144"/>
      <c r="BA50" s="148" t="s">
        <v>17</v>
      </c>
      <c r="BB50" s="149"/>
      <c r="BC50" s="149"/>
      <c r="BD50" s="150"/>
    </row>
    <row r="51" spans="1:56" s="1" customFormat="1" ht="15.75" thickBot="1" x14ac:dyDescent="0.3">
      <c r="A51" s="41" t="s">
        <v>13</v>
      </c>
      <c r="B51" s="42" t="s">
        <v>15</v>
      </c>
      <c r="C51" s="42" t="s">
        <v>32</v>
      </c>
      <c r="D51" s="43" t="s">
        <v>18</v>
      </c>
      <c r="E51" s="30" t="s">
        <v>30</v>
      </c>
      <c r="F51" s="31" t="s">
        <v>61</v>
      </c>
      <c r="G51" s="31" t="s">
        <v>38</v>
      </c>
      <c r="H51" s="32" t="s">
        <v>62</v>
      </c>
      <c r="I51" s="37" t="s">
        <v>31</v>
      </c>
      <c r="J51" s="38" t="s">
        <v>39</v>
      </c>
      <c r="K51" s="38" t="s">
        <v>40</v>
      </c>
      <c r="L51" s="39" t="s">
        <v>63</v>
      </c>
      <c r="M51" s="40" t="s">
        <v>19</v>
      </c>
      <c r="N51" s="7" t="s">
        <v>41</v>
      </c>
      <c r="O51" s="7" t="s">
        <v>37</v>
      </c>
      <c r="P51" s="7" t="s">
        <v>64</v>
      </c>
      <c r="Q51" s="27" t="s">
        <v>20</v>
      </c>
      <c r="R51" s="28" t="s">
        <v>60</v>
      </c>
      <c r="S51" s="28" t="s">
        <v>59</v>
      </c>
      <c r="T51" s="29" t="s">
        <v>65</v>
      </c>
      <c r="U51" s="48" t="s">
        <v>21</v>
      </c>
      <c r="V51" s="48" t="s">
        <v>42</v>
      </c>
      <c r="W51" s="48" t="s">
        <v>43</v>
      </c>
      <c r="X51" s="49" t="s">
        <v>66</v>
      </c>
      <c r="Y51" s="50" t="s">
        <v>22</v>
      </c>
      <c r="Z51" s="51" t="s">
        <v>44</v>
      </c>
      <c r="AA51" s="51" t="s">
        <v>45</v>
      </c>
      <c r="AB51" s="52" t="s">
        <v>67</v>
      </c>
      <c r="AC51" s="45" t="s">
        <v>23</v>
      </c>
      <c r="AD51" s="46" t="s">
        <v>46</v>
      </c>
      <c r="AE51" s="46" t="s">
        <v>47</v>
      </c>
      <c r="AF51" s="47" t="s">
        <v>68</v>
      </c>
      <c r="AG51" s="30" t="s">
        <v>24</v>
      </c>
      <c r="AH51" s="31" t="s">
        <v>48</v>
      </c>
      <c r="AI51" s="31" t="s">
        <v>49</v>
      </c>
      <c r="AJ51" s="32" t="s">
        <v>69</v>
      </c>
      <c r="AK51" s="53" t="s">
        <v>25</v>
      </c>
      <c r="AL51" s="54" t="s">
        <v>50</v>
      </c>
      <c r="AM51" s="54" t="s">
        <v>51</v>
      </c>
      <c r="AN51" s="55" t="s">
        <v>70</v>
      </c>
      <c r="AO51" s="56" t="s">
        <v>26</v>
      </c>
      <c r="AP51" s="57" t="s">
        <v>52</v>
      </c>
      <c r="AQ51" s="57" t="s">
        <v>53</v>
      </c>
      <c r="AR51" s="58" t="s">
        <v>71</v>
      </c>
      <c r="AS51" s="59" t="s">
        <v>55</v>
      </c>
      <c r="AT51" s="60" t="s">
        <v>54</v>
      </c>
      <c r="AU51" s="60" t="s">
        <v>56</v>
      </c>
      <c r="AV51" s="61" t="s">
        <v>76</v>
      </c>
      <c r="AW51" s="62" t="s">
        <v>72</v>
      </c>
      <c r="AX51" s="63" t="s">
        <v>73</v>
      </c>
      <c r="AY51" s="63" t="s">
        <v>74</v>
      </c>
      <c r="AZ51" s="64" t="s">
        <v>75</v>
      </c>
      <c r="BA51" s="71" t="s">
        <v>77</v>
      </c>
      <c r="BB51" s="72" t="s">
        <v>57</v>
      </c>
      <c r="BC51" s="72" t="s">
        <v>58</v>
      </c>
      <c r="BD51" s="73" t="s">
        <v>78</v>
      </c>
    </row>
    <row r="52" spans="1:56" x14ac:dyDescent="0.25">
      <c r="A52" s="17" t="s">
        <v>1</v>
      </c>
      <c r="B52" s="14">
        <v>50630</v>
      </c>
      <c r="C52" s="34">
        <f>B52/F49</f>
        <v>52.739583333333336</v>
      </c>
      <c r="D52" s="14">
        <v>1525</v>
      </c>
      <c r="E52" s="67">
        <v>0</v>
      </c>
      <c r="F52" s="69">
        <v>0</v>
      </c>
      <c r="G52" s="34" t="e">
        <f t="shared" ref="G52:G58" si="104">E52/F52</f>
        <v>#DIV/0!</v>
      </c>
      <c r="H52" s="10" t="e">
        <f t="shared" ref="H52:H58" si="105">G52/C52</f>
        <v>#DIV/0!</v>
      </c>
      <c r="I52" s="34">
        <v>0</v>
      </c>
      <c r="J52" s="69">
        <v>0</v>
      </c>
      <c r="K52" s="34" t="e">
        <f t="shared" ref="K52:K58" si="106">I52/J52</f>
        <v>#DIV/0!</v>
      </c>
      <c r="L52" s="9" t="e">
        <f t="shared" ref="L52:L58" si="107">K52/C52</f>
        <v>#DIV/0!</v>
      </c>
      <c r="M52" s="67">
        <v>0</v>
      </c>
      <c r="N52" s="26">
        <v>0</v>
      </c>
      <c r="O52" s="34" t="e">
        <f t="shared" ref="O52:O58" si="108">M52/N52</f>
        <v>#DIV/0!</v>
      </c>
      <c r="P52" s="10" t="e">
        <f t="shared" ref="P52:P58" si="109">O52/C52</f>
        <v>#DIV/0!</v>
      </c>
      <c r="Q52" s="35">
        <v>0</v>
      </c>
      <c r="R52" s="66">
        <v>0</v>
      </c>
      <c r="S52" s="35" t="e">
        <f t="shared" ref="S52:S58" si="110">Q52/R52</f>
        <v>#DIV/0!</v>
      </c>
      <c r="T52" s="6" t="e">
        <f t="shared" ref="T52:T58" si="111">S52/C52</f>
        <v>#DIV/0!</v>
      </c>
      <c r="U52" s="67">
        <v>0</v>
      </c>
      <c r="V52" s="65">
        <v>0</v>
      </c>
      <c r="W52" s="18" t="e">
        <f t="shared" ref="W52:W58" si="112">U52/V52</f>
        <v>#DIV/0!</v>
      </c>
      <c r="X52" s="9" t="e">
        <f t="shared" ref="X52:X58" si="113">W52/C52</f>
        <v>#DIV/0!</v>
      </c>
      <c r="Y52" s="67">
        <v>0</v>
      </c>
      <c r="Z52" s="69">
        <v>0</v>
      </c>
      <c r="AA52" s="34" t="e">
        <f t="shared" ref="AA52:AA58" si="114">Y52/Z52</f>
        <v>#DIV/0!</v>
      </c>
      <c r="AB52" s="10" t="e">
        <f t="shared" ref="AB52:AB58" si="115">AA52/C52</f>
        <v>#DIV/0!</v>
      </c>
      <c r="AC52" s="34">
        <v>5570</v>
      </c>
      <c r="AD52" s="33">
        <v>336</v>
      </c>
      <c r="AE52" s="34">
        <f t="shared" ref="AE52:AE58" si="116">AC52/AD52</f>
        <v>16.577380952380953</v>
      </c>
      <c r="AF52" s="9">
        <f t="shared" ref="AF52:AF58" si="117">AE52/C52</f>
        <v>0.31432521655709489</v>
      </c>
      <c r="AG52" s="67">
        <v>0</v>
      </c>
      <c r="AH52" s="65">
        <v>0</v>
      </c>
      <c r="AI52" s="34" t="e">
        <f t="shared" ref="AI52:AI58" si="118">AG52/AH52</f>
        <v>#DIV/0!</v>
      </c>
      <c r="AJ52" s="9" t="e">
        <f t="shared" ref="AJ52:AJ58" si="119">AI52/C52</f>
        <v>#DIV/0!</v>
      </c>
      <c r="AK52" s="67">
        <v>0</v>
      </c>
      <c r="AL52" s="65">
        <v>0</v>
      </c>
      <c r="AM52" s="34" t="e">
        <f t="shared" ref="AM52:AM58" si="120">AK52/AL52</f>
        <v>#DIV/0!</v>
      </c>
      <c r="AN52" s="9" t="e">
        <f t="shared" ref="AN52:AN58" si="121">AM52/C52</f>
        <v>#DIV/0!</v>
      </c>
      <c r="AO52" s="67">
        <v>1750</v>
      </c>
      <c r="AP52" s="65">
        <v>250</v>
      </c>
      <c r="AQ52" s="34">
        <f t="shared" ref="AQ52:AQ58" si="122">AO52/AP52</f>
        <v>7</v>
      </c>
      <c r="AR52" s="9">
        <f t="shared" ref="AR52:AR58" si="123">AQ52/C52</f>
        <v>0.13272763183883074</v>
      </c>
      <c r="AS52" s="67">
        <v>1560</v>
      </c>
      <c r="AT52" s="65">
        <v>96</v>
      </c>
      <c r="AU52" s="34">
        <f t="shared" ref="AU52:AU58" si="124">AS52/AT52</f>
        <v>16.25</v>
      </c>
      <c r="AV52" s="9">
        <f t="shared" ref="AV52:AV58" si="125">AU52/C52</f>
        <v>0.30811771676871419</v>
      </c>
      <c r="AW52" s="67">
        <v>0</v>
      </c>
      <c r="AX52" s="65">
        <v>0</v>
      </c>
      <c r="AY52" s="34" t="e">
        <f t="shared" ref="AY52:AY58" si="126">AW52/AX52</f>
        <v>#DIV/0!</v>
      </c>
      <c r="AZ52" s="9" t="e">
        <f t="shared" ref="AZ52:AZ58" si="127">AY52/C52</f>
        <v>#DIV/0!</v>
      </c>
      <c r="BA52" s="67">
        <v>0</v>
      </c>
      <c r="BB52" s="65">
        <v>0</v>
      </c>
      <c r="BC52" s="34" t="e">
        <f t="shared" ref="BC52:BC58" si="128">BA52/BB52</f>
        <v>#DIV/0!</v>
      </c>
      <c r="BD52" s="10" t="e">
        <f t="shared" ref="BD52:BD58" si="129">BC52/C52</f>
        <v>#DIV/0!</v>
      </c>
    </row>
    <row r="53" spans="1:56" x14ac:dyDescent="0.25">
      <c r="A53" s="19" t="s">
        <v>16</v>
      </c>
      <c r="B53" s="8">
        <v>59560</v>
      </c>
      <c r="C53" s="35">
        <f>B53/F49</f>
        <v>62.041666666666664</v>
      </c>
      <c r="D53" s="8">
        <v>1525</v>
      </c>
      <c r="E53" s="68">
        <v>0</v>
      </c>
      <c r="F53" s="70">
        <v>0</v>
      </c>
      <c r="G53" s="35" t="e">
        <f t="shared" si="104"/>
        <v>#DIV/0!</v>
      </c>
      <c r="H53" s="11" t="e">
        <f t="shared" si="105"/>
        <v>#DIV/0!</v>
      </c>
      <c r="I53" s="35">
        <v>0</v>
      </c>
      <c r="J53" s="70">
        <v>0</v>
      </c>
      <c r="K53" s="35" t="e">
        <f t="shared" si="106"/>
        <v>#DIV/0!</v>
      </c>
      <c r="L53" s="6" t="e">
        <f t="shared" si="107"/>
        <v>#DIV/0!</v>
      </c>
      <c r="M53" s="68">
        <v>0</v>
      </c>
      <c r="N53" s="5">
        <v>0</v>
      </c>
      <c r="O53" s="35" t="e">
        <f t="shared" si="108"/>
        <v>#DIV/0!</v>
      </c>
      <c r="P53" s="11" t="e">
        <f t="shared" si="109"/>
        <v>#DIV/0!</v>
      </c>
      <c r="Q53" s="35">
        <v>0</v>
      </c>
      <c r="R53" s="66">
        <v>0</v>
      </c>
      <c r="S53" s="35" t="e">
        <f t="shared" si="110"/>
        <v>#DIV/0!</v>
      </c>
      <c r="T53" s="6" t="e">
        <f t="shared" si="111"/>
        <v>#DIV/0!</v>
      </c>
      <c r="U53" s="68">
        <v>0</v>
      </c>
      <c r="V53" s="66">
        <v>0</v>
      </c>
      <c r="W53" s="20" t="e">
        <f t="shared" si="112"/>
        <v>#DIV/0!</v>
      </c>
      <c r="X53" s="6" t="e">
        <f t="shared" si="113"/>
        <v>#DIV/0!</v>
      </c>
      <c r="Y53" s="68">
        <v>0</v>
      </c>
      <c r="Z53" s="70">
        <v>0</v>
      </c>
      <c r="AA53" s="35" t="e">
        <f t="shared" si="114"/>
        <v>#DIV/0!</v>
      </c>
      <c r="AB53" s="11" t="e">
        <f t="shared" si="115"/>
        <v>#DIV/0!</v>
      </c>
      <c r="AC53" s="35">
        <v>7780</v>
      </c>
      <c r="AD53" s="36">
        <v>336</v>
      </c>
      <c r="AE53" s="35">
        <f t="shared" si="116"/>
        <v>23.154761904761905</v>
      </c>
      <c r="AF53" s="6">
        <f t="shared" si="117"/>
        <v>0.37321308644344242</v>
      </c>
      <c r="AG53" s="68">
        <v>0</v>
      </c>
      <c r="AH53" s="66">
        <v>0</v>
      </c>
      <c r="AI53" s="35" t="e">
        <f t="shared" si="118"/>
        <v>#DIV/0!</v>
      </c>
      <c r="AJ53" s="6" t="e">
        <f t="shared" si="119"/>
        <v>#DIV/0!</v>
      </c>
      <c r="AK53" s="68">
        <v>0</v>
      </c>
      <c r="AL53" s="66">
        <v>0</v>
      </c>
      <c r="AM53" s="35" t="e">
        <f t="shared" si="120"/>
        <v>#DIV/0!</v>
      </c>
      <c r="AN53" s="6" t="e">
        <f t="shared" si="121"/>
        <v>#DIV/0!</v>
      </c>
      <c r="AO53" s="68">
        <v>2390</v>
      </c>
      <c r="AP53" s="66">
        <v>250</v>
      </c>
      <c r="AQ53" s="35">
        <f t="shared" si="122"/>
        <v>9.56</v>
      </c>
      <c r="AR53" s="6">
        <f t="shared" si="123"/>
        <v>0.15408999328408329</v>
      </c>
      <c r="AS53" s="68">
        <v>2220</v>
      </c>
      <c r="AT53" s="66">
        <v>96</v>
      </c>
      <c r="AU53" s="35">
        <f t="shared" si="124"/>
        <v>23.125</v>
      </c>
      <c r="AV53" s="6">
        <f t="shared" si="125"/>
        <v>0.37273337810611151</v>
      </c>
      <c r="AW53" s="68">
        <v>0</v>
      </c>
      <c r="AX53" s="66">
        <v>0</v>
      </c>
      <c r="AY53" s="35" t="e">
        <f t="shared" si="126"/>
        <v>#DIV/0!</v>
      </c>
      <c r="AZ53" s="6" t="e">
        <f t="shared" si="127"/>
        <v>#DIV/0!</v>
      </c>
      <c r="BA53" s="68">
        <v>0</v>
      </c>
      <c r="BB53" s="66">
        <v>0</v>
      </c>
      <c r="BC53" s="35" t="e">
        <f t="shared" si="128"/>
        <v>#DIV/0!</v>
      </c>
      <c r="BD53" s="11" t="e">
        <f t="shared" si="129"/>
        <v>#DIV/0!</v>
      </c>
    </row>
    <row r="54" spans="1:56" x14ac:dyDescent="0.25">
      <c r="A54" s="19" t="s">
        <v>2</v>
      </c>
      <c r="B54" s="8">
        <v>69750</v>
      </c>
      <c r="C54" s="35">
        <f>B54/F49</f>
        <v>72.65625</v>
      </c>
      <c r="D54" s="8">
        <v>2100</v>
      </c>
      <c r="E54" s="68">
        <v>0</v>
      </c>
      <c r="F54" s="70">
        <v>0</v>
      </c>
      <c r="G54" s="35" t="e">
        <f t="shared" si="104"/>
        <v>#DIV/0!</v>
      </c>
      <c r="H54" s="11" t="e">
        <f t="shared" si="105"/>
        <v>#DIV/0!</v>
      </c>
      <c r="I54" s="35">
        <v>0</v>
      </c>
      <c r="J54" s="70">
        <v>0</v>
      </c>
      <c r="K54" s="35" t="e">
        <f t="shared" si="106"/>
        <v>#DIV/0!</v>
      </c>
      <c r="L54" s="6" t="e">
        <f t="shared" si="107"/>
        <v>#DIV/0!</v>
      </c>
      <c r="M54" s="68">
        <v>0</v>
      </c>
      <c r="N54" s="5">
        <v>0</v>
      </c>
      <c r="O54" s="35" t="e">
        <f t="shared" si="108"/>
        <v>#DIV/0!</v>
      </c>
      <c r="P54" s="11" t="e">
        <f t="shared" si="109"/>
        <v>#DIV/0!</v>
      </c>
      <c r="Q54" s="35">
        <v>0</v>
      </c>
      <c r="R54" s="66">
        <v>0</v>
      </c>
      <c r="S54" s="35" t="e">
        <f t="shared" si="110"/>
        <v>#DIV/0!</v>
      </c>
      <c r="T54" s="6" t="e">
        <f t="shared" si="111"/>
        <v>#DIV/0!</v>
      </c>
      <c r="U54" s="68">
        <v>0</v>
      </c>
      <c r="V54" s="66">
        <v>0</v>
      </c>
      <c r="W54" s="20" t="e">
        <f t="shared" si="112"/>
        <v>#DIV/0!</v>
      </c>
      <c r="X54" s="6" t="e">
        <f t="shared" si="113"/>
        <v>#DIV/0!</v>
      </c>
      <c r="Y54" s="68">
        <v>0</v>
      </c>
      <c r="Z54" s="70">
        <v>0</v>
      </c>
      <c r="AA54" s="35" t="e">
        <f t="shared" si="114"/>
        <v>#DIV/0!</v>
      </c>
      <c r="AB54" s="11" t="e">
        <f t="shared" si="115"/>
        <v>#DIV/0!</v>
      </c>
      <c r="AC54" s="35">
        <v>9460</v>
      </c>
      <c r="AD54" s="36">
        <v>336</v>
      </c>
      <c r="AE54" s="35">
        <f t="shared" si="116"/>
        <v>28.154761904761905</v>
      </c>
      <c r="AF54" s="6">
        <f t="shared" si="117"/>
        <v>0.38750640040962619</v>
      </c>
      <c r="AG54" s="68">
        <v>0</v>
      </c>
      <c r="AH54" s="66">
        <v>0</v>
      </c>
      <c r="AI54" s="35" t="e">
        <f t="shared" si="118"/>
        <v>#DIV/0!</v>
      </c>
      <c r="AJ54" s="6" t="e">
        <f t="shared" si="119"/>
        <v>#DIV/0!</v>
      </c>
      <c r="AK54" s="68">
        <v>0</v>
      </c>
      <c r="AL54" s="66">
        <v>0</v>
      </c>
      <c r="AM54" s="35" t="e">
        <f t="shared" si="120"/>
        <v>#DIV/0!</v>
      </c>
      <c r="AN54" s="6" t="e">
        <f t="shared" si="121"/>
        <v>#DIV/0!</v>
      </c>
      <c r="AO54" s="68">
        <v>2520</v>
      </c>
      <c r="AP54" s="66">
        <v>250</v>
      </c>
      <c r="AQ54" s="35">
        <f t="shared" si="122"/>
        <v>10.08</v>
      </c>
      <c r="AR54" s="6">
        <f t="shared" si="123"/>
        <v>0.13873548387096774</v>
      </c>
      <c r="AS54" s="68">
        <v>2450</v>
      </c>
      <c r="AT54" s="66">
        <v>96</v>
      </c>
      <c r="AU54" s="35">
        <f t="shared" si="124"/>
        <v>25.520833333333332</v>
      </c>
      <c r="AV54" s="6">
        <f t="shared" si="125"/>
        <v>0.35125448028673834</v>
      </c>
      <c r="AW54" s="68">
        <v>0</v>
      </c>
      <c r="AX54" s="66">
        <v>0</v>
      </c>
      <c r="AY54" s="35" t="e">
        <f t="shared" si="126"/>
        <v>#DIV/0!</v>
      </c>
      <c r="AZ54" s="6" t="e">
        <f t="shared" si="127"/>
        <v>#DIV/0!</v>
      </c>
      <c r="BA54" s="68">
        <v>0</v>
      </c>
      <c r="BB54" s="66">
        <v>0</v>
      </c>
      <c r="BC54" s="35" t="e">
        <f t="shared" si="128"/>
        <v>#DIV/0!</v>
      </c>
      <c r="BD54" s="11" t="e">
        <f t="shared" si="129"/>
        <v>#DIV/0!</v>
      </c>
    </row>
    <row r="55" spans="1:56" x14ac:dyDescent="0.25">
      <c r="A55" s="19" t="s">
        <v>3</v>
      </c>
      <c r="B55" s="8">
        <v>84010</v>
      </c>
      <c r="C55" s="35">
        <f>B55/F49</f>
        <v>87.510416666666671</v>
      </c>
      <c r="D55" s="8">
        <v>2700</v>
      </c>
      <c r="E55" s="68">
        <v>0</v>
      </c>
      <c r="F55" s="70">
        <v>0</v>
      </c>
      <c r="G55" s="35" t="e">
        <f t="shared" si="104"/>
        <v>#DIV/0!</v>
      </c>
      <c r="H55" s="11" t="e">
        <f t="shared" si="105"/>
        <v>#DIV/0!</v>
      </c>
      <c r="I55" s="35">
        <v>0</v>
      </c>
      <c r="J55" s="70">
        <v>0</v>
      </c>
      <c r="K55" s="35" t="e">
        <f t="shared" si="106"/>
        <v>#DIV/0!</v>
      </c>
      <c r="L55" s="6" t="e">
        <f t="shared" si="107"/>
        <v>#DIV/0!</v>
      </c>
      <c r="M55" s="68">
        <v>0</v>
      </c>
      <c r="N55" s="5">
        <v>0</v>
      </c>
      <c r="O55" s="35" t="e">
        <f t="shared" si="108"/>
        <v>#DIV/0!</v>
      </c>
      <c r="P55" s="11" t="e">
        <f t="shared" si="109"/>
        <v>#DIV/0!</v>
      </c>
      <c r="Q55" s="35">
        <v>0</v>
      </c>
      <c r="R55" s="66">
        <v>0</v>
      </c>
      <c r="S55" s="35" t="e">
        <f t="shared" si="110"/>
        <v>#DIV/0!</v>
      </c>
      <c r="T55" s="6" t="e">
        <f t="shared" si="111"/>
        <v>#DIV/0!</v>
      </c>
      <c r="U55" s="68">
        <v>0</v>
      </c>
      <c r="V55" s="66">
        <v>0</v>
      </c>
      <c r="W55" s="20" t="e">
        <f t="shared" si="112"/>
        <v>#DIV/0!</v>
      </c>
      <c r="X55" s="6" t="e">
        <f t="shared" si="113"/>
        <v>#DIV/0!</v>
      </c>
      <c r="Y55" s="68">
        <v>0</v>
      </c>
      <c r="Z55" s="70">
        <v>0</v>
      </c>
      <c r="AA55" s="35" t="e">
        <f t="shared" si="114"/>
        <v>#DIV/0!</v>
      </c>
      <c r="AB55" s="11" t="e">
        <f t="shared" si="115"/>
        <v>#DIV/0!</v>
      </c>
      <c r="AC55" s="35">
        <v>9920</v>
      </c>
      <c r="AD55" s="36">
        <v>336</v>
      </c>
      <c r="AE55" s="35">
        <f t="shared" si="116"/>
        <v>29.523809523809526</v>
      </c>
      <c r="AF55" s="6">
        <f t="shared" si="117"/>
        <v>0.33737480231945177</v>
      </c>
      <c r="AG55" s="68">
        <v>0</v>
      </c>
      <c r="AH55" s="66">
        <v>0</v>
      </c>
      <c r="AI55" s="35" t="e">
        <f t="shared" si="118"/>
        <v>#DIV/0!</v>
      </c>
      <c r="AJ55" s="6" t="e">
        <f t="shared" si="119"/>
        <v>#DIV/0!</v>
      </c>
      <c r="AK55" s="68">
        <v>0</v>
      </c>
      <c r="AL55" s="66">
        <v>0</v>
      </c>
      <c r="AM55" s="35" t="e">
        <f t="shared" si="120"/>
        <v>#DIV/0!</v>
      </c>
      <c r="AN55" s="6" t="e">
        <f t="shared" si="121"/>
        <v>#DIV/0!</v>
      </c>
      <c r="AO55" s="68">
        <v>2640</v>
      </c>
      <c r="AP55" s="66">
        <v>250</v>
      </c>
      <c r="AQ55" s="35">
        <f t="shared" si="122"/>
        <v>10.56</v>
      </c>
      <c r="AR55" s="6">
        <f t="shared" si="123"/>
        <v>0.12067134864897036</v>
      </c>
      <c r="AS55" s="68">
        <v>2890</v>
      </c>
      <c r="AT55" s="66">
        <v>96</v>
      </c>
      <c r="AU55" s="35">
        <f t="shared" si="124"/>
        <v>30.104166666666668</v>
      </c>
      <c r="AV55" s="6">
        <f t="shared" si="125"/>
        <v>0.34400666587311035</v>
      </c>
      <c r="AW55" s="68">
        <v>0</v>
      </c>
      <c r="AX55" s="66">
        <v>0</v>
      </c>
      <c r="AY55" s="35" t="e">
        <f t="shared" si="126"/>
        <v>#DIV/0!</v>
      </c>
      <c r="AZ55" s="6" t="e">
        <f t="shared" si="127"/>
        <v>#DIV/0!</v>
      </c>
      <c r="BA55" s="68">
        <v>0</v>
      </c>
      <c r="BB55" s="66">
        <v>0</v>
      </c>
      <c r="BC55" s="35" t="e">
        <f t="shared" si="128"/>
        <v>#DIV/0!</v>
      </c>
      <c r="BD55" s="11" t="e">
        <f t="shared" si="129"/>
        <v>#DIV/0!</v>
      </c>
    </row>
    <row r="56" spans="1:56" x14ac:dyDescent="0.25">
      <c r="A56" s="19" t="s">
        <v>4</v>
      </c>
      <c r="B56" s="8">
        <v>104850</v>
      </c>
      <c r="C56" s="35">
        <f>B56/F49</f>
        <v>109.21875</v>
      </c>
      <c r="D56" s="8">
        <v>5250</v>
      </c>
      <c r="E56" s="68">
        <v>0</v>
      </c>
      <c r="F56" s="70">
        <v>0</v>
      </c>
      <c r="G56" s="35" t="e">
        <f t="shared" si="104"/>
        <v>#DIV/0!</v>
      </c>
      <c r="H56" s="11" t="e">
        <f t="shared" si="105"/>
        <v>#DIV/0!</v>
      </c>
      <c r="I56" s="35">
        <v>0</v>
      </c>
      <c r="J56" s="70">
        <v>0</v>
      </c>
      <c r="K56" s="35" t="e">
        <f t="shared" si="106"/>
        <v>#DIV/0!</v>
      </c>
      <c r="L56" s="6" t="e">
        <f t="shared" si="107"/>
        <v>#DIV/0!</v>
      </c>
      <c r="M56" s="68">
        <v>0</v>
      </c>
      <c r="N56" s="5">
        <v>0</v>
      </c>
      <c r="O56" s="35" t="e">
        <f t="shared" si="108"/>
        <v>#DIV/0!</v>
      </c>
      <c r="P56" s="11" t="e">
        <f t="shared" si="109"/>
        <v>#DIV/0!</v>
      </c>
      <c r="Q56" s="35">
        <v>0</v>
      </c>
      <c r="R56" s="66">
        <v>0</v>
      </c>
      <c r="S56" s="35" t="e">
        <f t="shared" si="110"/>
        <v>#DIV/0!</v>
      </c>
      <c r="T56" s="6" t="e">
        <f t="shared" si="111"/>
        <v>#DIV/0!</v>
      </c>
      <c r="U56" s="68">
        <v>0</v>
      </c>
      <c r="V56" s="66">
        <v>0</v>
      </c>
      <c r="W56" s="20" t="e">
        <f t="shared" si="112"/>
        <v>#DIV/0!</v>
      </c>
      <c r="X56" s="6" t="e">
        <f t="shared" si="113"/>
        <v>#DIV/0!</v>
      </c>
      <c r="Y56" s="68">
        <v>0</v>
      </c>
      <c r="Z56" s="70">
        <v>0</v>
      </c>
      <c r="AA56" s="35" t="e">
        <f t="shared" si="114"/>
        <v>#DIV/0!</v>
      </c>
      <c r="AB56" s="11" t="e">
        <f t="shared" si="115"/>
        <v>#DIV/0!</v>
      </c>
      <c r="AC56" s="35">
        <v>11360</v>
      </c>
      <c r="AD56" s="36">
        <v>336</v>
      </c>
      <c r="AE56" s="35">
        <f t="shared" si="116"/>
        <v>33.80952380952381</v>
      </c>
      <c r="AF56" s="6">
        <f t="shared" si="117"/>
        <v>0.30955787178963146</v>
      </c>
      <c r="AG56" s="68">
        <v>0</v>
      </c>
      <c r="AH56" s="66">
        <v>0</v>
      </c>
      <c r="AI56" s="35" t="e">
        <f t="shared" si="118"/>
        <v>#DIV/0!</v>
      </c>
      <c r="AJ56" s="6" t="e">
        <f t="shared" si="119"/>
        <v>#DIV/0!</v>
      </c>
      <c r="AK56" s="68">
        <v>0</v>
      </c>
      <c r="AL56" s="66">
        <v>0</v>
      </c>
      <c r="AM56" s="35" t="e">
        <f t="shared" si="120"/>
        <v>#DIV/0!</v>
      </c>
      <c r="AN56" s="6" t="e">
        <f t="shared" si="121"/>
        <v>#DIV/0!</v>
      </c>
      <c r="AO56" s="68">
        <v>3500</v>
      </c>
      <c r="AP56" s="66">
        <v>250</v>
      </c>
      <c r="AQ56" s="35">
        <f t="shared" si="122"/>
        <v>14</v>
      </c>
      <c r="AR56" s="6">
        <f t="shared" si="123"/>
        <v>0.12818311874105864</v>
      </c>
      <c r="AS56" s="68">
        <v>3420</v>
      </c>
      <c r="AT56" s="66">
        <v>96</v>
      </c>
      <c r="AU56" s="35">
        <f t="shared" si="124"/>
        <v>35.625</v>
      </c>
      <c r="AV56" s="6">
        <f t="shared" si="125"/>
        <v>0.3261802575107296</v>
      </c>
      <c r="AW56" s="68">
        <v>0</v>
      </c>
      <c r="AX56" s="66">
        <v>0</v>
      </c>
      <c r="AY56" s="35" t="e">
        <f t="shared" si="126"/>
        <v>#DIV/0!</v>
      </c>
      <c r="AZ56" s="6" t="e">
        <f t="shared" si="127"/>
        <v>#DIV/0!</v>
      </c>
      <c r="BA56" s="68">
        <v>0</v>
      </c>
      <c r="BB56" s="66">
        <v>0</v>
      </c>
      <c r="BC56" s="35" t="e">
        <f t="shared" si="128"/>
        <v>#DIV/0!</v>
      </c>
      <c r="BD56" s="11" t="e">
        <f t="shared" si="129"/>
        <v>#DIV/0!</v>
      </c>
    </row>
    <row r="57" spans="1:56" x14ac:dyDescent="0.25">
      <c r="A57" s="19" t="s">
        <v>5</v>
      </c>
      <c r="B57" s="8">
        <v>137330</v>
      </c>
      <c r="C57" s="35">
        <f>B57/F49</f>
        <v>143.05208333333334</v>
      </c>
      <c r="D57" s="8">
        <v>7050</v>
      </c>
      <c r="E57" s="68">
        <v>0</v>
      </c>
      <c r="F57" s="70">
        <v>0</v>
      </c>
      <c r="G57" s="35" t="e">
        <f t="shared" si="104"/>
        <v>#DIV/0!</v>
      </c>
      <c r="H57" s="11" t="e">
        <f t="shared" si="105"/>
        <v>#DIV/0!</v>
      </c>
      <c r="I57" s="35">
        <v>0</v>
      </c>
      <c r="J57" s="70">
        <v>0</v>
      </c>
      <c r="K57" s="35" t="e">
        <f t="shared" si="106"/>
        <v>#DIV/0!</v>
      </c>
      <c r="L57" s="6" t="e">
        <f t="shared" si="107"/>
        <v>#DIV/0!</v>
      </c>
      <c r="M57" s="68">
        <v>0</v>
      </c>
      <c r="N57" s="5">
        <v>0</v>
      </c>
      <c r="O57" s="35" t="e">
        <f t="shared" si="108"/>
        <v>#DIV/0!</v>
      </c>
      <c r="P57" s="11" t="e">
        <f t="shared" si="109"/>
        <v>#DIV/0!</v>
      </c>
      <c r="Q57" s="35">
        <v>0</v>
      </c>
      <c r="R57" s="66">
        <v>0</v>
      </c>
      <c r="S57" s="35" t="e">
        <f t="shared" si="110"/>
        <v>#DIV/0!</v>
      </c>
      <c r="T57" s="6" t="e">
        <f t="shared" si="111"/>
        <v>#DIV/0!</v>
      </c>
      <c r="U57" s="68">
        <v>0</v>
      </c>
      <c r="V57" s="66">
        <v>0</v>
      </c>
      <c r="W57" s="20" t="e">
        <f t="shared" si="112"/>
        <v>#DIV/0!</v>
      </c>
      <c r="X57" s="6" t="e">
        <f t="shared" si="113"/>
        <v>#DIV/0!</v>
      </c>
      <c r="Y57" s="68">
        <v>0</v>
      </c>
      <c r="Z57" s="70">
        <v>0</v>
      </c>
      <c r="AA57" s="35" t="e">
        <f t="shared" si="114"/>
        <v>#DIV/0!</v>
      </c>
      <c r="AB57" s="11" t="e">
        <f t="shared" si="115"/>
        <v>#DIV/0!</v>
      </c>
      <c r="AC57" s="35">
        <v>13150</v>
      </c>
      <c r="AD57" s="36">
        <v>336</v>
      </c>
      <c r="AE57" s="35">
        <f t="shared" si="116"/>
        <v>39.136904761904759</v>
      </c>
      <c r="AF57" s="6">
        <f t="shared" si="117"/>
        <v>0.27358500379690209</v>
      </c>
      <c r="AG57" s="68">
        <v>0</v>
      </c>
      <c r="AH57" s="66">
        <v>0</v>
      </c>
      <c r="AI57" s="35" t="e">
        <f t="shared" si="118"/>
        <v>#DIV/0!</v>
      </c>
      <c r="AJ57" s="6" t="e">
        <f t="shared" si="119"/>
        <v>#DIV/0!</v>
      </c>
      <c r="AK57" s="68">
        <v>0</v>
      </c>
      <c r="AL57" s="66">
        <v>0</v>
      </c>
      <c r="AM57" s="35" t="e">
        <f t="shared" si="120"/>
        <v>#DIV/0!</v>
      </c>
      <c r="AN57" s="6" t="e">
        <f t="shared" si="121"/>
        <v>#DIV/0!</v>
      </c>
      <c r="AO57" s="68">
        <v>4260</v>
      </c>
      <c r="AP57" s="66">
        <v>250</v>
      </c>
      <c r="AQ57" s="35">
        <f t="shared" si="122"/>
        <v>17.04</v>
      </c>
      <c r="AR57" s="6">
        <f t="shared" si="123"/>
        <v>0.11911745430714336</v>
      </c>
      <c r="AS57" s="68">
        <v>3970</v>
      </c>
      <c r="AT57" s="66">
        <v>96</v>
      </c>
      <c r="AU57" s="35">
        <f t="shared" si="124"/>
        <v>41.354166666666664</v>
      </c>
      <c r="AV57" s="6">
        <f t="shared" si="125"/>
        <v>0.28908468652151748</v>
      </c>
      <c r="AW57" s="68">
        <v>0</v>
      </c>
      <c r="AX57" s="66">
        <v>0</v>
      </c>
      <c r="AY57" s="35" t="e">
        <f t="shared" si="126"/>
        <v>#DIV/0!</v>
      </c>
      <c r="AZ57" s="6" t="e">
        <f t="shared" si="127"/>
        <v>#DIV/0!</v>
      </c>
      <c r="BA57" s="68">
        <v>0</v>
      </c>
      <c r="BB57" s="66">
        <v>0</v>
      </c>
      <c r="BC57" s="35" t="e">
        <f t="shared" si="128"/>
        <v>#DIV/0!</v>
      </c>
      <c r="BD57" s="11" t="e">
        <f t="shared" si="129"/>
        <v>#DIV/0!</v>
      </c>
    </row>
    <row r="58" spans="1:56" x14ac:dyDescent="0.25">
      <c r="A58" s="19" t="s">
        <v>6</v>
      </c>
      <c r="B58" s="8">
        <v>157280</v>
      </c>
      <c r="C58" s="35">
        <f>B58/F49</f>
        <v>163.83333333333334</v>
      </c>
      <c r="D58" s="8">
        <v>10950</v>
      </c>
      <c r="E58" s="68">
        <v>0</v>
      </c>
      <c r="F58" s="70">
        <v>0</v>
      </c>
      <c r="G58" s="35" t="e">
        <f t="shared" si="104"/>
        <v>#DIV/0!</v>
      </c>
      <c r="H58" s="11" t="e">
        <f t="shared" si="105"/>
        <v>#DIV/0!</v>
      </c>
      <c r="I58" s="35">
        <v>0</v>
      </c>
      <c r="J58" s="70">
        <v>0</v>
      </c>
      <c r="K58" s="35" t="e">
        <f t="shared" si="106"/>
        <v>#DIV/0!</v>
      </c>
      <c r="L58" s="6" t="e">
        <f t="shared" si="107"/>
        <v>#DIV/0!</v>
      </c>
      <c r="M58" s="68">
        <v>0</v>
      </c>
      <c r="N58" s="5">
        <v>0</v>
      </c>
      <c r="O58" s="35" t="e">
        <f t="shared" si="108"/>
        <v>#DIV/0!</v>
      </c>
      <c r="P58" s="11" t="e">
        <f t="shared" si="109"/>
        <v>#DIV/0!</v>
      </c>
      <c r="Q58" s="35">
        <v>0</v>
      </c>
      <c r="R58" s="66">
        <v>0</v>
      </c>
      <c r="S58" s="35" t="e">
        <f t="shared" si="110"/>
        <v>#DIV/0!</v>
      </c>
      <c r="T58" s="6" t="e">
        <f t="shared" si="111"/>
        <v>#DIV/0!</v>
      </c>
      <c r="U58" s="68">
        <v>0</v>
      </c>
      <c r="V58" s="66">
        <v>0</v>
      </c>
      <c r="W58" s="20" t="e">
        <f t="shared" si="112"/>
        <v>#DIV/0!</v>
      </c>
      <c r="X58" s="6" t="e">
        <f t="shared" si="113"/>
        <v>#DIV/0!</v>
      </c>
      <c r="Y58" s="68">
        <v>0</v>
      </c>
      <c r="Z58" s="70">
        <v>0</v>
      </c>
      <c r="AA58" s="35" t="e">
        <f t="shared" si="114"/>
        <v>#DIV/0!</v>
      </c>
      <c r="AB58" s="11" t="e">
        <f t="shared" si="115"/>
        <v>#DIV/0!</v>
      </c>
      <c r="AC58" s="35">
        <v>18650</v>
      </c>
      <c r="AD58" s="36">
        <v>336</v>
      </c>
      <c r="AE58" s="35">
        <f t="shared" si="116"/>
        <v>55.50595238095238</v>
      </c>
      <c r="AF58" s="6">
        <f t="shared" si="117"/>
        <v>0.33879523325098093</v>
      </c>
      <c r="AG58" s="68">
        <v>0</v>
      </c>
      <c r="AH58" s="66">
        <v>0</v>
      </c>
      <c r="AI58" s="35" t="e">
        <f t="shared" si="118"/>
        <v>#DIV/0!</v>
      </c>
      <c r="AJ58" s="6" t="e">
        <f t="shared" si="119"/>
        <v>#DIV/0!</v>
      </c>
      <c r="AK58" s="68">
        <v>0</v>
      </c>
      <c r="AL58" s="66">
        <v>0</v>
      </c>
      <c r="AM58" s="35" t="e">
        <f t="shared" si="120"/>
        <v>#DIV/0!</v>
      </c>
      <c r="AN58" s="6" t="e">
        <f t="shared" si="121"/>
        <v>#DIV/0!</v>
      </c>
      <c r="AO58" s="68">
        <v>4550</v>
      </c>
      <c r="AP58" s="66">
        <v>250</v>
      </c>
      <c r="AQ58" s="35">
        <f t="shared" si="122"/>
        <v>18.2</v>
      </c>
      <c r="AR58" s="6">
        <f t="shared" si="123"/>
        <v>0.11108850457782297</v>
      </c>
      <c r="AS58" s="68">
        <v>4510</v>
      </c>
      <c r="AT58" s="66">
        <v>96</v>
      </c>
      <c r="AU58" s="35">
        <f t="shared" si="124"/>
        <v>46.979166666666664</v>
      </c>
      <c r="AV58" s="6">
        <f t="shared" si="125"/>
        <v>0.28674974567650047</v>
      </c>
      <c r="AW58" s="68">
        <v>0</v>
      </c>
      <c r="AX58" s="66">
        <v>0</v>
      </c>
      <c r="AY58" s="35" t="e">
        <f t="shared" si="126"/>
        <v>#DIV/0!</v>
      </c>
      <c r="AZ58" s="6" t="e">
        <f t="shared" si="127"/>
        <v>#DIV/0!</v>
      </c>
      <c r="BA58" s="68">
        <v>0</v>
      </c>
      <c r="BB58" s="66">
        <v>0</v>
      </c>
      <c r="BC58" s="35" t="e">
        <f t="shared" si="128"/>
        <v>#DIV/0!</v>
      </c>
      <c r="BD58" s="11" t="e">
        <f t="shared" si="129"/>
        <v>#DIV/0!</v>
      </c>
    </row>
    <row r="59" spans="1:56" ht="15.75" thickBot="1" x14ac:dyDescent="0.3">
      <c r="A59" s="21"/>
      <c r="B59" s="22"/>
      <c r="C59" s="23">
        <f>AVERAGE(Table1105[MA $/Sq Ft])</f>
        <v>98.72172619047619</v>
      </c>
      <c r="D59" s="22">
        <f>AVERAGE(Table1105[Basic Allowance])</f>
        <v>4442.8571428571431</v>
      </c>
      <c r="E59" s="16"/>
      <c r="F59" s="22"/>
      <c r="G59" s="15"/>
      <c r="H59" s="24" t="e">
        <f>AVERAGE(Table1105[Bsmt % Base])</f>
        <v>#DIV/0!</v>
      </c>
      <c r="I59" s="15"/>
      <c r="J59" s="15"/>
      <c r="K59" s="15"/>
      <c r="L59" s="25" t="e">
        <f>AVERAGE(Table1105[[#Headers],[#Data],[UnfBsmt % Base]])</f>
        <v>#DIV/0!</v>
      </c>
      <c r="M59" s="44"/>
      <c r="N59" s="15"/>
      <c r="O59" s="23" t="e">
        <f>AVERAGE(Table1105[LowerVal/SqFt])</f>
        <v>#DIV/0!</v>
      </c>
      <c r="P59" s="24" t="e">
        <f>AVERAGE(Table1105[Lower % Base])</f>
        <v>#DIV/0!</v>
      </c>
      <c r="Q59" s="13"/>
      <c r="R59" s="13"/>
      <c r="S59" s="13"/>
      <c r="T59" s="25" t="e">
        <f>AVERAGE(Table1105[Unf Lower % Base])</f>
        <v>#DIV/0!</v>
      </c>
      <c r="U59" s="12"/>
      <c r="V59" s="13"/>
      <c r="W59" s="13"/>
      <c r="X59" s="25" t="e">
        <f>AVERAGE(Table1105[1/2 Story % Base])</f>
        <v>#DIV/0!</v>
      </c>
      <c r="Y59" s="12"/>
      <c r="Z59" s="13"/>
      <c r="AA59" s="13"/>
      <c r="AB59" s="24" t="e">
        <f>AVERAGE(Table1105[2nd Story % Base])</f>
        <v>#DIV/0!</v>
      </c>
      <c r="AC59" s="22">
        <f>SUBTOTAL(101,Table1105[Att Gar Value])</f>
        <v>10841.428571428571</v>
      </c>
      <c r="AD59" s="13"/>
      <c r="AE59" s="23">
        <f>AVERAGE(Table1105[AttGarVal/SqFt])</f>
        <v>32.26615646258503</v>
      </c>
      <c r="AF59" s="25">
        <f>AVERAGE(Table1105[Att Gar % Base])</f>
        <v>0.33347965922387568</v>
      </c>
      <c r="AG59" s="12"/>
      <c r="AH59" s="13"/>
      <c r="AI59" s="13"/>
      <c r="AJ59" s="25" t="e">
        <f>AVERAGE(Table1105[Porch % Base])</f>
        <v>#DIV/0!</v>
      </c>
      <c r="AK59" s="12"/>
      <c r="AL59" s="13"/>
      <c r="AM59" s="13"/>
      <c r="AN59" s="25" t="e">
        <f>AVERAGE(Table1105[Cov Porch % Base])</f>
        <v>#DIV/0!</v>
      </c>
      <c r="AO59" s="16">
        <f>SUBTOTAL(101,Table1105[Deck Value])</f>
        <v>3087.1428571428573</v>
      </c>
      <c r="AP59" s="13"/>
      <c r="AQ59" s="13"/>
      <c r="AR59" s="25">
        <f>AVERAGE(Table1105[Deck % Base])</f>
        <v>0.12923050503841102</v>
      </c>
      <c r="AS59" s="16">
        <f>SUBTOTAL(101,Table1105[Cov Deck Value])</f>
        <v>3002.8571428571427</v>
      </c>
      <c r="AT59" s="13"/>
      <c r="AU59" s="23">
        <f>AVERAGE(Table1105[CovDeckVal/SqFt])</f>
        <v>31.279761904761902</v>
      </c>
      <c r="AV59" s="25">
        <f>AVERAGE(Table1105[CovDeck % Base])</f>
        <v>0.32544670439191747</v>
      </c>
      <c r="AW59" s="12"/>
      <c r="AX59" s="13"/>
      <c r="AY59" s="13"/>
      <c r="AZ59" s="25" t="e">
        <f>AVERAGE(Table1105[CarP % Base])</f>
        <v>#DIV/0!</v>
      </c>
      <c r="BA59" s="12"/>
      <c r="BB59" s="13"/>
      <c r="BC59" s="13"/>
      <c r="BD59" s="24" t="e">
        <f>AVERAGE(Table1105[EFP % Base])</f>
        <v>#DIV/0!</v>
      </c>
    </row>
    <row r="60" spans="1:56" x14ac:dyDescent="0.25">
      <c r="B60" s="2"/>
      <c r="C60" s="2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56" ht="15.75" thickBot="1" x14ac:dyDescent="0.3">
      <c r="A61" s="84"/>
      <c r="B61" s="74" t="s">
        <v>88</v>
      </c>
      <c r="C61" s="74"/>
      <c r="D61" s="74"/>
      <c r="E61" s="74" t="s">
        <v>33</v>
      </c>
      <c r="F61" s="75">
        <v>1821</v>
      </c>
      <c r="G61" s="74"/>
      <c r="H61" s="74" t="s">
        <v>89</v>
      </c>
      <c r="I61" s="74"/>
      <c r="J61" s="74" t="s">
        <v>83</v>
      </c>
      <c r="K61" s="75">
        <v>1979</v>
      </c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6"/>
    </row>
    <row r="62" spans="1:56" x14ac:dyDescent="0.25">
      <c r="A62" s="112"/>
      <c r="B62" s="113"/>
      <c r="C62" s="113"/>
      <c r="D62" s="114"/>
      <c r="E62" s="115" t="s">
        <v>27</v>
      </c>
      <c r="F62" s="116"/>
      <c r="G62" s="116"/>
      <c r="H62" s="117"/>
      <c r="I62" s="118" t="s">
        <v>28</v>
      </c>
      <c r="J62" s="119"/>
      <c r="K62" s="119"/>
      <c r="L62" s="120"/>
      <c r="M62" s="121" t="s">
        <v>7</v>
      </c>
      <c r="N62" s="122"/>
      <c r="O62" s="122"/>
      <c r="P62" s="122"/>
      <c r="Q62" s="124" t="s">
        <v>29</v>
      </c>
      <c r="R62" s="125"/>
      <c r="S62" s="125"/>
      <c r="T62" s="126"/>
      <c r="U62" s="128" t="s">
        <v>8</v>
      </c>
      <c r="V62" s="128"/>
      <c r="W62" s="128"/>
      <c r="X62" s="129"/>
      <c r="Y62" s="130" t="s">
        <v>0</v>
      </c>
      <c r="Z62" s="131"/>
      <c r="AA62" s="131"/>
      <c r="AB62" s="132"/>
      <c r="AC62" s="133" t="s">
        <v>34</v>
      </c>
      <c r="AD62" s="134"/>
      <c r="AE62" s="134"/>
      <c r="AF62" s="135"/>
      <c r="AG62" s="115" t="s">
        <v>9</v>
      </c>
      <c r="AH62" s="116"/>
      <c r="AI62" s="116"/>
      <c r="AJ62" s="117"/>
      <c r="AK62" s="136" t="s">
        <v>35</v>
      </c>
      <c r="AL62" s="137"/>
      <c r="AM62" s="137"/>
      <c r="AN62" s="138"/>
      <c r="AO62" s="139" t="s">
        <v>10</v>
      </c>
      <c r="AP62" s="140"/>
      <c r="AQ62" s="140"/>
      <c r="AR62" s="141"/>
      <c r="AS62" s="124" t="s">
        <v>36</v>
      </c>
      <c r="AT62" s="125"/>
      <c r="AU62" s="125"/>
      <c r="AV62" s="126"/>
      <c r="AW62" s="142" t="s">
        <v>11</v>
      </c>
      <c r="AX62" s="143"/>
      <c r="AY62" s="143"/>
      <c r="AZ62" s="144"/>
      <c r="BA62" s="148" t="s">
        <v>17</v>
      </c>
      <c r="BB62" s="149"/>
      <c r="BC62" s="149"/>
      <c r="BD62" s="150"/>
    </row>
    <row r="63" spans="1:56" s="1" customFormat="1" ht="15.75" thickBot="1" x14ac:dyDescent="0.3">
      <c r="A63" s="41" t="s">
        <v>13</v>
      </c>
      <c r="B63" s="42" t="s">
        <v>15</v>
      </c>
      <c r="C63" s="42" t="s">
        <v>32</v>
      </c>
      <c r="D63" s="43" t="s">
        <v>18</v>
      </c>
      <c r="E63" s="30" t="s">
        <v>30</v>
      </c>
      <c r="F63" s="31" t="s">
        <v>61</v>
      </c>
      <c r="G63" s="31" t="s">
        <v>38</v>
      </c>
      <c r="H63" s="32" t="s">
        <v>62</v>
      </c>
      <c r="I63" s="37" t="s">
        <v>31</v>
      </c>
      <c r="J63" s="38" t="s">
        <v>39</v>
      </c>
      <c r="K63" s="38" t="s">
        <v>40</v>
      </c>
      <c r="L63" s="39" t="s">
        <v>63</v>
      </c>
      <c r="M63" s="40" t="s">
        <v>19</v>
      </c>
      <c r="N63" s="7" t="s">
        <v>41</v>
      </c>
      <c r="O63" s="7" t="s">
        <v>37</v>
      </c>
      <c r="P63" s="7" t="s">
        <v>64</v>
      </c>
      <c r="Q63" s="27" t="s">
        <v>20</v>
      </c>
      <c r="R63" s="28" t="s">
        <v>60</v>
      </c>
      <c r="S63" s="28" t="s">
        <v>59</v>
      </c>
      <c r="T63" s="29" t="s">
        <v>65</v>
      </c>
      <c r="U63" s="48" t="s">
        <v>21</v>
      </c>
      <c r="V63" s="48" t="s">
        <v>42</v>
      </c>
      <c r="W63" s="48" t="s">
        <v>43</v>
      </c>
      <c r="X63" s="49" t="s">
        <v>66</v>
      </c>
      <c r="Y63" s="50" t="s">
        <v>22</v>
      </c>
      <c r="Z63" s="51" t="s">
        <v>44</v>
      </c>
      <c r="AA63" s="51" t="s">
        <v>45</v>
      </c>
      <c r="AB63" s="52" t="s">
        <v>67</v>
      </c>
      <c r="AC63" s="45" t="s">
        <v>23</v>
      </c>
      <c r="AD63" s="46" t="s">
        <v>46</v>
      </c>
      <c r="AE63" s="46" t="s">
        <v>47</v>
      </c>
      <c r="AF63" s="47" t="s">
        <v>68</v>
      </c>
      <c r="AG63" s="30" t="s">
        <v>24</v>
      </c>
      <c r="AH63" s="31" t="s">
        <v>48</v>
      </c>
      <c r="AI63" s="31" t="s">
        <v>49</v>
      </c>
      <c r="AJ63" s="32" t="s">
        <v>69</v>
      </c>
      <c r="AK63" s="53" t="s">
        <v>25</v>
      </c>
      <c r="AL63" s="54" t="s">
        <v>50</v>
      </c>
      <c r="AM63" s="54" t="s">
        <v>51</v>
      </c>
      <c r="AN63" s="55" t="s">
        <v>70</v>
      </c>
      <c r="AO63" s="56" t="s">
        <v>26</v>
      </c>
      <c r="AP63" s="57" t="s">
        <v>52</v>
      </c>
      <c r="AQ63" s="57" t="s">
        <v>53</v>
      </c>
      <c r="AR63" s="58" t="s">
        <v>71</v>
      </c>
      <c r="AS63" s="59" t="s">
        <v>55</v>
      </c>
      <c r="AT63" s="60" t="s">
        <v>54</v>
      </c>
      <c r="AU63" s="60" t="s">
        <v>56</v>
      </c>
      <c r="AV63" s="61" t="s">
        <v>76</v>
      </c>
      <c r="AW63" s="62" t="s">
        <v>72</v>
      </c>
      <c r="AX63" s="63" t="s">
        <v>73</v>
      </c>
      <c r="AY63" s="63" t="s">
        <v>74</v>
      </c>
      <c r="AZ63" s="64" t="s">
        <v>75</v>
      </c>
      <c r="BA63" s="71" t="s">
        <v>77</v>
      </c>
      <c r="BB63" s="72" t="s">
        <v>57</v>
      </c>
      <c r="BC63" s="72" t="s">
        <v>58</v>
      </c>
      <c r="BD63" s="73" t="s">
        <v>78</v>
      </c>
    </row>
    <row r="64" spans="1:56" x14ac:dyDescent="0.25">
      <c r="A64" s="17" t="s">
        <v>1</v>
      </c>
      <c r="B64" s="14">
        <v>87120</v>
      </c>
      <c r="C64" s="34">
        <f>B64/F61</f>
        <v>47.841845140032952</v>
      </c>
      <c r="D64" s="14">
        <v>1525</v>
      </c>
      <c r="E64" s="67">
        <v>24240</v>
      </c>
      <c r="F64" s="69">
        <v>988</v>
      </c>
      <c r="G64" s="34">
        <f t="shared" ref="G64:G70" si="130">E64/F64</f>
        <v>24.534412955465587</v>
      </c>
      <c r="H64" s="10">
        <f t="shared" ref="H64:H70" si="131">G64/C64</f>
        <v>0.51282330110081309</v>
      </c>
      <c r="I64" s="34">
        <v>0</v>
      </c>
      <c r="J64" s="69">
        <v>0</v>
      </c>
      <c r="K64" s="34" t="e">
        <f t="shared" ref="K64:K70" si="132">I64/J64</f>
        <v>#DIV/0!</v>
      </c>
      <c r="L64" s="9" t="e">
        <f t="shared" ref="L64:L70" si="133">K64/C64</f>
        <v>#DIV/0!</v>
      </c>
      <c r="M64" s="67">
        <v>0</v>
      </c>
      <c r="N64" s="26">
        <v>0</v>
      </c>
      <c r="O64" s="34" t="e">
        <f t="shared" ref="O64:O70" si="134">M64/N64</f>
        <v>#DIV/0!</v>
      </c>
      <c r="P64" s="10" t="e">
        <f t="shared" ref="P64:P70" si="135">O64/C64</f>
        <v>#DIV/0!</v>
      </c>
      <c r="Q64" s="35">
        <v>0</v>
      </c>
      <c r="R64" s="66">
        <v>0</v>
      </c>
      <c r="S64" s="35" t="e">
        <f t="shared" ref="S64:S70" si="136">Q64/R64</f>
        <v>#DIV/0!</v>
      </c>
      <c r="T64" s="6" t="e">
        <f t="shared" ref="T64:T70" si="137">S64/C64</f>
        <v>#DIV/0!</v>
      </c>
      <c r="U64" s="67">
        <v>0</v>
      </c>
      <c r="V64" s="65">
        <v>0</v>
      </c>
      <c r="W64" s="18" t="e">
        <f t="shared" ref="W64:W70" si="138">U64/V64</f>
        <v>#DIV/0!</v>
      </c>
      <c r="X64" s="9" t="e">
        <f t="shared" ref="X64:X70" si="139">W64/C64</f>
        <v>#DIV/0!</v>
      </c>
      <c r="Y64" s="67">
        <v>59140</v>
      </c>
      <c r="Z64" s="69">
        <v>1735</v>
      </c>
      <c r="AA64" s="34">
        <f t="shared" ref="AA64:AA70" si="140">Y64/Z64</f>
        <v>34.086455331412104</v>
      </c>
      <c r="AB64" s="10">
        <f t="shared" ref="AB64:AB70" si="141">AA64/C64</f>
        <v>0.71248203809115518</v>
      </c>
      <c r="AC64" s="34">
        <v>16510</v>
      </c>
      <c r="AD64" s="33">
        <v>1068</v>
      </c>
      <c r="AE64" s="34">
        <f t="shared" ref="AE64:AE70" si="142">AC64/AD64</f>
        <v>15.458801498127341</v>
      </c>
      <c r="AF64" s="9">
        <f t="shared" ref="AF64:AF70" si="143">AE64/C64</f>
        <v>0.32312302029487933</v>
      </c>
      <c r="AG64" s="67">
        <v>0</v>
      </c>
      <c r="AH64" s="65">
        <v>0</v>
      </c>
      <c r="AI64" s="34" t="e">
        <f t="shared" ref="AI64:AI70" si="144">AG64/AH64</f>
        <v>#DIV/0!</v>
      </c>
      <c r="AJ64" s="9" t="e">
        <f t="shared" ref="AJ64:AJ70" si="145">AI64/C64</f>
        <v>#DIV/0!</v>
      </c>
      <c r="AK64" s="67">
        <v>0</v>
      </c>
      <c r="AL64" s="65">
        <v>0</v>
      </c>
      <c r="AM64" s="34" t="e">
        <f t="shared" ref="AM64:AM70" si="146">AK64/AL64</f>
        <v>#DIV/0!</v>
      </c>
      <c r="AN64" s="9" t="e">
        <f t="shared" ref="AN64:AN70" si="147">AM64/C64</f>
        <v>#DIV/0!</v>
      </c>
      <c r="AO64" s="67">
        <v>5030</v>
      </c>
      <c r="AP64" s="65">
        <v>524</v>
      </c>
      <c r="AQ64" s="34">
        <f t="shared" ref="AQ64:AQ70" si="148">AO64/AP64</f>
        <v>9.5992366412213741</v>
      </c>
      <c r="AR64" s="9">
        <f t="shared" ref="AR64:AR70" si="149">AQ64/C64</f>
        <v>0.20064520114398671</v>
      </c>
      <c r="AS64" s="67">
        <v>2350</v>
      </c>
      <c r="AT64" s="65">
        <v>224</v>
      </c>
      <c r="AU64" s="34">
        <f t="shared" ref="AU64:AU70" si="150">AS64/AT64</f>
        <v>10.491071428571429</v>
      </c>
      <c r="AV64" s="9">
        <f t="shared" ref="AV64:AV70" si="151">AU64/C64</f>
        <v>0.21928651367571822</v>
      </c>
      <c r="AW64" s="67">
        <v>0</v>
      </c>
      <c r="AX64" s="65">
        <v>0</v>
      </c>
      <c r="AY64" s="34" t="e">
        <f t="shared" ref="AY64:AY70" si="152">AW64/AX64</f>
        <v>#DIV/0!</v>
      </c>
      <c r="AZ64" s="9" t="e">
        <f t="shared" ref="AZ64:AZ70" si="153">AY64/C64</f>
        <v>#DIV/0!</v>
      </c>
      <c r="BA64" s="67">
        <v>0</v>
      </c>
      <c r="BB64" s="65">
        <v>0</v>
      </c>
      <c r="BC64" s="34" t="e">
        <f t="shared" ref="BC64:BC70" si="154">BA64/BB64</f>
        <v>#DIV/0!</v>
      </c>
      <c r="BD64" s="10" t="e">
        <f t="shared" ref="BD64:BD70" si="155">BC64/C64</f>
        <v>#DIV/0!</v>
      </c>
    </row>
    <row r="65" spans="1:56" x14ac:dyDescent="0.25">
      <c r="A65" s="19" t="s">
        <v>16</v>
      </c>
      <c r="B65" s="8">
        <v>102480</v>
      </c>
      <c r="C65" s="35">
        <f>B65/F61</f>
        <v>56.27677100494234</v>
      </c>
      <c r="D65" s="8">
        <v>1525</v>
      </c>
      <c r="E65" s="68">
        <v>32480</v>
      </c>
      <c r="F65" s="70">
        <v>988</v>
      </c>
      <c r="G65" s="35">
        <f t="shared" si="130"/>
        <v>32.874493927125506</v>
      </c>
      <c r="H65" s="11">
        <f t="shared" si="131"/>
        <v>0.58415743014535082</v>
      </c>
      <c r="I65" s="35">
        <v>0</v>
      </c>
      <c r="J65" s="70">
        <v>0</v>
      </c>
      <c r="K65" s="35" t="e">
        <f t="shared" si="132"/>
        <v>#DIV/0!</v>
      </c>
      <c r="L65" s="6" t="e">
        <f t="shared" si="133"/>
        <v>#DIV/0!</v>
      </c>
      <c r="M65" s="68">
        <v>0</v>
      </c>
      <c r="N65" s="5">
        <v>0</v>
      </c>
      <c r="O65" s="35" t="e">
        <f t="shared" si="134"/>
        <v>#DIV/0!</v>
      </c>
      <c r="P65" s="11" t="e">
        <f t="shared" si="135"/>
        <v>#DIV/0!</v>
      </c>
      <c r="Q65" s="35">
        <v>0</v>
      </c>
      <c r="R65" s="66">
        <v>0</v>
      </c>
      <c r="S65" s="35" t="e">
        <f t="shared" si="136"/>
        <v>#DIV/0!</v>
      </c>
      <c r="T65" s="6" t="e">
        <f t="shared" si="137"/>
        <v>#DIV/0!</v>
      </c>
      <c r="U65" s="68">
        <v>0</v>
      </c>
      <c r="V65" s="66">
        <v>0</v>
      </c>
      <c r="W65" s="20" t="e">
        <f t="shared" si="138"/>
        <v>#DIV/0!</v>
      </c>
      <c r="X65" s="6" t="e">
        <f t="shared" si="139"/>
        <v>#DIV/0!</v>
      </c>
      <c r="Y65" s="68">
        <v>80430</v>
      </c>
      <c r="Z65" s="70">
        <v>1735</v>
      </c>
      <c r="AA65" s="35">
        <f t="shared" si="140"/>
        <v>46.357348703170025</v>
      </c>
      <c r="AB65" s="11">
        <f t="shared" si="141"/>
        <v>0.82373860254169218</v>
      </c>
      <c r="AC65" s="35">
        <v>22430</v>
      </c>
      <c r="AD65" s="36">
        <v>1068</v>
      </c>
      <c r="AE65" s="35">
        <f t="shared" si="142"/>
        <v>21.00187265917603</v>
      </c>
      <c r="AF65" s="6">
        <f t="shared" si="143"/>
        <v>0.37318901358664669</v>
      </c>
      <c r="AG65" s="68">
        <v>0</v>
      </c>
      <c r="AH65" s="66">
        <v>0</v>
      </c>
      <c r="AI65" s="35" t="e">
        <f t="shared" si="144"/>
        <v>#DIV/0!</v>
      </c>
      <c r="AJ65" s="6" t="e">
        <f t="shared" si="145"/>
        <v>#DIV/0!</v>
      </c>
      <c r="AK65" s="68">
        <v>0</v>
      </c>
      <c r="AL65" s="66">
        <v>0</v>
      </c>
      <c r="AM65" s="35" t="e">
        <f t="shared" si="146"/>
        <v>#DIV/0!</v>
      </c>
      <c r="AN65" s="6" t="e">
        <f t="shared" si="147"/>
        <v>#DIV/0!</v>
      </c>
      <c r="AO65" s="68">
        <v>7070</v>
      </c>
      <c r="AP65" s="66">
        <v>524</v>
      </c>
      <c r="AQ65" s="35">
        <f t="shared" si="148"/>
        <v>13.492366412213741</v>
      </c>
      <c r="AR65" s="6">
        <f t="shared" si="149"/>
        <v>0.23975018771117507</v>
      </c>
      <c r="AS65" s="68">
        <v>3440</v>
      </c>
      <c r="AT65" s="66">
        <v>224</v>
      </c>
      <c r="AU65" s="35">
        <f t="shared" si="150"/>
        <v>15.357142857142858</v>
      </c>
      <c r="AV65" s="6">
        <f t="shared" si="151"/>
        <v>0.27288599866175978</v>
      </c>
      <c r="AW65" s="68">
        <v>0</v>
      </c>
      <c r="AX65" s="66">
        <v>0</v>
      </c>
      <c r="AY65" s="35" t="e">
        <f t="shared" si="152"/>
        <v>#DIV/0!</v>
      </c>
      <c r="AZ65" s="6" t="e">
        <f t="shared" si="153"/>
        <v>#DIV/0!</v>
      </c>
      <c r="BA65" s="68">
        <v>0</v>
      </c>
      <c r="BB65" s="66">
        <v>0</v>
      </c>
      <c r="BC65" s="35" t="e">
        <f t="shared" si="154"/>
        <v>#DIV/0!</v>
      </c>
      <c r="BD65" s="11" t="e">
        <f t="shared" si="155"/>
        <v>#DIV/0!</v>
      </c>
    </row>
    <row r="66" spans="1:56" x14ac:dyDescent="0.25">
      <c r="A66" s="19" t="s">
        <v>2</v>
      </c>
      <c r="B66" s="8">
        <v>119530</v>
      </c>
      <c r="C66" s="35">
        <f>B66/F61</f>
        <v>65.639758374519488</v>
      </c>
      <c r="D66" s="8">
        <v>2100</v>
      </c>
      <c r="E66" s="68">
        <v>37110</v>
      </c>
      <c r="F66" s="70">
        <v>988</v>
      </c>
      <c r="G66" s="35">
        <f t="shared" si="130"/>
        <v>37.560728744939269</v>
      </c>
      <c r="H66" s="11">
        <f t="shared" si="131"/>
        <v>0.5722252743623728</v>
      </c>
      <c r="I66" s="35">
        <v>0</v>
      </c>
      <c r="J66" s="70">
        <v>0</v>
      </c>
      <c r="K66" s="35" t="e">
        <f t="shared" si="132"/>
        <v>#DIV/0!</v>
      </c>
      <c r="L66" s="6" t="e">
        <f t="shared" si="133"/>
        <v>#DIV/0!</v>
      </c>
      <c r="M66" s="68">
        <v>0</v>
      </c>
      <c r="N66" s="5">
        <v>0</v>
      </c>
      <c r="O66" s="35" t="e">
        <f t="shared" si="134"/>
        <v>#DIV/0!</v>
      </c>
      <c r="P66" s="11" t="e">
        <f t="shared" si="135"/>
        <v>#DIV/0!</v>
      </c>
      <c r="Q66" s="35">
        <v>0</v>
      </c>
      <c r="R66" s="66">
        <v>0</v>
      </c>
      <c r="S66" s="35" t="e">
        <f t="shared" si="136"/>
        <v>#DIV/0!</v>
      </c>
      <c r="T66" s="6" t="e">
        <f t="shared" si="137"/>
        <v>#DIV/0!</v>
      </c>
      <c r="U66" s="68">
        <v>0</v>
      </c>
      <c r="V66" s="66">
        <v>0</v>
      </c>
      <c r="W66" s="20" t="e">
        <f t="shared" si="138"/>
        <v>#DIV/0!</v>
      </c>
      <c r="X66" s="6" t="e">
        <f t="shared" si="139"/>
        <v>#DIV/0!</v>
      </c>
      <c r="Y66" s="68">
        <v>92110</v>
      </c>
      <c r="Z66" s="70">
        <v>1735</v>
      </c>
      <c r="AA66" s="35">
        <f t="shared" si="140"/>
        <v>53.089337175792508</v>
      </c>
      <c r="AB66" s="11">
        <f t="shared" si="141"/>
        <v>0.80879848571168889</v>
      </c>
      <c r="AC66" s="35">
        <v>28140</v>
      </c>
      <c r="AD66" s="36">
        <v>1068</v>
      </c>
      <c r="AE66" s="35">
        <f t="shared" si="142"/>
        <v>26.348314606741575</v>
      </c>
      <c r="AF66" s="6">
        <f t="shared" si="143"/>
        <v>0.40140785492241621</v>
      </c>
      <c r="AG66" s="68">
        <v>0</v>
      </c>
      <c r="AH66" s="66">
        <v>0</v>
      </c>
      <c r="AI66" s="35" t="e">
        <f t="shared" si="144"/>
        <v>#DIV/0!</v>
      </c>
      <c r="AJ66" s="6" t="e">
        <f t="shared" si="145"/>
        <v>#DIV/0!</v>
      </c>
      <c r="AK66" s="68">
        <v>0</v>
      </c>
      <c r="AL66" s="66">
        <v>0</v>
      </c>
      <c r="AM66" s="35" t="e">
        <f t="shared" si="146"/>
        <v>#DIV/0!</v>
      </c>
      <c r="AN66" s="6" t="e">
        <f t="shared" si="147"/>
        <v>#DIV/0!</v>
      </c>
      <c r="AO66" s="68">
        <v>7350</v>
      </c>
      <c r="AP66" s="66">
        <v>524</v>
      </c>
      <c r="AQ66" s="35">
        <f t="shared" si="148"/>
        <v>14.026717557251908</v>
      </c>
      <c r="AR66" s="6">
        <f t="shared" si="149"/>
        <v>0.21369240083456645</v>
      </c>
      <c r="AS66" s="68">
        <v>3650</v>
      </c>
      <c r="AT66" s="66">
        <v>224</v>
      </c>
      <c r="AU66" s="35">
        <f t="shared" si="150"/>
        <v>16.294642857142858</v>
      </c>
      <c r="AV66" s="6">
        <f t="shared" si="151"/>
        <v>0.24824349236892115</v>
      </c>
      <c r="AW66" s="68">
        <v>0</v>
      </c>
      <c r="AX66" s="66">
        <v>0</v>
      </c>
      <c r="AY66" s="35" t="e">
        <f t="shared" si="152"/>
        <v>#DIV/0!</v>
      </c>
      <c r="AZ66" s="6" t="e">
        <f t="shared" si="153"/>
        <v>#DIV/0!</v>
      </c>
      <c r="BA66" s="68">
        <v>0</v>
      </c>
      <c r="BB66" s="66">
        <v>0</v>
      </c>
      <c r="BC66" s="35" t="e">
        <f t="shared" si="154"/>
        <v>#DIV/0!</v>
      </c>
      <c r="BD66" s="11" t="e">
        <f t="shared" si="155"/>
        <v>#DIV/0!</v>
      </c>
    </row>
    <row r="67" spans="1:56" x14ac:dyDescent="0.25">
      <c r="A67" s="19" t="s">
        <v>3</v>
      </c>
      <c r="B67" s="8">
        <v>144980</v>
      </c>
      <c r="C67" s="35">
        <f>B67/F61</f>
        <v>79.615595826468976</v>
      </c>
      <c r="D67" s="8">
        <v>2700</v>
      </c>
      <c r="E67" s="68">
        <v>42660</v>
      </c>
      <c r="F67" s="70">
        <v>988</v>
      </c>
      <c r="G67" s="35">
        <f t="shared" si="130"/>
        <v>43.178137651821864</v>
      </c>
      <c r="H67" s="11">
        <f t="shared" si="131"/>
        <v>0.54233265735941238</v>
      </c>
      <c r="I67" s="35">
        <v>0</v>
      </c>
      <c r="J67" s="70">
        <v>0</v>
      </c>
      <c r="K67" s="35" t="e">
        <f t="shared" si="132"/>
        <v>#DIV/0!</v>
      </c>
      <c r="L67" s="6" t="e">
        <f t="shared" si="133"/>
        <v>#DIV/0!</v>
      </c>
      <c r="M67" s="68">
        <v>0</v>
      </c>
      <c r="N67" s="5">
        <v>0</v>
      </c>
      <c r="O67" s="35" t="e">
        <f t="shared" si="134"/>
        <v>#DIV/0!</v>
      </c>
      <c r="P67" s="11" t="e">
        <f t="shared" si="135"/>
        <v>#DIV/0!</v>
      </c>
      <c r="Q67" s="35">
        <v>0</v>
      </c>
      <c r="R67" s="66">
        <v>0</v>
      </c>
      <c r="S67" s="35" t="e">
        <f t="shared" si="136"/>
        <v>#DIV/0!</v>
      </c>
      <c r="T67" s="6" t="e">
        <f t="shared" si="137"/>
        <v>#DIV/0!</v>
      </c>
      <c r="U67" s="68">
        <v>0</v>
      </c>
      <c r="V67" s="66">
        <v>0</v>
      </c>
      <c r="W67" s="20" t="e">
        <f t="shared" si="138"/>
        <v>#DIV/0!</v>
      </c>
      <c r="X67" s="6" t="e">
        <f t="shared" si="139"/>
        <v>#DIV/0!</v>
      </c>
      <c r="Y67" s="68">
        <v>104270</v>
      </c>
      <c r="Z67" s="70">
        <v>1735</v>
      </c>
      <c r="AA67" s="35">
        <f t="shared" si="140"/>
        <v>60.097982708933721</v>
      </c>
      <c r="AB67" s="11">
        <f t="shared" si="141"/>
        <v>0.75485188655654778</v>
      </c>
      <c r="AC67" s="35">
        <v>29930</v>
      </c>
      <c r="AD67" s="36">
        <v>1068</v>
      </c>
      <c r="AE67" s="35">
        <f t="shared" si="142"/>
        <v>28.024344569288388</v>
      </c>
      <c r="AF67" s="6">
        <f t="shared" si="143"/>
        <v>0.35199566464804904</v>
      </c>
      <c r="AG67" s="68">
        <v>0</v>
      </c>
      <c r="AH67" s="66">
        <v>0</v>
      </c>
      <c r="AI67" s="35" t="e">
        <f t="shared" si="144"/>
        <v>#DIV/0!</v>
      </c>
      <c r="AJ67" s="6" t="e">
        <f t="shared" si="145"/>
        <v>#DIV/0!</v>
      </c>
      <c r="AK67" s="68">
        <v>0</v>
      </c>
      <c r="AL67" s="66">
        <v>0</v>
      </c>
      <c r="AM67" s="35" t="e">
        <f t="shared" si="146"/>
        <v>#DIV/0!</v>
      </c>
      <c r="AN67" s="6" t="e">
        <f t="shared" si="147"/>
        <v>#DIV/0!</v>
      </c>
      <c r="AO67" s="68">
        <v>7630</v>
      </c>
      <c r="AP67" s="66">
        <v>524</v>
      </c>
      <c r="AQ67" s="35">
        <f t="shared" si="148"/>
        <v>14.561068702290076</v>
      </c>
      <c r="AR67" s="6">
        <f t="shared" si="149"/>
        <v>0.1828921651736117</v>
      </c>
      <c r="AS67" s="68">
        <v>3870</v>
      </c>
      <c r="AT67" s="66">
        <v>224</v>
      </c>
      <c r="AU67" s="35">
        <f t="shared" si="150"/>
        <v>17.276785714285715</v>
      </c>
      <c r="AV67" s="6">
        <f t="shared" si="151"/>
        <v>0.21700252990560276</v>
      </c>
      <c r="AW67" s="68">
        <v>0</v>
      </c>
      <c r="AX67" s="66">
        <v>0</v>
      </c>
      <c r="AY67" s="35" t="e">
        <f t="shared" si="152"/>
        <v>#DIV/0!</v>
      </c>
      <c r="AZ67" s="6" t="e">
        <f t="shared" si="153"/>
        <v>#DIV/0!</v>
      </c>
      <c r="BA67" s="68">
        <v>0</v>
      </c>
      <c r="BB67" s="66">
        <v>0</v>
      </c>
      <c r="BC67" s="35" t="e">
        <f t="shared" si="154"/>
        <v>#DIV/0!</v>
      </c>
      <c r="BD67" s="11" t="e">
        <f t="shared" si="155"/>
        <v>#DIV/0!</v>
      </c>
    </row>
    <row r="68" spans="1:56" x14ac:dyDescent="0.25">
      <c r="A68" s="19" t="s">
        <v>4</v>
      </c>
      <c r="B68" s="8">
        <v>179340</v>
      </c>
      <c r="C68" s="35">
        <f>B68/F61</f>
        <v>98.48434925864909</v>
      </c>
      <c r="D68" s="8">
        <v>5250</v>
      </c>
      <c r="E68" s="68">
        <v>60890</v>
      </c>
      <c r="F68" s="70">
        <v>988</v>
      </c>
      <c r="G68" s="35">
        <f t="shared" si="130"/>
        <v>61.629554655870443</v>
      </c>
      <c r="H68" s="11">
        <f t="shared" si="131"/>
        <v>0.62578018862685447</v>
      </c>
      <c r="I68" s="35">
        <v>0</v>
      </c>
      <c r="J68" s="70">
        <v>0</v>
      </c>
      <c r="K68" s="35" t="e">
        <f t="shared" si="132"/>
        <v>#DIV/0!</v>
      </c>
      <c r="L68" s="6" t="e">
        <f t="shared" si="133"/>
        <v>#DIV/0!</v>
      </c>
      <c r="M68" s="68">
        <v>0</v>
      </c>
      <c r="N68" s="5">
        <v>0</v>
      </c>
      <c r="O68" s="35" t="e">
        <f t="shared" si="134"/>
        <v>#DIV/0!</v>
      </c>
      <c r="P68" s="11" t="e">
        <f t="shared" si="135"/>
        <v>#DIV/0!</v>
      </c>
      <c r="Q68" s="35">
        <v>0</v>
      </c>
      <c r="R68" s="66">
        <v>0</v>
      </c>
      <c r="S68" s="35" t="e">
        <f t="shared" si="136"/>
        <v>#DIV/0!</v>
      </c>
      <c r="T68" s="6" t="e">
        <f t="shared" si="137"/>
        <v>#DIV/0!</v>
      </c>
      <c r="U68" s="68">
        <v>0</v>
      </c>
      <c r="V68" s="66">
        <v>0</v>
      </c>
      <c r="W68" s="20" t="e">
        <f t="shared" si="138"/>
        <v>#DIV/0!</v>
      </c>
      <c r="X68" s="6" t="e">
        <f t="shared" si="139"/>
        <v>#DIV/0!</v>
      </c>
      <c r="Y68" s="68">
        <v>133050</v>
      </c>
      <c r="Z68" s="70">
        <v>1735</v>
      </c>
      <c r="AA68" s="35">
        <f t="shared" si="140"/>
        <v>76.685878962536023</v>
      </c>
      <c r="AB68" s="11">
        <f t="shared" si="141"/>
        <v>0.77866056423986896</v>
      </c>
      <c r="AC68" s="35">
        <v>34080</v>
      </c>
      <c r="AD68" s="36">
        <v>1068</v>
      </c>
      <c r="AE68" s="35">
        <f t="shared" si="142"/>
        <v>31.910112359550563</v>
      </c>
      <c r="AF68" s="6">
        <f t="shared" si="143"/>
        <v>0.32401201408911329</v>
      </c>
      <c r="AG68" s="68">
        <v>0</v>
      </c>
      <c r="AH68" s="66">
        <v>0</v>
      </c>
      <c r="AI68" s="35" t="e">
        <f t="shared" si="144"/>
        <v>#DIV/0!</v>
      </c>
      <c r="AJ68" s="6" t="e">
        <f t="shared" si="145"/>
        <v>#DIV/0!</v>
      </c>
      <c r="AK68" s="68">
        <v>0</v>
      </c>
      <c r="AL68" s="66">
        <v>0</v>
      </c>
      <c r="AM68" s="35" t="e">
        <f t="shared" si="146"/>
        <v>#DIV/0!</v>
      </c>
      <c r="AN68" s="6" t="e">
        <f t="shared" si="147"/>
        <v>#DIV/0!</v>
      </c>
      <c r="AO68" s="68">
        <v>9500</v>
      </c>
      <c r="AP68" s="66">
        <v>524</v>
      </c>
      <c r="AQ68" s="35">
        <f t="shared" si="148"/>
        <v>18.129770992366414</v>
      </c>
      <c r="AR68" s="6">
        <f t="shared" si="149"/>
        <v>0.18408783861435954</v>
      </c>
      <c r="AS68" s="68">
        <v>4920</v>
      </c>
      <c r="AT68" s="66">
        <v>224</v>
      </c>
      <c r="AU68" s="35">
        <f t="shared" si="150"/>
        <v>21.964285714285715</v>
      </c>
      <c r="AV68" s="6">
        <f t="shared" si="151"/>
        <v>0.22302310854084023</v>
      </c>
      <c r="AW68" s="68">
        <v>0</v>
      </c>
      <c r="AX68" s="66">
        <v>0</v>
      </c>
      <c r="AY68" s="35" t="e">
        <f t="shared" si="152"/>
        <v>#DIV/0!</v>
      </c>
      <c r="AZ68" s="6" t="e">
        <f t="shared" si="153"/>
        <v>#DIV/0!</v>
      </c>
      <c r="BA68" s="68">
        <v>0</v>
      </c>
      <c r="BB68" s="66">
        <v>0</v>
      </c>
      <c r="BC68" s="35" t="e">
        <f t="shared" si="154"/>
        <v>#DIV/0!</v>
      </c>
      <c r="BD68" s="11" t="e">
        <f t="shared" si="155"/>
        <v>#DIV/0!</v>
      </c>
    </row>
    <row r="69" spans="1:56" x14ac:dyDescent="0.25">
      <c r="A69" s="19" t="s">
        <v>5</v>
      </c>
      <c r="B69" s="8">
        <v>238380</v>
      </c>
      <c r="C69" s="35">
        <f>B69/F61</f>
        <v>130.90609555189457</v>
      </c>
      <c r="D69" s="8">
        <v>7050</v>
      </c>
      <c r="E69" s="68">
        <v>68770</v>
      </c>
      <c r="F69" s="70">
        <v>988</v>
      </c>
      <c r="G69" s="35">
        <f t="shared" si="130"/>
        <v>69.60526315789474</v>
      </c>
      <c r="H69" s="11">
        <f t="shared" si="131"/>
        <v>0.53171903771510332</v>
      </c>
      <c r="I69" s="35">
        <v>0</v>
      </c>
      <c r="J69" s="70">
        <v>0</v>
      </c>
      <c r="K69" s="35" t="e">
        <f t="shared" si="132"/>
        <v>#DIV/0!</v>
      </c>
      <c r="L69" s="6" t="e">
        <f t="shared" si="133"/>
        <v>#DIV/0!</v>
      </c>
      <c r="M69" s="68">
        <v>0</v>
      </c>
      <c r="N69" s="5">
        <v>0</v>
      </c>
      <c r="O69" s="35" t="e">
        <f t="shared" si="134"/>
        <v>#DIV/0!</v>
      </c>
      <c r="P69" s="11" t="e">
        <f t="shared" si="135"/>
        <v>#DIV/0!</v>
      </c>
      <c r="Q69" s="35">
        <v>0</v>
      </c>
      <c r="R69" s="66">
        <v>0</v>
      </c>
      <c r="S69" s="35" t="e">
        <f t="shared" si="136"/>
        <v>#DIV/0!</v>
      </c>
      <c r="T69" s="6" t="e">
        <f t="shared" si="137"/>
        <v>#DIV/0!</v>
      </c>
      <c r="U69" s="68">
        <v>0</v>
      </c>
      <c r="V69" s="66">
        <v>0</v>
      </c>
      <c r="W69" s="20" t="e">
        <f t="shared" si="138"/>
        <v>#DIV/0!</v>
      </c>
      <c r="X69" s="6" t="e">
        <f t="shared" si="139"/>
        <v>#DIV/0!</v>
      </c>
      <c r="Y69" s="68">
        <v>181500</v>
      </c>
      <c r="Z69" s="70">
        <v>1735</v>
      </c>
      <c r="AA69" s="35">
        <f t="shared" si="140"/>
        <v>104.61095100864553</v>
      </c>
      <c r="AB69" s="11">
        <f t="shared" si="141"/>
        <v>0.7991297163635519</v>
      </c>
      <c r="AC69" s="35">
        <v>38170</v>
      </c>
      <c r="AD69" s="36">
        <v>1068</v>
      </c>
      <c r="AE69" s="35">
        <f t="shared" si="142"/>
        <v>35.739700374531836</v>
      </c>
      <c r="AF69" s="6">
        <f t="shared" si="143"/>
        <v>0.27301784705941134</v>
      </c>
      <c r="AG69" s="68">
        <v>0</v>
      </c>
      <c r="AH69" s="66">
        <v>0</v>
      </c>
      <c r="AI69" s="35" t="e">
        <f t="shared" si="144"/>
        <v>#DIV/0!</v>
      </c>
      <c r="AJ69" s="6" t="e">
        <f t="shared" si="145"/>
        <v>#DIV/0!</v>
      </c>
      <c r="AK69" s="68">
        <v>0</v>
      </c>
      <c r="AL69" s="66">
        <v>0</v>
      </c>
      <c r="AM69" s="35" t="e">
        <f t="shared" si="146"/>
        <v>#DIV/0!</v>
      </c>
      <c r="AN69" s="6" t="e">
        <f t="shared" si="147"/>
        <v>#DIV/0!</v>
      </c>
      <c r="AO69" s="68">
        <v>11180</v>
      </c>
      <c r="AP69" s="66">
        <v>524</v>
      </c>
      <c r="AQ69" s="35">
        <f t="shared" si="148"/>
        <v>21.335877862595421</v>
      </c>
      <c r="AR69" s="6">
        <f t="shared" si="149"/>
        <v>0.16298612965763176</v>
      </c>
      <c r="AS69" s="68">
        <v>5350</v>
      </c>
      <c r="AT69" s="66">
        <v>224</v>
      </c>
      <c r="AU69" s="35">
        <f t="shared" si="150"/>
        <v>23.883928571428573</v>
      </c>
      <c r="AV69" s="6">
        <f t="shared" si="151"/>
        <v>0.18245085128186689</v>
      </c>
      <c r="AW69" s="68">
        <v>0</v>
      </c>
      <c r="AX69" s="66">
        <v>0</v>
      </c>
      <c r="AY69" s="35" t="e">
        <f t="shared" si="152"/>
        <v>#DIV/0!</v>
      </c>
      <c r="AZ69" s="6" t="e">
        <f t="shared" si="153"/>
        <v>#DIV/0!</v>
      </c>
      <c r="BA69" s="68">
        <v>0</v>
      </c>
      <c r="BB69" s="66">
        <v>0</v>
      </c>
      <c r="BC69" s="35" t="e">
        <f t="shared" si="154"/>
        <v>#DIV/0!</v>
      </c>
      <c r="BD69" s="11" t="e">
        <f t="shared" si="155"/>
        <v>#DIV/0!</v>
      </c>
    </row>
    <row r="70" spans="1:56" x14ac:dyDescent="0.25">
      <c r="A70" s="19" t="s">
        <v>6</v>
      </c>
      <c r="B70" s="8">
        <v>290340</v>
      </c>
      <c r="C70" s="35">
        <f>B70/F61</f>
        <v>159.43986820428336</v>
      </c>
      <c r="D70" s="8">
        <v>10950</v>
      </c>
      <c r="E70" s="68">
        <v>83790</v>
      </c>
      <c r="F70" s="70">
        <v>988</v>
      </c>
      <c r="G70" s="35">
        <f t="shared" si="130"/>
        <v>84.807692307692307</v>
      </c>
      <c r="H70" s="11">
        <f t="shared" si="131"/>
        <v>0.53191020077256901</v>
      </c>
      <c r="I70" s="35">
        <v>0</v>
      </c>
      <c r="J70" s="70">
        <v>0</v>
      </c>
      <c r="K70" s="35" t="e">
        <f t="shared" si="132"/>
        <v>#DIV/0!</v>
      </c>
      <c r="L70" s="6" t="e">
        <f t="shared" si="133"/>
        <v>#DIV/0!</v>
      </c>
      <c r="M70" s="68">
        <v>0</v>
      </c>
      <c r="N70" s="5">
        <v>0</v>
      </c>
      <c r="O70" s="35" t="e">
        <f t="shared" si="134"/>
        <v>#DIV/0!</v>
      </c>
      <c r="P70" s="11" t="e">
        <f t="shared" si="135"/>
        <v>#DIV/0!</v>
      </c>
      <c r="Q70" s="35">
        <v>0</v>
      </c>
      <c r="R70" s="66">
        <v>0</v>
      </c>
      <c r="S70" s="35" t="e">
        <f t="shared" si="136"/>
        <v>#DIV/0!</v>
      </c>
      <c r="T70" s="6" t="e">
        <f t="shared" si="137"/>
        <v>#DIV/0!</v>
      </c>
      <c r="U70" s="68">
        <v>0</v>
      </c>
      <c r="V70" s="66">
        <v>0</v>
      </c>
      <c r="W70" s="20" t="e">
        <f t="shared" si="138"/>
        <v>#DIV/0!</v>
      </c>
      <c r="X70" s="6" t="e">
        <f t="shared" si="139"/>
        <v>#DIV/0!</v>
      </c>
      <c r="Y70" s="68">
        <v>213130</v>
      </c>
      <c r="Z70" s="70">
        <v>1735</v>
      </c>
      <c r="AA70" s="35">
        <f t="shared" si="140"/>
        <v>122.84149855907781</v>
      </c>
      <c r="AB70" s="11">
        <f t="shared" si="141"/>
        <v>0.77045659873279837</v>
      </c>
      <c r="AC70" s="35">
        <v>54720</v>
      </c>
      <c r="AD70" s="36">
        <v>1068</v>
      </c>
      <c r="AE70" s="35">
        <f t="shared" si="142"/>
        <v>51.235955056179776</v>
      </c>
      <c r="AF70" s="6">
        <f t="shared" si="143"/>
        <v>0.32134970778157806</v>
      </c>
      <c r="AG70" s="68">
        <v>0</v>
      </c>
      <c r="AH70" s="66">
        <v>0</v>
      </c>
      <c r="AI70" s="35" t="e">
        <f t="shared" si="144"/>
        <v>#DIV/0!</v>
      </c>
      <c r="AJ70" s="6" t="e">
        <f t="shared" si="145"/>
        <v>#DIV/0!</v>
      </c>
      <c r="AK70" s="68">
        <v>0</v>
      </c>
      <c r="AL70" s="66">
        <v>0</v>
      </c>
      <c r="AM70" s="35" t="e">
        <f t="shared" si="146"/>
        <v>#DIV/0!</v>
      </c>
      <c r="AN70" s="6" t="e">
        <f t="shared" si="147"/>
        <v>#DIV/0!</v>
      </c>
      <c r="AO70" s="68">
        <v>11860</v>
      </c>
      <c r="AP70" s="66">
        <v>524</v>
      </c>
      <c r="AQ70" s="35">
        <f t="shared" si="148"/>
        <v>22.633587786259543</v>
      </c>
      <c r="AR70" s="6">
        <f t="shared" si="149"/>
        <v>0.14195688971129927</v>
      </c>
      <c r="AS70" s="68">
        <v>5630</v>
      </c>
      <c r="AT70" s="66">
        <v>224</v>
      </c>
      <c r="AU70" s="35">
        <f t="shared" si="150"/>
        <v>25.133928571428573</v>
      </c>
      <c r="AV70" s="6">
        <f t="shared" si="151"/>
        <v>0.15763891964101204</v>
      </c>
      <c r="AW70" s="68">
        <v>0</v>
      </c>
      <c r="AX70" s="66">
        <v>0</v>
      </c>
      <c r="AY70" s="35" t="e">
        <f t="shared" si="152"/>
        <v>#DIV/0!</v>
      </c>
      <c r="AZ70" s="6" t="e">
        <f t="shared" si="153"/>
        <v>#DIV/0!</v>
      </c>
      <c r="BA70" s="68">
        <v>0</v>
      </c>
      <c r="BB70" s="66">
        <v>0</v>
      </c>
      <c r="BC70" s="35" t="e">
        <f t="shared" si="154"/>
        <v>#DIV/0!</v>
      </c>
      <c r="BD70" s="11" t="e">
        <f t="shared" si="155"/>
        <v>#DIV/0!</v>
      </c>
    </row>
    <row r="71" spans="1:56" ht="15.75" thickBot="1" x14ac:dyDescent="0.3">
      <c r="A71" s="21"/>
      <c r="B71" s="22"/>
      <c r="C71" s="23">
        <f>AVERAGE(Table1106[MA $/Sq Ft])</f>
        <v>91.172040480112969</v>
      </c>
      <c r="D71" s="22">
        <f>AVERAGE(Table1106[Basic Allowance])</f>
        <v>4442.8571428571431</v>
      </c>
      <c r="E71" s="16"/>
      <c r="F71" s="22"/>
      <c r="G71" s="15"/>
      <c r="H71" s="24">
        <f>AVERAGE(Table1106[Bsmt % Base])</f>
        <v>0.55727829858321087</v>
      </c>
      <c r="I71" s="15"/>
      <c r="J71" s="15"/>
      <c r="K71" s="15"/>
      <c r="L71" s="25" t="e">
        <f>AVERAGE(Table1106[[#Headers],[#Data],[UnfBsmt % Base]])</f>
        <v>#DIV/0!</v>
      </c>
      <c r="M71" s="44"/>
      <c r="N71" s="15"/>
      <c r="O71" s="23" t="e">
        <f>AVERAGE(Table1106[LowerVal/SqFt])</f>
        <v>#DIV/0!</v>
      </c>
      <c r="P71" s="24" t="e">
        <f>AVERAGE(Table1106[Lower % Base])</f>
        <v>#DIV/0!</v>
      </c>
      <c r="Q71" s="13"/>
      <c r="R71" s="13"/>
      <c r="S71" s="13"/>
      <c r="T71" s="25" t="e">
        <f>AVERAGE(Table1106[Unf Lower % Base])</f>
        <v>#DIV/0!</v>
      </c>
      <c r="U71" s="12"/>
      <c r="V71" s="13"/>
      <c r="W71" s="13"/>
      <c r="X71" s="25" t="e">
        <f>AVERAGE(Table1106[1/2 Story % Base])</f>
        <v>#DIV/0!</v>
      </c>
      <c r="Y71" s="12"/>
      <c r="Z71" s="13"/>
      <c r="AA71" s="13"/>
      <c r="AB71" s="24">
        <f>AVERAGE(Table1106[2nd Story % Base])</f>
        <v>0.77830255603390053</v>
      </c>
      <c r="AC71" s="13"/>
      <c r="AD71" s="13"/>
      <c r="AE71" s="23">
        <f>AVERAGE(Table1106[AttGarVal/SqFt])</f>
        <v>29.959871589085076</v>
      </c>
      <c r="AF71" s="25">
        <f>AVERAGE(Table1106[Att Gar % Base])</f>
        <v>0.338299303197442</v>
      </c>
      <c r="AG71" s="12"/>
      <c r="AH71" s="13"/>
      <c r="AI71" s="13"/>
      <c r="AJ71" s="25" t="e">
        <f>AVERAGE(Table1106[Porch % Base])</f>
        <v>#DIV/0!</v>
      </c>
      <c r="AK71" s="12"/>
      <c r="AL71" s="13"/>
      <c r="AM71" s="13"/>
      <c r="AN71" s="25" t="e">
        <f>AVERAGE(Table1106[Cov Porch % Base])</f>
        <v>#DIV/0!</v>
      </c>
      <c r="AO71" s="12"/>
      <c r="AP71" s="13"/>
      <c r="AQ71" s="13"/>
      <c r="AR71" s="25">
        <f>AVERAGE(Table1106[Deck % Base])</f>
        <v>0.18943011612094723</v>
      </c>
      <c r="AS71" s="12"/>
      <c r="AT71" s="13"/>
      <c r="AU71" s="23">
        <f>AVERAGE(Table1106[CovDeckVal/SqFt])</f>
        <v>18.628826530612248</v>
      </c>
      <c r="AV71" s="25">
        <f>AVERAGE(Table1106[CovDeck % Base])</f>
        <v>0.21721877343938872</v>
      </c>
      <c r="AW71" s="12"/>
      <c r="AX71" s="13"/>
      <c r="AY71" s="13"/>
      <c r="AZ71" s="25" t="e">
        <f>AVERAGE(Table1106[CarP % Base])</f>
        <v>#DIV/0!</v>
      </c>
      <c r="BA71" s="12"/>
      <c r="BB71" s="13"/>
      <c r="BC71" s="13"/>
      <c r="BD71" s="24" t="e">
        <f>AVERAGE(Table1106[EFP % Base])</f>
        <v>#DIV/0!</v>
      </c>
    </row>
    <row r="72" spans="1:56" x14ac:dyDescent="0.25">
      <c r="B72" s="2"/>
      <c r="C72" s="2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56" ht="15.75" thickBot="1" x14ac:dyDescent="0.3">
      <c r="A73" s="84"/>
      <c r="B73" s="74" t="s">
        <v>90</v>
      </c>
      <c r="C73" s="74"/>
      <c r="D73" s="74"/>
      <c r="E73" s="74" t="s">
        <v>33</v>
      </c>
      <c r="F73" s="75">
        <v>1120</v>
      </c>
      <c r="G73" s="74"/>
      <c r="H73" s="74" t="s">
        <v>82</v>
      </c>
      <c r="I73" s="74"/>
      <c r="J73" s="74" t="s">
        <v>83</v>
      </c>
      <c r="K73" s="75">
        <v>1907</v>
      </c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6"/>
    </row>
    <row r="74" spans="1:56" x14ac:dyDescent="0.25">
      <c r="A74" s="112"/>
      <c r="B74" s="113"/>
      <c r="C74" s="113"/>
      <c r="D74" s="114"/>
      <c r="E74" s="115" t="s">
        <v>27</v>
      </c>
      <c r="F74" s="116"/>
      <c r="G74" s="116"/>
      <c r="H74" s="117"/>
      <c r="I74" s="118" t="s">
        <v>28</v>
      </c>
      <c r="J74" s="119"/>
      <c r="K74" s="119"/>
      <c r="L74" s="120"/>
      <c r="M74" s="121" t="s">
        <v>7</v>
      </c>
      <c r="N74" s="122"/>
      <c r="O74" s="122"/>
      <c r="P74" s="122"/>
      <c r="Q74" s="124" t="s">
        <v>29</v>
      </c>
      <c r="R74" s="125"/>
      <c r="S74" s="125"/>
      <c r="T74" s="126"/>
      <c r="U74" s="128" t="s">
        <v>8</v>
      </c>
      <c r="V74" s="128"/>
      <c r="W74" s="128"/>
      <c r="X74" s="129"/>
      <c r="Y74" s="130" t="s">
        <v>0</v>
      </c>
      <c r="Z74" s="131"/>
      <c r="AA74" s="131"/>
      <c r="AB74" s="132"/>
      <c r="AC74" s="133" t="s">
        <v>34</v>
      </c>
      <c r="AD74" s="134"/>
      <c r="AE74" s="134"/>
      <c r="AF74" s="135"/>
      <c r="AG74" s="115" t="s">
        <v>9</v>
      </c>
      <c r="AH74" s="116"/>
      <c r="AI74" s="116"/>
      <c r="AJ74" s="117"/>
      <c r="AK74" s="136" t="s">
        <v>35</v>
      </c>
      <c r="AL74" s="137"/>
      <c r="AM74" s="137"/>
      <c r="AN74" s="138"/>
      <c r="AO74" s="139" t="s">
        <v>10</v>
      </c>
      <c r="AP74" s="140"/>
      <c r="AQ74" s="140"/>
      <c r="AR74" s="141"/>
      <c r="AS74" s="124" t="s">
        <v>36</v>
      </c>
      <c r="AT74" s="125"/>
      <c r="AU74" s="125"/>
      <c r="AV74" s="126"/>
      <c r="AW74" s="142" t="s">
        <v>11</v>
      </c>
      <c r="AX74" s="143"/>
      <c r="AY74" s="143"/>
      <c r="AZ74" s="144"/>
      <c r="BA74" s="148" t="s">
        <v>17</v>
      </c>
      <c r="BB74" s="149"/>
      <c r="BC74" s="149"/>
      <c r="BD74" s="150"/>
    </row>
    <row r="75" spans="1:56" s="1" customFormat="1" ht="15.75" thickBot="1" x14ac:dyDescent="0.3">
      <c r="A75" s="41" t="s">
        <v>13</v>
      </c>
      <c r="B75" s="42" t="s">
        <v>15</v>
      </c>
      <c r="C75" s="42" t="s">
        <v>32</v>
      </c>
      <c r="D75" s="43" t="s">
        <v>18</v>
      </c>
      <c r="E75" s="30" t="s">
        <v>30</v>
      </c>
      <c r="F75" s="31" t="s">
        <v>61</v>
      </c>
      <c r="G75" s="31" t="s">
        <v>38</v>
      </c>
      <c r="H75" s="32" t="s">
        <v>62</v>
      </c>
      <c r="I75" s="37" t="s">
        <v>31</v>
      </c>
      <c r="J75" s="38" t="s">
        <v>39</v>
      </c>
      <c r="K75" s="38" t="s">
        <v>40</v>
      </c>
      <c r="L75" s="39" t="s">
        <v>63</v>
      </c>
      <c r="M75" s="40" t="s">
        <v>19</v>
      </c>
      <c r="N75" s="7" t="s">
        <v>41</v>
      </c>
      <c r="O75" s="7" t="s">
        <v>37</v>
      </c>
      <c r="P75" s="7" t="s">
        <v>64</v>
      </c>
      <c r="Q75" s="27" t="s">
        <v>20</v>
      </c>
      <c r="R75" s="28" t="s">
        <v>60</v>
      </c>
      <c r="S75" s="28" t="s">
        <v>59</v>
      </c>
      <c r="T75" s="29" t="s">
        <v>65</v>
      </c>
      <c r="U75" s="48" t="s">
        <v>21</v>
      </c>
      <c r="V75" s="48" t="s">
        <v>42</v>
      </c>
      <c r="W75" s="48" t="s">
        <v>43</v>
      </c>
      <c r="X75" s="49" t="s">
        <v>66</v>
      </c>
      <c r="Y75" s="50" t="s">
        <v>22</v>
      </c>
      <c r="Z75" s="51" t="s">
        <v>44</v>
      </c>
      <c r="AA75" s="51" t="s">
        <v>45</v>
      </c>
      <c r="AB75" s="52" t="s">
        <v>67</v>
      </c>
      <c r="AC75" s="45" t="s">
        <v>23</v>
      </c>
      <c r="AD75" s="46" t="s">
        <v>46</v>
      </c>
      <c r="AE75" s="46" t="s">
        <v>47</v>
      </c>
      <c r="AF75" s="47" t="s">
        <v>68</v>
      </c>
      <c r="AG75" s="30" t="s">
        <v>24</v>
      </c>
      <c r="AH75" s="31" t="s">
        <v>48</v>
      </c>
      <c r="AI75" s="31" t="s">
        <v>49</v>
      </c>
      <c r="AJ75" s="32" t="s">
        <v>69</v>
      </c>
      <c r="AK75" s="53" t="s">
        <v>25</v>
      </c>
      <c r="AL75" s="54" t="s">
        <v>50</v>
      </c>
      <c r="AM75" s="54" t="s">
        <v>51</v>
      </c>
      <c r="AN75" s="55" t="s">
        <v>70</v>
      </c>
      <c r="AO75" s="56" t="s">
        <v>26</v>
      </c>
      <c r="AP75" s="57" t="s">
        <v>52</v>
      </c>
      <c r="AQ75" s="57" t="s">
        <v>53</v>
      </c>
      <c r="AR75" s="58" t="s">
        <v>71</v>
      </c>
      <c r="AS75" s="59" t="s">
        <v>55</v>
      </c>
      <c r="AT75" s="60" t="s">
        <v>54</v>
      </c>
      <c r="AU75" s="60" t="s">
        <v>56</v>
      </c>
      <c r="AV75" s="61" t="s">
        <v>76</v>
      </c>
      <c r="AW75" s="62" t="s">
        <v>72</v>
      </c>
      <c r="AX75" s="63" t="s">
        <v>73</v>
      </c>
      <c r="AY75" s="63" t="s">
        <v>74</v>
      </c>
      <c r="AZ75" s="64" t="s">
        <v>75</v>
      </c>
      <c r="BA75" s="71" t="s">
        <v>77</v>
      </c>
      <c r="BB75" s="72" t="s">
        <v>57</v>
      </c>
      <c r="BC75" s="72" t="s">
        <v>58</v>
      </c>
      <c r="BD75" s="73" t="s">
        <v>78</v>
      </c>
    </row>
    <row r="76" spans="1:56" x14ac:dyDescent="0.25">
      <c r="A76" s="17" t="s">
        <v>1</v>
      </c>
      <c r="B76" s="14">
        <v>57530</v>
      </c>
      <c r="C76" s="34">
        <f>B76/F73</f>
        <v>51.366071428571431</v>
      </c>
      <c r="D76" s="14">
        <v>1525</v>
      </c>
      <c r="E76" s="67">
        <v>0</v>
      </c>
      <c r="F76" s="69">
        <v>0</v>
      </c>
      <c r="G76" s="34" t="e">
        <f t="shared" ref="G76:G82" si="156">E76/F76</f>
        <v>#DIV/0!</v>
      </c>
      <c r="H76" s="10" t="e">
        <f t="shared" ref="H76:H82" si="157">G76/C76</f>
        <v>#DIV/0!</v>
      </c>
      <c r="I76" s="34">
        <v>0</v>
      </c>
      <c r="J76" s="69">
        <v>0</v>
      </c>
      <c r="K76" s="34" t="e">
        <f t="shared" ref="K76:K82" si="158">I76/J76</f>
        <v>#DIV/0!</v>
      </c>
      <c r="L76" s="9" t="e">
        <f t="shared" ref="L76:L82" si="159">K76/C76</f>
        <v>#DIV/0!</v>
      </c>
      <c r="M76" s="67">
        <v>0</v>
      </c>
      <c r="N76" s="26">
        <v>0</v>
      </c>
      <c r="O76" s="34" t="e">
        <f t="shared" ref="O76:O82" si="160">M76/N76</f>
        <v>#DIV/0!</v>
      </c>
      <c r="P76" s="10" t="e">
        <f t="shared" ref="P76:P82" si="161">O76/C76</f>
        <v>#DIV/0!</v>
      </c>
      <c r="Q76" s="35">
        <v>0</v>
      </c>
      <c r="R76" s="66">
        <v>0</v>
      </c>
      <c r="S76" s="35" t="e">
        <f t="shared" ref="S76:S82" si="162">Q76/R76</f>
        <v>#DIV/0!</v>
      </c>
      <c r="T76" s="6" t="e">
        <f t="shared" ref="T76:T82" si="163">S76/C76</f>
        <v>#DIV/0!</v>
      </c>
      <c r="U76" s="67">
        <v>0</v>
      </c>
      <c r="V76" s="65">
        <v>0</v>
      </c>
      <c r="W76" s="18" t="e">
        <f t="shared" ref="W76:W82" si="164">U76/V76</f>
        <v>#DIV/0!</v>
      </c>
      <c r="X76" s="9" t="e">
        <f t="shared" ref="X76:X82" si="165">W76/C76</f>
        <v>#DIV/0!</v>
      </c>
      <c r="Y76" s="67">
        <v>0</v>
      </c>
      <c r="Z76" s="69">
        <v>0</v>
      </c>
      <c r="AA76" s="34" t="e">
        <f t="shared" ref="AA76:AA82" si="166">Y76/Z76</f>
        <v>#DIV/0!</v>
      </c>
      <c r="AB76" s="10" t="e">
        <f t="shared" ref="AB76:AB82" si="167">AA76/C76</f>
        <v>#DIV/0!</v>
      </c>
      <c r="AC76" s="34">
        <v>0</v>
      </c>
      <c r="AD76" s="33">
        <v>0</v>
      </c>
      <c r="AE76" s="34" t="e">
        <f t="shared" ref="AE76:AE82" si="168">AC76/AD76</f>
        <v>#DIV/0!</v>
      </c>
      <c r="AF76" s="9" t="e">
        <f t="shared" ref="AF76:AF82" si="169">AE76/C76</f>
        <v>#DIV/0!</v>
      </c>
      <c r="AG76" s="67">
        <v>0</v>
      </c>
      <c r="AH76" s="65">
        <v>0</v>
      </c>
      <c r="AI76" s="34" t="e">
        <f t="shared" ref="AI76:AI82" si="170">AG76/AH76</f>
        <v>#DIV/0!</v>
      </c>
      <c r="AJ76" s="9" t="e">
        <f t="shared" ref="AJ76:AJ82" si="171">AI76/C76</f>
        <v>#DIV/0!</v>
      </c>
      <c r="AK76" s="67">
        <v>0</v>
      </c>
      <c r="AL76" s="65">
        <v>0</v>
      </c>
      <c r="AM76" s="34" t="e">
        <f t="shared" ref="AM76:AM82" si="172">AK76/AL76</f>
        <v>#DIV/0!</v>
      </c>
      <c r="AN76" s="9" t="e">
        <f t="shared" ref="AN76:AN82" si="173">AM76/C76</f>
        <v>#DIV/0!</v>
      </c>
      <c r="AO76" s="67">
        <v>0</v>
      </c>
      <c r="AP76" s="65">
        <v>0</v>
      </c>
      <c r="AQ76" s="34" t="e">
        <f t="shared" ref="AQ76:AQ82" si="174">AO76/AP76</f>
        <v>#DIV/0!</v>
      </c>
      <c r="AR76" s="9" t="e">
        <f t="shared" ref="AR76:AR82" si="175">AQ76/C76</f>
        <v>#DIV/0!</v>
      </c>
      <c r="AS76" s="67">
        <v>2340</v>
      </c>
      <c r="AT76" s="65">
        <v>158</v>
      </c>
      <c r="AU76" s="34">
        <f t="shared" ref="AU76:AU82" si="176">AS76/AT76</f>
        <v>14.810126582278482</v>
      </c>
      <c r="AV76" s="9">
        <f t="shared" ref="AV76:AV82" si="177">AU76/C76</f>
        <v>0.28832507860510864</v>
      </c>
      <c r="AW76" s="67">
        <v>0</v>
      </c>
      <c r="AX76" s="65">
        <v>0</v>
      </c>
      <c r="AY76" s="34" t="e">
        <f t="shared" ref="AY76:AY82" si="178">AW76/AX76</f>
        <v>#DIV/0!</v>
      </c>
      <c r="AZ76" s="9" t="e">
        <f t="shared" ref="AZ76:AZ82" si="179">AY76/C76</f>
        <v>#DIV/0!</v>
      </c>
      <c r="BA76" s="67">
        <v>3220</v>
      </c>
      <c r="BB76" s="65">
        <v>130</v>
      </c>
      <c r="BC76" s="34">
        <f t="shared" ref="BC76:BC82" si="180">BA76/BB76</f>
        <v>24.76923076923077</v>
      </c>
      <c r="BD76" s="10">
        <f t="shared" ref="BD76:BD82" si="181">BC76/C76</f>
        <v>0.48220995066119349</v>
      </c>
    </row>
    <row r="77" spans="1:56" x14ac:dyDescent="0.25">
      <c r="A77" s="19" t="s">
        <v>16</v>
      </c>
      <c r="B77" s="8">
        <v>67680</v>
      </c>
      <c r="C77" s="35">
        <f>B77/F73</f>
        <v>60.428571428571431</v>
      </c>
      <c r="D77" s="8">
        <v>1525</v>
      </c>
      <c r="E77" s="68">
        <v>0</v>
      </c>
      <c r="F77" s="70">
        <v>0</v>
      </c>
      <c r="G77" s="35" t="e">
        <f t="shared" si="156"/>
        <v>#DIV/0!</v>
      </c>
      <c r="H77" s="11" t="e">
        <f t="shared" si="157"/>
        <v>#DIV/0!</v>
      </c>
      <c r="I77" s="35">
        <v>0</v>
      </c>
      <c r="J77" s="70">
        <v>0</v>
      </c>
      <c r="K77" s="35" t="e">
        <f t="shared" si="158"/>
        <v>#DIV/0!</v>
      </c>
      <c r="L77" s="6" t="e">
        <f t="shared" si="159"/>
        <v>#DIV/0!</v>
      </c>
      <c r="M77" s="68">
        <v>0</v>
      </c>
      <c r="N77" s="5">
        <v>0</v>
      </c>
      <c r="O77" s="35" t="e">
        <f t="shared" si="160"/>
        <v>#DIV/0!</v>
      </c>
      <c r="P77" s="11" t="e">
        <f t="shared" si="161"/>
        <v>#DIV/0!</v>
      </c>
      <c r="Q77" s="35">
        <v>0</v>
      </c>
      <c r="R77" s="66">
        <v>0</v>
      </c>
      <c r="S77" s="35" t="e">
        <f t="shared" si="162"/>
        <v>#DIV/0!</v>
      </c>
      <c r="T77" s="6" t="e">
        <f t="shared" si="163"/>
        <v>#DIV/0!</v>
      </c>
      <c r="U77" s="68">
        <v>0</v>
      </c>
      <c r="V77" s="66">
        <v>0</v>
      </c>
      <c r="W77" s="20" t="e">
        <f t="shared" si="164"/>
        <v>#DIV/0!</v>
      </c>
      <c r="X77" s="6" t="e">
        <f t="shared" si="165"/>
        <v>#DIV/0!</v>
      </c>
      <c r="Y77" s="68">
        <v>0</v>
      </c>
      <c r="Z77" s="70">
        <v>0</v>
      </c>
      <c r="AA77" s="35" t="e">
        <f t="shared" si="166"/>
        <v>#DIV/0!</v>
      </c>
      <c r="AB77" s="11" t="e">
        <f t="shared" si="167"/>
        <v>#DIV/0!</v>
      </c>
      <c r="AC77" s="35">
        <v>0</v>
      </c>
      <c r="AD77" s="36">
        <v>0</v>
      </c>
      <c r="AE77" s="35" t="e">
        <f t="shared" si="168"/>
        <v>#DIV/0!</v>
      </c>
      <c r="AF77" s="6" t="e">
        <f t="shared" si="169"/>
        <v>#DIV/0!</v>
      </c>
      <c r="AG77" s="68">
        <v>0</v>
      </c>
      <c r="AH77" s="66">
        <v>0</v>
      </c>
      <c r="AI77" s="35" t="e">
        <f t="shared" si="170"/>
        <v>#DIV/0!</v>
      </c>
      <c r="AJ77" s="6" t="e">
        <f t="shared" si="171"/>
        <v>#DIV/0!</v>
      </c>
      <c r="AK77" s="68">
        <v>0</v>
      </c>
      <c r="AL77" s="66">
        <v>0</v>
      </c>
      <c r="AM77" s="35" t="e">
        <f t="shared" si="172"/>
        <v>#DIV/0!</v>
      </c>
      <c r="AN77" s="6" t="e">
        <f t="shared" si="173"/>
        <v>#DIV/0!</v>
      </c>
      <c r="AO77" s="68">
        <v>0</v>
      </c>
      <c r="AP77" s="66">
        <v>0</v>
      </c>
      <c r="AQ77" s="35" t="e">
        <f t="shared" si="174"/>
        <v>#DIV/0!</v>
      </c>
      <c r="AR77" s="6" t="e">
        <f t="shared" si="175"/>
        <v>#DIV/0!</v>
      </c>
      <c r="AS77" s="68">
        <v>3300</v>
      </c>
      <c r="AT77" s="66">
        <v>158</v>
      </c>
      <c r="AU77" s="35">
        <f t="shared" si="176"/>
        <v>20.88607594936709</v>
      </c>
      <c r="AV77" s="6">
        <f t="shared" si="177"/>
        <v>0.34563246251907714</v>
      </c>
      <c r="AW77" s="68">
        <v>0</v>
      </c>
      <c r="AX77" s="66">
        <v>0</v>
      </c>
      <c r="AY77" s="35" t="e">
        <f t="shared" si="178"/>
        <v>#DIV/0!</v>
      </c>
      <c r="AZ77" s="6" t="e">
        <f t="shared" si="179"/>
        <v>#DIV/0!</v>
      </c>
      <c r="BA77" s="68">
        <v>4730</v>
      </c>
      <c r="BB77" s="66">
        <v>130</v>
      </c>
      <c r="BC77" s="35">
        <f t="shared" si="180"/>
        <v>36.384615384615387</v>
      </c>
      <c r="BD77" s="11">
        <f t="shared" si="181"/>
        <v>0.60210947444990004</v>
      </c>
    </row>
    <row r="78" spans="1:56" x14ac:dyDescent="0.25">
      <c r="A78" s="19" t="s">
        <v>2</v>
      </c>
      <c r="B78" s="8">
        <v>79190</v>
      </c>
      <c r="C78" s="35">
        <f>B78/F73</f>
        <v>70.705357142857139</v>
      </c>
      <c r="D78" s="8">
        <v>2100</v>
      </c>
      <c r="E78" s="68">
        <v>0</v>
      </c>
      <c r="F78" s="70">
        <v>0</v>
      </c>
      <c r="G78" s="35" t="e">
        <f t="shared" si="156"/>
        <v>#DIV/0!</v>
      </c>
      <c r="H78" s="11" t="e">
        <f t="shared" si="157"/>
        <v>#DIV/0!</v>
      </c>
      <c r="I78" s="35">
        <v>0</v>
      </c>
      <c r="J78" s="70">
        <v>0</v>
      </c>
      <c r="K78" s="35" t="e">
        <f t="shared" si="158"/>
        <v>#DIV/0!</v>
      </c>
      <c r="L78" s="6" t="e">
        <f t="shared" si="159"/>
        <v>#DIV/0!</v>
      </c>
      <c r="M78" s="68">
        <v>0</v>
      </c>
      <c r="N78" s="5">
        <v>0</v>
      </c>
      <c r="O78" s="35" t="e">
        <f t="shared" si="160"/>
        <v>#DIV/0!</v>
      </c>
      <c r="P78" s="11" t="e">
        <f t="shared" si="161"/>
        <v>#DIV/0!</v>
      </c>
      <c r="Q78" s="35">
        <v>0</v>
      </c>
      <c r="R78" s="66">
        <v>0</v>
      </c>
      <c r="S78" s="35" t="e">
        <f t="shared" si="162"/>
        <v>#DIV/0!</v>
      </c>
      <c r="T78" s="6" t="e">
        <f t="shared" si="163"/>
        <v>#DIV/0!</v>
      </c>
      <c r="U78" s="68">
        <v>0</v>
      </c>
      <c r="V78" s="66">
        <v>0</v>
      </c>
      <c r="W78" s="20" t="e">
        <f t="shared" si="164"/>
        <v>#DIV/0!</v>
      </c>
      <c r="X78" s="6" t="e">
        <f t="shared" si="165"/>
        <v>#DIV/0!</v>
      </c>
      <c r="Y78" s="68">
        <v>0</v>
      </c>
      <c r="Z78" s="70">
        <v>0</v>
      </c>
      <c r="AA78" s="35" t="e">
        <f t="shared" si="166"/>
        <v>#DIV/0!</v>
      </c>
      <c r="AB78" s="11" t="e">
        <f t="shared" si="167"/>
        <v>#DIV/0!</v>
      </c>
      <c r="AC78" s="35">
        <v>0</v>
      </c>
      <c r="AD78" s="36">
        <v>0</v>
      </c>
      <c r="AE78" s="35" t="e">
        <f t="shared" si="168"/>
        <v>#DIV/0!</v>
      </c>
      <c r="AF78" s="6" t="e">
        <f t="shared" si="169"/>
        <v>#DIV/0!</v>
      </c>
      <c r="AG78" s="68">
        <v>0</v>
      </c>
      <c r="AH78" s="66">
        <v>0</v>
      </c>
      <c r="AI78" s="35" t="e">
        <f t="shared" si="170"/>
        <v>#DIV/0!</v>
      </c>
      <c r="AJ78" s="6" t="e">
        <f t="shared" si="171"/>
        <v>#DIV/0!</v>
      </c>
      <c r="AK78" s="68">
        <v>0</v>
      </c>
      <c r="AL78" s="66">
        <v>0</v>
      </c>
      <c r="AM78" s="35" t="e">
        <f t="shared" si="172"/>
        <v>#DIV/0!</v>
      </c>
      <c r="AN78" s="6" t="e">
        <f t="shared" si="173"/>
        <v>#DIV/0!</v>
      </c>
      <c r="AO78" s="68">
        <v>0</v>
      </c>
      <c r="AP78" s="66">
        <v>0</v>
      </c>
      <c r="AQ78" s="35" t="e">
        <f t="shared" si="174"/>
        <v>#DIV/0!</v>
      </c>
      <c r="AR78" s="6" t="e">
        <f t="shared" si="175"/>
        <v>#DIV/0!</v>
      </c>
      <c r="AS78" s="68">
        <v>3670</v>
      </c>
      <c r="AT78" s="66">
        <v>158</v>
      </c>
      <c r="AU78" s="35">
        <f t="shared" si="176"/>
        <v>23.227848101265824</v>
      </c>
      <c r="AV78" s="6">
        <f t="shared" si="177"/>
        <v>0.32851609891927924</v>
      </c>
      <c r="AW78" s="68">
        <v>0</v>
      </c>
      <c r="AX78" s="66">
        <v>0</v>
      </c>
      <c r="AY78" s="35" t="e">
        <f t="shared" si="178"/>
        <v>#DIV/0!</v>
      </c>
      <c r="AZ78" s="6" t="e">
        <f t="shared" si="179"/>
        <v>#DIV/0!</v>
      </c>
      <c r="BA78" s="68">
        <v>5310</v>
      </c>
      <c r="BB78" s="66">
        <v>130</v>
      </c>
      <c r="BC78" s="35">
        <f t="shared" si="180"/>
        <v>40.846153846153847</v>
      </c>
      <c r="BD78" s="11">
        <f t="shared" si="181"/>
        <v>0.57769531895052795</v>
      </c>
    </row>
    <row r="79" spans="1:56" x14ac:dyDescent="0.25">
      <c r="A79" s="19" t="s">
        <v>3</v>
      </c>
      <c r="B79" s="8">
        <v>95600</v>
      </c>
      <c r="C79" s="35">
        <f>B79/F73</f>
        <v>85.357142857142861</v>
      </c>
      <c r="D79" s="8">
        <v>2700</v>
      </c>
      <c r="E79" s="68">
        <v>0</v>
      </c>
      <c r="F79" s="70">
        <v>0</v>
      </c>
      <c r="G79" s="35" t="e">
        <f t="shared" si="156"/>
        <v>#DIV/0!</v>
      </c>
      <c r="H79" s="11" t="e">
        <f t="shared" si="157"/>
        <v>#DIV/0!</v>
      </c>
      <c r="I79" s="35">
        <v>0</v>
      </c>
      <c r="J79" s="70">
        <v>0</v>
      </c>
      <c r="K79" s="35" t="e">
        <f t="shared" si="158"/>
        <v>#DIV/0!</v>
      </c>
      <c r="L79" s="6" t="e">
        <f t="shared" si="159"/>
        <v>#DIV/0!</v>
      </c>
      <c r="M79" s="68">
        <v>0</v>
      </c>
      <c r="N79" s="5">
        <v>0</v>
      </c>
      <c r="O79" s="35" t="e">
        <f t="shared" si="160"/>
        <v>#DIV/0!</v>
      </c>
      <c r="P79" s="11" t="e">
        <f t="shared" si="161"/>
        <v>#DIV/0!</v>
      </c>
      <c r="Q79" s="35">
        <v>0</v>
      </c>
      <c r="R79" s="66">
        <v>0</v>
      </c>
      <c r="S79" s="35" t="e">
        <f t="shared" si="162"/>
        <v>#DIV/0!</v>
      </c>
      <c r="T79" s="6" t="e">
        <f t="shared" si="163"/>
        <v>#DIV/0!</v>
      </c>
      <c r="U79" s="68">
        <v>0</v>
      </c>
      <c r="V79" s="66">
        <v>0</v>
      </c>
      <c r="W79" s="20" t="e">
        <f t="shared" si="164"/>
        <v>#DIV/0!</v>
      </c>
      <c r="X79" s="6" t="e">
        <f t="shared" si="165"/>
        <v>#DIV/0!</v>
      </c>
      <c r="Y79" s="68">
        <v>0</v>
      </c>
      <c r="Z79" s="70">
        <v>0</v>
      </c>
      <c r="AA79" s="35" t="e">
        <f t="shared" si="166"/>
        <v>#DIV/0!</v>
      </c>
      <c r="AB79" s="11" t="e">
        <f t="shared" si="167"/>
        <v>#DIV/0!</v>
      </c>
      <c r="AC79" s="35">
        <v>0</v>
      </c>
      <c r="AD79" s="36">
        <v>0</v>
      </c>
      <c r="AE79" s="35" t="e">
        <f t="shared" si="168"/>
        <v>#DIV/0!</v>
      </c>
      <c r="AF79" s="6" t="e">
        <f t="shared" si="169"/>
        <v>#DIV/0!</v>
      </c>
      <c r="AG79" s="68">
        <v>0</v>
      </c>
      <c r="AH79" s="66">
        <v>0</v>
      </c>
      <c r="AI79" s="35" t="e">
        <f t="shared" si="170"/>
        <v>#DIV/0!</v>
      </c>
      <c r="AJ79" s="6" t="e">
        <f t="shared" si="171"/>
        <v>#DIV/0!</v>
      </c>
      <c r="AK79" s="68">
        <v>0</v>
      </c>
      <c r="AL79" s="66">
        <v>0</v>
      </c>
      <c r="AM79" s="35" t="e">
        <f t="shared" si="172"/>
        <v>#DIV/0!</v>
      </c>
      <c r="AN79" s="6" t="e">
        <f t="shared" si="173"/>
        <v>#DIV/0!</v>
      </c>
      <c r="AO79" s="68">
        <v>0</v>
      </c>
      <c r="AP79" s="66">
        <v>0</v>
      </c>
      <c r="AQ79" s="35" t="e">
        <f t="shared" si="174"/>
        <v>#DIV/0!</v>
      </c>
      <c r="AR79" s="6" t="e">
        <f t="shared" si="175"/>
        <v>#DIV/0!</v>
      </c>
      <c r="AS79" s="68">
        <v>4370</v>
      </c>
      <c r="AT79" s="66">
        <v>158</v>
      </c>
      <c r="AU79" s="35">
        <f t="shared" si="176"/>
        <v>27.658227848101266</v>
      </c>
      <c r="AV79" s="6">
        <f t="shared" si="177"/>
        <v>0.32402944759281815</v>
      </c>
      <c r="AW79" s="68">
        <v>0</v>
      </c>
      <c r="AX79" s="66">
        <v>0</v>
      </c>
      <c r="AY79" s="35" t="e">
        <f t="shared" si="178"/>
        <v>#DIV/0!</v>
      </c>
      <c r="AZ79" s="6" t="e">
        <f t="shared" si="179"/>
        <v>#DIV/0!</v>
      </c>
      <c r="BA79" s="68">
        <v>6230</v>
      </c>
      <c r="BB79" s="66">
        <v>130</v>
      </c>
      <c r="BC79" s="35">
        <f t="shared" si="180"/>
        <v>47.92307692307692</v>
      </c>
      <c r="BD79" s="11">
        <f t="shared" si="181"/>
        <v>0.56144190537495975</v>
      </c>
    </row>
    <row r="80" spans="1:56" x14ac:dyDescent="0.25">
      <c r="A80" s="19" t="s">
        <v>4</v>
      </c>
      <c r="B80" s="8">
        <v>119260</v>
      </c>
      <c r="C80" s="35">
        <f>B80/F73</f>
        <v>106.48214285714286</v>
      </c>
      <c r="D80" s="8">
        <v>5250</v>
      </c>
      <c r="E80" s="68">
        <v>0</v>
      </c>
      <c r="F80" s="70">
        <v>0</v>
      </c>
      <c r="G80" s="35" t="e">
        <f t="shared" si="156"/>
        <v>#DIV/0!</v>
      </c>
      <c r="H80" s="11" t="e">
        <f t="shared" si="157"/>
        <v>#DIV/0!</v>
      </c>
      <c r="I80" s="35">
        <v>0</v>
      </c>
      <c r="J80" s="70">
        <v>0</v>
      </c>
      <c r="K80" s="35" t="e">
        <f t="shared" si="158"/>
        <v>#DIV/0!</v>
      </c>
      <c r="L80" s="6" t="e">
        <f t="shared" si="159"/>
        <v>#DIV/0!</v>
      </c>
      <c r="M80" s="68">
        <v>0</v>
      </c>
      <c r="N80" s="5">
        <v>0</v>
      </c>
      <c r="O80" s="35" t="e">
        <f t="shared" si="160"/>
        <v>#DIV/0!</v>
      </c>
      <c r="P80" s="11" t="e">
        <f t="shared" si="161"/>
        <v>#DIV/0!</v>
      </c>
      <c r="Q80" s="35">
        <v>0</v>
      </c>
      <c r="R80" s="66">
        <v>0</v>
      </c>
      <c r="S80" s="35" t="e">
        <f t="shared" si="162"/>
        <v>#DIV/0!</v>
      </c>
      <c r="T80" s="6" t="e">
        <f t="shared" si="163"/>
        <v>#DIV/0!</v>
      </c>
      <c r="U80" s="68">
        <v>0</v>
      </c>
      <c r="V80" s="66">
        <v>0</v>
      </c>
      <c r="W80" s="20" t="e">
        <f t="shared" si="164"/>
        <v>#DIV/0!</v>
      </c>
      <c r="X80" s="6" t="e">
        <f t="shared" si="165"/>
        <v>#DIV/0!</v>
      </c>
      <c r="Y80" s="68">
        <v>0</v>
      </c>
      <c r="Z80" s="70">
        <v>0</v>
      </c>
      <c r="AA80" s="35" t="e">
        <f t="shared" si="166"/>
        <v>#DIV/0!</v>
      </c>
      <c r="AB80" s="11" t="e">
        <f t="shared" si="167"/>
        <v>#DIV/0!</v>
      </c>
      <c r="AC80" s="35">
        <v>0</v>
      </c>
      <c r="AD80" s="36">
        <v>0</v>
      </c>
      <c r="AE80" s="35" t="e">
        <f t="shared" si="168"/>
        <v>#DIV/0!</v>
      </c>
      <c r="AF80" s="6" t="e">
        <f t="shared" si="169"/>
        <v>#DIV/0!</v>
      </c>
      <c r="AG80" s="68">
        <v>0</v>
      </c>
      <c r="AH80" s="66">
        <v>0</v>
      </c>
      <c r="AI80" s="35" t="e">
        <f t="shared" si="170"/>
        <v>#DIV/0!</v>
      </c>
      <c r="AJ80" s="6" t="e">
        <f t="shared" si="171"/>
        <v>#DIV/0!</v>
      </c>
      <c r="AK80" s="68">
        <v>0</v>
      </c>
      <c r="AL80" s="66">
        <v>0</v>
      </c>
      <c r="AM80" s="35" t="e">
        <f t="shared" si="172"/>
        <v>#DIV/0!</v>
      </c>
      <c r="AN80" s="6" t="e">
        <f t="shared" si="173"/>
        <v>#DIV/0!</v>
      </c>
      <c r="AO80" s="68">
        <v>0</v>
      </c>
      <c r="AP80" s="66">
        <v>0</v>
      </c>
      <c r="AQ80" s="35" t="e">
        <f t="shared" si="174"/>
        <v>#DIV/0!</v>
      </c>
      <c r="AR80" s="6" t="e">
        <f t="shared" si="175"/>
        <v>#DIV/0!</v>
      </c>
      <c r="AS80" s="68">
        <v>5180</v>
      </c>
      <c r="AT80" s="66">
        <v>158</v>
      </c>
      <c r="AU80" s="35">
        <f t="shared" si="176"/>
        <v>32.784810126582279</v>
      </c>
      <c r="AV80" s="6">
        <f t="shared" si="177"/>
        <v>0.30789021752282536</v>
      </c>
      <c r="AW80" s="68">
        <v>0</v>
      </c>
      <c r="AX80" s="66">
        <v>0</v>
      </c>
      <c r="AY80" s="35" t="e">
        <f t="shared" si="178"/>
        <v>#DIV/0!</v>
      </c>
      <c r="AZ80" s="6" t="e">
        <f t="shared" si="179"/>
        <v>#DIV/0!</v>
      </c>
      <c r="BA80" s="68">
        <v>7770</v>
      </c>
      <c r="BB80" s="66">
        <v>130</v>
      </c>
      <c r="BC80" s="35">
        <f t="shared" si="180"/>
        <v>59.769230769230766</v>
      </c>
      <c r="BD80" s="11">
        <f t="shared" si="181"/>
        <v>0.56130755040699698</v>
      </c>
    </row>
    <row r="81" spans="1:56" x14ac:dyDescent="0.25">
      <c r="A81" s="19" t="s">
        <v>5</v>
      </c>
      <c r="B81" s="8">
        <v>156940</v>
      </c>
      <c r="C81" s="35">
        <f>B81/F73</f>
        <v>140.125</v>
      </c>
      <c r="D81" s="8">
        <v>7050</v>
      </c>
      <c r="E81" s="68">
        <v>0</v>
      </c>
      <c r="F81" s="70">
        <v>0</v>
      </c>
      <c r="G81" s="35" t="e">
        <f t="shared" si="156"/>
        <v>#DIV/0!</v>
      </c>
      <c r="H81" s="11" t="e">
        <f t="shared" si="157"/>
        <v>#DIV/0!</v>
      </c>
      <c r="I81" s="35">
        <v>0</v>
      </c>
      <c r="J81" s="70">
        <v>0</v>
      </c>
      <c r="K81" s="35" t="e">
        <f t="shared" si="158"/>
        <v>#DIV/0!</v>
      </c>
      <c r="L81" s="6" t="e">
        <f t="shared" si="159"/>
        <v>#DIV/0!</v>
      </c>
      <c r="M81" s="68">
        <v>0</v>
      </c>
      <c r="N81" s="5">
        <v>0</v>
      </c>
      <c r="O81" s="35" t="e">
        <f t="shared" si="160"/>
        <v>#DIV/0!</v>
      </c>
      <c r="P81" s="11" t="e">
        <f t="shared" si="161"/>
        <v>#DIV/0!</v>
      </c>
      <c r="Q81" s="35">
        <v>0</v>
      </c>
      <c r="R81" s="66">
        <v>0</v>
      </c>
      <c r="S81" s="35" t="e">
        <f t="shared" si="162"/>
        <v>#DIV/0!</v>
      </c>
      <c r="T81" s="6" t="e">
        <f t="shared" si="163"/>
        <v>#DIV/0!</v>
      </c>
      <c r="U81" s="68">
        <v>0</v>
      </c>
      <c r="V81" s="66">
        <v>0</v>
      </c>
      <c r="W81" s="20" t="e">
        <f t="shared" si="164"/>
        <v>#DIV/0!</v>
      </c>
      <c r="X81" s="6" t="e">
        <f t="shared" si="165"/>
        <v>#DIV/0!</v>
      </c>
      <c r="Y81" s="68">
        <v>0</v>
      </c>
      <c r="Z81" s="70">
        <v>0</v>
      </c>
      <c r="AA81" s="35" t="e">
        <f t="shared" si="166"/>
        <v>#DIV/0!</v>
      </c>
      <c r="AB81" s="11" t="e">
        <f t="shared" si="167"/>
        <v>#DIV/0!</v>
      </c>
      <c r="AC81" s="35">
        <v>0</v>
      </c>
      <c r="AD81" s="36">
        <v>0</v>
      </c>
      <c r="AE81" s="35" t="e">
        <f t="shared" si="168"/>
        <v>#DIV/0!</v>
      </c>
      <c r="AF81" s="6" t="e">
        <f t="shared" si="169"/>
        <v>#DIV/0!</v>
      </c>
      <c r="AG81" s="68">
        <v>0</v>
      </c>
      <c r="AH81" s="66">
        <v>0</v>
      </c>
      <c r="AI81" s="35" t="e">
        <f t="shared" si="170"/>
        <v>#DIV/0!</v>
      </c>
      <c r="AJ81" s="6" t="e">
        <f t="shared" si="171"/>
        <v>#DIV/0!</v>
      </c>
      <c r="AK81" s="68">
        <v>0</v>
      </c>
      <c r="AL81" s="66">
        <v>0</v>
      </c>
      <c r="AM81" s="35" t="e">
        <f t="shared" si="172"/>
        <v>#DIV/0!</v>
      </c>
      <c r="AN81" s="6" t="e">
        <f t="shared" si="173"/>
        <v>#DIV/0!</v>
      </c>
      <c r="AO81" s="68">
        <v>0</v>
      </c>
      <c r="AP81" s="66">
        <v>0</v>
      </c>
      <c r="AQ81" s="35" t="e">
        <f t="shared" si="174"/>
        <v>#DIV/0!</v>
      </c>
      <c r="AR81" s="6" t="e">
        <f t="shared" si="175"/>
        <v>#DIV/0!</v>
      </c>
      <c r="AS81" s="68">
        <v>6030</v>
      </c>
      <c r="AT81" s="66">
        <v>158</v>
      </c>
      <c r="AU81" s="35">
        <f t="shared" si="176"/>
        <v>38.164556962025316</v>
      </c>
      <c r="AV81" s="6">
        <f t="shared" si="177"/>
        <v>0.27236079901534571</v>
      </c>
      <c r="AW81" s="68">
        <v>0</v>
      </c>
      <c r="AX81" s="66">
        <v>0</v>
      </c>
      <c r="AY81" s="35" t="e">
        <f t="shared" si="178"/>
        <v>#DIV/0!</v>
      </c>
      <c r="AZ81" s="6" t="e">
        <f t="shared" si="179"/>
        <v>#DIV/0!</v>
      </c>
      <c r="BA81" s="68">
        <v>9040</v>
      </c>
      <c r="BB81" s="66">
        <v>130</v>
      </c>
      <c r="BC81" s="35">
        <f t="shared" si="180"/>
        <v>69.538461538461533</v>
      </c>
      <c r="BD81" s="11">
        <f t="shared" si="181"/>
        <v>0.49626020723255332</v>
      </c>
    </row>
    <row r="82" spans="1:56" x14ac:dyDescent="0.25">
      <c r="A82" s="19" t="s">
        <v>6</v>
      </c>
      <c r="B82" s="8">
        <v>183490</v>
      </c>
      <c r="C82" s="35">
        <f>B82/F73</f>
        <v>163.83035714285714</v>
      </c>
      <c r="D82" s="8">
        <v>10950</v>
      </c>
      <c r="E82" s="68">
        <v>0</v>
      </c>
      <c r="F82" s="70">
        <v>0</v>
      </c>
      <c r="G82" s="35" t="e">
        <f t="shared" si="156"/>
        <v>#DIV/0!</v>
      </c>
      <c r="H82" s="11" t="e">
        <f t="shared" si="157"/>
        <v>#DIV/0!</v>
      </c>
      <c r="I82" s="35">
        <v>0</v>
      </c>
      <c r="J82" s="70">
        <v>0</v>
      </c>
      <c r="K82" s="35" t="e">
        <f t="shared" si="158"/>
        <v>#DIV/0!</v>
      </c>
      <c r="L82" s="6" t="e">
        <f t="shared" si="159"/>
        <v>#DIV/0!</v>
      </c>
      <c r="M82" s="68">
        <v>0</v>
      </c>
      <c r="N82" s="5">
        <v>0</v>
      </c>
      <c r="O82" s="35" t="e">
        <f t="shared" si="160"/>
        <v>#DIV/0!</v>
      </c>
      <c r="P82" s="11" t="e">
        <f t="shared" si="161"/>
        <v>#DIV/0!</v>
      </c>
      <c r="Q82" s="35">
        <v>0</v>
      </c>
      <c r="R82" s="66">
        <v>0</v>
      </c>
      <c r="S82" s="35" t="e">
        <f t="shared" si="162"/>
        <v>#DIV/0!</v>
      </c>
      <c r="T82" s="6" t="e">
        <f t="shared" si="163"/>
        <v>#DIV/0!</v>
      </c>
      <c r="U82" s="68">
        <v>0</v>
      </c>
      <c r="V82" s="66">
        <v>0</v>
      </c>
      <c r="W82" s="20" t="e">
        <f t="shared" si="164"/>
        <v>#DIV/0!</v>
      </c>
      <c r="X82" s="6" t="e">
        <f t="shared" si="165"/>
        <v>#DIV/0!</v>
      </c>
      <c r="Y82" s="68">
        <v>0</v>
      </c>
      <c r="Z82" s="70">
        <v>0</v>
      </c>
      <c r="AA82" s="35" t="e">
        <f t="shared" si="166"/>
        <v>#DIV/0!</v>
      </c>
      <c r="AB82" s="11" t="e">
        <f t="shared" si="167"/>
        <v>#DIV/0!</v>
      </c>
      <c r="AC82" s="35">
        <v>0</v>
      </c>
      <c r="AD82" s="36">
        <v>0</v>
      </c>
      <c r="AE82" s="35" t="e">
        <f t="shared" si="168"/>
        <v>#DIV/0!</v>
      </c>
      <c r="AF82" s="6" t="e">
        <f t="shared" si="169"/>
        <v>#DIV/0!</v>
      </c>
      <c r="AG82" s="68">
        <v>0</v>
      </c>
      <c r="AH82" s="66">
        <v>0</v>
      </c>
      <c r="AI82" s="35" t="e">
        <f t="shared" si="170"/>
        <v>#DIV/0!</v>
      </c>
      <c r="AJ82" s="6" t="e">
        <f t="shared" si="171"/>
        <v>#DIV/0!</v>
      </c>
      <c r="AK82" s="68">
        <v>0</v>
      </c>
      <c r="AL82" s="66">
        <v>0</v>
      </c>
      <c r="AM82" s="35" t="e">
        <f t="shared" si="172"/>
        <v>#DIV/0!</v>
      </c>
      <c r="AN82" s="6" t="e">
        <f t="shared" si="173"/>
        <v>#DIV/0!</v>
      </c>
      <c r="AO82" s="68">
        <v>0</v>
      </c>
      <c r="AP82" s="66">
        <v>0</v>
      </c>
      <c r="AQ82" s="35" t="e">
        <f t="shared" si="174"/>
        <v>#DIV/0!</v>
      </c>
      <c r="AR82" s="6" t="e">
        <f t="shared" si="175"/>
        <v>#DIV/0!</v>
      </c>
      <c r="AS82" s="68">
        <v>6860</v>
      </c>
      <c r="AT82" s="66">
        <v>158</v>
      </c>
      <c r="AU82" s="35">
        <f t="shared" si="176"/>
        <v>43.417721518987342</v>
      </c>
      <c r="AV82" s="6">
        <f t="shared" si="177"/>
        <v>0.26501633931694274</v>
      </c>
      <c r="AW82" s="68">
        <v>0</v>
      </c>
      <c r="AX82" s="66">
        <v>0</v>
      </c>
      <c r="AY82" s="35" t="e">
        <f t="shared" si="178"/>
        <v>#DIV/0!</v>
      </c>
      <c r="AZ82" s="6" t="e">
        <f t="shared" si="179"/>
        <v>#DIV/0!</v>
      </c>
      <c r="BA82" s="68">
        <v>10460</v>
      </c>
      <c r="BB82" s="66">
        <v>130</v>
      </c>
      <c r="BC82" s="35">
        <f t="shared" si="180"/>
        <v>80.461538461538467</v>
      </c>
      <c r="BD82" s="11">
        <f t="shared" si="181"/>
        <v>0.49112716266239625</v>
      </c>
    </row>
    <row r="83" spans="1:56" ht="15.75" thickBot="1" x14ac:dyDescent="0.3">
      <c r="A83" s="21"/>
      <c r="B83" s="22"/>
      <c r="C83" s="23">
        <f>AVERAGE(Table1107[MA $/Sq Ft])</f>
        <v>96.89923469387756</v>
      </c>
      <c r="D83" s="22">
        <f>AVERAGE(Table1107[Basic Allowance])</f>
        <v>4442.8571428571431</v>
      </c>
      <c r="E83" s="16"/>
      <c r="F83" s="22"/>
      <c r="G83" s="15"/>
      <c r="H83" s="24" t="e">
        <f>AVERAGE(Table1107[Bsmt % Base])</f>
        <v>#DIV/0!</v>
      </c>
      <c r="I83" s="15"/>
      <c r="J83" s="15"/>
      <c r="K83" s="15"/>
      <c r="L83" s="25" t="e">
        <f>AVERAGE(Table1107[[#Headers],[#Data],[UnfBsmt % Base]])</f>
        <v>#DIV/0!</v>
      </c>
      <c r="M83" s="44"/>
      <c r="N83" s="15"/>
      <c r="O83" s="23" t="e">
        <f>AVERAGE(Table1107[LowerVal/SqFt])</f>
        <v>#DIV/0!</v>
      </c>
      <c r="P83" s="24" t="e">
        <f>AVERAGE(Table1107[Lower % Base])</f>
        <v>#DIV/0!</v>
      </c>
      <c r="Q83" s="13"/>
      <c r="R83" s="13"/>
      <c r="S83" s="13"/>
      <c r="T83" s="25" t="e">
        <f>AVERAGE(Table1107[Unf Lower % Base])</f>
        <v>#DIV/0!</v>
      </c>
      <c r="U83" s="12"/>
      <c r="V83" s="13"/>
      <c r="W83" s="13"/>
      <c r="X83" s="25" t="e">
        <f>AVERAGE(Table1107[1/2 Story % Base])</f>
        <v>#DIV/0!</v>
      </c>
      <c r="Y83" s="12"/>
      <c r="Z83" s="13"/>
      <c r="AA83" s="13"/>
      <c r="AB83" s="24" t="e">
        <f>AVERAGE(Table1107[2nd Story % Base])</f>
        <v>#DIV/0!</v>
      </c>
      <c r="AC83" s="13"/>
      <c r="AD83" s="13"/>
      <c r="AE83" s="23" t="e">
        <f>AVERAGE(Table1107[AttGarVal/SqFt])</f>
        <v>#DIV/0!</v>
      </c>
      <c r="AF83" s="25" t="e">
        <f>AVERAGE(Table1107[Att Gar % Base])</f>
        <v>#DIV/0!</v>
      </c>
      <c r="AG83" s="12"/>
      <c r="AH83" s="13"/>
      <c r="AI83" s="13"/>
      <c r="AJ83" s="25" t="e">
        <f>AVERAGE(Table1107[Porch % Base])</f>
        <v>#DIV/0!</v>
      </c>
      <c r="AK83" s="12"/>
      <c r="AL83" s="13"/>
      <c r="AM83" s="13"/>
      <c r="AN83" s="25" t="e">
        <f>AVERAGE(Table1107[Cov Porch % Base])</f>
        <v>#DIV/0!</v>
      </c>
      <c r="AO83" s="12"/>
      <c r="AP83" s="13"/>
      <c r="AQ83" s="13"/>
      <c r="AR83" s="25" t="e">
        <f>AVERAGE(Table1107[Deck % Base])</f>
        <v>#DIV/0!</v>
      </c>
      <c r="AS83" s="16">
        <f>SUBTOTAL(101,Table1107[Cov Deck Value])</f>
        <v>4535.7142857142853</v>
      </c>
      <c r="AT83" s="13"/>
      <c r="AU83" s="23">
        <f>AVERAGE(Table1107[CovDeckVal/SqFt])</f>
        <v>28.707052441229656</v>
      </c>
      <c r="AV83" s="25">
        <f>AVERAGE(Table1107[CovDeck % Base])</f>
        <v>0.30453863478448528</v>
      </c>
      <c r="AW83" s="12"/>
      <c r="AX83" s="13"/>
      <c r="AY83" s="13"/>
      <c r="AZ83" s="25" t="e">
        <f>AVERAGE(Table1107[CarP % Base])</f>
        <v>#DIV/0!</v>
      </c>
      <c r="BA83" s="16">
        <f>SUBTOTAL(101,Table1107[EFP Value])</f>
        <v>6680</v>
      </c>
      <c r="BB83" s="13"/>
      <c r="BC83" s="13"/>
      <c r="BD83" s="24">
        <f>AVERAGE(Table1107[EFP % Base])</f>
        <v>0.53887879567693253</v>
      </c>
    </row>
    <row r="85" spans="1:56" ht="15.75" thickBot="1" x14ac:dyDescent="0.3">
      <c r="A85" s="84"/>
      <c r="B85" s="74" t="s">
        <v>91</v>
      </c>
      <c r="C85" s="74"/>
      <c r="D85" s="74"/>
      <c r="E85" s="74" t="s">
        <v>33</v>
      </c>
      <c r="F85" s="75">
        <v>1232</v>
      </c>
      <c r="G85" s="74"/>
      <c r="H85" s="74" t="s">
        <v>92</v>
      </c>
      <c r="I85" s="74"/>
      <c r="J85" s="74" t="s">
        <v>83</v>
      </c>
      <c r="K85" s="75">
        <v>1975</v>
      </c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6"/>
    </row>
    <row r="86" spans="1:56" x14ac:dyDescent="0.25">
      <c r="A86" s="112"/>
      <c r="B86" s="113"/>
      <c r="C86" s="113"/>
      <c r="D86" s="114"/>
      <c r="E86" s="115" t="s">
        <v>27</v>
      </c>
      <c r="F86" s="116"/>
      <c r="G86" s="116"/>
      <c r="H86" s="117"/>
      <c r="I86" s="118" t="s">
        <v>28</v>
      </c>
      <c r="J86" s="119"/>
      <c r="K86" s="119"/>
      <c r="L86" s="120"/>
      <c r="M86" s="121" t="s">
        <v>7</v>
      </c>
      <c r="N86" s="122"/>
      <c r="O86" s="122"/>
      <c r="P86" s="122"/>
      <c r="Q86" s="124" t="s">
        <v>29</v>
      </c>
      <c r="R86" s="125"/>
      <c r="S86" s="125"/>
      <c r="T86" s="126"/>
      <c r="U86" s="128" t="s">
        <v>8</v>
      </c>
      <c r="V86" s="128"/>
      <c r="W86" s="128"/>
      <c r="X86" s="129"/>
      <c r="Y86" s="130" t="s">
        <v>0</v>
      </c>
      <c r="Z86" s="131"/>
      <c r="AA86" s="131"/>
      <c r="AB86" s="132"/>
      <c r="AC86" s="133" t="s">
        <v>34</v>
      </c>
      <c r="AD86" s="134"/>
      <c r="AE86" s="134"/>
      <c r="AF86" s="135"/>
      <c r="AG86" s="115" t="s">
        <v>9</v>
      </c>
      <c r="AH86" s="116"/>
      <c r="AI86" s="116"/>
      <c r="AJ86" s="117"/>
      <c r="AK86" s="136" t="s">
        <v>35</v>
      </c>
      <c r="AL86" s="137"/>
      <c r="AM86" s="137"/>
      <c r="AN86" s="138"/>
      <c r="AO86" s="139" t="s">
        <v>10</v>
      </c>
      <c r="AP86" s="140"/>
      <c r="AQ86" s="140"/>
      <c r="AR86" s="141"/>
      <c r="AS86" s="124" t="s">
        <v>36</v>
      </c>
      <c r="AT86" s="125"/>
      <c r="AU86" s="125"/>
      <c r="AV86" s="126"/>
      <c r="AW86" s="142" t="s">
        <v>11</v>
      </c>
      <c r="AX86" s="143"/>
      <c r="AY86" s="143"/>
      <c r="AZ86" s="144"/>
      <c r="BA86" s="148" t="s">
        <v>17</v>
      </c>
      <c r="BB86" s="149"/>
      <c r="BC86" s="149"/>
      <c r="BD86" s="150"/>
    </row>
    <row r="87" spans="1:56" s="1" customFormat="1" ht="15.75" thickBot="1" x14ac:dyDescent="0.3">
      <c r="A87" s="41" t="s">
        <v>13</v>
      </c>
      <c r="B87" s="42" t="s">
        <v>15</v>
      </c>
      <c r="C87" s="42" t="s">
        <v>32</v>
      </c>
      <c r="D87" s="43" t="s">
        <v>18</v>
      </c>
      <c r="E87" s="30" t="s">
        <v>30</v>
      </c>
      <c r="F87" s="31" t="s">
        <v>61</v>
      </c>
      <c r="G87" s="31" t="s">
        <v>38</v>
      </c>
      <c r="H87" s="32" t="s">
        <v>62</v>
      </c>
      <c r="I87" s="37" t="s">
        <v>31</v>
      </c>
      <c r="J87" s="38" t="s">
        <v>39</v>
      </c>
      <c r="K87" s="38" t="s">
        <v>40</v>
      </c>
      <c r="L87" s="39" t="s">
        <v>63</v>
      </c>
      <c r="M87" s="40" t="s">
        <v>19</v>
      </c>
      <c r="N87" s="7" t="s">
        <v>41</v>
      </c>
      <c r="O87" s="7" t="s">
        <v>37</v>
      </c>
      <c r="P87" s="7" t="s">
        <v>64</v>
      </c>
      <c r="Q87" s="27" t="s">
        <v>20</v>
      </c>
      <c r="R87" s="28" t="s">
        <v>60</v>
      </c>
      <c r="S87" s="28" t="s">
        <v>59</v>
      </c>
      <c r="T87" s="29" t="s">
        <v>65</v>
      </c>
      <c r="U87" s="48" t="s">
        <v>21</v>
      </c>
      <c r="V87" s="48" t="s">
        <v>42</v>
      </c>
      <c r="W87" s="48" t="s">
        <v>43</v>
      </c>
      <c r="X87" s="49" t="s">
        <v>66</v>
      </c>
      <c r="Y87" s="50" t="s">
        <v>22</v>
      </c>
      <c r="Z87" s="51" t="s">
        <v>44</v>
      </c>
      <c r="AA87" s="51" t="s">
        <v>45</v>
      </c>
      <c r="AB87" s="52" t="s">
        <v>67</v>
      </c>
      <c r="AC87" s="45" t="s">
        <v>23</v>
      </c>
      <c r="AD87" s="46" t="s">
        <v>46</v>
      </c>
      <c r="AE87" s="46" t="s">
        <v>47</v>
      </c>
      <c r="AF87" s="47" t="s">
        <v>68</v>
      </c>
      <c r="AG87" s="30" t="s">
        <v>24</v>
      </c>
      <c r="AH87" s="31" t="s">
        <v>48</v>
      </c>
      <c r="AI87" s="31" t="s">
        <v>49</v>
      </c>
      <c r="AJ87" s="32" t="s">
        <v>69</v>
      </c>
      <c r="AK87" s="53" t="s">
        <v>25</v>
      </c>
      <c r="AL87" s="54" t="s">
        <v>50</v>
      </c>
      <c r="AM87" s="54" t="s">
        <v>51</v>
      </c>
      <c r="AN87" s="55" t="s">
        <v>70</v>
      </c>
      <c r="AO87" s="56" t="s">
        <v>26</v>
      </c>
      <c r="AP87" s="57" t="s">
        <v>52</v>
      </c>
      <c r="AQ87" s="57" t="s">
        <v>53</v>
      </c>
      <c r="AR87" s="58" t="s">
        <v>71</v>
      </c>
      <c r="AS87" s="59" t="s">
        <v>55</v>
      </c>
      <c r="AT87" s="60" t="s">
        <v>54</v>
      </c>
      <c r="AU87" s="60" t="s">
        <v>56</v>
      </c>
      <c r="AV87" s="61" t="s">
        <v>76</v>
      </c>
      <c r="AW87" s="62" t="s">
        <v>72</v>
      </c>
      <c r="AX87" s="63" t="s">
        <v>73</v>
      </c>
      <c r="AY87" s="63" t="s">
        <v>74</v>
      </c>
      <c r="AZ87" s="64" t="s">
        <v>75</v>
      </c>
      <c r="BA87" s="71" t="s">
        <v>77</v>
      </c>
      <c r="BB87" s="72" t="s">
        <v>57</v>
      </c>
      <c r="BC87" s="72" t="s">
        <v>58</v>
      </c>
      <c r="BD87" s="73" t="s">
        <v>78</v>
      </c>
    </row>
    <row r="88" spans="1:56" x14ac:dyDescent="0.25">
      <c r="A88" s="17" t="s">
        <v>1</v>
      </c>
      <c r="B88" s="14">
        <v>62270</v>
      </c>
      <c r="C88" s="34">
        <f>B88/F85</f>
        <v>50.543831168831169</v>
      </c>
      <c r="D88" s="14">
        <v>1525</v>
      </c>
      <c r="E88" s="67">
        <v>0</v>
      </c>
      <c r="F88" s="69">
        <v>0</v>
      </c>
      <c r="G88" s="34" t="e">
        <f t="shared" ref="G88:G94" si="182">E88/F88</f>
        <v>#DIV/0!</v>
      </c>
      <c r="H88" s="10" t="e">
        <f t="shared" ref="H88:H94" si="183">G88/C88</f>
        <v>#DIV/0!</v>
      </c>
      <c r="I88" s="34">
        <v>0</v>
      </c>
      <c r="J88" s="69">
        <v>0</v>
      </c>
      <c r="K88" s="34" t="e">
        <f t="shared" ref="K88:K94" si="184">I88/J88</f>
        <v>#DIV/0!</v>
      </c>
      <c r="L88" s="9" t="e">
        <f t="shared" ref="L88:L94" si="185">K88/C88</f>
        <v>#DIV/0!</v>
      </c>
      <c r="M88" s="67">
        <v>34140</v>
      </c>
      <c r="N88" s="26">
        <v>1232</v>
      </c>
      <c r="O88" s="34">
        <f t="shared" ref="O88:O94" si="186">M88/N88</f>
        <v>27.711038961038962</v>
      </c>
      <c r="P88" s="10">
        <f t="shared" ref="P88:P94" si="187">O88/C88</f>
        <v>0.54825758792355872</v>
      </c>
      <c r="Q88" s="35">
        <v>0</v>
      </c>
      <c r="R88" s="66">
        <v>0</v>
      </c>
      <c r="S88" s="35" t="e">
        <f t="shared" ref="S88:S94" si="188">Q88/R88</f>
        <v>#DIV/0!</v>
      </c>
      <c r="T88" s="6" t="e">
        <f t="shared" ref="T88:T94" si="189">S88/C88</f>
        <v>#DIV/0!</v>
      </c>
      <c r="U88" s="67">
        <v>0</v>
      </c>
      <c r="V88" s="65">
        <v>0</v>
      </c>
      <c r="W88" s="18" t="e">
        <f t="shared" ref="W88:W94" si="190">U88/V88</f>
        <v>#DIV/0!</v>
      </c>
      <c r="X88" s="9" t="e">
        <f t="shared" ref="X88:X94" si="191">W88/C88</f>
        <v>#DIV/0!</v>
      </c>
      <c r="Y88" s="67">
        <v>0</v>
      </c>
      <c r="Z88" s="69">
        <v>0</v>
      </c>
      <c r="AA88" s="34" t="e">
        <f t="shared" ref="AA88:AA94" si="192">Y88/Z88</f>
        <v>#DIV/0!</v>
      </c>
      <c r="AB88" s="10" t="e">
        <f t="shared" ref="AB88:AB94" si="193">AA88/C88</f>
        <v>#DIV/0!</v>
      </c>
      <c r="AC88" s="34">
        <v>0</v>
      </c>
      <c r="AD88" s="33">
        <v>0</v>
      </c>
      <c r="AE88" s="34" t="e">
        <f t="shared" ref="AE88:AE94" si="194">AC88/AD88</f>
        <v>#DIV/0!</v>
      </c>
      <c r="AF88" s="9" t="e">
        <f t="shared" ref="AF88:AF94" si="195">AE88/C88</f>
        <v>#DIV/0!</v>
      </c>
      <c r="AG88" s="67">
        <v>0</v>
      </c>
      <c r="AH88" s="65">
        <v>0</v>
      </c>
      <c r="AI88" s="34" t="e">
        <f t="shared" ref="AI88:AI94" si="196">AG88/AH88</f>
        <v>#DIV/0!</v>
      </c>
      <c r="AJ88" s="9" t="e">
        <f t="shared" ref="AJ88:AJ94" si="197">AI88/C88</f>
        <v>#DIV/0!</v>
      </c>
      <c r="AK88" s="67">
        <v>0</v>
      </c>
      <c r="AL88" s="65">
        <v>0</v>
      </c>
      <c r="AM88" s="34" t="e">
        <f t="shared" ref="AM88:AM94" si="198">AK88/AL88</f>
        <v>#DIV/0!</v>
      </c>
      <c r="AN88" s="9" t="e">
        <f t="shared" ref="AN88:AN94" si="199">AM88/C88</f>
        <v>#DIV/0!</v>
      </c>
      <c r="AO88" s="67">
        <v>1290</v>
      </c>
      <c r="AP88" s="65">
        <v>140</v>
      </c>
      <c r="AQ88" s="34">
        <f t="shared" ref="AQ88:AQ94" si="200">AO88/AP88</f>
        <v>9.2142857142857135</v>
      </c>
      <c r="AR88" s="9">
        <f t="shared" ref="AR88:AR94" si="201">AQ88/C88</f>
        <v>0.18230287457844868</v>
      </c>
      <c r="AS88" s="67">
        <v>0</v>
      </c>
      <c r="AT88" s="65">
        <v>0</v>
      </c>
      <c r="AU88" s="34" t="e">
        <f t="shared" ref="AU88:AU94" si="202">AS88/AT88</f>
        <v>#DIV/0!</v>
      </c>
      <c r="AV88" s="9" t="e">
        <f t="shared" ref="AV88:AV94" si="203">AU88/C88</f>
        <v>#DIV/0!</v>
      </c>
      <c r="AW88" s="67">
        <v>0</v>
      </c>
      <c r="AX88" s="65">
        <v>0</v>
      </c>
      <c r="AY88" s="34" t="e">
        <f t="shared" ref="AY88:AY94" si="204">AW88/AX88</f>
        <v>#DIV/0!</v>
      </c>
      <c r="AZ88" s="9" t="e">
        <f t="shared" ref="AZ88:AZ94" si="205">AY88/C88</f>
        <v>#DIV/0!</v>
      </c>
      <c r="BA88" s="67">
        <v>0</v>
      </c>
      <c r="BB88" s="65">
        <v>0</v>
      </c>
      <c r="BC88" s="34" t="e">
        <f t="shared" ref="BC88:BC94" si="206">BA88/BB88</f>
        <v>#DIV/0!</v>
      </c>
      <c r="BD88" s="10" t="e">
        <f t="shared" ref="BD88:BD94" si="207">BC88/C88</f>
        <v>#DIV/0!</v>
      </c>
    </row>
    <row r="89" spans="1:56" x14ac:dyDescent="0.25">
      <c r="A89" s="19" t="s">
        <v>16</v>
      </c>
      <c r="B89" s="8">
        <v>73270</v>
      </c>
      <c r="C89" s="35">
        <f>B89/F85</f>
        <v>59.472402597402599</v>
      </c>
      <c r="D89" s="8">
        <v>1525</v>
      </c>
      <c r="E89" s="68">
        <v>0</v>
      </c>
      <c r="F89" s="70">
        <v>0</v>
      </c>
      <c r="G89" s="35" t="e">
        <f t="shared" si="182"/>
        <v>#DIV/0!</v>
      </c>
      <c r="H89" s="11" t="e">
        <f t="shared" si="183"/>
        <v>#DIV/0!</v>
      </c>
      <c r="I89" s="35">
        <v>0</v>
      </c>
      <c r="J89" s="70">
        <v>0</v>
      </c>
      <c r="K89" s="35" t="e">
        <f t="shared" si="184"/>
        <v>#DIV/0!</v>
      </c>
      <c r="L89" s="6" t="e">
        <f t="shared" si="185"/>
        <v>#DIV/0!</v>
      </c>
      <c r="M89" s="68">
        <v>42730</v>
      </c>
      <c r="N89" s="5">
        <v>1232</v>
      </c>
      <c r="O89" s="35">
        <f t="shared" si="186"/>
        <v>34.683441558441558</v>
      </c>
      <c r="P89" s="11">
        <f t="shared" si="187"/>
        <v>0.5831854783676812</v>
      </c>
      <c r="Q89" s="35">
        <v>0</v>
      </c>
      <c r="R89" s="66">
        <v>0</v>
      </c>
      <c r="S89" s="35" t="e">
        <f t="shared" si="188"/>
        <v>#DIV/0!</v>
      </c>
      <c r="T89" s="6" t="e">
        <f t="shared" si="189"/>
        <v>#DIV/0!</v>
      </c>
      <c r="U89" s="68">
        <v>0</v>
      </c>
      <c r="V89" s="66">
        <v>0</v>
      </c>
      <c r="W89" s="20" t="e">
        <f t="shared" si="190"/>
        <v>#DIV/0!</v>
      </c>
      <c r="X89" s="6" t="e">
        <f t="shared" si="191"/>
        <v>#DIV/0!</v>
      </c>
      <c r="Y89" s="68">
        <v>0</v>
      </c>
      <c r="Z89" s="70">
        <v>0</v>
      </c>
      <c r="AA89" s="35" t="e">
        <f t="shared" si="192"/>
        <v>#DIV/0!</v>
      </c>
      <c r="AB89" s="11" t="e">
        <f t="shared" si="193"/>
        <v>#DIV/0!</v>
      </c>
      <c r="AC89" s="35">
        <v>0</v>
      </c>
      <c r="AD89" s="36">
        <v>0</v>
      </c>
      <c r="AE89" s="35" t="e">
        <f t="shared" si="194"/>
        <v>#DIV/0!</v>
      </c>
      <c r="AF89" s="6" t="e">
        <f t="shared" si="195"/>
        <v>#DIV/0!</v>
      </c>
      <c r="AG89" s="68">
        <v>0</v>
      </c>
      <c r="AH89" s="66">
        <v>0</v>
      </c>
      <c r="AI89" s="35" t="e">
        <f t="shared" si="196"/>
        <v>#DIV/0!</v>
      </c>
      <c r="AJ89" s="6" t="e">
        <f t="shared" si="197"/>
        <v>#DIV/0!</v>
      </c>
      <c r="AK89" s="68">
        <v>0</v>
      </c>
      <c r="AL89" s="66">
        <v>0</v>
      </c>
      <c r="AM89" s="35" t="e">
        <f t="shared" si="198"/>
        <v>#DIV/0!</v>
      </c>
      <c r="AN89" s="6" t="e">
        <f t="shared" si="199"/>
        <v>#DIV/0!</v>
      </c>
      <c r="AO89" s="68">
        <v>1810</v>
      </c>
      <c r="AP89" s="66">
        <v>140</v>
      </c>
      <c r="AQ89" s="35">
        <f t="shared" si="200"/>
        <v>12.928571428571429</v>
      </c>
      <c r="AR89" s="6">
        <f t="shared" si="201"/>
        <v>0.21738774396069332</v>
      </c>
      <c r="AS89" s="68">
        <v>0</v>
      </c>
      <c r="AT89" s="66">
        <v>0</v>
      </c>
      <c r="AU89" s="35" t="e">
        <f t="shared" si="202"/>
        <v>#DIV/0!</v>
      </c>
      <c r="AV89" s="6" t="e">
        <f t="shared" si="203"/>
        <v>#DIV/0!</v>
      </c>
      <c r="AW89" s="68">
        <v>0</v>
      </c>
      <c r="AX89" s="66">
        <v>0</v>
      </c>
      <c r="AY89" s="35" t="e">
        <f t="shared" si="204"/>
        <v>#DIV/0!</v>
      </c>
      <c r="AZ89" s="6" t="e">
        <f t="shared" si="205"/>
        <v>#DIV/0!</v>
      </c>
      <c r="BA89" s="68">
        <v>0</v>
      </c>
      <c r="BB89" s="66">
        <v>0</v>
      </c>
      <c r="BC89" s="35" t="e">
        <f t="shared" si="206"/>
        <v>#DIV/0!</v>
      </c>
      <c r="BD89" s="11" t="e">
        <f t="shared" si="207"/>
        <v>#DIV/0!</v>
      </c>
    </row>
    <row r="90" spans="1:56" x14ac:dyDescent="0.25">
      <c r="A90" s="19" t="s">
        <v>2</v>
      </c>
      <c r="B90" s="8">
        <v>85680</v>
      </c>
      <c r="C90" s="35">
        <f>B90/F85</f>
        <v>69.545454545454547</v>
      </c>
      <c r="D90" s="8">
        <v>2100</v>
      </c>
      <c r="E90" s="68">
        <v>0</v>
      </c>
      <c r="F90" s="70">
        <v>0</v>
      </c>
      <c r="G90" s="35" t="e">
        <f t="shared" si="182"/>
        <v>#DIV/0!</v>
      </c>
      <c r="H90" s="11" t="e">
        <f t="shared" si="183"/>
        <v>#DIV/0!</v>
      </c>
      <c r="I90" s="35">
        <v>0</v>
      </c>
      <c r="J90" s="70">
        <v>0</v>
      </c>
      <c r="K90" s="35" t="e">
        <f t="shared" si="184"/>
        <v>#DIV/0!</v>
      </c>
      <c r="L90" s="6" t="e">
        <f t="shared" si="185"/>
        <v>#DIV/0!</v>
      </c>
      <c r="M90" s="68">
        <v>49300</v>
      </c>
      <c r="N90" s="5">
        <v>1232</v>
      </c>
      <c r="O90" s="35">
        <f t="shared" si="186"/>
        <v>40.016233766233768</v>
      </c>
      <c r="P90" s="11">
        <f t="shared" si="187"/>
        <v>0.57539682539682546</v>
      </c>
      <c r="Q90" s="35">
        <v>0</v>
      </c>
      <c r="R90" s="66">
        <v>0</v>
      </c>
      <c r="S90" s="35" t="e">
        <f t="shared" si="188"/>
        <v>#DIV/0!</v>
      </c>
      <c r="T90" s="6" t="e">
        <f t="shared" si="189"/>
        <v>#DIV/0!</v>
      </c>
      <c r="U90" s="68">
        <v>0</v>
      </c>
      <c r="V90" s="66">
        <v>0</v>
      </c>
      <c r="W90" s="20" t="e">
        <f t="shared" si="190"/>
        <v>#DIV/0!</v>
      </c>
      <c r="X90" s="6" t="e">
        <f t="shared" si="191"/>
        <v>#DIV/0!</v>
      </c>
      <c r="Y90" s="68">
        <v>0</v>
      </c>
      <c r="Z90" s="70">
        <v>0</v>
      </c>
      <c r="AA90" s="35" t="e">
        <f t="shared" si="192"/>
        <v>#DIV/0!</v>
      </c>
      <c r="AB90" s="11" t="e">
        <f t="shared" si="193"/>
        <v>#DIV/0!</v>
      </c>
      <c r="AC90" s="35">
        <v>0</v>
      </c>
      <c r="AD90" s="36">
        <v>0</v>
      </c>
      <c r="AE90" s="35" t="e">
        <f t="shared" si="194"/>
        <v>#DIV/0!</v>
      </c>
      <c r="AF90" s="6" t="e">
        <f t="shared" si="195"/>
        <v>#DIV/0!</v>
      </c>
      <c r="AG90" s="68">
        <v>0</v>
      </c>
      <c r="AH90" s="66">
        <v>0</v>
      </c>
      <c r="AI90" s="35" t="e">
        <f t="shared" si="196"/>
        <v>#DIV/0!</v>
      </c>
      <c r="AJ90" s="6" t="e">
        <f t="shared" si="197"/>
        <v>#DIV/0!</v>
      </c>
      <c r="AK90" s="68">
        <v>0</v>
      </c>
      <c r="AL90" s="66">
        <v>0</v>
      </c>
      <c r="AM90" s="35" t="e">
        <f t="shared" si="198"/>
        <v>#DIV/0!</v>
      </c>
      <c r="AN90" s="6" t="e">
        <f t="shared" si="199"/>
        <v>#DIV/0!</v>
      </c>
      <c r="AO90" s="68">
        <v>1890</v>
      </c>
      <c r="AP90" s="66">
        <v>140</v>
      </c>
      <c r="AQ90" s="35">
        <f t="shared" si="200"/>
        <v>13.5</v>
      </c>
      <c r="AR90" s="6">
        <f t="shared" si="201"/>
        <v>0.19411764705882353</v>
      </c>
      <c r="AS90" s="68">
        <v>0</v>
      </c>
      <c r="AT90" s="66">
        <v>0</v>
      </c>
      <c r="AU90" s="35" t="e">
        <f t="shared" si="202"/>
        <v>#DIV/0!</v>
      </c>
      <c r="AV90" s="6" t="e">
        <f t="shared" si="203"/>
        <v>#DIV/0!</v>
      </c>
      <c r="AW90" s="68">
        <v>0</v>
      </c>
      <c r="AX90" s="66">
        <v>0</v>
      </c>
      <c r="AY90" s="35" t="e">
        <f t="shared" si="204"/>
        <v>#DIV/0!</v>
      </c>
      <c r="AZ90" s="6" t="e">
        <f t="shared" si="205"/>
        <v>#DIV/0!</v>
      </c>
      <c r="BA90" s="68">
        <v>0</v>
      </c>
      <c r="BB90" s="66">
        <v>0</v>
      </c>
      <c r="BC90" s="35" t="e">
        <f t="shared" si="206"/>
        <v>#DIV/0!</v>
      </c>
      <c r="BD90" s="11" t="e">
        <f t="shared" si="207"/>
        <v>#DIV/0!</v>
      </c>
    </row>
    <row r="91" spans="1:56" x14ac:dyDescent="0.25">
      <c r="A91" s="19" t="s">
        <v>3</v>
      </c>
      <c r="B91" s="8">
        <v>103470</v>
      </c>
      <c r="C91" s="35">
        <f>B91/F85</f>
        <v>83.985389610389603</v>
      </c>
      <c r="D91" s="8">
        <v>2700</v>
      </c>
      <c r="E91" s="68">
        <v>0</v>
      </c>
      <c r="F91" s="70">
        <v>0</v>
      </c>
      <c r="G91" s="35" t="e">
        <f t="shared" si="182"/>
        <v>#DIV/0!</v>
      </c>
      <c r="H91" s="11" t="e">
        <f t="shared" si="183"/>
        <v>#DIV/0!</v>
      </c>
      <c r="I91" s="35">
        <v>0</v>
      </c>
      <c r="J91" s="70">
        <v>0</v>
      </c>
      <c r="K91" s="35" t="e">
        <f t="shared" si="184"/>
        <v>#DIV/0!</v>
      </c>
      <c r="L91" s="6" t="e">
        <f t="shared" si="185"/>
        <v>#DIV/0!</v>
      </c>
      <c r="M91" s="68">
        <v>56920</v>
      </c>
      <c r="N91" s="5">
        <v>1232</v>
      </c>
      <c r="O91" s="35">
        <f t="shared" si="186"/>
        <v>46.201298701298704</v>
      </c>
      <c r="P91" s="11">
        <f t="shared" si="187"/>
        <v>0.55011114332656819</v>
      </c>
      <c r="Q91" s="35">
        <v>0</v>
      </c>
      <c r="R91" s="66">
        <v>0</v>
      </c>
      <c r="S91" s="35" t="e">
        <f t="shared" si="188"/>
        <v>#DIV/0!</v>
      </c>
      <c r="T91" s="6" t="e">
        <f t="shared" si="189"/>
        <v>#DIV/0!</v>
      </c>
      <c r="U91" s="68">
        <v>0</v>
      </c>
      <c r="V91" s="66">
        <v>0</v>
      </c>
      <c r="W91" s="20" t="e">
        <f t="shared" si="190"/>
        <v>#DIV/0!</v>
      </c>
      <c r="X91" s="6" t="e">
        <f t="shared" si="191"/>
        <v>#DIV/0!</v>
      </c>
      <c r="Y91" s="68">
        <v>0</v>
      </c>
      <c r="Z91" s="70">
        <v>0</v>
      </c>
      <c r="AA91" s="35" t="e">
        <f t="shared" si="192"/>
        <v>#DIV/0!</v>
      </c>
      <c r="AB91" s="11" t="e">
        <f t="shared" si="193"/>
        <v>#DIV/0!</v>
      </c>
      <c r="AC91" s="35">
        <v>0</v>
      </c>
      <c r="AD91" s="36">
        <v>0</v>
      </c>
      <c r="AE91" s="35" t="e">
        <f t="shared" si="194"/>
        <v>#DIV/0!</v>
      </c>
      <c r="AF91" s="6" t="e">
        <f t="shared" si="195"/>
        <v>#DIV/0!</v>
      </c>
      <c r="AG91" s="68">
        <v>0</v>
      </c>
      <c r="AH91" s="66">
        <v>0</v>
      </c>
      <c r="AI91" s="35" t="e">
        <f t="shared" si="196"/>
        <v>#DIV/0!</v>
      </c>
      <c r="AJ91" s="6" t="e">
        <f t="shared" si="197"/>
        <v>#DIV/0!</v>
      </c>
      <c r="AK91" s="68">
        <v>0</v>
      </c>
      <c r="AL91" s="66">
        <v>0</v>
      </c>
      <c r="AM91" s="35" t="e">
        <f t="shared" si="198"/>
        <v>#DIV/0!</v>
      </c>
      <c r="AN91" s="6" t="e">
        <f t="shared" si="199"/>
        <v>#DIV/0!</v>
      </c>
      <c r="AO91" s="68">
        <v>1980</v>
      </c>
      <c r="AP91" s="66">
        <v>140</v>
      </c>
      <c r="AQ91" s="35">
        <f t="shared" si="200"/>
        <v>14.142857142857142</v>
      </c>
      <c r="AR91" s="6">
        <f t="shared" si="201"/>
        <v>0.16839663670629168</v>
      </c>
      <c r="AS91" s="68">
        <v>0</v>
      </c>
      <c r="AT91" s="66">
        <v>0</v>
      </c>
      <c r="AU91" s="35" t="e">
        <f t="shared" si="202"/>
        <v>#DIV/0!</v>
      </c>
      <c r="AV91" s="6" t="e">
        <f t="shared" si="203"/>
        <v>#DIV/0!</v>
      </c>
      <c r="AW91" s="68">
        <v>0</v>
      </c>
      <c r="AX91" s="66">
        <v>0</v>
      </c>
      <c r="AY91" s="35" t="e">
        <f t="shared" si="204"/>
        <v>#DIV/0!</v>
      </c>
      <c r="AZ91" s="6" t="e">
        <f t="shared" si="205"/>
        <v>#DIV/0!</v>
      </c>
      <c r="BA91" s="68">
        <v>0</v>
      </c>
      <c r="BB91" s="66">
        <v>0</v>
      </c>
      <c r="BC91" s="35" t="e">
        <f t="shared" si="206"/>
        <v>#DIV/0!</v>
      </c>
      <c r="BD91" s="11" t="e">
        <f t="shared" si="207"/>
        <v>#DIV/0!</v>
      </c>
    </row>
    <row r="92" spans="1:56" x14ac:dyDescent="0.25">
      <c r="A92" s="19" t="s">
        <v>4</v>
      </c>
      <c r="B92" s="8">
        <v>129050</v>
      </c>
      <c r="C92" s="35">
        <f>B92/F85</f>
        <v>104.74837662337663</v>
      </c>
      <c r="D92" s="8">
        <v>5250</v>
      </c>
      <c r="E92" s="68">
        <v>0</v>
      </c>
      <c r="F92" s="70">
        <v>0</v>
      </c>
      <c r="G92" s="35" t="e">
        <f t="shared" si="182"/>
        <v>#DIV/0!</v>
      </c>
      <c r="H92" s="11" t="e">
        <f t="shared" si="183"/>
        <v>#DIV/0!</v>
      </c>
      <c r="I92" s="35">
        <v>0</v>
      </c>
      <c r="J92" s="70">
        <v>0</v>
      </c>
      <c r="K92" s="35" t="e">
        <f t="shared" si="184"/>
        <v>#DIV/0!</v>
      </c>
      <c r="L92" s="6" t="e">
        <f t="shared" si="185"/>
        <v>#DIV/0!</v>
      </c>
      <c r="M92" s="68">
        <v>80510</v>
      </c>
      <c r="N92" s="5">
        <v>1232</v>
      </c>
      <c r="O92" s="35">
        <f t="shared" si="186"/>
        <v>65.349025974025977</v>
      </c>
      <c r="P92" s="11">
        <f t="shared" si="187"/>
        <v>0.6238667183262302</v>
      </c>
      <c r="Q92" s="35">
        <v>0</v>
      </c>
      <c r="R92" s="66">
        <v>0</v>
      </c>
      <c r="S92" s="35" t="e">
        <f t="shared" si="188"/>
        <v>#DIV/0!</v>
      </c>
      <c r="T92" s="6" t="e">
        <f t="shared" si="189"/>
        <v>#DIV/0!</v>
      </c>
      <c r="U92" s="68">
        <v>0</v>
      </c>
      <c r="V92" s="66">
        <v>0</v>
      </c>
      <c r="W92" s="20" t="e">
        <f t="shared" si="190"/>
        <v>#DIV/0!</v>
      </c>
      <c r="X92" s="6" t="e">
        <f t="shared" si="191"/>
        <v>#DIV/0!</v>
      </c>
      <c r="Y92" s="68">
        <v>0</v>
      </c>
      <c r="Z92" s="70">
        <v>0</v>
      </c>
      <c r="AA92" s="35" t="e">
        <f t="shared" si="192"/>
        <v>#DIV/0!</v>
      </c>
      <c r="AB92" s="11" t="e">
        <f t="shared" si="193"/>
        <v>#DIV/0!</v>
      </c>
      <c r="AC92" s="35">
        <v>0</v>
      </c>
      <c r="AD92" s="36">
        <v>0</v>
      </c>
      <c r="AE92" s="35" t="e">
        <f t="shared" si="194"/>
        <v>#DIV/0!</v>
      </c>
      <c r="AF92" s="6" t="e">
        <f t="shared" si="195"/>
        <v>#DIV/0!</v>
      </c>
      <c r="AG92" s="68">
        <v>0</v>
      </c>
      <c r="AH92" s="66">
        <v>0</v>
      </c>
      <c r="AI92" s="35" t="e">
        <f t="shared" si="196"/>
        <v>#DIV/0!</v>
      </c>
      <c r="AJ92" s="6" t="e">
        <f t="shared" si="197"/>
        <v>#DIV/0!</v>
      </c>
      <c r="AK92" s="68">
        <v>0</v>
      </c>
      <c r="AL92" s="66">
        <v>0</v>
      </c>
      <c r="AM92" s="35" t="e">
        <f t="shared" si="198"/>
        <v>#DIV/0!</v>
      </c>
      <c r="AN92" s="6" t="e">
        <f t="shared" si="199"/>
        <v>#DIV/0!</v>
      </c>
      <c r="AO92" s="68">
        <v>2580</v>
      </c>
      <c r="AP92" s="66">
        <v>140</v>
      </c>
      <c r="AQ92" s="35">
        <f t="shared" si="200"/>
        <v>18.428571428571427</v>
      </c>
      <c r="AR92" s="6">
        <f t="shared" si="201"/>
        <v>0.17593180937621075</v>
      </c>
      <c r="AS92" s="68">
        <v>0</v>
      </c>
      <c r="AT92" s="66">
        <v>0</v>
      </c>
      <c r="AU92" s="35" t="e">
        <f t="shared" si="202"/>
        <v>#DIV/0!</v>
      </c>
      <c r="AV92" s="6" t="e">
        <f t="shared" si="203"/>
        <v>#DIV/0!</v>
      </c>
      <c r="AW92" s="68">
        <v>0</v>
      </c>
      <c r="AX92" s="66">
        <v>0</v>
      </c>
      <c r="AY92" s="35" t="e">
        <f t="shared" si="204"/>
        <v>#DIV/0!</v>
      </c>
      <c r="AZ92" s="6" t="e">
        <f t="shared" si="205"/>
        <v>#DIV/0!</v>
      </c>
      <c r="BA92" s="68">
        <v>0</v>
      </c>
      <c r="BB92" s="66">
        <v>0</v>
      </c>
      <c r="BC92" s="35" t="e">
        <f t="shared" si="206"/>
        <v>#DIV/0!</v>
      </c>
      <c r="BD92" s="11" t="e">
        <f t="shared" si="207"/>
        <v>#DIV/0!</v>
      </c>
    </row>
    <row r="93" spans="1:56" x14ac:dyDescent="0.25">
      <c r="A93" s="19" t="s">
        <v>5</v>
      </c>
      <c r="B93" s="8">
        <v>169680</v>
      </c>
      <c r="C93" s="35">
        <f>B93/F85</f>
        <v>137.72727272727272</v>
      </c>
      <c r="D93" s="8">
        <v>7050</v>
      </c>
      <c r="E93" s="68">
        <v>0</v>
      </c>
      <c r="F93" s="70">
        <v>0</v>
      </c>
      <c r="G93" s="35" t="e">
        <f t="shared" si="182"/>
        <v>#DIV/0!</v>
      </c>
      <c r="H93" s="11" t="e">
        <f t="shared" si="183"/>
        <v>#DIV/0!</v>
      </c>
      <c r="I93" s="35">
        <v>0</v>
      </c>
      <c r="J93" s="70">
        <v>0</v>
      </c>
      <c r="K93" s="35" t="e">
        <f t="shared" si="184"/>
        <v>#DIV/0!</v>
      </c>
      <c r="L93" s="6" t="e">
        <f t="shared" si="185"/>
        <v>#DIV/0!</v>
      </c>
      <c r="M93" s="68">
        <v>90970</v>
      </c>
      <c r="N93" s="5">
        <v>1232</v>
      </c>
      <c r="O93" s="35">
        <f t="shared" si="186"/>
        <v>73.839285714285708</v>
      </c>
      <c r="P93" s="11">
        <f t="shared" si="187"/>
        <v>0.53612682696841107</v>
      </c>
      <c r="Q93" s="35">
        <v>0</v>
      </c>
      <c r="R93" s="66">
        <v>0</v>
      </c>
      <c r="S93" s="35" t="e">
        <f t="shared" si="188"/>
        <v>#DIV/0!</v>
      </c>
      <c r="T93" s="6" t="e">
        <f t="shared" si="189"/>
        <v>#DIV/0!</v>
      </c>
      <c r="U93" s="68">
        <v>0</v>
      </c>
      <c r="V93" s="66">
        <v>0</v>
      </c>
      <c r="W93" s="20" t="e">
        <f t="shared" si="190"/>
        <v>#DIV/0!</v>
      </c>
      <c r="X93" s="6" t="e">
        <f t="shared" si="191"/>
        <v>#DIV/0!</v>
      </c>
      <c r="Y93" s="68">
        <v>0</v>
      </c>
      <c r="Z93" s="70">
        <v>0</v>
      </c>
      <c r="AA93" s="35" t="e">
        <f t="shared" si="192"/>
        <v>#DIV/0!</v>
      </c>
      <c r="AB93" s="11" t="e">
        <f t="shared" si="193"/>
        <v>#DIV/0!</v>
      </c>
      <c r="AC93" s="35">
        <v>0</v>
      </c>
      <c r="AD93" s="36">
        <v>0</v>
      </c>
      <c r="AE93" s="35" t="e">
        <f t="shared" si="194"/>
        <v>#DIV/0!</v>
      </c>
      <c r="AF93" s="6" t="e">
        <f t="shared" si="195"/>
        <v>#DIV/0!</v>
      </c>
      <c r="AG93" s="68">
        <v>0</v>
      </c>
      <c r="AH93" s="66">
        <v>0</v>
      </c>
      <c r="AI93" s="35" t="e">
        <f t="shared" si="196"/>
        <v>#DIV/0!</v>
      </c>
      <c r="AJ93" s="6" t="e">
        <f t="shared" si="197"/>
        <v>#DIV/0!</v>
      </c>
      <c r="AK93" s="68">
        <v>0</v>
      </c>
      <c r="AL93" s="66">
        <v>0</v>
      </c>
      <c r="AM93" s="35" t="e">
        <f t="shared" si="198"/>
        <v>#DIV/0!</v>
      </c>
      <c r="AN93" s="6" t="e">
        <f t="shared" si="199"/>
        <v>#DIV/0!</v>
      </c>
      <c r="AO93" s="68">
        <v>3050</v>
      </c>
      <c r="AP93" s="66">
        <v>140</v>
      </c>
      <c r="AQ93" s="35">
        <f t="shared" si="200"/>
        <v>21.785714285714285</v>
      </c>
      <c r="AR93" s="6">
        <f t="shared" si="201"/>
        <v>0.15818010372465818</v>
      </c>
      <c r="AS93" s="68">
        <v>0</v>
      </c>
      <c r="AT93" s="66">
        <v>0</v>
      </c>
      <c r="AU93" s="35" t="e">
        <f t="shared" si="202"/>
        <v>#DIV/0!</v>
      </c>
      <c r="AV93" s="6" t="e">
        <f t="shared" si="203"/>
        <v>#DIV/0!</v>
      </c>
      <c r="AW93" s="68">
        <v>0</v>
      </c>
      <c r="AX93" s="66">
        <v>0</v>
      </c>
      <c r="AY93" s="35" t="e">
        <f t="shared" si="204"/>
        <v>#DIV/0!</v>
      </c>
      <c r="AZ93" s="6" t="e">
        <f t="shared" si="205"/>
        <v>#DIV/0!</v>
      </c>
      <c r="BA93" s="68">
        <v>0</v>
      </c>
      <c r="BB93" s="66">
        <v>0</v>
      </c>
      <c r="BC93" s="35" t="e">
        <f t="shared" si="206"/>
        <v>#DIV/0!</v>
      </c>
      <c r="BD93" s="11" t="e">
        <f t="shared" si="207"/>
        <v>#DIV/0!</v>
      </c>
    </row>
    <row r="94" spans="1:56" x14ac:dyDescent="0.25">
      <c r="A94" s="19" t="s">
        <v>6</v>
      </c>
      <c r="B94" s="8">
        <v>201840</v>
      </c>
      <c r="C94" s="35">
        <f>B94/F85</f>
        <v>163.83116883116884</v>
      </c>
      <c r="D94" s="8">
        <v>10950</v>
      </c>
      <c r="E94" s="68">
        <v>0</v>
      </c>
      <c r="F94" s="70">
        <v>0</v>
      </c>
      <c r="G94" s="35" t="e">
        <f t="shared" si="182"/>
        <v>#DIV/0!</v>
      </c>
      <c r="H94" s="11" t="e">
        <f t="shared" si="183"/>
        <v>#DIV/0!</v>
      </c>
      <c r="I94" s="35">
        <v>0</v>
      </c>
      <c r="J94" s="70">
        <v>0</v>
      </c>
      <c r="K94" s="35" t="e">
        <f t="shared" si="184"/>
        <v>#DIV/0!</v>
      </c>
      <c r="L94" s="6" t="e">
        <f t="shared" si="185"/>
        <v>#DIV/0!</v>
      </c>
      <c r="M94" s="68">
        <v>115130</v>
      </c>
      <c r="N94" s="5">
        <v>1232</v>
      </c>
      <c r="O94" s="35">
        <f t="shared" si="186"/>
        <v>93.449675324675326</v>
      </c>
      <c r="P94" s="11">
        <f t="shared" si="187"/>
        <v>0.5704022988505747</v>
      </c>
      <c r="Q94" s="35">
        <v>0</v>
      </c>
      <c r="R94" s="66">
        <v>0</v>
      </c>
      <c r="S94" s="35" t="e">
        <f t="shared" si="188"/>
        <v>#DIV/0!</v>
      </c>
      <c r="T94" s="6" t="e">
        <f t="shared" si="189"/>
        <v>#DIV/0!</v>
      </c>
      <c r="U94" s="68">
        <v>0</v>
      </c>
      <c r="V94" s="66">
        <v>0</v>
      </c>
      <c r="W94" s="20" t="e">
        <f t="shared" si="190"/>
        <v>#DIV/0!</v>
      </c>
      <c r="X94" s="6" t="e">
        <f t="shared" si="191"/>
        <v>#DIV/0!</v>
      </c>
      <c r="Y94" s="68">
        <v>0</v>
      </c>
      <c r="Z94" s="70">
        <v>0</v>
      </c>
      <c r="AA94" s="35" t="e">
        <f t="shared" si="192"/>
        <v>#DIV/0!</v>
      </c>
      <c r="AB94" s="11" t="e">
        <f t="shared" si="193"/>
        <v>#DIV/0!</v>
      </c>
      <c r="AC94" s="35">
        <v>0</v>
      </c>
      <c r="AD94" s="36">
        <v>0</v>
      </c>
      <c r="AE94" s="35" t="e">
        <f t="shared" si="194"/>
        <v>#DIV/0!</v>
      </c>
      <c r="AF94" s="6" t="e">
        <f t="shared" si="195"/>
        <v>#DIV/0!</v>
      </c>
      <c r="AG94" s="68">
        <v>0</v>
      </c>
      <c r="AH94" s="66">
        <v>0</v>
      </c>
      <c r="AI94" s="35" t="e">
        <f t="shared" si="196"/>
        <v>#DIV/0!</v>
      </c>
      <c r="AJ94" s="6" t="e">
        <f t="shared" si="197"/>
        <v>#DIV/0!</v>
      </c>
      <c r="AK94" s="68">
        <v>0</v>
      </c>
      <c r="AL94" s="66">
        <v>0</v>
      </c>
      <c r="AM94" s="35" t="e">
        <f t="shared" si="198"/>
        <v>#DIV/0!</v>
      </c>
      <c r="AN94" s="6" t="e">
        <f t="shared" si="199"/>
        <v>#DIV/0!</v>
      </c>
      <c r="AO94" s="68">
        <v>3280</v>
      </c>
      <c r="AP94" s="66">
        <v>140</v>
      </c>
      <c r="AQ94" s="35">
        <f t="shared" si="200"/>
        <v>23.428571428571427</v>
      </c>
      <c r="AR94" s="6">
        <f t="shared" si="201"/>
        <v>0.14300435988902099</v>
      </c>
      <c r="AS94" s="68">
        <v>0</v>
      </c>
      <c r="AT94" s="66">
        <v>0</v>
      </c>
      <c r="AU94" s="35" t="e">
        <f t="shared" si="202"/>
        <v>#DIV/0!</v>
      </c>
      <c r="AV94" s="6" t="e">
        <f t="shared" si="203"/>
        <v>#DIV/0!</v>
      </c>
      <c r="AW94" s="68">
        <v>0</v>
      </c>
      <c r="AX94" s="66">
        <v>0</v>
      </c>
      <c r="AY94" s="35" t="e">
        <f t="shared" si="204"/>
        <v>#DIV/0!</v>
      </c>
      <c r="AZ94" s="6" t="e">
        <f t="shared" si="205"/>
        <v>#DIV/0!</v>
      </c>
      <c r="BA94" s="68">
        <v>0</v>
      </c>
      <c r="BB94" s="66">
        <v>0</v>
      </c>
      <c r="BC94" s="35" t="e">
        <f t="shared" si="206"/>
        <v>#DIV/0!</v>
      </c>
      <c r="BD94" s="11" t="e">
        <f t="shared" si="207"/>
        <v>#DIV/0!</v>
      </c>
    </row>
    <row r="95" spans="1:56" ht="15.75" thickBot="1" x14ac:dyDescent="0.3">
      <c r="A95" s="21"/>
      <c r="B95" s="22"/>
      <c r="C95" s="23">
        <f>AVERAGE(Table1108[MA $/Sq Ft])</f>
        <v>95.693413729128025</v>
      </c>
      <c r="D95" s="22">
        <f>AVERAGE(Table1108[Basic Allowance])</f>
        <v>4442.8571428571431</v>
      </c>
      <c r="E95" s="16"/>
      <c r="F95" s="22"/>
      <c r="G95" s="15"/>
      <c r="H95" s="24" t="e">
        <f>AVERAGE(Table1108[Bsmt % Base])</f>
        <v>#DIV/0!</v>
      </c>
      <c r="I95" s="15"/>
      <c r="J95" s="15"/>
      <c r="K95" s="15"/>
      <c r="L95" s="25" t="e">
        <f>AVERAGE(Table1108[[#Headers],[#Data],[UnfBsmt % Base]])</f>
        <v>#DIV/0!</v>
      </c>
      <c r="M95" s="77">
        <f>SUBTOTAL(101,Table1108[Lower Value])</f>
        <v>67100</v>
      </c>
      <c r="N95" s="15"/>
      <c r="O95" s="23">
        <f>AVERAGE(Table1108[LowerVal/SqFt])</f>
        <v>54.464285714285715</v>
      </c>
      <c r="P95" s="24">
        <f>AVERAGE(Table1108[Lower % Base])</f>
        <v>0.56962098273712136</v>
      </c>
      <c r="Q95" s="13"/>
      <c r="R95" s="13"/>
      <c r="S95" s="13"/>
      <c r="T95" s="25" t="e">
        <f>AVERAGE(Table1108[Unf Lower % Base])</f>
        <v>#DIV/0!</v>
      </c>
      <c r="U95" s="12"/>
      <c r="V95" s="13"/>
      <c r="W95" s="13"/>
      <c r="X95" s="25" t="e">
        <f>AVERAGE(Table1108[1/2 Story % Base])</f>
        <v>#DIV/0!</v>
      </c>
      <c r="Y95" s="12"/>
      <c r="Z95" s="13"/>
      <c r="AA95" s="13"/>
      <c r="AB95" s="24" t="e">
        <f>AVERAGE(Table1108[2nd Story % Base])</f>
        <v>#DIV/0!</v>
      </c>
      <c r="AC95" s="13"/>
      <c r="AD95" s="13"/>
      <c r="AE95" s="23" t="e">
        <f>AVERAGE(Table1108[AttGarVal/SqFt])</f>
        <v>#DIV/0!</v>
      </c>
      <c r="AF95" s="25" t="e">
        <f>AVERAGE(Table1108[Att Gar % Base])</f>
        <v>#DIV/0!</v>
      </c>
      <c r="AG95" s="12"/>
      <c r="AH95" s="13"/>
      <c r="AI95" s="13"/>
      <c r="AJ95" s="25" t="e">
        <f>AVERAGE(Table1108[Porch % Base])</f>
        <v>#DIV/0!</v>
      </c>
      <c r="AK95" s="12"/>
      <c r="AL95" s="13"/>
      <c r="AM95" s="13"/>
      <c r="AN95" s="25" t="e">
        <f>AVERAGE(Table1108[Cov Porch % Base])</f>
        <v>#DIV/0!</v>
      </c>
      <c r="AO95" s="12"/>
      <c r="AP95" s="13"/>
      <c r="AQ95" s="13"/>
      <c r="AR95" s="25">
        <f>AVERAGE(Table1108[Deck % Base])</f>
        <v>0.17704588218487816</v>
      </c>
      <c r="AS95" s="12"/>
      <c r="AT95" s="13"/>
      <c r="AU95" s="23" t="e">
        <f>AVERAGE(Table1108[CovDeckVal/SqFt])</f>
        <v>#DIV/0!</v>
      </c>
      <c r="AV95" s="25" t="e">
        <f>AVERAGE(Table1108[CovDeck % Base])</f>
        <v>#DIV/0!</v>
      </c>
      <c r="AW95" s="12"/>
      <c r="AX95" s="13"/>
      <c r="AY95" s="13"/>
      <c r="AZ95" s="25" t="e">
        <f>AVERAGE(Table1108[CarP % Base])</f>
        <v>#DIV/0!</v>
      </c>
      <c r="BA95" s="12"/>
      <c r="BB95" s="13"/>
      <c r="BC95" s="13"/>
      <c r="BD95" s="24" t="e">
        <f>AVERAGE(Table1108[EFP % Base])</f>
        <v>#DIV/0!</v>
      </c>
    </row>
    <row r="96" spans="1:56" x14ac:dyDescent="0.25">
      <c r="B96" s="2"/>
      <c r="C96" s="2"/>
      <c r="D96" s="4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56" ht="15.75" thickBot="1" x14ac:dyDescent="0.3">
      <c r="A97" s="82"/>
      <c r="B97" t="s">
        <v>79</v>
      </c>
      <c r="C97" s="78" t="s">
        <v>93</v>
      </c>
      <c r="E97" t="s">
        <v>33</v>
      </c>
      <c r="F97" s="79">
        <v>2456</v>
      </c>
      <c r="H97" t="s">
        <v>80</v>
      </c>
      <c r="I97" t="s">
        <v>192</v>
      </c>
    </row>
    <row r="98" spans="1:56" x14ac:dyDescent="0.25">
      <c r="A98" s="112"/>
      <c r="B98" s="113"/>
      <c r="C98" s="113"/>
      <c r="D98" s="114"/>
      <c r="E98" s="115" t="s">
        <v>27</v>
      </c>
      <c r="F98" s="116"/>
      <c r="G98" s="116"/>
      <c r="H98" s="117"/>
      <c r="I98" s="118" t="s">
        <v>28</v>
      </c>
      <c r="J98" s="119"/>
      <c r="K98" s="119"/>
      <c r="L98" s="120"/>
      <c r="M98" s="121" t="s">
        <v>7</v>
      </c>
      <c r="N98" s="122"/>
      <c r="O98" s="122"/>
      <c r="P98" s="122"/>
      <c r="Q98" s="124" t="s">
        <v>29</v>
      </c>
      <c r="R98" s="125"/>
      <c r="S98" s="125"/>
      <c r="T98" s="126"/>
      <c r="U98" s="128" t="s">
        <v>8</v>
      </c>
      <c r="V98" s="128"/>
      <c r="W98" s="128"/>
      <c r="X98" s="129"/>
      <c r="Y98" s="130" t="s">
        <v>0</v>
      </c>
      <c r="Z98" s="131"/>
      <c r="AA98" s="131"/>
      <c r="AB98" s="132"/>
      <c r="AC98" s="133" t="s">
        <v>34</v>
      </c>
      <c r="AD98" s="134"/>
      <c r="AE98" s="134"/>
      <c r="AF98" s="135"/>
      <c r="AG98" s="115" t="s">
        <v>9</v>
      </c>
      <c r="AH98" s="116"/>
      <c r="AI98" s="116"/>
      <c r="AJ98" s="117"/>
      <c r="AK98" s="136" t="s">
        <v>35</v>
      </c>
      <c r="AL98" s="137"/>
      <c r="AM98" s="137"/>
      <c r="AN98" s="138"/>
      <c r="AO98" s="139" t="s">
        <v>10</v>
      </c>
      <c r="AP98" s="140"/>
      <c r="AQ98" s="140"/>
      <c r="AR98" s="141"/>
      <c r="AS98" s="124" t="s">
        <v>36</v>
      </c>
      <c r="AT98" s="125"/>
      <c r="AU98" s="125"/>
      <c r="AV98" s="126"/>
      <c r="AW98" s="142" t="s">
        <v>11</v>
      </c>
      <c r="AX98" s="143"/>
      <c r="AY98" s="143"/>
      <c r="AZ98" s="144"/>
      <c r="BA98" s="148" t="s">
        <v>17</v>
      </c>
      <c r="BB98" s="149"/>
      <c r="BC98" s="149"/>
      <c r="BD98" s="150"/>
    </row>
    <row r="99" spans="1:56" s="1" customFormat="1" ht="15.75" thickBot="1" x14ac:dyDescent="0.3">
      <c r="A99" s="41" t="s">
        <v>13</v>
      </c>
      <c r="B99" s="42" t="s">
        <v>15</v>
      </c>
      <c r="C99" s="42" t="s">
        <v>32</v>
      </c>
      <c r="D99" s="43" t="s">
        <v>18</v>
      </c>
      <c r="E99" s="30" t="s">
        <v>30</v>
      </c>
      <c r="F99" s="31" t="s">
        <v>61</v>
      </c>
      <c r="G99" s="31" t="s">
        <v>38</v>
      </c>
      <c r="H99" s="32" t="s">
        <v>62</v>
      </c>
      <c r="I99" s="37" t="s">
        <v>31</v>
      </c>
      <c r="J99" s="38" t="s">
        <v>39</v>
      </c>
      <c r="K99" s="38" t="s">
        <v>40</v>
      </c>
      <c r="L99" s="39" t="s">
        <v>63</v>
      </c>
      <c r="M99" s="40" t="s">
        <v>19</v>
      </c>
      <c r="N99" s="7" t="s">
        <v>41</v>
      </c>
      <c r="O99" s="7" t="s">
        <v>37</v>
      </c>
      <c r="P99" s="7" t="s">
        <v>64</v>
      </c>
      <c r="Q99" s="27" t="s">
        <v>20</v>
      </c>
      <c r="R99" s="28" t="s">
        <v>60</v>
      </c>
      <c r="S99" s="28" t="s">
        <v>59</v>
      </c>
      <c r="T99" s="29" t="s">
        <v>65</v>
      </c>
      <c r="U99" s="48" t="s">
        <v>21</v>
      </c>
      <c r="V99" s="48" t="s">
        <v>42</v>
      </c>
      <c r="W99" s="48" t="s">
        <v>43</v>
      </c>
      <c r="X99" s="49" t="s">
        <v>66</v>
      </c>
      <c r="Y99" s="50" t="s">
        <v>22</v>
      </c>
      <c r="Z99" s="51" t="s">
        <v>44</v>
      </c>
      <c r="AA99" s="51" t="s">
        <v>45</v>
      </c>
      <c r="AB99" s="52" t="s">
        <v>67</v>
      </c>
      <c r="AC99" s="45" t="s">
        <v>23</v>
      </c>
      <c r="AD99" s="46" t="s">
        <v>46</v>
      </c>
      <c r="AE99" s="46" t="s">
        <v>47</v>
      </c>
      <c r="AF99" s="47" t="s">
        <v>68</v>
      </c>
      <c r="AG99" s="30" t="s">
        <v>24</v>
      </c>
      <c r="AH99" s="31" t="s">
        <v>48</v>
      </c>
      <c r="AI99" s="31" t="s">
        <v>49</v>
      </c>
      <c r="AJ99" s="32" t="s">
        <v>69</v>
      </c>
      <c r="AK99" s="53" t="s">
        <v>25</v>
      </c>
      <c r="AL99" s="54" t="s">
        <v>50</v>
      </c>
      <c r="AM99" s="54" t="s">
        <v>51</v>
      </c>
      <c r="AN99" s="55" t="s">
        <v>70</v>
      </c>
      <c r="AO99" s="56" t="s">
        <v>26</v>
      </c>
      <c r="AP99" s="57" t="s">
        <v>52</v>
      </c>
      <c r="AQ99" s="57" t="s">
        <v>53</v>
      </c>
      <c r="AR99" s="58" t="s">
        <v>71</v>
      </c>
      <c r="AS99" s="59" t="s">
        <v>55</v>
      </c>
      <c r="AT99" s="60" t="s">
        <v>54</v>
      </c>
      <c r="AU99" s="60" t="s">
        <v>56</v>
      </c>
      <c r="AV99" s="61" t="s">
        <v>76</v>
      </c>
      <c r="AW99" s="62" t="s">
        <v>72</v>
      </c>
      <c r="AX99" s="63" t="s">
        <v>73</v>
      </c>
      <c r="AY99" s="63" t="s">
        <v>74</v>
      </c>
      <c r="AZ99" s="64" t="s">
        <v>75</v>
      </c>
      <c r="BA99" s="71" t="s">
        <v>77</v>
      </c>
      <c r="BB99" s="72" t="s">
        <v>57</v>
      </c>
      <c r="BC99" s="72" t="s">
        <v>58</v>
      </c>
      <c r="BD99" s="73" t="s">
        <v>78</v>
      </c>
    </row>
    <row r="100" spans="1:56" ht="15.75" thickBot="1" x14ac:dyDescent="0.3">
      <c r="A100" s="17" t="s">
        <v>1</v>
      </c>
      <c r="B100" s="14">
        <v>112980</v>
      </c>
      <c r="C100" s="34">
        <f>B100/F97</f>
        <v>46.001628664495115</v>
      </c>
      <c r="D100" s="14">
        <v>1525</v>
      </c>
      <c r="E100" s="67">
        <v>0</v>
      </c>
      <c r="F100" s="69">
        <v>0</v>
      </c>
      <c r="G100" s="34" t="e">
        <f t="shared" ref="G100:G106" si="208">E100/F100</f>
        <v>#DIV/0!</v>
      </c>
      <c r="H100" s="10" t="e">
        <f t="shared" ref="H100:H106" si="209">G100/C100</f>
        <v>#DIV/0!</v>
      </c>
      <c r="I100" s="34">
        <v>0</v>
      </c>
      <c r="J100" s="69">
        <v>0</v>
      </c>
      <c r="K100" s="34" t="e">
        <f t="shared" ref="K100:K106" si="210">I100/J100</f>
        <v>#DIV/0!</v>
      </c>
      <c r="L100" s="9" t="e">
        <f t="shared" ref="L100:L106" si="211">K100/C100</f>
        <v>#DIV/0!</v>
      </c>
      <c r="M100" s="67">
        <v>0</v>
      </c>
      <c r="N100" s="26">
        <v>0</v>
      </c>
      <c r="O100" s="34" t="e">
        <f t="shared" ref="O100:O106" si="212">M100/N100</f>
        <v>#DIV/0!</v>
      </c>
      <c r="P100" s="10" t="e">
        <f t="shared" ref="P100:P106" si="213">O100/C100</f>
        <v>#DIV/0!</v>
      </c>
      <c r="Q100" s="35">
        <v>0</v>
      </c>
      <c r="R100" s="66">
        <v>0</v>
      </c>
      <c r="S100" s="35" t="e">
        <f t="shared" ref="S100:S106" si="214">Q100/R100</f>
        <v>#DIV/0!</v>
      </c>
      <c r="T100" s="6" t="e">
        <f t="shared" ref="T100:T106" si="215">S100/C100</f>
        <v>#DIV/0!</v>
      </c>
      <c r="U100" s="67">
        <v>0</v>
      </c>
      <c r="V100" s="65">
        <v>0</v>
      </c>
      <c r="W100" s="18" t="e">
        <f t="shared" ref="W100:W106" si="216">U100/V100</f>
        <v>#DIV/0!</v>
      </c>
      <c r="X100" s="9" t="e">
        <f t="shared" ref="X100:X106" si="217">W100/C100</f>
        <v>#DIV/0!</v>
      </c>
      <c r="Y100" s="67">
        <v>39130</v>
      </c>
      <c r="Z100" s="70">
        <v>743</v>
      </c>
      <c r="AA100" s="34">
        <f t="shared" ref="AA100:AA106" si="218">Y100/Z100</f>
        <v>52.664872139973085</v>
      </c>
      <c r="AB100" s="10">
        <f t="shared" ref="AB100:AB106" si="219">AA100/C100</f>
        <v>1.1448479905804028</v>
      </c>
      <c r="AC100" s="18">
        <v>12550</v>
      </c>
      <c r="AD100" s="33">
        <v>929</v>
      </c>
      <c r="AE100" s="34">
        <f t="shared" ref="AE100:AE106" si="220">AC100/AD100</f>
        <v>13.509149623250808</v>
      </c>
      <c r="AF100" s="9">
        <f t="shared" ref="AF100:AF106" si="221">AE100/C100</f>
        <v>0.29366676823069554</v>
      </c>
      <c r="AG100" s="67">
        <v>0</v>
      </c>
      <c r="AH100" s="65">
        <v>0</v>
      </c>
      <c r="AI100" s="34" t="e">
        <f t="shared" ref="AI100:AI106" si="222">AG100/AH100</f>
        <v>#DIV/0!</v>
      </c>
      <c r="AJ100" s="9" t="e">
        <f t="shared" ref="AJ100:AJ106" si="223">AI100/C100</f>
        <v>#DIV/0!</v>
      </c>
      <c r="AK100" s="67">
        <v>2410</v>
      </c>
      <c r="AL100" s="65">
        <v>285</v>
      </c>
      <c r="AM100" s="34">
        <f t="shared" ref="AM100:AM106" si="224">AK100/AL100</f>
        <v>8.4561403508771935</v>
      </c>
      <c r="AN100" s="9">
        <f t="shared" ref="AN100:AN106" si="225">AM100/C100</f>
        <v>0.18382262968449625</v>
      </c>
      <c r="AO100" s="67">
        <v>0</v>
      </c>
      <c r="AP100" s="65">
        <v>0</v>
      </c>
      <c r="AQ100" s="34" t="e">
        <f t="shared" ref="AQ100:AQ106" si="226">AO100/AP100</f>
        <v>#DIV/0!</v>
      </c>
      <c r="AR100" s="9" t="e">
        <f t="shared" ref="AR100:AR106" si="227">AQ100/C100</f>
        <v>#DIV/0!</v>
      </c>
      <c r="AS100" s="67">
        <v>0</v>
      </c>
      <c r="AT100" s="65">
        <v>0</v>
      </c>
      <c r="AU100" s="34" t="e">
        <f t="shared" ref="AU100:AU106" si="228">AS100/AT100</f>
        <v>#DIV/0!</v>
      </c>
      <c r="AV100" s="9" t="e">
        <f t="shared" ref="AV100:AV106" si="229">AU100/C100</f>
        <v>#DIV/0!</v>
      </c>
      <c r="AW100" s="67">
        <v>0</v>
      </c>
      <c r="AX100" s="65">
        <v>0</v>
      </c>
      <c r="AY100" s="34" t="e">
        <f t="shared" ref="AY100:AY106" si="230">AW100/AX100</f>
        <v>#DIV/0!</v>
      </c>
      <c r="AZ100" s="9" t="e">
        <f t="shared" ref="AZ100:AZ106" si="231">AY100/C100</f>
        <v>#DIV/0!</v>
      </c>
      <c r="BA100" s="67">
        <v>0</v>
      </c>
      <c r="BB100" s="65">
        <v>0</v>
      </c>
      <c r="BC100" s="34" t="e">
        <f t="shared" ref="BC100:BC106" si="232">BA100/BB100</f>
        <v>#DIV/0!</v>
      </c>
      <c r="BD100" s="10" t="e">
        <f t="shared" ref="BD100:BD106" si="233">BC100/C100</f>
        <v>#DIV/0!</v>
      </c>
    </row>
    <row r="101" spans="1:56" ht="15.75" thickBot="1" x14ac:dyDescent="0.3">
      <c r="A101" s="19" t="s">
        <v>16</v>
      </c>
      <c r="B101" s="8">
        <v>132800</v>
      </c>
      <c r="C101" s="35">
        <f>B101/F97</f>
        <v>54.071661237785015</v>
      </c>
      <c r="D101" s="8">
        <v>1525</v>
      </c>
      <c r="E101" s="68">
        <v>0</v>
      </c>
      <c r="F101" s="70">
        <v>0</v>
      </c>
      <c r="G101" s="35" t="e">
        <f t="shared" si="208"/>
        <v>#DIV/0!</v>
      </c>
      <c r="H101" s="11" t="e">
        <f t="shared" si="209"/>
        <v>#DIV/0!</v>
      </c>
      <c r="I101" s="35">
        <v>0</v>
      </c>
      <c r="J101" s="70">
        <v>0</v>
      </c>
      <c r="K101" s="35" t="e">
        <f t="shared" si="210"/>
        <v>#DIV/0!</v>
      </c>
      <c r="L101" s="6" t="e">
        <f t="shared" si="211"/>
        <v>#DIV/0!</v>
      </c>
      <c r="M101" s="68">
        <v>0</v>
      </c>
      <c r="N101" s="5">
        <v>0</v>
      </c>
      <c r="O101" s="35" t="e">
        <f t="shared" si="212"/>
        <v>#DIV/0!</v>
      </c>
      <c r="P101" s="11" t="e">
        <f t="shared" si="213"/>
        <v>#DIV/0!</v>
      </c>
      <c r="Q101" s="35">
        <v>0</v>
      </c>
      <c r="R101" s="66">
        <v>0</v>
      </c>
      <c r="S101" s="35" t="e">
        <f t="shared" si="214"/>
        <v>#DIV/0!</v>
      </c>
      <c r="T101" s="6" t="e">
        <f t="shared" si="215"/>
        <v>#DIV/0!</v>
      </c>
      <c r="U101" s="68">
        <v>0</v>
      </c>
      <c r="V101" s="66">
        <v>0</v>
      </c>
      <c r="W101" s="20" t="e">
        <f t="shared" si="216"/>
        <v>#DIV/0!</v>
      </c>
      <c r="X101" s="6" t="e">
        <f t="shared" si="217"/>
        <v>#DIV/0!</v>
      </c>
      <c r="Y101" s="68">
        <v>53710</v>
      </c>
      <c r="Z101" s="70">
        <v>743</v>
      </c>
      <c r="AA101" s="35">
        <f t="shared" si="218"/>
        <v>72.288021534320322</v>
      </c>
      <c r="AB101" s="11">
        <f t="shared" si="219"/>
        <v>1.3368929283756832</v>
      </c>
      <c r="AC101" s="20">
        <v>16020</v>
      </c>
      <c r="AD101" s="33">
        <v>929</v>
      </c>
      <c r="AE101" s="35">
        <f t="shared" si="220"/>
        <v>17.244348762109794</v>
      </c>
      <c r="AF101" s="6">
        <f t="shared" si="221"/>
        <v>0.31891657047998234</v>
      </c>
      <c r="AG101" s="68">
        <v>0</v>
      </c>
      <c r="AH101" s="66">
        <v>0</v>
      </c>
      <c r="AI101" s="35" t="e">
        <f t="shared" si="222"/>
        <v>#DIV/0!</v>
      </c>
      <c r="AJ101" s="6" t="e">
        <f t="shared" si="223"/>
        <v>#DIV/0!</v>
      </c>
      <c r="AK101" s="68">
        <v>3320</v>
      </c>
      <c r="AL101" s="65">
        <v>285</v>
      </c>
      <c r="AM101" s="35">
        <f t="shared" si="224"/>
        <v>11.649122807017545</v>
      </c>
      <c r="AN101" s="6">
        <f t="shared" si="225"/>
        <v>0.2154385964912281</v>
      </c>
      <c r="AO101" s="68">
        <v>0</v>
      </c>
      <c r="AP101" s="66">
        <v>0</v>
      </c>
      <c r="AQ101" s="35" t="e">
        <f t="shared" si="226"/>
        <v>#DIV/0!</v>
      </c>
      <c r="AR101" s="6" t="e">
        <f t="shared" si="227"/>
        <v>#DIV/0!</v>
      </c>
      <c r="AS101" s="68">
        <v>0</v>
      </c>
      <c r="AT101" s="66">
        <v>0</v>
      </c>
      <c r="AU101" s="35" t="e">
        <f t="shared" si="228"/>
        <v>#DIV/0!</v>
      </c>
      <c r="AV101" s="6" t="e">
        <f t="shared" si="229"/>
        <v>#DIV/0!</v>
      </c>
      <c r="AW101" s="68">
        <v>0</v>
      </c>
      <c r="AX101" s="66">
        <v>0</v>
      </c>
      <c r="AY101" s="35" t="e">
        <f t="shared" si="230"/>
        <v>#DIV/0!</v>
      </c>
      <c r="AZ101" s="6" t="e">
        <f t="shared" si="231"/>
        <v>#DIV/0!</v>
      </c>
      <c r="BA101" s="68">
        <v>0</v>
      </c>
      <c r="BB101" s="66">
        <v>0</v>
      </c>
      <c r="BC101" s="35" t="e">
        <f t="shared" si="232"/>
        <v>#DIV/0!</v>
      </c>
      <c r="BD101" s="11" t="e">
        <f t="shared" si="233"/>
        <v>#DIV/0!</v>
      </c>
    </row>
    <row r="102" spans="1:56" ht="15.75" thickBot="1" x14ac:dyDescent="0.3">
      <c r="A102" s="19" t="s">
        <v>2</v>
      </c>
      <c r="B102" s="8">
        <v>154560</v>
      </c>
      <c r="C102" s="35">
        <f>B102/F97</f>
        <v>62.931596091205215</v>
      </c>
      <c r="D102" s="8">
        <v>2100</v>
      </c>
      <c r="E102" s="68">
        <v>0</v>
      </c>
      <c r="F102" s="70">
        <v>0</v>
      </c>
      <c r="G102" s="35" t="e">
        <f t="shared" si="208"/>
        <v>#DIV/0!</v>
      </c>
      <c r="H102" s="11" t="e">
        <f t="shared" si="209"/>
        <v>#DIV/0!</v>
      </c>
      <c r="I102" s="35">
        <v>0</v>
      </c>
      <c r="J102" s="70">
        <v>0</v>
      </c>
      <c r="K102" s="35" t="e">
        <f t="shared" si="210"/>
        <v>#DIV/0!</v>
      </c>
      <c r="L102" s="6" t="e">
        <f t="shared" si="211"/>
        <v>#DIV/0!</v>
      </c>
      <c r="M102" s="68">
        <v>0</v>
      </c>
      <c r="N102" s="5">
        <v>0</v>
      </c>
      <c r="O102" s="35" t="e">
        <f t="shared" si="212"/>
        <v>#DIV/0!</v>
      </c>
      <c r="P102" s="11" t="e">
        <f t="shared" si="213"/>
        <v>#DIV/0!</v>
      </c>
      <c r="Q102" s="35">
        <v>0</v>
      </c>
      <c r="R102" s="66">
        <v>0</v>
      </c>
      <c r="S102" s="35" t="e">
        <f t="shared" si="214"/>
        <v>#DIV/0!</v>
      </c>
      <c r="T102" s="6" t="e">
        <f t="shared" si="215"/>
        <v>#DIV/0!</v>
      </c>
      <c r="U102" s="68">
        <v>0</v>
      </c>
      <c r="V102" s="66">
        <v>0</v>
      </c>
      <c r="W102" s="20" t="e">
        <f t="shared" si="216"/>
        <v>#DIV/0!</v>
      </c>
      <c r="X102" s="6" t="e">
        <f t="shared" si="217"/>
        <v>#DIV/0!</v>
      </c>
      <c r="Y102" s="68">
        <v>61600</v>
      </c>
      <c r="Z102" s="70">
        <v>743</v>
      </c>
      <c r="AA102" s="35">
        <f t="shared" si="218"/>
        <v>82.907133243606992</v>
      </c>
      <c r="AB102" s="11">
        <f t="shared" si="219"/>
        <v>1.3174166617902352</v>
      </c>
      <c r="AC102" s="20">
        <v>21070</v>
      </c>
      <c r="AD102" s="33">
        <v>929</v>
      </c>
      <c r="AE102" s="35">
        <f t="shared" si="220"/>
        <v>22.680301399354143</v>
      </c>
      <c r="AF102" s="6">
        <f t="shared" si="221"/>
        <v>0.36039609366468539</v>
      </c>
      <c r="AG102" s="68">
        <v>0</v>
      </c>
      <c r="AH102" s="66">
        <v>0</v>
      </c>
      <c r="AI102" s="35" t="e">
        <f t="shared" si="222"/>
        <v>#DIV/0!</v>
      </c>
      <c r="AJ102" s="6" t="e">
        <f t="shared" si="223"/>
        <v>#DIV/0!</v>
      </c>
      <c r="AK102" s="68">
        <v>3880</v>
      </c>
      <c r="AL102" s="65">
        <v>285</v>
      </c>
      <c r="AM102" s="35">
        <f t="shared" si="224"/>
        <v>13.614035087719298</v>
      </c>
      <c r="AN102" s="6">
        <f t="shared" si="225"/>
        <v>0.21633068177690601</v>
      </c>
      <c r="AO102" s="68">
        <v>0</v>
      </c>
      <c r="AP102" s="66">
        <v>0</v>
      </c>
      <c r="AQ102" s="35" t="e">
        <f t="shared" si="226"/>
        <v>#DIV/0!</v>
      </c>
      <c r="AR102" s="6" t="e">
        <f t="shared" si="227"/>
        <v>#DIV/0!</v>
      </c>
      <c r="AS102" s="68">
        <v>0</v>
      </c>
      <c r="AT102" s="66">
        <v>0</v>
      </c>
      <c r="AU102" s="35" t="e">
        <f t="shared" si="228"/>
        <v>#DIV/0!</v>
      </c>
      <c r="AV102" s="6" t="e">
        <f t="shared" si="229"/>
        <v>#DIV/0!</v>
      </c>
      <c r="AW102" s="68">
        <v>0</v>
      </c>
      <c r="AX102" s="66">
        <v>0</v>
      </c>
      <c r="AY102" s="35" t="e">
        <f t="shared" si="230"/>
        <v>#DIV/0!</v>
      </c>
      <c r="AZ102" s="6" t="e">
        <f t="shared" si="231"/>
        <v>#DIV/0!</v>
      </c>
      <c r="BA102" s="68">
        <v>0</v>
      </c>
      <c r="BB102" s="66">
        <v>0</v>
      </c>
      <c r="BC102" s="35" t="e">
        <f t="shared" si="232"/>
        <v>#DIV/0!</v>
      </c>
      <c r="BD102" s="11" t="e">
        <f t="shared" si="233"/>
        <v>#DIV/0!</v>
      </c>
    </row>
    <row r="103" spans="1:56" ht="15.75" thickBot="1" x14ac:dyDescent="0.3">
      <c r="A103" s="19" t="s">
        <v>3</v>
      </c>
      <c r="B103" s="8">
        <v>189650</v>
      </c>
      <c r="C103" s="35">
        <f>B103/F97</f>
        <v>77.219055374592827</v>
      </c>
      <c r="D103" s="8">
        <v>2700</v>
      </c>
      <c r="E103" s="68">
        <v>0</v>
      </c>
      <c r="F103" s="70">
        <v>0</v>
      </c>
      <c r="G103" s="35" t="e">
        <f t="shared" si="208"/>
        <v>#DIV/0!</v>
      </c>
      <c r="H103" s="11" t="e">
        <f t="shared" si="209"/>
        <v>#DIV/0!</v>
      </c>
      <c r="I103" s="35">
        <v>0</v>
      </c>
      <c r="J103" s="70">
        <v>0</v>
      </c>
      <c r="K103" s="35" t="e">
        <f t="shared" si="210"/>
        <v>#DIV/0!</v>
      </c>
      <c r="L103" s="6" t="e">
        <f t="shared" si="211"/>
        <v>#DIV/0!</v>
      </c>
      <c r="M103" s="68">
        <v>0</v>
      </c>
      <c r="N103" s="5">
        <v>0</v>
      </c>
      <c r="O103" s="35" t="e">
        <f t="shared" si="212"/>
        <v>#DIV/0!</v>
      </c>
      <c r="P103" s="11" t="e">
        <f t="shared" si="213"/>
        <v>#DIV/0!</v>
      </c>
      <c r="Q103" s="35">
        <v>0</v>
      </c>
      <c r="R103" s="66">
        <v>0</v>
      </c>
      <c r="S103" s="35" t="e">
        <f t="shared" si="214"/>
        <v>#DIV/0!</v>
      </c>
      <c r="T103" s="6" t="e">
        <f t="shared" si="215"/>
        <v>#DIV/0!</v>
      </c>
      <c r="U103" s="68">
        <v>0</v>
      </c>
      <c r="V103" s="66">
        <v>0</v>
      </c>
      <c r="W103" s="20" t="e">
        <f t="shared" si="216"/>
        <v>#DIV/0!</v>
      </c>
      <c r="X103" s="6" t="e">
        <f t="shared" si="217"/>
        <v>#DIV/0!</v>
      </c>
      <c r="Y103" s="68">
        <v>69720</v>
      </c>
      <c r="Z103" s="70">
        <v>743</v>
      </c>
      <c r="AA103" s="35">
        <f t="shared" si="218"/>
        <v>93.835800807537012</v>
      </c>
      <c r="AB103" s="11">
        <f t="shared" si="219"/>
        <v>1.2151897009402106</v>
      </c>
      <c r="AC103" s="20">
        <v>22420</v>
      </c>
      <c r="AD103" s="33">
        <v>929</v>
      </c>
      <c r="AE103" s="35">
        <f t="shared" si="220"/>
        <v>24.133476856835308</v>
      </c>
      <c r="AF103" s="6">
        <f t="shared" si="221"/>
        <v>0.31253266100916172</v>
      </c>
      <c r="AG103" s="68">
        <v>0</v>
      </c>
      <c r="AH103" s="66">
        <v>0</v>
      </c>
      <c r="AI103" s="35" t="e">
        <f t="shared" si="222"/>
        <v>#DIV/0!</v>
      </c>
      <c r="AJ103" s="6" t="e">
        <f t="shared" si="223"/>
        <v>#DIV/0!</v>
      </c>
      <c r="AK103" s="68">
        <v>5080</v>
      </c>
      <c r="AL103" s="65">
        <v>285</v>
      </c>
      <c r="AM103" s="35">
        <f t="shared" si="224"/>
        <v>17.82456140350877</v>
      </c>
      <c r="AN103" s="6">
        <f t="shared" si="225"/>
        <v>0.2308311247404036</v>
      </c>
      <c r="AO103" s="68">
        <v>0</v>
      </c>
      <c r="AP103" s="66">
        <v>0</v>
      </c>
      <c r="AQ103" s="35" t="e">
        <f t="shared" si="226"/>
        <v>#DIV/0!</v>
      </c>
      <c r="AR103" s="6" t="e">
        <f t="shared" si="227"/>
        <v>#DIV/0!</v>
      </c>
      <c r="AS103" s="68">
        <v>0</v>
      </c>
      <c r="AT103" s="66">
        <v>0</v>
      </c>
      <c r="AU103" s="35" t="e">
        <f t="shared" si="228"/>
        <v>#DIV/0!</v>
      </c>
      <c r="AV103" s="6" t="e">
        <f t="shared" si="229"/>
        <v>#DIV/0!</v>
      </c>
      <c r="AW103" s="68">
        <v>0</v>
      </c>
      <c r="AX103" s="66">
        <v>0</v>
      </c>
      <c r="AY103" s="35" t="e">
        <f t="shared" si="230"/>
        <v>#DIV/0!</v>
      </c>
      <c r="AZ103" s="6" t="e">
        <f t="shared" si="231"/>
        <v>#DIV/0!</v>
      </c>
      <c r="BA103" s="68">
        <v>0</v>
      </c>
      <c r="BB103" s="66">
        <v>0</v>
      </c>
      <c r="BC103" s="35" t="e">
        <f t="shared" si="232"/>
        <v>#DIV/0!</v>
      </c>
      <c r="BD103" s="11" t="e">
        <f t="shared" si="233"/>
        <v>#DIV/0!</v>
      </c>
    </row>
    <row r="104" spans="1:56" ht="15.75" thickBot="1" x14ac:dyDescent="0.3">
      <c r="A104" s="19" t="s">
        <v>4</v>
      </c>
      <c r="B104" s="8">
        <v>234140</v>
      </c>
      <c r="C104" s="35">
        <f>B104/F97</f>
        <v>95.333876221498372</v>
      </c>
      <c r="D104" s="8">
        <v>5250</v>
      </c>
      <c r="E104" s="68">
        <v>0</v>
      </c>
      <c r="F104" s="70">
        <v>0</v>
      </c>
      <c r="G104" s="35" t="e">
        <f t="shared" si="208"/>
        <v>#DIV/0!</v>
      </c>
      <c r="H104" s="11" t="e">
        <f t="shared" si="209"/>
        <v>#DIV/0!</v>
      </c>
      <c r="I104" s="35">
        <v>0</v>
      </c>
      <c r="J104" s="70">
        <v>0</v>
      </c>
      <c r="K104" s="35" t="e">
        <f t="shared" si="210"/>
        <v>#DIV/0!</v>
      </c>
      <c r="L104" s="6" t="e">
        <f t="shared" si="211"/>
        <v>#DIV/0!</v>
      </c>
      <c r="M104" s="68">
        <v>0</v>
      </c>
      <c r="N104" s="5">
        <v>0</v>
      </c>
      <c r="O104" s="35" t="e">
        <f t="shared" si="212"/>
        <v>#DIV/0!</v>
      </c>
      <c r="P104" s="11" t="e">
        <f t="shared" si="213"/>
        <v>#DIV/0!</v>
      </c>
      <c r="Q104" s="35">
        <v>0</v>
      </c>
      <c r="R104" s="66">
        <v>0</v>
      </c>
      <c r="S104" s="35" t="e">
        <f t="shared" si="214"/>
        <v>#DIV/0!</v>
      </c>
      <c r="T104" s="6" t="e">
        <f t="shared" si="215"/>
        <v>#DIV/0!</v>
      </c>
      <c r="U104" s="68">
        <v>0</v>
      </c>
      <c r="V104" s="66">
        <v>0</v>
      </c>
      <c r="W104" s="20" t="e">
        <f t="shared" si="216"/>
        <v>#DIV/0!</v>
      </c>
      <c r="X104" s="6" t="e">
        <f t="shared" si="217"/>
        <v>#DIV/0!</v>
      </c>
      <c r="Y104" s="68">
        <v>89630</v>
      </c>
      <c r="Z104" s="70">
        <v>743</v>
      </c>
      <c r="AA104" s="35">
        <f t="shared" si="218"/>
        <v>120.63257065948856</v>
      </c>
      <c r="AB104" s="11">
        <f t="shared" si="219"/>
        <v>1.265369409497326</v>
      </c>
      <c r="AC104" s="20">
        <v>25470</v>
      </c>
      <c r="AD104" s="33">
        <v>929</v>
      </c>
      <c r="AE104" s="35">
        <f t="shared" si="220"/>
        <v>27.416576964477933</v>
      </c>
      <c r="AF104" s="6">
        <f t="shared" si="221"/>
        <v>0.28758483396582302</v>
      </c>
      <c r="AG104" s="68">
        <v>0</v>
      </c>
      <c r="AH104" s="66">
        <v>0</v>
      </c>
      <c r="AI104" s="35" t="e">
        <f t="shared" si="222"/>
        <v>#DIV/0!</v>
      </c>
      <c r="AJ104" s="6" t="e">
        <f t="shared" si="223"/>
        <v>#DIV/0!</v>
      </c>
      <c r="AK104" s="68">
        <v>5560</v>
      </c>
      <c r="AL104" s="65">
        <v>285</v>
      </c>
      <c r="AM104" s="35">
        <f t="shared" si="224"/>
        <v>19.508771929824562</v>
      </c>
      <c r="AN104" s="6">
        <f t="shared" si="225"/>
        <v>0.20463630246710995</v>
      </c>
      <c r="AO104" s="68">
        <v>0</v>
      </c>
      <c r="AP104" s="66">
        <v>0</v>
      </c>
      <c r="AQ104" s="35" t="e">
        <f t="shared" si="226"/>
        <v>#DIV/0!</v>
      </c>
      <c r="AR104" s="6" t="e">
        <f t="shared" si="227"/>
        <v>#DIV/0!</v>
      </c>
      <c r="AS104" s="68">
        <v>0</v>
      </c>
      <c r="AT104" s="66">
        <v>0</v>
      </c>
      <c r="AU104" s="35" t="e">
        <f t="shared" si="228"/>
        <v>#DIV/0!</v>
      </c>
      <c r="AV104" s="6" t="e">
        <f t="shared" si="229"/>
        <v>#DIV/0!</v>
      </c>
      <c r="AW104" s="68">
        <v>0</v>
      </c>
      <c r="AX104" s="66">
        <v>0</v>
      </c>
      <c r="AY104" s="35" t="e">
        <f t="shared" si="230"/>
        <v>#DIV/0!</v>
      </c>
      <c r="AZ104" s="6" t="e">
        <f t="shared" si="231"/>
        <v>#DIV/0!</v>
      </c>
      <c r="BA104" s="68">
        <v>0</v>
      </c>
      <c r="BB104" s="66">
        <v>0</v>
      </c>
      <c r="BC104" s="35" t="e">
        <f t="shared" si="232"/>
        <v>#DIV/0!</v>
      </c>
      <c r="BD104" s="11" t="e">
        <f t="shared" si="233"/>
        <v>#DIV/0!</v>
      </c>
    </row>
    <row r="105" spans="1:56" ht="15.75" thickBot="1" x14ac:dyDescent="0.3">
      <c r="A105" s="19" t="s">
        <v>5</v>
      </c>
      <c r="B105" s="8">
        <v>314260</v>
      </c>
      <c r="C105" s="35">
        <f>B105/F97</f>
        <v>127.95602605863192</v>
      </c>
      <c r="D105" s="8">
        <v>7050</v>
      </c>
      <c r="E105" s="68">
        <v>0</v>
      </c>
      <c r="F105" s="70">
        <v>0</v>
      </c>
      <c r="G105" s="35" t="e">
        <f t="shared" si="208"/>
        <v>#DIV/0!</v>
      </c>
      <c r="H105" s="11" t="e">
        <f t="shared" si="209"/>
        <v>#DIV/0!</v>
      </c>
      <c r="I105" s="35">
        <v>0</v>
      </c>
      <c r="J105" s="70">
        <v>0</v>
      </c>
      <c r="K105" s="35" t="e">
        <f t="shared" si="210"/>
        <v>#DIV/0!</v>
      </c>
      <c r="L105" s="6" t="e">
        <f t="shared" si="211"/>
        <v>#DIV/0!</v>
      </c>
      <c r="M105" s="68">
        <v>0</v>
      </c>
      <c r="N105" s="5">
        <v>0</v>
      </c>
      <c r="O105" s="35" t="e">
        <f t="shared" si="212"/>
        <v>#DIV/0!</v>
      </c>
      <c r="P105" s="11" t="e">
        <f t="shared" si="213"/>
        <v>#DIV/0!</v>
      </c>
      <c r="Q105" s="35">
        <v>0</v>
      </c>
      <c r="R105" s="66">
        <v>0</v>
      </c>
      <c r="S105" s="35" t="e">
        <f t="shared" si="214"/>
        <v>#DIV/0!</v>
      </c>
      <c r="T105" s="6" t="e">
        <f t="shared" si="215"/>
        <v>#DIV/0!</v>
      </c>
      <c r="U105" s="68">
        <v>0</v>
      </c>
      <c r="V105" s="66">
        <v>0</v>
      </c>
      <c r="W105" s="20" t="e">
        <f t="shared" si="216"/>
        <v>#DIV/0!</v>
      </c>
      <c r="X105" s="6" t="e">
        <f t="shared" si="217"/>
        <v>#DIV/0!</v>
      </c>
      <c r="Y105" s="68">
        <v>121260</v>
      </c>
      <c r="Z105" s="70">
        <v>743</v>
      </c>
      <c r="AA105" s="35">
        <f t="shared" si="218"/>
        <v>163.20323014804845</v>
      </c>
      <c r="AB105" s="11">
        <f t="shared" si="219"/>
        <v>1.2754634164182745</v>
      </c>
      <c r="AC105" s="20">
        <v>26350</v>
      </c>
      <c r="AD105" s="33">
        <v>929</v>
      </c>
      <c r="AE105" s="35">
        <f t="shared" si="220"/>
        <v>28.363832077502693</v>
      </c>
      <c r="AF105" s="6">
        <f t="shared" si="221"/>
        <v>0.22166859155586652</v>
      </c>
      <c r="AG105" s="68">
        <v>0</v>
      </c>
      <c r="AH105" s="66">
        <v>0</v>
      </c>
      <c r="AI105" s="35" t="e">
        <f t="shared" si="222"/>
        <v>#DIV/0!</v>
      </c>
      <c r="AJ105" s="6" t="e">
        <f t="shared" si="223"/>
        <v>#DIV/0!</v>
      </c>
      <c r="AK105" s="68">
        <v>6810</v>
      </c>
      <c r="AL105" s="65">
        <v>285</v>
      </c>
      <c r="AM105" s="35">
        <f t="shared" si="224"/>
        <v>23.894736842105264</v>
      </c>
      <c r="AN105" s="6">
        <f t="shared" si="225"/>
        <v>0.18674178605043762</v>
      </c>
      <c r="AO105" s="68">
        <v>0</v>
      </c>
      <c r="AP105" s="66">
        <v>0</v>
      </c>
      <c r="AQ105" s="35" t="e">
        <f t="shared" si="226"/>
        <v>#DIV/0!</v>
      </c>
      <c r="AR105" s="6" t="e">
        <f t="shared" si="227"/>
        <v>#DIV/0!</v>
      </c>
      <c r="AS105" s="68">
        <v>0</v>
      </c>
      <c r="AT105" s="66">
        <v>0</v>
      </c>
      <c r="AU105" s="35" t="e">
        <f t="shared" si="228"/>
        <v>#DIV/0!</v>
      </c>
      <c r="AV105" s="6" t="e">
        <f t="shared" si="229"/>
        <v>#DIV/0!</v>
      </c>
      <c r="AW105" s="68">
        <v>0</v>
      </c>
      <c r="AX105" s="66">
        <v>0</v>
      </c>
      <c r="AY105" s="35" t="e">
        <f t="shared" si="230"/>
        <v>#DIV/0!</v>
      </c>
      <c r="AZ105" s="6" t="e">
        <f t="shared" si="231"/>
        <v>#DIV/0!</v>
      </c>
      <c r="BA105" s="68">
        <v>0</v>
      </c>
      <c r="BB105" s="66">
        <v>0</v>
      </c>
      <c r="BC105" s="35" t="e">
        <f t="shared" si="232"/>
        <v>#DIV/0!</v>
      </c>
      <c r="BD105" s="11" t="e">
        <f t="shared" si="233"/>
        <v>#DIV/0!</v>
      </c>
    </row>
    <row r="106" spans="1:56" x14ac:dyDescent="0.25">
      <c r="A106" s="19" t="s">
        <v>6</v>
      </c>
      <c r="B106" s="8">
        <v>378390</v>
      </c>
      <c r="C106" s="35">
        <f>B106/F97</f>
        <v>154.06758957654722</v>
      </c>
      <c r="D106" s="8">
        <v>10950</v>
      </c>
      <c r="E106" s="68">
        <v>0</v>
      </c>
      <c r="F106" s="70">
        <v>0</v>
      </c>
      <c r="G106" s="35" t="e">
        <f t="shared" si="208"/>
        <v>#DIV/0!</v>
      </c>
      <c r="H106" s="11" t="e">
        <f t="shared" si="209"/>
        <v>#DIV/0!</v>
      </c>
      <c r="I106" s="35">
        <v>0</v>
      </c>
      <c r="J106" s="70">
        <v>0</v>
      </c>
      <c r="K106" s="35" t="e">
        <f t="shared" si="210"/>
        <v>#DIV/0!</v>
      </c>
      <c r="L106" s="6" t="e">
        <f t="shared" si="211"/>
        <v>#DIV/0!</v>
      </c>
      <c r="M106" s="68">
        <v>0</v>
      </c>
      <c r="N106" s="5">
        <v>0</v>
      </c>
      <c r="O106" s="35" t="e">
        <f t="shared" si="212"/>
        <v>#DIV/0!</v>
      </c>
      <c r="P106" s="11" t="e">
        <f t="shared" si="213"/>
        <v>#DIV/0!</v>
      </c>
      <c r="Q106" s="35">
        <v>0</v>
      </c>
      <c r="R106" s="66">
        <v>0</v>
      </c>
      <c r="S106" s="35" t="e">
        <f t="shared" si="214"/>
        <v>#DIV/0!</v>
      </c>
      <c r="T106" s="6" t="e">
        <f t="shared" si="215"/>
        <v>#DIV/0!</v>
      </c>
      <c r="U106" s="68">
        <v>0</v>
      </c>
      <c r="V106" s="66">
        <v>0</v>
      </c>
      <c r="W106" s="20" t="e">
        <f t="shared" si="216"/>
        <v>#DIV/0!</v>
      </c>
      <c r="X106" s="6" t="e">
        <f t="shared" si="217"/>
        <v>#DIV/0!</v>
      </c>
      <c r="Y106" s="68">
        <v>134820</v>
      </c>
      <c r="Z106" s="70">
        <v>743</v>
      </c>
      <c r="AA106" s="35">
        <f t="shared" si="218"/>
        <v>181.4535666218035</v>
      </c>
      <c r="AB106" s="11">
        <f t="shared" si="219"/>
        <v>1.1777530051617364</v>
      </c>
      <c r="AC106" s="20">
        <v>38480</v>
      </c>
      <c r="AD106" s="33">
        <v>929</v>
      </c>
      <c r="AE106" s="35">
        <f t="shared" si="220"/>
        <v>41.420882669537136</v>
      </c>
      <c r="AF106" s="6">
        <f t="shared" si="221"/>
        <v>0.26884877464093454</v>
      </c>
      <c r="AG106" s="68">
        <v>0</v>
      </c>
      <c r="AH106" s="66">
        <v>0</v>
      </c>
      <c r="AI106" s="35" t="e">
        <f t="shared" si="222"/>
        <v>#DIV/0!</v>
      </c>
      <c r="AJ106" s="6" t="e">
        <f t="shared" si="223"/>
        <v>#DIV/0!</v>
      </c>
      <c r="AK106" s="68">
        <v>8260</v>
      </c>
      <c r="AL106" s="65">
        <v>285</v>
      </c>
      <c r="AM106" s="35">
        <f t="shared" si="224"/>
        <v>28.982456140350877</v>
      </c>
      <c r="AN106" s="6">
        <f t="shared" si="225"/>
        <v>0.1881152046319981</v>
      </c>
      <c r="AO106" s="68">
        <v>0</v>
      </c>
      <c r="AP106" s="66">
        <v>0</v>
      </c>
      <c r="AQ106" s="35" t="e">
        <f t="shared" si="226"/>
        <v>#DIV/0!</v>
      </c>
      <c r="AR106" s="6" t="e">
        <f t="shared" si="227"/>
        <v>#DIV/0!</v>
      </c>
      <c r="AS106" s="68">
        <v>0</v>
      </c>
      <c r="AT106" s="66">
        <v>0</v>
      </c>
      <c r="AU106" s="35" t="e">
        <f t="shared" si="228"/>
        <v>#DIV/0!</v>
      </c>
      <c r="AV106" s="6" t="e">
        <f t="shared" si="229"/>
        <v>#DIV/0!</v>
      </c>
      <c r="AW106" s="68">
        <v>0</v>
      </c>
      <c r="AX106" s="66">
        <v>0</v>
      </c>
      <c r="AY106" s="35" t="e">
        <f t="shared" si="230"/>
        <v>#DIV/0!</v>
      </c>
      <c r="AZ106" s="6" t="e">
        <f t="shared" si="231"/>
        <v>#DIV/0!</v>
      </c>
      <c r="BA106" s="68">
        <v>0</v>
      </c>
      <c r="BB106" s="66">
        <v>0</v>
      </c>
      <c r="BC106" s="35" t="e">
        <f t="shared" si="232"/>
        <v>#DIV/0!</v>
      </c>
      <c r="BD106" s="11" t="e">
        <f t="shared" si="233"/>
        <v>#DIV/0!</v>
      </c>
    </row>
    <row r="107" spans="1:56" ht="15.75" thickBot="1" x14ac:dyDescent="0.3">
      <c r="A107" s="21"/>
      <c r="B107" s="22"/>
      <c r="C107" s="23">
        <f>AVERAGE(Table110119[MA $/Sq Ft])</f>
        <v>88.225919032107953</v>
      </c>
      <c r="D107" s="22">
        <f>AVERAGE(Table110119[Basic Allowance])</f>
        <v>4442.8571428571431</v>
      </c>
      <c r="E107" s="16"/>
      <c r="F107" s="22"/>
      <c r="G107" s="15"/>
      <c r="H107" s="24" t="e">
        <f>AVERAGE(Table110119[Bsmt % Base])</f>
        <v>#DIV/0!</v>
      </c>
      <c r="I107" s="15"/>
      <c r="J107" s="15"/>
      <c r="K107" s="15"/>
      <c r="L107" s="25" t="e">
        <f>AVERAGE(Table110119[[#Headers],[#Data],[UnfBsmt % Base]])</f>
        <v>#DIV/0!</v>
      </c>
      <c r="M107" s="44"/>
      <c r="N107" s="15"/>
      <c r="O107" s="23" t="e">
        <f>AVERAGE(Table110119[LowerVal/SqFt])</f>
        <v>#DIV/0!</v>
      </c>
      <c r="P107" s="24" t="e">
        <f>AVERAGE(Table110119[Lower % Base])</f>
        <v>#DIV/0!</v>
      </c>
      <c r="Q107" s="13"/>
      <c r="R107" s="13"/>
      <c r="S107" s="13"/>
      <c r="T107" s="25" t="e">
        <f>AVERAGE(Table110119[Unf Lower % Base])</f>
        <v>#DIV/0!</v>
      </c>
      <c r="U107" s="12"/>
      <c r="V107" s="13"/>
      <c r="W107" s="13"/>
      <c r="X107" s="25" t="e">
        <f>AVERAGE(Table110119[1/2 Story % Base])</f>
        <v>#DIV/0!</v>
      </c>
      <c r="Y107" s="80"/>
      <c r="Z107" s="13"/>
      <c r="AA107" s="13"/>
      <c r="AB107" s="24">
        <f>AVERAGE(Table110119[2nd Story % Base])</f>
        <v>1.2475618732519813</v>
      </c>
      <c r="AC107" s="13"/>
      <c r="AD107" s="13"/>
      <c r="AE107" s="23">
        <f>AVERAGE(Table110119[AttGarVal/SqFt])</f>
        <v>24.966938336152548</v>
      </c>
      <c r="AF107" s="25">
        <f>AVERAGE(Table110119[Att Gar % Base])</f>
        <v>0.29480204193530701</v>
      </c>
      <c r="AG107" s="12"/>
      <c r="AH107" s="13"/>
      <c r="AI107" s="13"/>
      <c r="AJ107" s="25" t="e">
        <f>AVERAGE(Table110119[Porch % Base])</f>
        <v>#DIV/0!</v>
      </c>
      <c r="AK107" s="12"/>
      <c r="AL107" s="13"/>
      <c r="AM107" s="13"/>
      <c r="AN107" s="25">
        <f>AVERAGE(Table110119[Cov Porch % Base])</f>
        <v>0.20370233226322568</v>
      </c>
      <c r="AO107" s="12"/>
      <c r="AP107" s="13"/>
      <c r="AQ107" s="13"/>
      <c r="AR107" s="25" t="e">
        <f>AVERAGE(Table110119[Deck % Base])</f>
        <v>#DIV/0!</v>
      </c>
      <c r="AS107" s="12"/>
      <c r="AT107" s="13"/>
      <c r="AU107" s="23" t="e">
        <f>AVERAGE(Table110119[CovDeckVal/SqFt])</f>
        <v>#DIV/0!</v>
      </c>
      <c r="AV107" s="25" t="e">
        <f>AVERAGE(Table110119[CovDeck % Base])</f>
        <v>#DIV/0!</v>
      </c>
      <c r="AW107" s="12"/>
      <c r="AX107" s="13"/>
      <c r="AY107" s="13"/>
      <c r="AZ107" s="25" t="e">
        <f>AVERAGE(Table110119[CarP % Base])</f>
        <v>#DIV/0!</v>
      </c>
      <c r="BA107" s="12"/>
      <c r="BB107" s="13"/>
      <c r="BC107" s="13"/>
      <c r="BD107" s="24" t="e">
        <f>AVERAGE(Table110119[EFP % Base])</f>
        <v>#DIV/0!</v>
      </c>
    </row>
    <row r="109" spans="1:56" ht="15.75" thickBot="1" x14ac:dyDescent="0.3">
      <c r="A109" s="82"/>
      <c r="B109" t="s">
        <v>79</v>
      </c>
      <c r="C109" s="78" t="s">
        <v>94</v>
      </c>
      <c r="E109" t="s">
        <v>33</v>
      </c>
      <c r="F109" s="79">
        <v>1906</v>
      </c>
      <c r="H109" t="s">
        <v>80</v>
      </c>
      <c r="I109" t="s">
        <v>95</v>
      </c>
    </row>
    <row r="110" spans="1:56" x14ac:dyDescent="0.25">
      <c r="A110" s="112"/>
      <c r="B110" s="113"/>
      <c r="C110" s="113"/>
      <c r="D110" s="114"/>
      <c r="E110" s="115" t="s">
        <v>27</v>
      </c>
      <c r="F110" s="116"/>
      <c r="G110" s="116"/>
      <c r="H110" s="117"/>
      <c r="I110" s="118" t="s">
        <v>28</v>
      </c>
      <c r="J110" s="119"/>
      <c r="K110" s="119"/>
      <c r="L110" s="120"/>
      <c r="M110" s="121" t="s">
        <v>7</v>
      </c>
      <c r="N110" s="122"/>
      <c r="O110" s="122"/>
      <c r="P110" s="122"/>
      <c r="Q110" s="124" t="s">
        <v>29</v>
      </c>
      <c r="R110" s="125"/>
      <c r="S110" s="125"/>
      <c r="T110" s="126"/>
      <c r="U110" s="128" t="s">
        <v>8</v>
      </c>
      <c r="V110" s="128"/>
      <c r="W110" s="128"/>
      <c r="X110" s="129"/>
      <c r="Y110" s="130" t="s">
        <v>0</v>
      </c>
      <c r="Z110" s="131"/>
      <c r="AA110" s="131"/>
      <c r="AB110" s="132"/>
      <c r="AC110" s="133" t="s">
        <v>34</v>
      </c>
      <c r="AD110" s="134"/>
      <c r="AE110" s="134"/>
      <c r="AF110" s="135"/>
      <c r="AG110" s="115" t="s">
        <v>9</v>
      </c>
      <c r="AH110" s="116"/>
      <c r="AI110" s="116"/>
      <c r="AJ110" s="117"/>
      <c r="AK110" s="136" t="s">
        <v>35</v>
      </c>
      <c r="AL110" s="137"/>
      <c r="AM110" s="137"/>
      <c r="AN110" s="138"/>
      <c r="AO110" s="139" t="s">
        <v>10</v>
      </c>
      <c r="AP110" s="140"/>
      <c r="AQ110" s="140"/>
      <c r="AR110" s="141"/>
      <c r="AS110" s="124" t="s">
        <v>36</v>
      </c>
      <c r="AT110" s="125"/>
      <c r="AU110" s="125"/>
      <c r="AV110" s="126"/>
      <c r="AW110" s="142" t="s">
        <v>11</v>
      </c>
      <c r="AX110" s="143"/>
      <c r="AY110" s="143"/>
      <c r="AZ110" s="144"/>
      <c r="BA110" s="148" t="s">
        <v>17</v>
      </c>
      <c r="BB110" s="149"/>
      <c r="BC110" s="149"/>
      <c r="BD110" s="150"/>
    </row>
    <row r="111" spans="1:56" s="1" customFormat="1" ht="15.75" thickBot="1" x14ac:dyDescent="0.3">
      <c r="A111" s="41" t="s">
        <v>13</v>
      </c>
      <c r="B111" s="42" t="s">
        <v>15</v>
      </c>
      <c r="C111" s="42" t="s">
        <v>32</v>
      </c>
      <c r="D111" s="43" t="s">
        <v>18</v>
      </c>
      <c r="E111" s="30" t="s">
        <v>30</v>
      </c>
      <c r="F111" s="31" t="s">
        <v>61</v>
      </c>
      <c r="G111" s="31" t="s">
        <v>38</v>
      </c>
      <c r="H111" s="32" t="s">
        <v>62</v>
      </c>
      <c r="I111" s="37" t="s">
        <v>31</v>
      </c>
      <c r="J111" s="38" t="s">
        <v>39</v>
      </c>
      <c r="K111" s="38" t="s">
        <v>40</v>
      </c>
      <c r="L111" s="39" t="s">
        <v>63</v>
      </c>
      <c r="M111" s="40" t="s">
        <v>19</v>
      </c>
      <c r="N111" s="7" t="s">
        <v>41</v>
      </c>
      <c r="O111" s="7" t="s">
        <v>37</v>
      </c>
      <c r="P111" s="7" t="s">
        <v>64</v>
      </c>
      <c r="Q111" s="27" t="s">
        <v>20</v>
      </c>
      <c r="R111" s="28" t="s">
        <v>60</v>
      </c>
      <c r="S111" s="28" t="s">
        <v>59</v>
      </c>
      <c r="T111" s="29" t="s">
        <v>65</v>
      </c>
      <c r="U111" s="48" t="s">
        <v>21</v>
      </c>
      <c r="V111" s="48" t="s">
        <v>42</v>
      </c>
      <c r="W111" s="48" t="s">
        <v>43</v>
      </c>
      <c r="X111" s="49" t="s">
        <v>66</v>
      </c>
      <c r="Y111" s="50" t="s">
        <v>22</v>
      </c>
      <c r="Z111" s="51" t="s">
        <v>44</v>
      </c>
      <c r="AA111" s="51" t="s">
        <v>45</v>
      </c>
      <c r="AB111" s="52" t="s">
        <v>67</v>
      </c>
      <c r="AC111" s="45" t="s">
        <v>23</v>
      </c>
      <c r="AD111" s="46" t="s">
        <v>46</v>
      </c>
      <c r="AE111" s="46" t="s">
        <v>47</v>
      </c>
      <c r="AF111" s="47" t="s">
        <v>68</v>
      </c>
      <c r="AG111" s="30" t="s">
        <v>24</v>
      </c>
      <c r="AH111" s="31" t="s">
        <v>48</v>
      </c>
      <c r="AI111" s="31" t="s">
        <v>49</v>
      </c>
      <c r="AJ111" s="32" t="s">
        <v>69</v>
      </c>
      <c r="AK111" s="53" t="s">
        <v>25</v>
      </c>
      <c r="AL111" s="54" t="s">
        <v>50</v>
      </c>
      <c r="AM111" s="54" t="s">
        <v>51</v>
      </c>
      <c r="AN111" s="55" t="s">
        <v>70</v>
      </c>
      <c r="AO111" s="56" t="s">
        <v>26</v>
      </c>
      <c r="AP111" s="57" t="s">
        <v>52</v>
      </c>
      <c r="AQ111" s="57" t="s">
        <v>53</v>
      </c>
      <c r="AR111" s="58" t="s">
        <v>71</v>
      </c>
      <c r="AS111" s="59" t="s">
        <v>55</v>
      </c>
      <c r="AT111" s="60" t="s">
        <v>54</v>
      </c>
      <c r="AU111" s="60" t="s">
        <v>56</v>
      </c>
      <c r="AV111" s="61" t="s">
        <v>76</v>
      </c>
      <c r="AW111" s="62" t="s">
        <v>72</v>
      </c>
      <c r="AX111" s="63" t="s">
        <v>73</v>
      </c>
      <c r="AY111" s="63" t="s">
        <v>74</v>
      </c>
      <c r="AZ111" s="64" t="s">
        <v>75</v>
      </c>
      <c r="BA111" s="71" t="s">
        <v>77</v>
      </c>
      <c r="BB111" s="72" t="s">
        <v>57</v>
      </c>
      <c r="BC111" s="72" t="s">
        <v>58</v>
      </c>
      <c r="BD111" s="73" t="s">
        <v>78</v>
      </c>
    </row>
    <row r="112" spans="1:56" ht="15.75" thickBot="1" x14ac:dyDescent="0.3">
      <c r="A112" s="17" t="s">
        <v>1</v>
      </c>
      <c r="B112" s="14">
        <v>90420</v>
      </c>
      <c r="C112" s="34">
        <f>B112/F109</f>
        <v>47.43966421825813</v>
      </c>
      <c r="D112" s="14">
        <v>1525</v>
      </c>
      <c r="E112" s="67">
        <v>29930</v>
      </c>
      <c r="F112" s="69">
        <v>1140</v>
      </c>
      <c r="G112" s="34">
        <f t="shared" ref="G112:G118" si="234">E112/F112</f>
        <v>26.254385964912281</v>
      </c>
      <c r="H112" s="10">
        <f t="shared" ref="H112:H118" si="235">G112/C112</f>
        <v>0.55342689282374269</v>
      </c>
      <c r="I112" s="34">
        <v>0</v>
      </c>
      <c r="J112" s="69">
        <v>0</v>
      </c>
      <c r="K112" s="34" t="e">
        <f t="shared" ref="K112:K118" si="236">I112/J112</f>
        <v>#DIV/0!</v>
      </c>
      <c r="L112" s="9" t="e">
        <f t="shared" ref="L112:L118" si="237">K112/C112</f>
        <v>#DIV/0!</v>
      </c>
      <c r="M112" s="67">
        <v>0</v>
      </c>
      <c r="N112" s="26">
        <v>0</v>
      </c>
      <c r="O112" s="34" t="e">
        <f t="shared" ref="O112:O118" si="238">M112/N112</f>
        <v>#DIV/0!</v>
      </c>
      <c r="P112" s="10" t="e">
        <f t="shared" ref="P112:P118" si="239">O112/C112</f>
        <v>#DIV/0!</v>
      </c>
      <c r="Q112" s="35">
        <v>0</v>
      </c>
      <c r="R112" s="66">
        <v>0</v>
      </c>
      <c r="S112" s="35" t="e">
        <f t="shared" ref="S112:S118" si="240">Q112/R112</f>
        <v>#DIV/0!</v>
      </c>
      <c r="T112" s="6" t="e">
        <f t="shared" ref="T112:T118" si="241">S112/C112</f>
        <v>#DIV/0!</v>
      </c>
      <c r="U112" s="67">
        <v>0</v>
      </c>
      <c r="V112" s="65">
        <v>0</v>
      </c>
      <c r="W112" s="18" t="e">
        <f t="shared" ref="W112:W118" si="242">U112/V112</f>
        <v>#DIV/0!</v>
      </c>
      <c r="X112" s="9" t="e">
        <f t="shared" ref="X112:X118" si="243">W112/C112</f>
        <v>#DIV/0!</v>
      </c>
      <c r="Y112" s="67">
        <v>0</v>
      </c>
      <c r="Z112" s="69">
        <v>0</v>
      </c>
      <c r="AA112" s="34" t="e">
        <f t="shared" ref="AA112:AA118" si="244">Y112/Z112</f>
        <v>#DIV/0!</v>
      </c>
      <c r="AB112" s="10" t="e">
        <f t="shared" ref="AB112:AB118" si="245">AA112/C112</f>
        <v>#DIV/0!</v>
      </c>
      <c r="AC112" s="18">
        <v>11140</v>
      </c>
      <c r="AD112" s="33">
        <v>800</v>
      </c>
      <c r="AE112" s="34">
        <f t="shared" ref="AE112:AE118" si="246">AC112/AD112</f>
        <v>13.925000000000001</v>
      </c>
      <c r="AF112" s="9">
        <f t="shared" ref="AF112:AF118" si="247">AE112/C112</f>
        <v>0.29353074541030749</v>
      </c>
      <c r="AG112" s="67">
        <v>0</v>
      </c>
      <c r="AH112" s="65">
        <v>0</v>
      </c>
      <c r="AI112" s="34" t="e">
        <f t="shared" ref="AI112:AI118" si="248">AG112/AH112</f>
        <v>#DIV/0!</v>
      </c>
      <c r="AJ112" s="9" t="e">
        <f t="shared" ref="AJ112:AJ118" si="249">AI112/C112</f>
        <v>#DIV/0!</v>
      </c>
      <c r="AK112" s="67">
        <v>2150</v>
      </c>
      <c r="AL112" s="65">
        <v>255</v>
      </c>
      <c r="AM112" s="34">
        <f t="shared" ref="AM112:AM118" si="250">AK112/AL112</f>
        <v>8.4313725490196081</v>
      </c>
      <c r="AN112" s="9">
        <f t="shared" ref="AN112:AN118" si="251">AM112/C112</f>
        <v>0.17772833530669513</v>
      </c>
      <c r="AO112" s="67">
        <v>1600</v>
      </c>
      <c r="AP112" s="65">
        <v>144</v>
      </c>
      <c r="AQ112" s="34">
        <f t="shared" ref="AQ112:AQ118" si="252">AO112/AP112</f>
        <v>11.111111111111111</v>
      </c>
      <c r="AR112" s="9">
        <f t="shared" ref="AR112:AR118" si="253">AQ112/C112</f>
        <v>0.2342156356754897</v>
      </c>
      <c r="AS112" s="67">
        <v>0</v>
      </c>
      <c r="AT112" s="65">
        <v>0</v>
      </c>
      <c r="AU112" s="34" t="e">
        <f t="shared" ref="AU112:AU118" si="254">AS112/AT112</f>
        <v>#DIV/0!</v>
      </c>
      <c r="AV112" s="9" t="e">
        <f t="shared" ref="AV112:AV118" si="255">AU112/C112</f>
        <v>#DIV/0!</v>
      </c>
      <c r="AW112" s="67">
        <v>0</v>
      </c>
      <c r="AX112" s="65">
        <v>0</v>
      </c>
      <c r="AY112" s="34" t="e">
        <f t="shared" ref="AY112:AY118" si="256">AW112/AX112</f>
        <v>#DIV/0!</v>
      </c>
      <c r="AZ112" s="9" t="e">
        <f t="shared" ref="AZ112:AZ118" si="257">AY112/C112</f>
        <v>#DIV/0!</v>
      </c>
      <c r="BA112" s="67">
        <v>0</v>
      </c>
      <c r="BB112" s="65">
        <v>0</v>
      </c>
      <c r="BC112" s="34" t="e">
        <f t="shared" ref="BC112:BC118" si="258">BA112/BB112</f>
        <v>#DIV/0!</v>
      </c>
      <c r="BD112" s="10" t="e">
        <f t="shared" ref="BD112:BD118" si="259">BC112/C112</f>
        <v>#DIV/0!</v>
      </c>
    </row>
    <row r="113" spans="1:56" ht="15.75" thickBot="1" x14ac:dyDescent="0.3">
      <c r="A113" s="19" t="s">
        <v>16</v>
      </c>
      <c r="B113" s="8">
        <v>106340</v>
      </c>
      <c r="C113" s="35">
        <f>B113/F109</f>
        <v>55.792235047219307</v>
      </c>
      <c r="D113" s="8">
        <v>1525</v>
      </c>
      <c r="E113" s="68">
        <v>41060</v>
      </c>
      <c r="F113" s="69">
        <v>1140</v>
      </c>
      <c r="G113" s="35">
        <f t="shared" si="234"/>
        <v>36.017543859649123</v>
      </c>
      <c r="H113" s="11">
        <f t="shared" si="235"/>
        <v>0.64556553128165539</v>
      </c>
      <c r="I113" s="35">
        <v>0</v>
      </c>
      <c r="J113" s="70">
        <v>0</v>
      </c>
      <c r="K113" s="35" t="e">
        <f t="shared" si="236"/>
        <v>#DIV/0!</v>
      </c>
      <c r="L113" s="6" t="e">
        <f t="shared" si="237"/>
        <v>#DIV/0!</v>
      </c>
      <c r="M113" s="68">
        <v>0</v>
      </c>
      <c r="N113" s="5">
        <v>0</v>
      </c>
      <c r="O113" s="35" t="e">
        <f t="shared" si="238"/>
        <v>#DIV/0!</v>
      </c>
      <c r="P113" s="11" t="e">
        <f t="shared" si="239"/>
        <v>#DIV/0!</v>
      </c>
      <c r="Q113" s="35">
        <v>0</v>
      </c>
      <c r="R113" s="66">
        <v>0</v>
      </c>
      <c r="S113" s="35" t="e">
        <f t="shared" si="240"/>
        <v>#DIV/0!</v>
      </c>
      <c r="T113" s="6" t="e">
        <f t="shared" si="241"/>
        <v>#DIV/0!</v>
      </c>
      <c r="U113" s="68">
        <v>0</v>
      </c>
      <c r="V113" s="66">
        <v>0</v>
      </c>
      <c r="W113" s="20" t="e">
        <f t="shared" si="242"/>
        <v>#DIV/0!</v>
      </c>
      <c r="X113" s="6" t="e">
        <f t="shared" si="243"/>
        <v>#DIV/0!</v>
      </c>
      <c r="Y113" s="68">
        <v>0</v>
      </c>
      <c r="Z113" s="70">
        <v>0</v>
      </c>
      <c r="AA113" s="35" t="e">
        <f t="shared" si="244"/>
        <v>#DIV/0!</v>
      </c>
      <c r="AB113" s="11" t="e">
        <f t="shared" si="245"/>
        <v>#DIV/0!</v>
      </c>
      <c r="AC113" s="20">
        <v>14260</v>
      </c>
      <c r="AD113" s="33">
        <v>800</v>
      </c>
      <c r="AE113" s="35">
        <f t="shared" si="246"/>
        <v>17.824999999999999</v>
      </c>
      <c r="AF113" s="6">
        <f t="shared" si="247"/>
        <v>0.31948890351702086</v>
      </c>
      <c r="AG113" s="68">
        <v>0</v>
      </c>
      <c r="AH113" s="66">
        <v>0</v>
      </c>
      <c r="AI113" s="35" t="e">
        <f t="shared" si="248"/>
        <v>#DIV/0!</v>
      </c>
      <c r="AJ113" s="6" t="e">
        <f t="shared" si="249"/>
        <v>#DIV/0!</v>
      </c>
      <c r="AK113" s="68">
        <v>2980</v>
      </c>
      <c r="AL113" s="65">
        <v>255</v>
      </c>
      <c r="AM113" s="35">
        <f t="shared" si="250"/>
        <v>11.686274509803921</v>
      </c>
      <c r="AN113" s="6">
        <f t="shared" si="251"/>
        <v>0.20946059070609624</v>
      </c>
      <c r="AO113" s="68">
        <v>2270</v>
      </c>
      <c r="AP113" s="65">
        <v>144</v>
      </c>
      <c r="AQ113" s="35">
        <f t="shared" si="252"/>
        <v>15.763888888888889</v>
      </c>
      <c r="AR113" s="6">
        <f t="shared" si="253"/>
        <v>0.28254628758907491</v>
      </c>
      <c r="AS113" s="68">
        <v>0</v>
      </c>
      <c r="AT113" s="66">
        <v>0</v>
      </c>
      <c r="AU113" s="35" t="e">
        <f t="shared" si="254"/>
        <v>#DIV/0!</v>
      </c>
      <c r="AV113" s="6" t="e">
        <f t="shared" si="255"/>
        <v>#DIV/0!</v>
      </c>
      <c r="AW113" s="68">
        <v>0</v>
      </c>
      <c r="AX113" s="66">
        <v>0</v>
      </c>
      <c r="AY113" s="35" t="e">
        <f t="shared" si="256"/>
        <v>#DIV/0!</v>
      </c>
      <c r="AZ113" s="6" t="e">
        <f t="shared" si="257"/>
        <v>#DIV/0!</v>
      </c>
      <c r="BA113" s="68">
        <v>0</v>
      </c>
      <c r="BB113" s="66">
        <v>0</v>
      </c>
      <c r="BC113" s="35" t="e">
        <f t="shared" si="258"/>
        <v>#DIV/0!</v>
      </c>
      <c r="BD113" s="11" t="e">
        <f t="shared" si="259"/>
        <v>#DIV/0!</v>
      </c>
    </row>
    <row r="114" spans="1:56" ht="15.75" thickBot="1" x14ac:dyDescent="0.3">
      <c r="A114" s="19" t="s">
        <v>2</v>
      </c>
      <c r="B114" s="8">
        <v>123980</v>
      </c>
      <c r="C114" s="35">
        <f>B114/F109</f>
        <v>65.047219307450163</v>
      </c>
      <c r="D114" s="8">
        <v>2100</v>
      </c>
      <c r="E114" s="68">
        <v>46550</v>
      </c>
      <c r="F114" s="69">
        <v>1140</v>
      </c>
      <c r="G114" s="35">
        <f t="shared" si="234"/>
        <v>40.833333333333336</v>
      </c>
      <c r="H114" s="11">
        <f t="shared" si="235"/>
        <v>0.62774909931709411</v>
      </c>
      <c r="I114" s="35">
        <v>0</v>
      </c>
      <c r="J114" s="70">
        <v>0</v>
      </c>
      <c r="K114" s="35" t="e">
        <f t="shared" si="236"/>
        <v>#DIV/0!</v>
      </c>
      <c r="L114" s="6" t="e">
        <f t="shared" si="237"/>
        <v>#DIV/0!</v>
      </c>
      <c r="M114" s="68">
        <v>0</v>
      </c>
      <c r="N114" s="5">
        <v>0</v>
      </c>
      <c r="O114" s="35" t="e">
        <f t="shared" si="238"/>
        <v>#DIV/0!</v>
      </c>
      <c r="P114" s="11" t="e">
        <f t="shared" si="239"/>
        <v>#DIV/0!</v>
      </c>
      <c r="Q114" s="35">
        <v>0</v>
      </c>
      <c r="R114" s="66">
        <v>0</v>
      </c>
      <c r="S114" s="35" t="e">
        <f t="shared" si="240"/>
        <v>#DIV/0!</v>
      </c>
      <c r="T114" s="6" t="e">
        <f t="shared" si="241"/>
        <v>#DIV/0!</v>
      </c>
      <c r="U114" s="68">
        <v>0</v>
      </c>
      <c r="V114" s="66">
        <v>0</v>
      </c>
      <c r="W114" s="20" t="e">
        <f t="shared" si="242"/>
        <v>#DIV/0!</v>
      </c>
      <c r="X114" s="6" t="e">
        <f t="shared" si="243"/>
        <v>#DIV/0!</v>
      </c>
      <c r="Y114" s="68">
        <v>0</v>
      </c>
      <c r="Z114" s="70">
        <v>0</v>
      </c>
      <c r="AA114" s="35" t="e">
        <f t="shared" si="244"/>
        <v>#DIV/0!</v>
      </c>
      <c r="AB114" s="11" t="e">
        <f t="shared" si="245"/>
        <v>#DIV/0!</v>
      </c>
      <c r="AC114" s="20">
        <v>18740</v>
      </c>
      <c r="AD114" s="33">
        <v>800</v>
      </c>
      <c r="AE114" s="35">
        <f t="shared" si="246"/>
        <v>23.425000000000001</v>
      </c>
      <c r="AF114" s="6">
        <f t="shared" si="247"/>
        <v>0.36012300371027584</v>
      </c>
      <c r="AG114" s="68">
        <v>0</v>
      </c>
      <c r="AH114" s="66">
        <v>0</v>
      </c>
      <c r="AI114" s="35" t="e">
        <f t="shared" si="248"/>
        <v>#DIV/0!</v>
      </c>
      <c r="AJ114" s="6" t="e">
        <f t="shared" si="249"/>
        <v>#DIV/0!</v>
      </c>
      <c r="AK114" s="68">
        <v>3470</v>
      </c>
      <c r="AL114" s="65">
        <v>255</v>
      </c>
      <c r="AM114" s="35">
        <f t="shared" si="250"/>
        <v>13.607843137254902</v>
      </c>
      <c r="AN114" s="6">
        <f t="shared" si="251"/>
        <v>0.20919945974840976</v>
      </c>
      <c r="AO114" s="68">
        <v>2360</v>
      </c>
      <c r="AP114" s="65">
        <v>144</v>
      </c>
      <c r="AQ114" s="35">
        <f t="shared" si="252"/>
        <v>16.388888888888889</v>
      </c>
      <c r="AR114" s="6">
        <f t="shared" si="253"/>
        <v>0.2519537201340718</v>
      </c>
      <c r="AS114" s="68">
        <v>0</v>
      </c>
      <c r="AT114" s="66">
        <v>0</v>
      </c>
      <c r="AU114" s="35" t="e">
        <f t="shared" si="254"/>
        <v>#DIV/0!</v>
      </c>
      <c r="AV114" s="6" t="e">
        <f t="shared" si="255"/>
        <v>#DIV/0!</v>
      </c>
      <c r="AW114" s="68">
        <v>0</v>
      </c>
      <c r="AX114" s="66">
        <v>0</v>
      </c>
      <c r="AY114" s="35" t="e">
        <f t="shared" si="256"/>
        <v>#DIV/0!</v>
      </c>
      <c r="AZ114" s="6" t="e">
        <f t="shared" si="257"/>
        <v>#DIV/0!</v>
      </c>
      <c r="BA114" s="68">
        <v>0</v>
      </c>
      <c r="BB114" s="66">
        <v>0</v>
      </c>
      <c r="BC114" s="35" t="e">
        <f t="shared" si="258"/>
        <v>#DIV/0!</v>
      </c>
      <c r="BD114" s="11" t="e">
        <f t="shared" si="259"/>
        <v>#DIV/0!</v>
      </c>
    </row>
    <row r="115" spans="1:56" ht="15.75" thickBot="1" x14ac:dyDescent="0.3">
      <c r="A115" s="19" t="s">
        <v>3</v>
      </c>
      <c r="B115" s="8">
        <v>151170</v>
      </c>
      <c r="C115" s="35">
        <f>B115/F109</f>
        <v>79.312696747114373</v>
      </c>
      <c r="D115" s="8">
        <v>2700</v>
      </c>
      <c r="E115" s="68">
        <v>54260</v>
      </c>
      <c r="F115" s="69">
        <v>1140</v>
      </c>
      <c r="G115" s="35">
        <f t="shared" si="234"/>
        <v>47.596491228070178</v>
      </c>
      <c r="H115" s="11">
        <f t="shared" si="235"/>
        <v>0.60011187590594539</v>
      </c>
      <c r="I115" s="35">
        <v>0</v>
      </c>
      <c r="J115" s="70">
        <v>0</v>
      </c>
      <c r="K115" s="35" t="e">
        <f t="shared" si="236"/>
        <v>#DIV/0!</v>
      </c>
      <c r="L115" s="6" t="e">
        <f t="shared" si="237"/>
        <v>#DIV/0!</v>
      </c>
      <c r="M115" s="68">
        <v>0</v>
      </c>
      <c r="N115" s="5">
        <v>0</v>
      </c>
      <c r="O115" s="35" t="e">
        <f t="shared" si="238"/>
        <v>#DIV/0!</v>
      </c>
      <c r="P115" s="11" t="e">
        <f t="shared" si="239"/>
        <v>#DIV/0!</v>
      </c>
      <c r="Q115" s="35">
        <v>0</v>
      </c>
      <c r="R115" s="66">
        <v>0</v>
      </c>
      <c r="S115" s="35" t="e">
        <f t="shared" si="240"/>
        <v>#DIV/0!</v>
      </c>
      <c r="T115" s="6" t="e">
        <f t="shared" si="241"/>
        <v>#DIV/0!</v>
      </c>
      <c r="U115" s="68">
        <v>0</v>
      </c>
      <c r="V115" s="66">
        <v>0</v>
      </c>
      <c r="W115" s="20" t="e">
        <f t="shared" si="242"/>
        <v>#DIV/0!</v>
      </c>
      <c r="X115" s="6" t="e">
        <f t="shared" si="243"/>
        <v>#DIV/0!</v>
      </c>
      <c r="Y115" s="68">
        <v>0</v>
      </c>
      <c r="Z115" s="70">
        <v>0</v>
      </c>
      <c r="AA115" s="35" t="e">
        <f t="shared" si="244"/>
        <v>#DIV/0!</v>
      </c>
      <c r="AB115" s="11" t="e">
        <f t="shared" si="245"/>
        <v>#DIV/0!</v>
      </c>
      <c r="AC115" s="20">
        <v>19950</v>
      </c>
      <c r="AD115" s="33">
        <v>800</v>
      </c>
      <c r="AE115" s="35">
        <f t="shared" si="246"/>
        <v>24.9375</v>
      </c>
      <c r="AF115" s="6">
        <f t="shared" si="247"/>
        <v>0.31442002381424888</v>
      </c>
      <c r="AG115" s="68">
        <v>0</v>
      </c>
      <c r="AH115" s="66">
        <v>0</v>
      </c>
      <c r="AI115" s="35" t="e">
        <f t="shared" si="248"/>
        <v>#DIV/0!</v>
      </c>
      <c r="AJ115" s="6" t="e">
        <f t="shared" si="249"/>
        <v>#DIV/0!</v>
      </c>
      <c r="AK115" s="68">
        <v>4550</v>
      </c>
      <c r="AL115" s="65">
        <v>255</v>
      </c>
      <c r="AM115" s="35">
        <f t="shared" si="250"/>
        <v>17.843137254901961</v>
      </c>
      <c r="AN115" s="6">
        <f t="shared" si="251"/>
        <v>0.22497201566344605</v>
      </c>
      <c r="AO115" s="68">
        <v>2450</v>
      </c>
      <c r="AP115" s="65">
        <v>144</v>
      </c>
      <c r="AQ115" s="35">
        <f t="shared" si="252"/>
        <v>17.013888888888889</v>
      </c>
      <c r="AR115" s="6">
        <f t="shared" si="253"/>
        <v>0.21451658544831795</v>
      </c>
      <c r="AS115" s="68">
        <v>0</v>
      </c>
      <c r="AT115" s="66">
        <v>0</v>
      </c>
      <c r="AU115" s="35" t="e">
        <f t="shared" si="254"/>
        <v>#DIV/0!</v>
      </c>
      <c r="AV115" s="6" t="e">
        <f t="shared" si="255"/>
        <v>#DIV/0!</v>
      </c>
      <c r="AW115" s="68">
        <v>0</v>
      </c>
      <c r="AX115" s="66">
        <v>0</v>
      </c>
      <c r="AY115" s="35" t="e">
        <f t="shared" si="256"/>
        <v>#DIV/0!</v>
      </c>
      <c r="AZ115" s="6" t="e">
        <f t="shared" si="257"/>
        <v>#DIV/0!</v>
      </c>
      <c r="BA115" s="68">
        <v>0</v>
      </c>
      <c r="BB115" s="66">
        <v>0</v>
      </c>
      <c r="BC115" s="35" t="e">
        <f t="shared" si="258"/>
        <v>#DIV/0!</v>
      </c>
      <c r="BD115" s="11" t="e">
        <f t="shared" si="259"/>
        <v>#DIV/0!</v>
      </c>
    </row>
    <row r="116" spans="1:56" ht="15.75" thickBot="1" x14ac:dyDescent="0.3">
      <c r="A116" s="19" t="s">
        <v>4</v>
      </c>
      <c r="B116" s="8">
        <v>186910</v>
      </c>
      <c r="C116" s="35">
        <f>B116/F109</f>
        <v>98.064008394543549</v>
      </c>
      <c r="D116" s="8">
        <v>5250</v>
      </c>
      <c r="E116" s="68">
        <v>75020</v>
      </c>
      <c r="F116" s="69">
        <v>1140</v>
      </c>
      <c r="G116" s="35">
        <f t="shared" si="234"/>
        <v>65.807017543859644</v>
      </c>
      <c r="H116" s="11">
        <f t="shared" si="235"/>
        <v>0.67106187704561804</v>
      </c>
      <c r="I116" s="35">
        <v>0</v>
      </c>
      <c r="J116" s="70">
        <v>0</v>
      </c>
      <c r="K116" s="35" t="e">
        <f t="shared" si="236"/>
        <v>#DIV/0!</v>
      </c>
      <c r="L116" s="6" t="e">
        <f t="shared" si="237"/>
        <v>#DIV/0!</v>
      </c>
      <c r="M116" s="68">
        <v>0</v>
      </c>
      <c r="N116" s="5">
        <v>0</v>
      </c>
      <c r="O116" s="35" t="e">
        <f t="shared" si="238"/>
        <v>#DIV/0!</v>
      </c>
      <c r="P116" s="11" t="e">
        <f t="shared" si="239"/>
        <v>#DIV/0!</v>
      </c>
      <c r="Q116" s="35">
        <v>0</v>
      </c>
      <c r="R116" s="66">
        <v>0</v>
      </c>
      <c r="S116" s="35" t="e">
        <f t="shared" si="240"/>
        <v>#DIV/0!</v>
      </c>
      <c r="T116" s="6" t="e">
        <f t="shared" si="241"/>
        <v>#DIV/0!</v>
      </c>
      <c r="U116" s="68">
        <v>0</v>
      </c>
      <c r="V116" s="66">
        <v>0</v>
      </c>
      <c r="W116" s="20" t="e">
        <f t="shared" si="242"/>
        <v>#DIV/0!</v>
      </c>
      <c r="X116" s="6" t="e">
        <f t="shared" si="243"/>
        <v>#DIV/0!</v>
      </c>
      <c r="Y116" s="68">
        <v>0</v>
      </c>
      <c r="Z116" s="70">
        <v>0</v>
      </c>
      <c r="AA116" s="35" t="e">
        <f t="shared" si="244"/>
        <v>#DIV/0!</v>
      </c>
      <c r="AB116" s="11" t="e">
        <f t="shared" si="245"/>
        <v>#DIV/0!</v>
      </c>
      <c r="AC116" s="20">
        <v>22660</v>
      </c>
      <c r="AD116" s="33">
        <v>800</v>
      </c>
      <c r="AE116" s="35">
        <f t="shared" si="246"/>
        <v>28.324999999999999</v>
      </c>
      <c r="AF116" s="6">
        <f t="shared" si="247"/>
        <v>0.28884195602161467</v>
      </c>
      <c r="AG116" s="68">
        <v>0</v>
      </c>
      <c r="AH116" s="66">
        <v>0</v>
      </c>
      <c r="AI116" s="35" t="e">
        <f t="shared" si="248"/>
        <v>#DIV/0!</v>
      </c>
      <c r="AJ116" s="6" t="e">
        <f t="shared" si="249"/>
        <v>#DIV/0!</v>
      </c>
      <c r="AK116" s="68">
        <v>4980</v>
      </c>
      <c r="AL116" s="65">
        <v>255</v>
      </c>
      <c r="AM116" s="35">
        <f t="shared" si="250"/>
        <v>19.529411764705884</v>
      </c>
      <c r="AN116" s="6">
        <f t="shared" si="251"/>
        <v>0.19914963791947682</v>
      </c>
      <c r="AO116" s="68">
        <v>3060</v>
      </c>
      <c r="AP116" s="65">
        <v>144</v>
      </c>
      <c r="AQ116" s="35">
        <f t="shared" si="252"/>
        <v>21.25</v>
      </c>
      <c r="AR116" s="6">
        <f t="shared" si="253"/>
        <v>0.21669520089882829</v>
      </c>
      <c r="AS116" s="68">
        <v>0</v>
      </c>
      <c r="AT116" s="66">
        <v>0</v>
      </c>
      <c r="AU116" s="35" t="e">
        <f t="shared" si="254"/>
        <v>#DIV/0!</v>
      </c>
      <c r="AV116" s="6" t="e">
        <f t="shared" si="255"/>
        <v>#DIV/0!</v>
      </c>
      <c r="AW116" s="68">
        <v>0</v>
      </c>
      <c r="AX116" s="66">
        <v>0</v>
      </c>
      <c r="AY116" s="35" t="e">
        <f t="shared" si="256"/>
        <v>#DIV/0!</v>
      </c>
      <c r="AZ116" s="6" t="e">
        <f t="shared" si="257"/>
        <v>#DIV/0!</v>
      </c>
      <c r="BA116" s="68">
        <v>0</v>
      </c>
      <c r="BB116" s="66">
        <v>0</v>
      </c>
      <c r="BC116" s="35" t="e">
        <f t="shared" si="258"/>
        <v>#DIV/0!</v>
      </c>
      <c r="BD116" s="11" t="e">
        <f t="shared" si="259"/>
        <v>#DIV/0!</v>
      </c>
    </row>
    <row r="117" spans="1:56" ht="15.75" thickBot="1" x14ac:dyDescent="0.3">
      <c r="A117" s="19" t="s">
        <v>5</v>
      </c>
      <c r="B117" s="8">
        <v>249030</v>
      </c>
      <c r="C117" s="35">
        <f>B117/F109</f>
        <v>130.65582371458552</v>
      </c>
      <c r="D117" s="8">
        <v>7050</v>
      </c>
      <c r="E117" s="68">
        <v>84500</v>
      </c>
      <c r="F117" s="69">
        <v>1140</v>
      </c>
      <c r="G117" s="35">
        <f t="shared" si="234"/>
        <v>74.122807017543863</v>
      </c>
      <c r="H117" s="11">
        <f t="shared" si="235"/>
        <v>0.56731345691458301</v>
      </c>
      <c r="I117" s="35">
        <v>0</v>
      </c>
      <c r="J117" s="70">
        <v>0</v>
      </c>
      <c r="K117" s="35" t="e">
        <f t="shared" si="236"/>
        <v>#DIV/0!</v>
      </c>
      <c r="L117" s="6" t="e">
        <f t="shared" si="237"/>
        <v>#DIV/0!</v>
      </c>
      <c r="M117" s="68">
        <v>0</v>
      </c>
      <c r="N117" s="5">
        <v>0</v>
      </c>
      <c r="O117" s="35" t="e">
        <f t="shared" si="238"/>
        <v>#DIV/0!</v>
      </c>
      <c r="P117" s="11" t="e">
        <f t="shared" si="239"/>
        <v>#DIV/0!</v>
      </c>
      <c r="Q117" s="35">
        <v>0</v>
      </c>
      <c r="R117" s="66">
        <v>0</v>
      </c>
      <c r="S117" s="35" t="e">
        <f t="shared" si="240"/>
        <v>#DIV/0!</v>
      </c>
      <c r="T117" s="6" t="e">
        <f t="shared" si="241"/>
        <v>#DIV/0!</v>
      </c>
      <c r="U117" s="68">
        <v>0</v>
      </c>
      <c r="V117" s="66">
        <v>0</v>
      </c>
      <c r="W117" s="20" t="e">
        <f t="shared" si="242"/>
        <v>#DIV/0!</v>
      </c>
      <c r="X117" s="6" t="e">
        <f t="shared" si="243"/>
        <v>#DIV/0!</v>
      </c>
      <c r="Y117" s="68">
        <v>0</v>
      </c>
      <c r="Z117" s="70">
        <v>0</v>
      </c>
      <c r="AA117" s="35" t="e">
        <f t="shared" si="244"/>
        <v>#DIV/0!</v>
      </c>
      <c r="AB117" s="11" t="e">
        <f t="shared" si="245"/>
        <v>#DIV/0!</v>
      </c>
      <c r="AC117" s="20">
        <v>23450</v>
      </c>
      <c r="AD117" s="33">
        <v>800</v>
      </c>
      <c r="AE117" s="35">
        <f t="shared" si="246"/>
        <v>29.3125</v>
      </c>
      <c r="AF117" s="6">
        <f t="shared" si="247"/>
        <v>0.22434897401919446</v>
      </c>
      <c r="AG117" s="68">
        <v>0</v>
      </c>
      <c r="AH117" s="66">
        <v>0</v>
      </c>
      <c r="AI117" s="35" t="e">
        <f t="shared" si="248"/>
        <v>#DIV/0!</v>
      </c>
      <c r="AJ117" s="6" t="e">
        <f t="shared" si="249"/>
        <v>#DIV/0!</v>
      </c>
      <c r="AK117" s="68">
        <v>6100</v>
      </c>
      <c r="AL117" s="65">
        <v>255</v>
      </c>
      <c r="AM117" s="35">
        <f t="shared" si="250"/>
        <v>23.921568627450981</v>
      </c>
      <c r="AN117" s="6">
        <f t="shared" si="251"/>
        <v>0.18308842229418773</v>
      </c>
      <c r="AO117" s="68">
        <v>3540</v>
      </c>
      <c r="AP117" s="65">
        <v>144</v>
      </c>
      <c r="AQ117" s="35">
        <f t="shared" si="252"/>
        <v>24.583333333333332</v>
      </c>
      <c r="AR117" s="6">
        <f t="shared" si="253"/>
        <v>0.18815336840273594</v>
      </c>
      <c r="AS117" s="68">
        <v>0</v>
      </c>
      <c r="AT117" s="66">
        <v>0</v>
      </c>
      <c r="AU117" s="35" t="e">
        <f t="shared" si="254"/>
        <v>#DIV/0!</v>
      </c>
      <c r="AV117" s="6" t="e">
        <f t="shared" si="255"/>
        <v>#DIV/0!</v>
      </c>
      <c r="AW117" s="68">
        <v>0</v>
      </c>
      <c r="AX117" s="66">
        <v>0</v>
      </c>
      <c r="AY117" s="35" t="e">
        <f t="shared" si="256"/>
        <v>#DIV/0!</v>
      </c>
      <c r="AZ117" s="6" t="e">
        <f t="shared" si="257"/>
        <v>#DIV/0!</v>
      </c>
      <c r="BA117" s="68">
        <v>0</v>
      </c>
      <c r="BB117" s="66">
        <v>0</v>
      </c>
      <c r="BC117" s="35" t="e">
        <f t="shared" si="258"/>
        <v>#DIV/0!</v>
      </c>
      <c r="BD117" s="11" t="e">
        <f t="shared" si="259"/>
        <v>#DIV/0!</v>
      </c>
    </row>
    <row r="118" spans="1:56" x14ac:dyDescent="0.25">
      <c r="A118" s="19" t="s">
        <v>6</v>
      </c>
      <c r="B118" s="8">
        <v>302200</v>
      </c>
      <c r="C118" s="35">
        <f>B118/F109</f>
        <v>158.55194123819518</v>
      </c>
      <c r="D118" s="8">
        <v>10950</v>
      </c>
      <c r="E118" s="68">
        <v>104850</v>
      </c>
      <c r="F118" s="69">
        <v>1140</v>
      </c>
      <c r="G118" s="35">
        <f t="shared" si="234"/>
        <v>91.973684210526315</v>
      </c>
      <c r="H118" s="11">
        <f t="shared" si="235"/>
        <v>0.58008551325368352</v>
      </c>
      <c r="I118" s="35">
        <v>0</v>
      </c>
      <c r="J118" s="70">
        <v>0</v>
      </c>
      <c r="K118" s="35" t="e">
        <f t="shared" si="236"/>
        <v>#DIV/0!</v>
      </c>
      <c r="L118" s="6" t="e">
        <f t="shared" si="237"/>
        <v>#DIV/0!</v>
      </c>
      <c r="M118" s="68">
        <v>0</v>
      </c>
      <c r="N118" s="5">
        <v>0</v>
      </c>
      <c r="O118" s="35" t="e">
        <f t="shared" si="238"/>
        <v>#DIV/0!</v>
      </c>
      <c r="P118" s="11" t="e">
        <f t="shared" si="239"/>
        <v>#DIV/0!</v>
      </c>
      <c r="Q118" s="35">
        <v>0</v>
      </c>
      <c r="R118" s="66">
        <v>0</v>
      </c>
      <c r="S118" s="35" t="e">
        <f t="shared" si="240"/>
        <v>#DIV/0!</v>
      </c>
      <c r="T118" s="6" t="e">
        <f t="shared" si="241"/>
        <v>#DIV/0!</v>
      </c>
      <c r="U118" s="68">
        <v>0</v>
      </c>
      <c r="V118" s="66">
        <v>0</v>
      </c>
      <c r="W118" s="20" t="e">
        <f t="shared" si="242"/>
        <v>#DIV/0!</v>
      </c>
      <c r="X118" s="6" t="e">
        <f t="shared" si="243"/>
        <v>#DIV/0!</v>
      </c>
      <c r="Y118" s="68">
        <v>0</v>
      </c>
      <c r="Z118" s="70">
        <v>0</v>
      </c>
      <c r="AA118" s="35" t="e">
        <f t="shared" si="244"/>
        <v>#DIV/0!</v>
      </c>
      <c r="AB118" s="11" t="e">
        <f t="shared" si="245"/>
        <v>#DIV/0!</v>
      </c>
      <c r="AC118" s="20">
        <v>34240</v>
      </c>
      <c r="AD118" s="33">
        <v>800</v>
      </c>
      <c r="AE118" s="35">
        <f t="shared" si="246"/>
        <v>42.8</v>
      </c>
      <c r="AF118" s="6">
        <f t="shared" si="247"/>
        <v>0.26994308405029777</v>
      </c>
      <c r="AG118" s="68">
        <v>0</v>
      </c>
      <c r="AH118" s="66">
        <v>0</v>
      </c>
      <c r="AI118" s="35" t="e">
        <f t="shared" si="248"/>
        <v>#DIV/0!</v>
      </c>
      <c r="AJ118" s="6" t="e">
        <f t="shared" si="249"/>
        <v>#DIV/0!</v>
      </c>
      <c r="AK118" s="68">
        <v>7400</v>
      </c>
      <c r="AL118" s="65">
        <v>255</v>
      </c>
      <c r="AM118" s="35">
        <f t="shared" si="250"/>
        <v>29.019607843137255</v>
      </c>
      <c r="AN118" s="6">
        <f t="shared" si="251"/>
        <v>0.18302902895109069</v>
      </c>
      <c r="AO118" s="68">
        <v>3780</v>
      </c>
      <c r="AP118" s="65">
        <v>144</v>
      </c>
      <c r="AQ118" s="35">
        <f t="shared" si="252"/>
        <v>26.25</v>
      </c>
      <c r="AR118" s="6">
        <f t="shared" si="253"/>
        <v>0.16556088682991396</v>
      </c>
      <c r="AS118" s="68">
        <v>0</v>
      </c>
      <c r="AT118" s="66">
        <v>0</v>
      </c>
      <c r="AU118" s="35" t="e">
        <f t="shared" si="254"/>
        <v>#DIV/0!</v>
      </c>
      <c r="AV118" s="6" t="e">
        <f t="shared" si="255"/>
        <v>#DIV/0!</v>
      </c>
      <c r="AW118" s="68">
        <v>0</v>
      </c>
      <c r="AX118" s="66">
        <v>0</v>
      </c>
      <c r="AY118" s="35" t="e">
        <f t="shared" si="256"/>
        <v>#DIV/0!</v>
      </c>
      <c r="AZ118" s="6" t="e">
        <f t="shared" si="257"/>
        <v>#DIV/0!</v>
      </c>
      <c r="BA118" s="68">
        <v>0</v>
      </c>
      <c r="BB118" s="66">
        <v>0</v>
      </c>
      <c r="BC118" s="35" t="e">
        <f t="shared" si="258"/>
        <v>#DIV/0!</v>
      </c>
      <c r="BD118" s="11" t="e">
        <f t="shared" si="259"/>
        <v>#DIV/0!</v>
      </c>
    </row>
    <row r="119" spans="1:56" ht="15.75" thickBot="1" x14ac:dyDescent="0.3">
      <c r="A119" s="21"/>
      <c r="B119" s="22"/>
      <c r="C119" s="23">
        <f>AVERAGE(Table110312[MA $/Sq Ft])</f>
        <v>90.694798381052323</v>
      </c>
      <c r="D119" s="22">
        <f>AVERAGE(Table110312[Basic Allowance])</f>
        <v>4442.8571428571431</v>
      </c>
      <c r="E119" s="16"/>
      <c r="F119" s="22"/>
      <c r="G119" s="15"/>
      <c r="H119" s="24">
        <f>AVERAGE(Table110312[Bsmt % Base])</f>
        <v>0.60647346379176026</v>
      </c>
      <c r="I119" s="15"/>
      <c r="J119" s="15"/>
      <c r="K119" s="15"/>
      <c r="L119" s="25" t="e">
        <f>AVERAGE(Table110312[[#Headers],[#Data],[UnfBsmt % Base]])</f>
        <v>#DIV/0!</v>
      </c>
      <c r="M119" s="44"/>
      <c r="N119" s="15"/>
      <c r="O119" s="23" t="e">
        <f>AVERAGE(Table110312[LowerVal/SqFt])</f>
        <v>#DIV/0!</v>
      </c>
      <c r="P119" s="24" t="e">
        <f>AVERAGE(Table110312[Lower % Base])</f>
        <v>#DIV/0!</v>
      </c>
      <c r="Q119" s="13"/>
      <c r="R119" s="13"/>
      <c r="S119" s="13"/>
      <c r="T119" s="25" t="e">
        <f>AVERAGE(Table110312[Unf Lower % Base])</f>
        <v>#DIV/0!</v>
      </c>
      <c r="U119" s="12"/>
      <c r="V119" s="13"/>
      <c r="W119" s="13"/>
      <c r="X119" s="25" t="e">
        <f>AVERAGE(Table110312[1/2 Story % Base])</f>
        <v>#DIV/0!</v>
      </c>
      <c r="Y119" s="12"/>
      <c r="Z119" s="13"/>
      <c r="AA119" s="13"/>
      <c r="AB119" s="24" t="e">
        <f>AVERAGE(Table110312[2nd Story % Base])</f>
        <v>#DIV/0!</v>
      </c>
      <c r="AC119" s="13"/>
      <c r="AD119" s="13"/>
      <c r="AE119" s="23">
        <f>AVERAGE(Table110312[AttGarVal/SqFt])</f>
        <v>25.792857142857144</v>
      </c>
      <c r="AF119" s="25">
        <f>AVERAGE(Table110312[Att Gar % Base])</f>
        <v>0.2958138129347086</v>
      </c>
      <c r="AG119" s="12"/>
      <c r="AH119" s="13"/>
      <c r="AI119" s="13"/>
      <c r="AJ119" s="25" t="e">
        <f>AVERAGE(Table110312[Porch % Base])</f>
        <v>#DIV/0!</v>
      </c>
      <c r="AK119" s="12"/>
      <c r="AL119" s="13"/>
      <c r="AM119" s="13"/>
      <c r="AN119" s="25">
        <f>AVERAGE(Table110312[Cov Porch % Base])</f>
        <v>0.19808964151277178</v>
      </c>
      <c r="AO119" s="12"/>
      <c r="AP119" s="13"/>
      <c r="AQ119" s="13"/>
      <c r="AR119" s="25">
        <f>AVERAGE(Table110312[Deck % Base])</f>
        <v>0.22194881213977607</v>
      </c>
      <c r="AS119" s="12"/>
      <c r="AT119" s="13"/>
      <c r="AU119" s="23" t="e">
        <f>AVERAGE(Table110312[CovDeckVal/SqFt])</f>
        <v>#DIV/0!</v>
      </c>
      <c r="AV119" s="25" t="e">
        <f>AVERAGE(Table110312[CovDeck % Base])</f>
        <v>#DIV/0!</v>
      </c>
      <c r="AW119" s="12"/>
      <c r="AX119" s="13"/>
      <c r="AY119" s="13"/>
      <c r="AZ119" s="25" t="e">
        <f>AVERAGE(Table110312[CarP % Base])</f>
        <v>#DIV/0!</v>
      </c>
      <c r="BA119" s="12"/>
      <c r="BB119" s="13"/>
      <c r="BC119" s="13"/>
      <c r="BD119" s="24" t="e">
        <f>AVERAGE(Table110312[EFP % Base])</f>
        <v>#DIV/0!</v>
      </c>
    </row>
    <row r="121" spans="1:56" ht="15.75" thickBot="1" x14ac:dyDescent="0.3">
      <c r="A121" s="82"/>
      <c r="B121" t="s">
        <v>79</v>
      </c>
      <c r="C121" s="78" t="s">
        <v>96</v>
      </c>
      <c r="E121" t="s">
        <v>33</v>
      </c>
      <c r="F121" s="79">
        <v>1951</v>
      </c>
      <c r="H121" t="s">
        <v>80</v>
      </c>
      <c r="I121" t="s">
        <v>134</v>
      </c>
      <c r="AC121" t="s">
        <v>97</v>
      </c>
    </row>
    <row r="122" spans="1:56" x14ac:dyDescent="0.25">
      <c r="A122" s="112"/>
      <c r="B122" s="113"/>
      <c r="C122" s="113"/>
      <c r="D122" s="114"/>
      <c r="E122" s="115" t="s">
        <v>27</v>
      </c>
      <c r="F122" s="116"/>
      <c r="G122" s="116"/>
      <c r="H122" s="117"/>
      <c r="I122" s="118" t="s">
        <v>28</v>
      </c>
      <c r="J122" s="119"/>
      <c r="K122" s="119"/>
      <c r="L122" s="120"/>
      <c r="M122" s="121" t="s">
        <v>7</v>
      </c>
      <c r="N122" s="122"/>
      <c r="O122" s="122"/>
      <c r="P122" s="122"/>
      <c r="Q122" s="124" t="s">
        <v>29</v>
      </c>
      <c r="R122" s="125"/>
      <c r="S122" s="125"/>
      <c r="T122" s="126"/>
      <c r="U122" s="128" t="s">
        <v>8</v>
      </c>
      <c r="V122" s="128"/>
      <c r="W122" s="128"/>
      <c r="X122" s="129"/>
      <c r="Y122" s="130" t="s">
        <v>0</v>
      </c>
      <c r="Z122" s="131"/>
      <c r="AA122" s="131"/>
      <c r="AB122" s="132"/>
      <c r="AC122" s="133" t="s">
        <v>34</v>
      </c>
      <c r="AD122" s="134"/>
      <c r="AE122" s="134"/>
      <c r="AF122" s="135"/>
      <c r="AG122" s="115" t="s">
        <v>9</v>
      </c>
      <c r="AH122" s="116"/>
      <c r="AI122" s="116"/>
      <c r="AJ122" s="117"/>
      <c r="AK122" s="136" t="s">
        <v>35</v>
      </c>
      <c r="AL122" s="137"/>
      <c r="AM122" s="137"/>
      <c r="AN122" s="138"/>
      <c r="AO122" s="139" t="s">
        <v>10</v>
      </c>
      <c r="AP122" s="140"/>
      <c r="AQ122" s="140"/>
      <c r="AR122" s="141"/>
      <c r="AS122" s="124" t="s">
        <v>36</v>
      </c>
      <c r="AT122" s="125"/>
      <c r="AU122" s="125"/>
      <c r="AV122" s="126"/>
      <c r="AW122" s="142" t="s">
        <v>11</v>
      </c>
      <c r="AX122" s="143"/>
      <c r="AY122" s="143"/>
      <c r="AZ122" s="144"/>
      <c r="BA122" s="148" t="s">
        <v>17</v>
      </c>
      <c r="BB122" s="149"/>
      <c r="BC122" s="149"/>
      <c r="BD122" s="150"/>
    </row>
    <row r="123" spans="1:56" s="1" customFormat="1" ht="15.75" thickBot="1" x14ac:dyDescent="0.3">
      <c r="A123" s="41" t="s">
        <v>13</v>
      </c>
      <c r="B123" s="42" t="s">
        <v>15</v>
      </c>
      <c r="C123" s="42" t="s">
        <v>32</v>
      </c>
      <c r="D123" s="43" t="s">
        <v>18</v>
      </c>
      <c r="E123" s="30" t="s">
        <v>30</v>
      </c>
      <c r="F123" s="31" t="s">
        <v>61</v>
      </c>
      <c r="G123" s="31" t="s">
        <v>38</v>
      </c>
      <c r="H123" s="32" t="s">
        <v>62</v>
      </c>
      <c r="I123" s="37" t="s">
        <v>31</v>
      </c>
      <c r="J123" s="38" t="s">
        <v>39</v>
      </c>
      <c r="K123" s="38" t="s">
        <v>40</v>
      </c>
      <c r="L123" s="39" t="s">
        <v>63</v>
      </c>
      <c r="M123" s="40" t="s">
        <v>19</v>
      </c>
      <c r="N123" s="7" t="s">
        <v>41</v>
      </c>
      <c r="O123" s="7" t="s">
        <v>37</v>
      </c>
      <c r="P123" s="7" t="s">
        <v>64</v>
      </c>
      <c r="Q123" s="27" t="s">
        <v>20</v>
      </c>
      <c r="R123" s="28" t="s">
        <v>60</v>
      </c>
      <c r="S123" s="28" t="s">
        <v>59</v>
      </c>
      <c r="T123" s="29" t="s">
        <v>65</v>
      </c>
      <c r="U123" s="48" t="s">
        <v>21</v>
      </c>
      <c r="V123" s="48" t="s">
        <v>42</v>
      </c>
      <c r="W123" s="48" t="s">
        <v>43</v>
      </c>
      <c r="X123" s="49" t="s">
        <v>66</v>
      </c>
      <c r="Y123" s="50" t="s">
        <v>22</v>
      </c>
      <c r="Z123" s="51" t="s">
        <v>44</v>
      </c>
      <c r="AA123" s="51" t="s">
        <v>45</v>
      </c>
      <c r="AB123" s="52" t="s">
        <v>67</v>
      </c>
      <c r="AC123" s="45" t="s">
        <v>23</v>
      </c>
      <c r="AD123" s="46" t="s">
        <v>46</v>
      </c>
      <c r="AE123" s="46" t="s">
        <v>47</v>
      </c>
      <c r="AF123" s="47" t="s">
        <v>68</v>
      </c>
      <c r="AG123" s="30" t="s">
        <v>24</v>
      </c>
      <c r="AH123" s="31" t="s">
        <v>48</v>
      </c>
      <c r="AI123" s="31" t="s">
        <v>49</v>
      </c>
      <c r="AJ123" s="32" t="s">
        <v>69</v>
      </c>
      <c r="AK123" s="53" t="s">
        <v>25</v>
      </c>
      <c r="AL123" s="54" t="s">
        <v>50</v>
      </c>
      <c r="AM123" s="54" t="s">
        <v>51</v>
      </c>
      <c r="AN123" s="55" t="s">
        <v>70</v>
      </c>
      <c r="AO123" s="56" t="s">
        <v>26</v>
      </c>
      <c r="AP123" s="57" t="s">
        <v>52</v>
      </c>
      <c r="AQ123" s="57" t="s">
        <v>53</v>
      </c>
      <c r="AR123" s="58" t="s">
        <v>71</v>
      </c>
      <c r="AS123" s="59" t="s">
        <v>55</v>
      </c>
      <c r="AT123" s="60" t="s">
        <v>54</v>
      </c>
      <c r="AU123" s="60" t="s">
        <v>56</v>
      </c>
      <c r="AV123" s="61" t="s">
        <v>76</v>
      </c>
      <c r="AW123" s="62" t="s">
        <v>72</v>
      </c>
      <c r="AX123" s="63" t="s">
        <v>73</v>
      </c>
      <c r="AY123" s="63" t="s">
        <v>74</v>
      </c>
      <c r="AZ123" s="64" t="s">
        <v>75</v>
      </c>
      <c r="BA123" s="71" t="s">
        <v>77</v>
      </c>
      <c r="BB123" s="72" t="s">
        <v>57</v>
      </c>
      <c r="BC123" s="72" t="s">
        <v>58</v>
      </c>
      <c r="BD123" s="73" t="s">
        <v>78</v>
      </c>
    </row>
    <row r="124" spans="1:56" ht="15.75" thickBot="1" x14ac:dyDescent="0.3">
      <c r="A124" s="17" t="s">
        <v>1</v>
      </c>
      <c r="B124" s="14">
        <v>92140</v>
      </c>
      <c r="C124" s="34">
        <f>B124/F121</f>
        <v>47.227063044592519</v>
      </c>
      <c r="D124" s="14">
        <v>1525</v>
      </c>
      <c r="E124" s="67">
        <v>0</v>
      </c>
      <c r="F124" s="69">
        <v>0</v>
      </c>
      <c r="G124" s="34" t="e">
        <f t="shared" ref="G124:G130" si="260">E124/F124</f>
        <v>#DIV/0!</v>
      </c>
      <c r="H124" s="10" t="e">
        <f t="shared" ref="H124:H130" si="261">G124/C124</f>
        <v>#DIV/0!</v>
      </c>
      <c r="I124" s="34">
        <v>0</v>
      </c>
      <c r="J124" s="69">
        <v>0</v>
      </c>
      <c r="K124" s="34" t="e">
        <f t="shared" ref="K124:K130" si="262">I124/J124</f>
        <v>#DIV/0!</v>
      </c>
      <c r="L124" s="9" t="e">
        <f t="shared" ref="L124:L130" si="263">K124/C124</f>
        <v>#DIV/0!</v>
      </c>
      <c r="M124" s="67">
        <v>0</v>
      </c>
      <c r="N124" s="26">
        <v>0</v>
      </c>
      <c r="O124" s="34" t="e">
        <f t="shared" ref="O124:O130" si="264">M124/N124</f>
        <v>#DIV/0!</v>
      </c>
      <c r="P124" s="10" t="e">
        <f t="shared" ref="P124:P130" si="265">O124/C124</f>
        <v>#DIV/0!</v>
      </c>
      <c r="Q124" s="35">
        <v>0</v>
      </c>
      <c r="R124" s="66">
        <v>0</v>
      </c>
      <c r="S124" s="35" t="e">
        <f t="shared" ref="S124:S130" si="266">Q124/R124</f>
        <v>#DIV/0!</v>
      </c>
      <c r="T124" s="6" t="e">
        <f t="shared" ref="T124:T130" si="267">S124/C124</f>
        <v>#DIV/0!</v>
      </c>
      <c r="U124" s="67">
        <v>0</v>
      </c>
      <c r="V124" s="65">
        <v>0</v>
      </c>
      <c r="W124" s="18" t="e">
        <f t="shared" ref="W124:W130" si="268">U124/V124</f>
        <v>#DIV/0!</v>
      </c>
      <c r="X124" s="9" t="e">
        <f t="shared" ref="X124:X130" si="269">W124/C124</f>
        <v>#DIV/0!</v>
      </c>
      <c r="Y124" s="67">
        <v>0</v>
      </c>
      <c r="Z124" s="69">
        <v>0</v>
      </c>
      <c r="AA124" s="34" t="e">
        <f t="shared" ref="AA124:AA130" si="270">Y124/Z124</f>
        <v>#DIV/0!</v>
      </c>
      <c r="AB124" s="10" t="e">
        <f t="shared" ref="AB124:AB130" si="271">AA124/C124</f>
        <v>#DIV/0!</v>
      </c>
      <c r="AC124" s="18">
        <v>10770</v>
      </c>
      <c r="AD124" s="33">
        <v>768</v>
      </c>
      <c r="AE124" s="34">
        <f t="shared" ref="AE124:AE130" si="272">AC124/AD124</f>
        <v>14.0234375</v>
      </c>
      <c r="AF124" s="9">
        <f t="shared" ref="AF124:AF130" si="273">AE124/C124</f>
        <v>0.29693647235185583</v>
      </c>
      <c r="AG124" s="67">
        <v>0</v>
      </c>
      <c r="AH124" s="65">
        <v>0</v>
      </c>
      <c r="AI124" s="34" t="e">
        <f t="shared" ref="AI124:AI130" si="274">AG124/AH124</f>
        <v>#DIV/0!</v>
      </c>
      <c r="AJ124" s="9" t="e">
        <f t="shared" ref="AJ124:AJ130" si="275">AI124/C124</f>
        <v>#DIV/0!</v>
      </c>
      <c r="AK124" s="67">
        <v>3750</v>
      </c>
      <c r="AL124" s="65">
        <v>443</v>
      </c>
      <c r="AM124" s="34">
        <f t="shared" ref="AM124:AM130" si="276">AK124/AL124</f>
        <v>8.4650112866817153</v>
      </c>
      <c r="AN124" s="9">
        <f t="shared" ref="AN124:AN130" si="277">AM124/C124</f>
        <v>0.17924068830384227</v>
      </c>
      <c r="AO124" s="67">
        <v>0</v>
      </c>
      <c r="AP124" s="65">
        <v>0</v>
      </c>
      <c r="AQ124" s="34" t="e">
        <f t="shared" ref="AQ124:AQ130" si="278">AO124/AP124</f>
        <v>#DIV/0!</v>
      </c>
      <c r="AR124" s="9" t="e">
        <f t="shared" ref="AR124:AR130" si="279">AQ124/C124</f>
        <v>#DIV/0!</v>
      </c>
      <c r="AS124" s="67">
        <v>0</v>
      </c>
      <c r="AT124" s="65">
        <v>0</v>
      </c>
      <c r="AU124" s="34" t="e">
        <f t="shared" ref="AU124:AU130" si="280">AS124/AT124</f>
        <v>#DIV/0!</v>
      </c>
      <c r="AV124" s="9" t="e">
        <f t="shared" ref="AV124:AV130" si="281">AU124/C124</f>
        <v>#DIV/0!</v>
      </c>
      <c r="AW124" s="67">
        <v>0</v>
      </c>
      <c r="AX124" s="65">
        <v>0</v>
      </c>
      <c r="AY124" s="34" t="e">
        <f t="shared" ref="AY124:AY130" si="282">AW124/AX124</f>
        <v>#DIV/0!</v>
      </c>
      <c r="AZ124" s="9" t="e">
        <f t="shared" ref="AZ124:AZ130" si="283">AY124/C124</f>
        <v>#DIV/0!</v>
      </c>
      <c r="BA124" s="67">
        <v>0</v>
      </c>
      <c r="BB124" s="65">
        <v>0</v>
      </c>
      <c r="BC124" s="34" t="e">
        <f t="shared" ref="BC124:BC130" si="284">BA124/BB124</f>
        <v>#DIV/0!</v>
      </c>
      <c r="BD124" s="10" t="e">
        <f t="shared" ref="BD124:BD130" si="285">BC124/C124</f>
        <v>#DIV/0!</v>
      </c>
    </row>
    <row r="125" spans="1:56" ht="15.75" thickBot="1" x14ac:dyDescent="0.3">
      <c r="A125" s="19" t="s">
        <v>16</v>
      </c>
      <c r="B125" s="8">
        <v>108360</v>
      </c>
      <c r="C125" s="35">
        <f>B125/F121</f>
        <v>55.540748334187597</v>
      </c>
      <c r="D125" s="8">
        <v>1525</v>
      </c>
      <c r="E125" s="68">
        <v>0</v>
      </c>
      <c r="F125" s="70">
        <v>0</v>
      </c>
      <c r="G125" s="35" t="e">
        <f t="shared" si="260"/>
        <v>#DIV/0!</v>
      </c>
      <c r="H125" s="11" t="e">
        <f t="shared" si="261"/>
        <v>#DIV/0!</v>
      </c>
      <c r="I125" s="35">
        <v>0</v>
      </c>
      <c r="J125" s="70">
        <v>0</v>
      </c>
      <c r="K125" s="35" t="e">
        <f t="shared" si="262"/>
        <v>#DIV/0!</v>
      </c>
      <c r="L125" s="6" t="e">
        <f t="shared" si="263"/>
        <v>#DIV/0!</v>
      </c>
      <c r="M125" s="68">
        <v>0</v>
      </c>
      <c r="N125" s="5">
        <v>0</v>
      </c>
      <c r="O125" s="35" t="e">
        <f t="shared" si="264"/>
        <v>#DIV/0!</v>
      </c>
      <c r="P125" s="11" t="e">
        <f t="shared" si="265"/>
        <v>#DIV/0!</v>
      </c>
      <c r="Q125" s="35">
        <v>0</v>
      </c>
      <c r="R125" s="66">
        <v>0</v>
      </c>
      <c r="S125" s="35" t="e">
        <f t="shared" si="266"/>
        <v>#DIV/0!</v>
      </c>
      <c r="T125" s="6" t="e">
        <f t="shared" si="267"/>
        <v>#DIV/0!</v>
      </c>
      <c r="U125" s="68">
        <v>0</v>
      </c>
      <c r="V125" s="66">
        <v>0</v>
      </c>
      <c r="W125" s="20" t="e">
        <f t="shared" si="268"/>
        <v>#DIV/0!</v>
      </c>
      <c r="X125" s="6" t="e">
        <f t="shared" si="269"/>
        <v>#DIV/0!</v>
      </c>
      <c r="Y125" s="68">
        <v>0</v>
      </c>
      <c r="Z125" s="70">
        <v>0</v>
      </c>
      <c r="AA125" s="35" t="e">
        <f t="shared" si="270"/>
        <v>#DIV/0!</v>
      </c>
      <c r="AB125" s="11" t="e">
        <f t="shared" si="271"/>
        <v>#DIV/0!</v>
      </c>
      <c r="AC125" s="20">
        <v>13910</v>
      </c>
      <c r="AD125" s="33">
        <v>768</v>
      </c>
      <c r="AE125" s="35">
        <f t="shared" si="272"/>
        <v>18.111979166666668</v>
      </c>
      <c r="AF125" s="6">
        <f t="shared" si="273"/>
        <v>0.32610254110526643</v>
      </c>
      <c r="AG125" s="68">
        <v>0</v>
      </c>
      <c r="AH125" s="66">
        <v>0</v>
      </c>
      <c r="AI125" s="35" t="e">
        <f t="shared" si="274"/>
        <v>#DIV/0!</v>
      </c>
      <c r="AJ125" s="6" t="e">
        <f t="shared" si="275"/>
        <v>#DIV/0!</v>
      </c>
      <c r="AK125" s="68">
        <v>5160</v>
      </c>
      <c r="AL125" s="65">
        <v>443</v>
      </c>
      <c r="AM125" s="35">
        <f t="shared" si="276"/>
        <v>11.647855530474041</v>
      </c>
      <c r="AN125" s="6">
        <f t="shared" si="277"/>
        <v>0.20971729549607654</v>
      </c>
      <c r="AO125" s="68">
        <v>0</v>
      </c>
      <c r="AP125" s="66">
        <v>0</v>
      </c>
      <c r="AQ125" s="35" t="e">
        <f t="shared" si="278"/>
        <v>#DIV/0!</v>
      </c>
      <c r="AR125" s="6" t="e">
        <f t="shared" si="279"/>
        <v>#DIV/0!</v>
      </c>
      <c r="AS125" s="68">
        <v>0</v>
      </c>
      <c r="AT125" s="66">
        <v>0</v>
      </c>
      <c r="AU125" s="35" t="e">
        <f t="shared" si="280"/>
        <v>#DIV/0!</v>
      </c>
      <c r="AV125" s="6" t="e">
        <f t="shared" si="281"/>
        <v>#DIV/0!</v>
      </c>
      <c r="AW125" s="68">
        <v>0</v>
      </c>
      <c r="AX125" s="66">
        <v>0</v>
      </c>
      <c r="AY125" s="35" t="e">
        <f t="shared" si="282"/>
        <v>#DIV/0!</v>
      </c>
      <c r="AZ125" s="6" t="e">
        <f t="shared" si="283"/>
        <v>#DIV/0!</v>
      </c>
      <c r="BA125" s="68">
        <v>0</v>
      </c>
      <c r="BB125" s="66">
        <v>0</v>
      </c>
      <c r="BC125" s="35" t="e">
        <f t="shared" si="284"/>
        <v>#DIV/0!</v>
      </c>
      <c r="BD125" s="11" t="e">
        <f t="shared" si="285"/>
        <v>#DIV/0!</v>
      </c>
    </row>
    <row r="126" spans="1:56" ht="15.75" thickBot="1" x14ac:dyDescent="0.3">
      <c r="A126" s="19" t="s">
        <v>2</v>
      </c>
      <c r="B126" s="8">
        <v>126290</v>
      </c>
      <c r="C126" s="35">
        <f>B126/F121</f>
        <v>64.730907227063042</v>
      </c>
      <c r="D126" s="8">
        <v>2100</v>
      </c>
      <c r="E126" s="68">
        <v>0</v>
      </c>
      <c r="F126" s="70">
        <v>0</v>
      </c>
      <c r="G126" s="35" t="e">
        <f t="shared" si="260"/>
        <v>#DIV/0!</v>
      </c>
      <c r="H126" s="11" t="e">
        <f t="shared" si="261"/>
        <v>#DIV/0!</v>
      </c>
      <c r="I126" s="35">
        <v>0</v>
      </c>
      <c r="J126" s="70">
        <v>0</v>
      </c>
      <c r="K126" s="35" t="e">
        <f t="shared" si="262"/>
        <v>#DIV/0!</v>
      </c>
      <c r="L126" s="6" t="e">
        <f t="shared" si="263"/>
        <v>#DIV/0!</v>
      </c>
      <c r="M126" s="68">
        <v>0</v>
      </c>
      <c r="N126" s="5">
        <v>0</v>
      </c>
      <c r="O126" s="35" t="e">
        <f t="shared" si="264"/>
        <v>#DIV/0!</v>
      </c>
      <c r="P126" s="11" t="e">
        <f t="shared" si="265"/>
        <v>#DIV/0!</v>
      </c>
      <c r="Q126" s="35">
        <v>0</v>
      </c>
      <c r="R126" s="66">
        <v>0</v>
      </c>
      <c r="S126" s="35" t="e">
        <f t="shared" si="266"/>
        <v>#DIV/0!</v>
      </c>
      <c r="T126" s="6" t="e">
        <f t="shared" si="267"/>
        <v>#DIV/0!</v>
      </c>
      <c r="U126" s="68">
        <v>0</v>
      </c>
      <c r="V126" s="66">
        <v>0</v>
      </c>
      <c r="W126" s="20" t="e">
        <f t="shared" si="268"/>
        <v>#DIV/0!</v>
      </c>
      <c r="X126" s="6" t="e">
        <f t="shared" si="269"/>
        <v>#DIV/0!</v>
      </c>
      <c r="Y126" s="68">
        <v>0</v>
      </c>
      <c r="Z126" s="70">
        <v>0</v>
      </c>
      <c r="AA126" s="35" t="e">
        <f t="shared" si="270"/>
        <v>#DIV/0!</v>
      </c>
      <c r="AB126" s="11" t="e">
        <f t="shared" si="271"/>
        <v>#DIV/0!</v>
      </c>
      <c r="AC126" s="20">
        <v>18180</v>
      </c>
      <c r="AD126" s="33">
        <v>768</v>
      </c>
      <c r="AE126" s="35">
        <f t="shared" si="272"/>
        <v>23.671875</v>
      </c>
      <c r="AF126" s="6">
        <f t="shared" si="273"/>
        <v>0.36569663571937605</v>
      </c>
      <c r="AG126" s="68">
        <v>0</v>
      </c>
      <c r="AH126" s="66">
        <v>0</v>
      </c>
      <c r="AI126" s="35" t="e">
        <f t="shared" si="274"/>
        <v>#DIV/0!</v>
      </c>
      <c r="AJ126" s="6" t="e">
        <f t="shared" si="275"/>
        <v>#DIV/0!</v>
      </c>
      <c r="AK126" s="68">
        <v>6030</v>
      </c>
      <c r="AL126" s="65">
        <v>443</v>
      </c>
      <c r="AM126" s="35">
        <f t="shared" si="276"/>
        <v>13.611738148984198</v>
      </c>
      <c r="AN126" s="6">
        <f t="shared" si="277"/>
        <v>0.21028189982317025</v>
      </c>
      <c r="AO126" s="68">
        <v>0</v>
      </c>
      <c r="AP126" s="66">
        <v>0</v>
      </c>
      <c r="AQ126" s="35" t="e">
        <f t="shared" si="278"/>
        <v>#DIV/0!</v>
      </c>
      <c r="AR126" s="6" t="e">
        <f t="shared" si="279"/>
        <v>#DIV/0!</v>
      </c>
      <c r="AS126" s="68">
        <v>0</v>
      </c>
      <c r="AT126" s="66">
        <v>0</v>
      </c>
      <c r="AU126" s="35" t="e">
        <f t="shared" si="280"/>
        <v>#DIV/0!</v>
      </c>
      <c r="AV126" s="6" t="e">
        <f t="shared" si="281"/>
        <v>#DIV/0!</v>
      </c>
      <c r="AW126" s="68">
        <v>0</v>
      </c>
      <c r="AX126" s="66">
        <v>0</v>
      </c>
      <c r="AY126" s="35" t="e">
        <f t="shared" si="282"/>
        <v>#DIV/0!</v>
      </c>
      <c r="AZ126" s="6" t="e">
        <f t="shared" si="283"/>
        <v>#DIV/0!</v>
      </c>
      <c r="BA126" s="68">
        <v>0</v>
      </c>
      <c r="BB126" s="66">
        <v>0</v>
      </c>
      <c r="BC126" s="35" t="e">
        <f t="shared" si="284"/>
        <v>#DIV/0!</v>
      </c>
      <c r="BD126" s="11" t="e">
        <f t="shared" si="285"/>
        <v>#DIV/0!</v>
      </c>
    </row>
    <row r="127" spans="1:56" ht="15.75" thickBot="1" x14ac:dyDescent="0.3">
      <c r="A127" s="19" t="s">
        <v>3</v>
      </c>
      <c r="B127" s="8">
        <v>154430</v>
      </c>
      <c r="C127" s="35">
        <f>B127/F121</f>
        <v>79.154279856483853</v>
      </c>
      <c r="D127" s="8">
        <v>2700</v>
      </c>
      <c r="E127" s="68">
        <v>0</v>
      </c>
      <c r="F127" s="70">
        <v>0</v>
      </c>
      <c r="G127" s="35" t="e">
        <f t="shared" si="260"/>
        <v>#DIV/0!</v>
      </c>
      <c r="H127" s="11" t="e">
        <f t="shared" si="261"/>
        <v>#DIV/0!</v>
      </c>
      <c r="I127" s="35">
        <v>0</v>
      </c>
      <c r="J127" s="70">
        <v>0</v>
      </c>
      <c r="K127" s="35" t="e">
        <f t="shared" si="262"/>
        <v>#DIV/0!</v>
      </c>
      <c r="L127" s="6" t="e">
        <f t="shared" si="263"/>
        <v>#DIV/0!</v>
      </c>
      <c r="M127" s="68">
        <v>0</v>
      </c>
      <c r="N127" s="5">
        <v>0</v>
      </c>
      <c r="O127" s="35" t="e">
        <f t="shared" si="264"/>
        <v>#DIV/0!</v>
      </c>
      <c r="P127" s="11" t="e">
        <f t="shared" si="265"/>
        <v>#DIV/0!</v>
      </c>
      <c r="Q127" s="35">
        <v>0</v>
      </c>
      <c r="R127" s="66">
        <v>0</v>
      </c>
      <c r="S127" s="35" t="e">
        <f t="shared" si="266"/>
        <v>#DIV/0!</v>
      </c>
      <c r="T127" s="6" t="e">
        <f t="shared" si="267"/>
        <v>#DIV/0!</v>
      </c>
      <c r="U127" s="68">
        <v>0</v>
      </c>
      <c r="V127" s="66">
        <v>0</v>
      </c>
      <c r="W127" s="20" t="e">
        <f t="shared" si="268"/>
        <v>#DIV/0!</v>
      </c>
      <c r="X127" s="6" t="e">
        <f t="shared" si="269"/>
        <v>#DIV/0!</v>
      </c>
      <c r="Y127" s="68">
        <v>0</v>
      </c>
      <c r="Z127" s="70">
        <v>0</v>
      </c>
      <c r="AA127" s="35" t="e">
        <f t="shared" si="270"/>
        <v>#DIV/0!</v>
      </c>
      <c r="AB127" s="11" t="e">
        <f t="shared" si="271"/>
        <v>#DIV/0!</v>
      </c>
      <c r="AC127" s="20">
        <v>19360</v>
      </c>
      <c r="AD127" s="33">
        <v>768</v>
      </c>
      <c r="AE127" s="35">
        <f t="shared" si="272"/>
        <v>25.208333333333332</v>
      </c>
      <c r="AF127" s="6">
        <f t="shared" si="273"/>
        <v>0.3184708821688359</v>
      </c>
      <c r="AG127" s="68">
        <v>0</v>
      </c>
      <c r="AH127" s="66">
        <v>0</v>
      </c>
      <c r="AI127" s="35" t="e">
        <f t="shared" si="274"/>
        <v>#DIV/0!</v>
      </c>
      <c r="AJ127" s="6" t="e">
        <f t="shared" si="275"/>
        <v>#DIV/0!</v>
      </c>
      <c r="AK127" s="68">
        <v>7880</v>
      </c>
      <c r="AL127" s="65">
        <v>443</v>
      </c>
      <c r="AM127" s="35">
        <f t="shared" si="276"/>
        <v>17.787810383747178</v>
      </c>
      <c r="AN127" s="6">
        <f t="shared" si="277"/>
        <v>0.22472329248650355</v>
      </c>
      <c r="AO127" s="68">
        <v>0</v>
      </c>
      <c r="AP127" s="66">
        <v>0</v>
      </c>
      <c r="AQ127" s="35" t="e">
        <f t="shared" si="278"/>
        <v>#DIV/0!</v>
      </c>
      <c r="AR127" s="6" t="e">
        <f t="shared" si="279"/>
        <v>#DIV/0!</v>
      </c>
      <c r="AS127" s="68">
        <v>0</v>
      </c>
      <c r="AT127" s="66">
        <v>0</v>
      </c>
      <c r="AU127" s="35" t="e">
        <f t="shared" si="280"/>
        <v>#DIV/0!</v>
      </c>
      <c r="AV127" s="6" t="e">
        <f t="shared" si="281"/>
        <v>#DIV/0!</v>
      </c>
      <c r="AW127" s="68">
        <v>0</v>
      </c>
      <c r="AX127" s="66">
        <v>0</v>
      </c>
      <c r="AY127" s="35" t="e">
        <f t="shared" si="282"/>
        <v>#DIV/0!</v>
      </c>
      <c r="AZ127" s="6" t="e">
        <f t="shared" si="283"/>
        <v>#DIV/0!</v>
      </c>
      <c r="BA127" s="68">
        <v>0</v>
      </c>
      <c r="BB127" s="66">
        <v>0</v>
      </c>
      <c r="BC127" s="35" t="e">
        <f t="shared" si="284"/>
        <v>#DIV/0!</v>
      </c>
      <c r="BD127" s="11" t="e">
        <f t="shared" si="285"/>
        <v>#DIV/0!</v>
      </c>
    </row>
    <row r="128" spans="1:56" ht="15.75" thickBot="1" x14ac:dyDescent="0.3">
      <c r="A128" s="19" t="s">
        <v>4</v>
      </c>
      <c r="B128" s="8">
        <v>190890</v>
      </c>
      <c r="C128" s="35">
        <f>B128/F121</f>
        <v>97.842132239876989</v>
      </c>
      <c r="D128" s="8">
        <v>5250</v>
      </c>
      <c r="E128" s="68">
        <v>0</v>
      </c>
      <c r="F128" s="70">
        <v>0</v>
      </c>
      <c r="G128" s="35" t="e">
        <f t="shared" si="260"/>
        <v>#DIV/0!</v>
      </c>
      <c r="H128" s="11" t="e">
        <f t="shared" si="261"/>
        <v>#DIV/0!</v>
      </c>
      <c r="I128" s="35">
        <v>0</v>
      </c>
      <c r="J128" s="70">
        <v>0</v>
      </c>
      <c r="K128" s="35" t="e">
        <f t="shared" si="262"/>
        <v>#DIV/0!</v>
      </c>
      <c r="L128" s="6" t="e">
        <f t="shared" si="263"/>
        <v>#DIV/0!</v>
      </c>
      <c r="M128" s="68">
        <v>0</v>
      </c>
      <c r="N128" s="5">
        <v>0</v>
      </c>
      <c r="O128" s="35" t="e">
        <f t="shared" si="264"/>
        <v>#DIV/0!</v>
      </c>
      <c r="P128" s="11" t="e">
        <f t="shared" si="265"/>
        <v>#DIV/0!</v>
      </c>
      <c r="Q128" s="35">
        <v>0</v>
      </c>
      <c r="R128" s="66">
        <v>0</v>
      </c>
      <c r="S128" s="35" t="e">
        <f t="shared" si="266"/>
        <v>#DIV/0!</v>
      </c>
      <c r="T128" s="6" t="e">
        <f t="shared" si="267"/>
        <v>#DIV/0!</v>
      </c>
      <c r="U128" s="68">
        <v>0</v>
      </c>
      <c r="V128" s="66">
        <v>0</v>
      </c>
      <c r="W128" s="20" t="e">
        <f t="shared" si="268"/>
        <v>#DIV/0!</v>
      </c>
      <c r="X128" s="6" t="e">
        <f t="shared" si="269"/>
        <v>#DIV/0!</v>
      </c>
      <c r="Y128" s="68">
        <v>0</v>
      </c>
      <c r="Z128" s="70">
        <v>0</v>
      </c>
      <c r="AA128" s="35" t="e">
        <f t="shared" si="270"/>
        <v>#DIV/0!</v>
      </c>
      <c r="AB128" s="11" t="e">
        <f t="shared" si="271"/>
        <v>#DIV/0!</v>
      </c>
      <c r="AC128" s="20">
        <v>21990</v>
      </c>
      <c r="AD128" s="33">
        <v>768</v>
      </c>
      <c r="AE128" s="35">
        <f t="shared" si="272"/>
        <v>28.6328125</v>
      </c>
      <c r="AF128" s="6">
        <f t="shared" si="273"/>
        <v>0.2926429733747184</v>
      </c>
      <c r="AG128" s="68">
        <v>0</v>
      </c>
      <c r="AH128" s="66">
        <v>0</v>
      </c>
      <c r="AI128" s="35" t="e">
        <f t="shared" si="274"/>
        <v>#DIV/0!</v>
      </c>
      <c r="AJ128" s="6" t="e">
        <f t="shared" si="275"/>
        <v>#DIV/0!</v>
      </c>
      <c r="AK128" s="68">
        <v>8650</v>
      </c>
      <c r="AL128" s="65">
        <v>443</v>
      </c>
      <c r="AM128" s="35">
        <f t="shared" si="276"/>
        <v>19.525959367945823</v>
      </c>
      <c r="AN128" s="6">
        <f t="shared" si="277"/>
        <v>0.19956596326084289</v>
      </c>
      <c r="AO128" s="68">
        <v>0</v>
      </c>
      <c r="AP128" s="66">
        <v>0</v>
      </c>
      <c r="AQ128" s="35" t="e">
        <f t="shared" si="278"/>
        <v>#DIV/0!</v>
      </c>
      <c r="AR128" s="6" t="e">
        <f t="shared" si="279"/>
        <v>#DIV/0!</v>
      </c>
      <c r="AS128" s="68">
        <v>0</v>
      </c>
      <c r="AT128" s="66">
        <v>0</v>
      </c>
      <c r="AU128" s="35" t="e">
        <f t="shared" si="280"/>
        <v>#DIV/0!</v>
      </c>
      <c r="AV128" s="6" t="e">
        <f t="shared" si="281"/>
        <v>#DIV/0!</v>
      </c>
      <c r="AW128" s="68">
        <v>0</v>
      </c>
      <c r="AX128" s="66">
        <v>0</v>
      </c>
      <c r="AY128" s="35" t="e">
        <f t="shared" si="282"/>
        <v>#DIV/0!</v>
      </c>
      <c r="AZ128" s="6" t="e">
        <f t="shared" si="283"/>
        <v>#DIV/0!</v>
      </c>
      <c r="BA128" s="68">
        <v>0</v>
      </c>
      <c r="BB128" s="66">
        <v>0</v>
      </c>
      <c r="BC128" s="35" t="e">
        <f t="shared" si="284"/>
        <v>#DIV/0!</v>
      </c>
      <c r="BD128" s="11" t="e">
        <f t="shared" si="285"/>
        <v>#DIV/0!</v>
      </c>
    </row>
    <row r="129" spans="1:56" ht="15.75" thickBot="1" x14ac:dyDescent="0.3">
      <c r="A129" s="19" t="s">
        <v>5</v>
      </c>
      <c r="B129" s="8">
        <v>245650</v>
      </c>
      <c r="C129" s="35">
        <f>B129/F121</f>
        <v>125.90978985135828</v>
      </c>
      <c r="D129" s="8">
        <v>7050</v>
      </c>
      <c r="E129" s="68">
        <v>0</v>
      </c>
      <c r="F129" s="70">
        <v>0</v>
      </c>
      <c r="G129" s="35" t="e">
        <f t="shared" si="260"/>
        <v>#DIV/0!</v>
      </c>
      <c r="H129" s="11" t="e">
        <f t="shared" si="261"/>
        <v>#DIV/0!</v>
      </c>
      <c r="I129" s="35">
        <v>0</v>
      </c>
      <c r="J129" s="70">
        <v>0</v>
      </c>
      <c r="K129" s="35" t="e">
        <f t="shared" si="262"/>
        <v>#DIV/0!</v>
      </c>
      <c r="L129" s="6" t="e">
        <f t="shared" si="263"/>
        <v>#DIV/0!</v>
      </c>
      <c r="M129" s="68">
        <v>0</v>
      </c>
      <c r="N129" s="5">
        <v>0</v>
      </c>
      <c r="O129" s="35" t="e">
        <f t="shared" si="264"/>
        <v>#DIV/0!</v>
      </c>
      <c r="P129" s="11" t="e">
        <f t="shared" si="265"/>
        <v>#DIV/0!</v>
      </c>
      <c r="Q129" s="35">
        <v>0</v>
      </c>
      <c r="R129" s="66">
        <v>0</v>
      </c>
      <c r="S129" s="35" t="e">
        <f t="shared" si="266"/>
        <v>#DIV/0!</v>
      </c>
      <c r="T129" s="6" t="e">
        <f t="shared" si="267"/>
        <v>#DIV/0!</v>
      </c>
      <c r="U129" s="68">
        <v>0</v>
      </c>
      <c r="V129" s="66">
        <v>0</v>
      </c>
      <c r="W129" s="20" t="e">
        <f t="shared" si="268"/>
        <v>#DIV/0!</v>
      </c>
      <c r="X129" s="6" t="e">
        <f t="shared" si="269"/>
        <v>#DIV/0!</v>
      </c>
      <c r="Y129" s="68">
        <v>0</v>
      </c>
      <c r="Z129" s="70">
        <v>0</v>
      </c>
      <c r="AA129" s="35" t="e">
        <f t="shared" si="270"/>
        <v>#DIV/0!</v>
      </c>
      <c r="AB129" s="11" t="e">
        <f t="shared" si="271"/>
        <v>#DIV/0!</v>
      </c>
      <c r="AC129" s="20">
        <v>23050</v>
      </c>
      <c r="AD129" s="33">
        <v>768</v>
      </c>
      <c r="AE129" s="35">
        <f t="shared" si="272"/>
        <v>30.013020833333332</v>
      </c>
      <c r="AF129" s="6">
        <f t="shared" si="273"/>
        <v>0.23836923934798832</v>
      </c>
      <c r="AG129" s="68">
        <v>0</v>
      </c>
      <c r="AH129" s="66">
        <v>0</v>
      </c>
      <c r="AI129" s="35" t="e">
        <f t="shared" si="274"/>
        <v>#DIV/0!</v>
      </c>
      <c r="AJ129" s="6" t="e">
        <f t="shared" si="275"/>
        <v>#DIV/0!</v>
      </c>
      <c r="AK129" s="68">
        <v>10580</v>
      </c>
      <c r="AL129" s="65">
        <v>443</v>
      </c>
      <c r="AM129" s="35">
        <f t="shared" si="276"/>
        <v>23.882618510158014</v>
      </c>
      <c r="AN129" s="6">
        <f t="shared" si="277"/>
        <v>0.18968039370371784</v>
      </c>
      <c r="AO129" s="68">
        <v>0</v>
      </c>
      <c r="AP129" s="66">
        <v>0</v>
      </c>
      <c r="AQ129" s="35" t="e">
        <f t="shared" si="278"/>
        <v>#DIV/0!</v>
      </c>
      <c r="AR129" s="6" t="e">
        <f t="shared" si="279"/>
        <v>#DIV/0!</v>
      </c>
      <c r="AS129" s="68">
        <v>0</v>
      </c>
      <c r="AT129" s="66">
        <v>0</v>
      </c>
      <c r="AU129" s="35" t="e">
        <f t="shared" si="280"/>
        <v>#DIV/0!</v>
      </c>
      <c r="AV129" s="6" t="e">
        <f t="shared" si="281"/>
        <v>#DIV/0!</v>
      </c>
      <c r="AW129" s="68">
        <v>0</v>
      </c>
      <c r="AX129" s="66">
        <v>0</v>
      </c>
      <c r="AY129" s="35" t="e">
        <f t="shared" si="282"/>
        <v>#DIV/0!</v>
      </c>
      <c r="AZ129" s="6" t="e">
        <f t="shared" si="283"/>
        <v>#DIV/0!</v>
      </c>
      <c r="BA129" s="68">
        <v>0</v>
      </c>
      <c r="BB129" s="66">
        <v>0</v>
      </c>
      <c r="BC129" s="35" t="e">
        <f t="shared" si="284"/>
        <v>#DIV/0!</v>
      </c>
      <c r="BD129" s="11" t="e">
        <f t="shared" si="285"/>
        <v>#DIV/0!</v>
      </c>
    </row>
    <row r="130" spans="1:56" x14ac:dyDescent="0.25">
      <c r="A130" s="19" t="s">
        <v>6</v>
      </c>
      <c r="B130" s="8">
        <v>308420</v>
      </c>
      <c r="C130" s="35">
        <f>B130/F121</f>
        <v>158.0830343413634</v>
      </c>
      <c r="D130" s="8">
        <v>10950</v>
      </c>
      <c r="E130" s="68">
        <v>0</v>
      </c>
      <c r="F130" s="70">
        <v>0</v>
      </c>
      <c r="G130" s="35" t="e">
        <f t="shared" si="260"/>
        <v>#DIV/0!</v>
      </c>
      <c r="H130" s="11" t="e">
        <f t="shared" si="261"/>
        <v>#DIV/0!</v>
      </c>
      <c r="I130" s="35">
        <v>0</v>
      </c>
      <c r="J130" s="70">
        <v>0</v>
      </c>
      <c r="K130" s="35" t="e">
        <f t="shared" si="262"/>
        <v>#DIV/0!</v>
      </c>
      <c r="L130" s="6" t="e">
        <f t="shared" si="263"/>
        <v>#DIV/0!</v>
      </c>
      <c r="M130" s="68">
        <v>0</v>
      </c>
      <c r="N130" s="5">
        <v>0</v>
      </c>
      <c r="O130" s="35" t="e">
        <f t="shared" si="264"/>
        <v>#DIV/0!</v>
      </c>
      <c r="P130" s="11" t="e">
        <f t="shared" si="265"/>
        <v>#DIV/0!</v>
      </c>
      <c r="Q130" s="35">
        <v>0</v>
      </c>
      <c r="R130" s="66">
        <v>0</v>
      </c>
      <c r="S130" s="35" t="e">
        <f t="shared" si="266"/>
        <v>#DIV/0!</v>
      </c>
      <c r="T130" s="6" t="e">
        <f t="shared" si="267"/>
        <v>#DIV/0!</v>
      </c>
      <c r="U130" s="68">
        <v>0</v>
      </c>
      <c r="V130" s="66">
        <v>0</v>
      </c>
      <c r="W130" s="20" t="e">
        <f t="shared" si="268"/>
        <v>#DIV/0!</v>
      </c>
      <c r="X130" s="6" t="e">
        <f t="shared" si="269"/>
        <v>#DIV/0!</v>
      </c>
      <c r="Y130" s="68">
        <v>0</v>
      </c>
      <c r="Z130" s="70">
        <v>0</v>
      </c>
      <c r="AA130" s="35" t="e">
        <f t="shared" si="270"/>
        <v>#DIV/0!</v>
      </c>
      <c r="AB130" s="11" t="e">
        <f t="shared" si="271"/>
        <v>#DIV/0!</v>
      </c>
      <c r="AC130" s="20">
        <v>33550</v>
      </c>
      <c r="AD130" s="33">
        <v>768</v>
      </c>
      <c r="AE130" s="35">
        <f t="shared" si="272"/>
        <v>43.684895833333336</v>
      </c>
      <c r="AF130" s="6">
        <f t="shared" si="273"/>
        <v>0.27634145571244839</v>
      </c>
      <c r="AG130" s="68">
        <v>0</v>
      </c>
      <c r="AH130" s="66">
        <v>0</v>
      </c>
      <c r="AI130" s="35" t="e">
        <f t="shared" si="274"/>
        <v>#DIV/0!</v>
      </c>
      <c r="AJ130" s="6" t="e">
        <f t="shared" si="275"/>
        <v>#DIV/0!</v>
      </c>
      <c r="AK130" s="68">
        <v>12850</v>
      </c>
      <c r="AL130" s="65">
        <v>443</v>
      </c>
      <c r="AM130" s="35">
        <f t="shared" si="276"/>
        <v>29.006772009029344</v>
      </c>
      <c r="AN130" s="6">
        <f t="shared" si="277"/>
        <v>0.18349073403027122</v>
      </c>
      <c r="AO130" s="68">
        <v>0</v>
      </c>
      <c r="AP130" s="66">
        <v>0</v>
      </c>
      <c r="AQ130" s="35" t="e">
        <f t="shared" si="278"/>
        <v>#DIV/0!</v>
      </c>
      <c r="AR130" s="6" t="e">
        <f t="shared" si="279"/>
        <v>#DIV/0!</v>
      </c>
      <c r="AS130" s="68">
        <v>0</v>
      </c>
      <c r="AT130" s="66">
        <v>0</v>
      </c>
      <c r="AU130" s="35" t="e">
        <f t="shared" si="280"/>
        <v>#DIV/0!</v>
      </c>
      <c r="AV130" s="6" t="e">
        <f t="shared" si="281"/>
        <v>#DIV/0!</v>
      </c>
      <c r="AW130" s="68">
        <v>0</v>
      </c>
      <c r="AX130" s="66">
        <v>0</v>
      </c>
      <c r="AY130" s="35" t="e">
        <f t="shared" si="282"/>
        <v>#DIV/0!</v>
      </c>
      <c r="AZ130" s="6" t="e">
        <f t="shared" si="283"/>
        <v>#DIV/0!</v>
      </c>
      <c r="BA130" s="68">
        <v>0</v>
      </c>
      <c r="BB130" s="66">
        <v>0</v>
      </c>
      <c r="BC130" s="35" t="e">
        <f t="shared" si="284"/>
        <v>#DIV/0!</v>
      </c>
      <c r="BD130" s="11" t="e">
        <f t="shared" si="285"/>
        <v>#DIV/0!</v>
      </c>
    </row>
    <row r="131" spans="1:56" ht="15.75" thickBot="1" x14ac:dyDescent="0.3">
      <c r="A131" s="21"/>
      <c r="B131" s="22"/>
      <c r="C131" s="23">
        <f>AVERAGE(Table110413[MA $/Sq Ft])</f>
        <v>89.783993556417954</v>
      </c>
      <c r="D131" s="22">
        <f>AVERAGE(Table110413[Basic Allowance])</f>
        <v>4442.8571428571431</v>
      </c>
      <c r="E131" s="16"/>
      <c r="F131" s="22"/>
      <c r="G131" s="15"/>
      <c r="H131" s="24" t="e">
        <f>AVERAGE(Table110413[Bsmt % Base])</f>
        <v>#DIV/0!</v>
      </c>
      <c r="I131" s="15"/>
      <c r="J131" s="15"/>
      <c r="K131" s="15"/>
      <c r="L131" s="25" t="e">
        <f>AVERAGE(Table110413[[#Headers],[#Data],[UnfBsmt % Base]])</f>
        <v>#DIV/0!</v>
      </c>
      <c r="M131" s="44"/>
      <c r="N131" s="15"/>
      <c r="O131" s="23" t="e">
        <f>AVERAGE(Table110413[LowerVal/SqFt])</f>
        <v>#DIV/0!</v>
      </c>
      <c r="P131" s="24" t="e">
        <f>AVERAGE(Table110413[Lower % Base])</f>
        <v>#DIV/0!</v>
      </c>
      <c r="Q131" s="13"/>
      <c r="R131" s="13"/>
      <c r="S131" s="13"/>
      <c r="T131" s="25" t="e">
        <f>AVERAGE(Table110413[Unf Lower % Base])</f>
        <v>#DIV/0!</v>
      </c>
      <c r="U131" s="12"/>
      <c r="V131" s="13"/>
      <c r="W131" s="13"/>
      <c r="X131" s="25" t="e">
        <f>AVERAGE(Table110413[1/2 Story % Base])</f>
        <v>#DIV/0!</v>
      </c>
      <c r="Y131" s="12"/>
      <c r="Z131" s="13"/>
      <c r="AA131" s="13"/>
      <c r="AB131" s="24" t="e">
        <f>AVERAGE(Table110413[2nd Story % Base])</f>
        <v>#DIV/0!</v>
      </c>
      <c r="AC131" s="13"/>
      <c r="AD131" s="13"/>
      <c r="AE131" s="23">
        <f>AVERAGE(Table110413[AttGarVal/SqFt])</f>
        <v>26.192336309523814</v>
      </c>
      <c r="AF131" s="25">
        <f>AVERAGE(Table110413[Att Gar % Base])</f>
        <v>0.30208002854006993</v>
      </c>
      <c r="AG131" s="12"/>
      <c r="AH131" s="13"/>
      <c r="AI131" s="13"/>
      <c r="AJ131" s="25" t="e">
        <f>AVERAGE(Table110413[Porch % Base])</f>
        <v>#DIV/0!</v>
      </c>
      <c r="AK131" s="12"/>
      <c r="AL131" s="13"/>
      <c r="AM131" s="13"/>
      <c r="AN131" s="25">
        <f>AVERAGE(Table110413[Cov Porch % Base])</f>
        <v>0.19952860958634638</v>
      </c>
      <c r="AO131" s="12"/>
      <c r="AP131" s="13"/>
      <c r="AQ131" s="13"/>
      <c r="AR131" s="25" t="e">
        <f>AVERAGE(Table110413[Deck % Base])</f>
        <v>#DIV/0!</v>
      </c>
      <c r="AS131" s="12"/>
      <c r="AT131" s="13"/>
      <c r="AU131" s="23" t="e">
        <f>AVERAGE(Table110413[CovDeckVal/SqFt])</f>
        <v>#DIV/0!</v>
      </c>
      <c r="AV131" s="25" t="e">
        <f>AVERAGE(Table110413[CovDeck % Base])</f>
        <v>#DIV/0!</v>
      </c>
      <c r="AW131" s="12"/>
      <c r="AX131" s="13"/>
      <c r="AY131" s="13"/>
      <c r="AZ131" s="25" t="e">
        <f>AVERAGE(Table110413[CarP % Base])</f>
        <v>#DIV/0!</v>
      </c>
      <c r="BA131" s="12"/>
      <c r="BB131" s="13"/>
      <c r="BC131" s="13"/>
      <c r="BD131" s="24" t="e">
        <f>AVERAGE(Table110413[EFP % Base])</f>
        <v>#DIV/0!</v>
      </c>
    </row>
    <row r="133" spans="1:56" ht="15.75" thickBot="1" x14ac:dyDescent="0.3">
      <c r="A133" s="82"/>
      <c r="B133" t="s">
        <v>79</v>
      </c>
      <c r="C133" s="78" t="s">
        <v>98</v>
      </c>
      <c r="E133" t="s">
        <v>33</v>
      </c>
      <c r="F133" s="79">
        <v>2737</v>
      </c>
      <c r="H133" t="s">
        <v>80</v>
      </c>
      <c r="I133" t="s">
        <v>193</v>
      </c>
    </row>
    <row r="134" spans="1:56" x14ac:dyDescent="0.25">
      <c r="A134" s="112"/>
      <c r="B134" s="113"/>
      <c r="C134" s="113"/>
      <c r="D134" s="114"/>
      <c r="E134" s="115" t="s">
        <v>27</v>
      </c>
      <c r="F134" s="116"/>
      <c r="G134" s="116"/>
      <c r="H134" s="117"/>
      <c r="I134" s="118" t="s">
        <v>28</v>
      </c>
      <c r="J134" s="119"/>
      <c r="K134" s="119"/>
      <c r="L134" s="120"/>
      <c r="M134" s="121" t="s">
        <v>7</v>
      </c>
      <c r="N134" s="122"/>
      <c r="O134" s="122"/>
      <c r="P134" s="122"/>
      <c r="Q134" s="124" t="s">
        <v>29</v>
      </c>
      <c r="R134" s="125"/>
      <c r="S134" s="125"/>
      <c r="T134" s="126"/>
      <c r="U134" s="128" t="s">
        <v>8</v>
      </c>
      <c r="V134" s="128"/>
      <c r="W134" s="128"/>
      <c r="X134" s="129"/>
      <c r="Y134" s="130" t="s">
        <v>0</v>
      </c>
      <c r="Z134" s="131"/>
      <c r="AA134" s="131"/>
      <c r="AB134" s="132"/>
      <c r="AC134" s="133" t="s">
        <v>34</v>
      </c>
      <c r="AD134" s="134"/>
      <c r="AE134" s="134"/>
      <c r="AF134" s="135"/>
      <c r="AG134" s="115" t="s">
        <v>9</v>
      </c>
      <c r="AH134" s="116"/>
      <c r="AI134" s="116"/>
      <c r="AJ134" s="117"/>
      <c r="AK134" s="136" t="s">
        <v>35</v>
      </c>
      <c r="AL134" s="137"/>
      <c r="AM134" s="137"/>
      <c r="AN134" s="138"/>
      <c r="AO134" s="139" t="s">
        <v>10</v>
      </c>
      <c r="AP134" s="140"/>
      <c r="AQ134" s="140"/>
      <c r="AR134" s="141"/>
      <c r="AS134" s="124" t="s">
        <v>36</v>
      </c>
      <c r="AT134" s="125"/>
      <c r="AU134" s="125"/>
      <c r="AV134" s="126"/>
      <c r="AW134" s="142" t="s">
        <v>11</v>
      </c>
      <c r="AX134" s="143"/>
      <c r="AY134" s="143"/>
      <c r="AZ134" s="144"/>
      <c r="BA134" s="148" t="s">
        <v>17</v>
      </c>
      <c r="BB134" s="149"/>
      <c r="BC134" s="149"/>
      <c r="BD134" s="150"/>
    </row>
    <row r="135" spans="1:56" s="1" customFormat="1" ht="15.75" thickBot="1" x14ac:dyDescent="0.3">
      <c r="A135" s="41" t="s">
        <v>13</v>
      </c>
      <c r="B135" s="42" t="s">
        <v>15</v>
      </c>
      <c r="C135" s="42" t="s">
        <v>32</v>
      </c>
      <c r="D135" s="43" t="s">
        <v>18</v>
      </c>
      <c r="E135" s="30" t="s">
        <v>30</v>
      </c>
      <c r="F135" s="31" t="s">
        <v>61</v>
      </c>
      <c r="G135" s="31" t="s">
        <v>38</v>
      </c>
      <c r="H135" s="32" t="s">
        <v>62</v>
      </c>
      <c r="I135" s="37" t="s">
        <v>31</v>
      </c>
      <c r="J135" s="38" t="s">
        <v>39</v>
      </c>
      <c r="K135" s="38" t="s">
        <v>40</v>
      </c>
      <c r="L135" s="39" t="s">
        <v>63</v>
      </c>
      <c r="M135" s="40" t="s">
        <v>19</v>
      </c>
      <c r="N135" s="7" t="s">
        <v>41</v>
      </c>
      <c r="O135" s="7" t="s">
        <v>37</v>
      </c>
      <c r="P135" s="7" t="s">
        <v>64</v>
      </c>
      <c r="Q135" s="27" t="s">
        <v>20</v>
      </c>
      <c r="R135" s="28" t="s">
        <v>60</v>
      </c>
      <c r="S135" s="28" t="s">
        <v>59</v>
      </c>
      <c r="T135" s="29" t="s">
        <v>65</v>
      </c>
      <c r="U135" s="48" t="s">
        <v>21</v>
      </c>
      <c r="V135" s="48" t="s">
        <v>42</v>
      </c>
      <c r="W135" s="48" t="s">
        <v>43</v>
      </c>
      <c r="X135" s="49" t="s">
        <v>66</v>
      </c>
      <c r="Y135" s="50" t="s">
        <v>22</v>
      </c>
      <c r="Z135" s="51" t="s">
        <v>44</v>
      </c>
      <c r="AA135" s="51" t="s">
        <v>45</v>
      </c>
      <c r="AB135" s="52" t="s">
        <v>67</v>
      </c>
      <c r="AC135" s="45" t="s">
        <v>23</v>
      </c>
      <c r="AD135" s="46" t="s">
        <v>46</v>
      </c>
      <c r="AE135" s="46" t="s">
        <v>47</v>
      </c>
      <c r="AF135" s="47" t="s">
        <v>68</v>
      </c>
      <c r="AG135" s="30" t="s">
        <v>24</v>
      </c>
      <c r="AH135" s="31" t="s">
        <v>48</v>
      </c>
      <c r="AI135" s="31" t="s">
        <v>49</v>
      </c>
      <c r="AJ135" s="32" t="s">
        <v>69</v>
      </c>
      <c r="AK135" s="53" t="s">
        <v>25</v>
      </c>
      <c r="AL135" s="54" t="s">
        <v>50</v>
      </c>
      <c r="AM135" s="54" t="s">
        <v>51</v>
      </c>
      <c r="AN135" s="55" t="s">
        <v>70</v>
      </c>
      <c r="AO135" s="56" t="s">
        <v>26</v>
      </c>
      <c r="AP135" s="57" t="s">
        <v>52</v>
      </c>
      <c r="AQ135" s="57" t="s">
        <v>53</v>
      </c>
      <c r="AR135" s="58" t="s">
        <v>71</v>
      </c>
      <c r="AS135" s="59" t="s">
        <v>55</v>
      </c>
      <c r="AT135" s="60" t="s">
        <v>54</v>
      </c>
      <c r="AU135" s="60" t="s">
        <v>56</v>
      </c>
      <c r="AV135" s="61" t="s">
        <v>76</v>
      </c>
      <c r="AW135" s="62" t="s">
        <v>72</v>
      </c>
      <c r="AX135" s="63" t="s">
        <v>73</v>
      </c>
      <c r="AY135" s="63" t="s">
        <v>74</v>
      </c>
      <c r="AZ135" s="64" t="s">
        <v>75</v>
      </c>
      <c r="BA135" s="71" t="s">
        <v>77</v>
      </c>
      <c r="BB135" s="72" t="s">
        <v>57</v>
      </c>
      <c r="BC135" s="72" t="s">
        <v>58</v>
      </c>
      <c r="BD135" s="73" t="s">
        <v>78</v>
      </c>
    </row>
    <row r="136" spans="1:56" ht="15.75" thickBot="1" x14ac:dyDescent="0.3">
      <c r="A136" s="17" t="s">
        <v>1</v>
      </c>
      <c r="B136" s="14">
        <v>125900</v>
      </c>
      <c r="C136" s="34">
        <f>B136/F133</f>
        <v>45.999269272926561</v>
      </c>
      <c r="D136" s="14">
        <v>1525</v>
      </c>
      <c r="E136" s="67">
        <v>0</v>
      </c>
      <c r="F136" s="69">
        <v>0</v>
      </c>
      <c r="G136" s="34" t="e">
        <f t="shared" ref="G136:G142" si="286">E136/F136</f>
        <v>#DIV/0!</v>
      </c>
      <c r="H136" s="10" t="e">
        <f t="shared" ref="H136:H142" si="287">G136/C136</f>
        <v>#DIV/0!</v>
      </c>
      <c r="I136" s="34">
        <v>0</v>
      </c>
      <c r="J136" s="69">
        <v>0</v>
      </c>
      <c r="K136" s="34" t="e">
        <f t="shared" ref="K136:K142" si="288">I136/J136</f>
        <v>#DIV/0!</v>
      </c>
      <c r="L136" s="9" t="e">
        <f t="shared" ref="L136:L142" si="289">K136/C136</f>
        <v>#DIV/0!</v>
      </c>
      <c r="M136" s="67">
        <v>0</v>
      </c>
      <c r="N136" s="26">
        <v>0</v>
      </c>
      <c r="O136" s="34" t="e">
        <f t="shared" ref="O136:O142" si="290">M136/N136</f>
        <v>#DIV/0!</v>
      </c>
      <c r="P136" s="10" t="e">
        <f t="shared" ref="P136:P142" si="291">O136/C136</f>
        <v>#DIV/0!</v>
      </c>
      <c r="Q136" s="35">
        <v>0</v>
      </c>
      <c r="R136" s="66">
        <v>0</v>
      </c>
      <c r="S136" s="35" t="e">
        <f t="shared" ref="S136:S142" si="292">Q136/R136</f>
        <v>#DIV/0!</v>
      </c>
      <c r="T136" s="6" t="e">
        <f t="shared" ref="T136:T142" si="293">S136/C136</f>
        <v>#DIV/0!</v>
      </c>
      <c r="U136" s="67">
        <v>0</v>
      </c>
      <c r="V136" s="65">
        <v>0</v>
      </c>
      <c r="W136" s="18" t="e">
        <f t="shared" ref="W136:W142" si="294">U136/V136</f>
        <v>#DIV/0!</v>
      </c>
      <c r="X136" s="9" t="e">
        <f t="shared" ref="X136:X142" si="295">W136/C136</f>
        <v>#DIV/0!</v>
      </c>
      <c r="Y136" s="67">
        <v>16990</v>
      </c>
      <c r="Z136" s="69">
        <v>384</v>
      </c>
      <c r="AA136" s="34">
        <f t="shared" ref="AA136:AA142" si="296">Y136/Z136</f>
        <v>44.244791666666664</v>
      </c>
      <c r="AB136" s="10">
        <f t="shared" ref="AB136:AB142" si="297">AA136/C136</f>
        <v>0.96185857658194329</v>
      </c>
      <c r="AC136" s="18">
        <v>11460</v>
      </c>
      <c r="AD136" s="33">
        <v>829</v>
      </c>
      <c r="AE136" s="34">
        <f t="shared" ref="AE136:AE142" si="298">AC136/AD136</f>
        <v>13.823884197828709</v>
      </c>
      <c r="AF136" s="9">
        <f t="shared" ref="AF136:AF142" si="299">AE136/C136</f>
        <v>0.30052399562714199</v>
      </c>
      <c r="AG136" s="67">
        <v>0</v>
      </c>
      <c r="AH136" s="65">
        <v>0</v>
      </c>
      <c r="AI136" s="34" t="e">
        <f t="shared" ref="AI136:AI142" si="300">AG136/AH136</f>
        <v>#DIV/0!</v>
      </c>
      <c r="AJ136" s="9" t="e">
        <f t="shared" ref="AJ136:AJ142" si="301">AI136/C136</f>
        <v>#DIV/0!</v>
      </c>
      <c r="AK136" s="67">
        <v>2420</v>
      </c>
      <c r="AL136" s="65">
        <v>286</v>
      </c>
      <c r="AM136" s="34">
        <f t="shared" ref="AM136:AM142" si="302">AK136/AL136</f>
        <v>8.4615384615384617</v>
      </c>
      <c r="AN136" s="9">
        <f t="shared" ref="AN136:AN142" si="303">AM136/C136</f>
        <v>0.18394941039897356</v>
      </c>
      <c r="AO136" s="67">
        <v>0</v>
      </c>
      <c r="AP136" s="65">
        <v>0</v>
      </c>
      <c r="AQ136" s="34" t="e">
        <f t="shared" ref="AQ136:AQ142" si="304">AO136/AP136</f>
        <v>#DIV/0!</v>
      </c>
      <c r="AR136" s="9" t="e">
        <f t="shared" ref="AR136:AR142" si="305">AQ136/C136</f>
        <v>#DIV/0!</v>
      </c>
      <c r="AS136" s="67">
        <v>0</v>
      </c>
      <c r="AT136" s="65">
        <v>0</v>
      </c>
      <c r="AU136" s="34" t="e">
        <f t="shared" ref="AU136:AU142" si="306">AS136/AT136</f>
        <v>#DIV/0!</v>
      </c>
      <c r="AV136" s="9" t="e">
        <f t="shared" ref="AV136:AV142" si="307">AU136/C136</f>
        <v>#DIV/0!</v>
      </c>
      <c r="AW136" s="67">
        <v>0</v>
      </c>
      <c r="AX136" s="65">
        <v>0</v>
      </c>
      <c r="AY136" s="34" t="e">
        <f t="shared" ref="AY136:AY142" si="308">AW136/AX136</f>
        <v>#DIV/0!</v>
      </c>
      <c r="AZ136" s="9" t="e">
        <f t="shared" ref="AZ136:AZ142" si="309">AY136/C136</f>
        <v>#DIV/0!</v>
      </c>
      <c r="BA136" s="67">
        <v>0</v>
      </c>
      <c r="BB136" s="65">
        <v>0</v>
      </c>
      <c r="BC136" s="34" t="e">
        <f t="shared" ref="BC136:BC142" si="310">BA136/BB136</f>
        <v>#DIV/0!</v>
      </c>
      <c r="BD136" s="10" t="e">
        <f t="shared" ref="BD136:BD142" si="311">BC136/C136</f>
        <v>#DIV/0!</v>
      </c>
    </row>
    <row r="137" spans="1:56" ht="15.75" thickBot="1" x14ac:dyDescent="0.3">
      <c r="A137" s="19" t="s">
        <v>16</v>
      </c>
      <c r="B137" s="8">
        <v>147990</v>
      </c>
      <c r="C137" s="35">
        <f>B137/F133</f>
        <v>54.070149799050057</v>
      </c>
      <c r="D137" s="8">
        <v>1525</v>
      </c>
      <c r="E137" s="68">
        <v>0</v>
      </c>
      <c r="F137" s="70">
        <v>0</v>
      </c>
      <c r="G137" s="35" t="e">
        <f t="shared" si="286"/>
        <v>#DIV/0!</v>
      </c>
      <c r="H137" s="11" t="e">
        <f t="shared" si="287"/>
        <v>#DIV/0!</v>
      </c>
      <c r="I137" s="35">
        <v>0</v>
      </c>
      <c r="J137" s="70">
        <v>0</v>
      </c>
      <c r="K137" s="35" t="e">
        <f t="shared" si="288"/>
        <v>#DIV/0!</v>
      </c>
      <c r="L137" s="6" t="e">
        <f t="shared" si="289"/>
        <v>#DIV/0!</v>
      </c>
      <c r="M137" s="68">
        <v>0</v>
      </c>
      <c r="N137" s="5">
        <v>0</v>
      </c>
      <c r="O137" s="35" t="e">
        <f t="shared" si="290"/>
        <v>#DIV/0!</v>
      </c>
      <c r="P137" s="11" t="e">
        <f t="shared" si="291"/>
        <v>#DIV/0!</v>
      </c>
      <c r="Q137" s="35">
        <v>0</v>
      </c>
      <c r="R137" s="66">
        <v>0</v>
      </c>
      <c r="S137" s="35" t="e">
        <f t="shared" si="292"/>
        <v>#DIV/0!</v>
      </c>
      <c r="T137" s="6" t="e">
        <f t="shared" si="293"/>
        <v>#DIV/0!</v>
      </c>
      <c r="U137" s="68">
        <v>0</v>
      </c>
      <c r="V137" s="66">
        <v>0</v>
      </c>
      <c r="W137" s="20" t="e">
        <f t="shared" si="294"/>
        <v>#DIV/0!</v>
      </c>
      <c r="X137" s="6" t="e">
        <f t="shared" si="295"/>
        <v>#DIV/0!</v>
      </c>
      <c r="Y137" s="68">
        <v>23930</v>
      </c>
      <c r="Z137" s="69">
        <v>384</v>
      </c>
      <c r="AA137" s="35">
        <f t="shared" si="296"/>
        <v>62.317708333333336</v>
      </c>
      <c r="AB137" s="11">
        <f t="shared" si="297"/>
        <v>1.1525344125166115</v>
      </c>
      <c r="AC137" s="20">
        <v>14670</v>
      </c>
      <c r="AD137" s="33">
        <v>829</v>
      </c>
      <c r="AE137" s="35">
        <f t="shared" si="298"/>
        <v>17.696019300361883</v>
      </c>
      <c r="AF137" s="6">
        <f t="shared" si="299"/>
        <v>0.32727890279809763</v>
      </c>
      <c r="AG137" s="68">
        <v>0</v>
      </c>
      <c r="AH137" s="66">
        <v>0</v>
      </c>
      <c r="AI137" s="35" t="e">
        <f t="shared" si="300"/>
        <v>#DIV/0!</v>
      </c>
      <c r="AJ137" s="6" t="e">
        <f t="shared" si="301"/>
        <v>#DIV/0!</v>
      </c>
      <c r="AK137" s="68">
        <v>3320</v>
      </c>
      <c r="AL137" s="65">
        <v>286</v>
      </c>
      <c r="AM137" s="35">
        <f t="shared" si="302"/>
        <v>11.608391608391608</v>
      </c>
      <c r="AN137" s="6">
        <f t="shared" si="303"/>
        <v>0.21469131584679932</v>
      </c>
      <c r="AO137" s="68">
        <v>0</v>
      </c>
      <c r="AP137" s="66">
        <v>0</v>
      </c>
      <c r="AQ137" s="35" t="e">
        <f t="shared" si="304"/>
        <v>#DIV/0!</v>
      </c>
      <c r="AR137" s="6" t="e">
        <f t="shared" si="305"/>
        <v>#DIV/0!</v>
      </c>
      <c r="AS137" s="68">
        <v>0</v>
      </c>
      <c r="AT137" s="66">
        <v>0</v>
      </c>
      <c r="AU137" s="35" t="e">
        <f t="shared" si="306"/>
        <v>#DIV/0!</v>
      </c>
      <c r="AV137" s="6" t="e">
        <f t="shared" si="307"/>
        <v>#DIV/0!</v>
      </c>
      <c r="AW137" s="68">
        <v>0</v>
      </c>
      <c r="AX137" s="66">
        <v>0</v>
      </c>
      <c r="AY137" s="35" t="e">
        <f t="shared" si="308"/>
        <v>#DIV/0!</v>
      </c>
      <c r="AZ137" s="6" t="e">
        <f t="shared" si="309"/>
        <v>#DIV/0!</v>
      </c>
      <c r="BA137" s="68">
        <v>0</v>
      </c>
      <c r="BB137" s="66">
        <v>0</v>
      </c>
      <c r="BC137" s="35" t="e">
        <f t="shared" si="310"/>
        <v>#DIV/0!</v>
      </c>
      <c r="BD137" s="11" t="e">
        <f t="shared" si="311"/>
        <v>#DIV/0!</v>
      </c>
    </row>
    <row r="138" spans="1:56" ht="15.75" thickBot="1" x14ac:dyDescent="0.3">
      <c r="A138" s="19" t="s">
        <v>2</v>
      </c>
      <c r="B138" s="8">
        <v>172240</v>
      </c>
      <c r="C138" s="35">
        <f>B138/F133</f>
        <v>62.930215564486666</v>
      </c>
      <c r="D138" s="8">
        <v>2100</v>
      </c>
      <c r="E138" s="68">
        <v>0</v>
      </c>
      <c r="F138" s="70">
        <v>0</v>
      </c>
      <c r="G138" s="35" t="e">
        <f t="shared" si="286"/>
        <v>#DIV/0!</v>
      </c>
      <c r="H138" s="11" t="e">
        <f t="shared" si="287"/>
        <v>#DIV/0!</v>
      </c>
      <c r="I138" s="35">
        <v>0</v>
      </c>
      <c r="J138" s="70">
        <v>0</v>
      </c>
      <c r="K138" s="35" t="e">
        <f t="shared" si="288"/>
        <v>#DIV/0!</v>
      </c>
      <c r="L138" s="6" t="e">
        <f t="shared" si="289"/>
        <v>#DIV/0!</v>
      </c>
      <c r="M138" s="68">
        <v>0</v>
      </c>
      <c r="N138" s="5">
        <v>0</v>
      </c>
      <c r="O138" s="35" t="e">
        <f t="shared" si="290"/>
        <v>#DIV/0!</v>
      </c>
      <c r="P138" s="11" t="e">
        <f t="shared" si="291"/>
        <v>#DIV/0!</v>
      </c>
      <c r="Q138" s="35">
        <v>0</v>
      </c>
      <c r="R138" s="66">
        <v>0</v>
      </c>
      <c r="S138" s="35" t="e">
        <f t="shared" si="292"/>
        <v>#DIV/0!</v>
      </c>
      <c r="T138" s="6" t="e">
        <f t="shared" si="293"/>
        <v>#DIV/0!</v>
      </c>
      <c r="U138" s="68">
        <v>0</v>
      </c>
      <c r="V138" s="66">
        <v>0</v>
      </c>
      <c r="W138" s="20" t="e">
        <f t="shared" si="294"/>
        <v>#DIV/0!</v>
      </c>
      <c r="X138" s="6" t="e">
        <f t="shared" si="295"/>
        <v>#DIV/0!</v>
      </c>
      <c r="Y138" s="68">
        <v>27580</v>
      </c>
      <c r="Z138" s="69">
        <v>384</v>
      </c>
      <c r="AA138" s="35">
        <f t="shared" si="296"/>
        <v>71.822916666666671</v>
      </c>
      <c r="AB138" s="11">
        <f t="shared" si="297"/>
        <v>1.1413105139146926</v>
      </c>
      <c r="AC138" s="20">
        <v>19280</v>
      </c>
      <c r="AD138" s="33">
        <v>829</v>
      </c>
      <c r="AE138" s="35">
        <f t="shared" si="298"/>
        <v>23.256936067551266</v>
      </c>
      <c r="AF138" s="6">
        <f t="shared" si="299"/>
        <v>0.36956708091551216</v>
      </c>
      <c r="AG138" s="68">
        <v>0</v>
      </c>
      <c r="AH138" s="66">
        <v>0</v>
      </c>
      <c r="AI138" s="35" t="e">
        <f t="shared" si="300"/>
        <v>#DIV/0!</v>
      </c>
      <c r="AJ138" s="6" t="e">
        <f t="shared" si="301"/>
        <v>#DIV/0!</v>
      </c>
      <c r="AK138" s="68">
        <v>3900</v>
      </c>
      <c r="AL138" s="65">
        <v>286</v>
      </c>
      <c r="AM138" s="35">
        <f t="shared" si="302"/>
        <v>13.636363636363637</v>
      </c>
      <c r="AN138" s="6">
        <f t="shared" si="303"/>
        <v>0.21669024194569944</v>
      </c>
      <c r="AO138" s="68">
        <v>0</v>
      </c>
      <c r="AP138" s="66">
        <v>0</v>
      </c>
      <c r="AQ138" s="35" t="e">
        <f t="shared" si="304"/>
        <v>#DIV/0!</v>
      </c>
      <c r="AR138" s="6" t="e">
        <f t="shared" si="305"/>
        <v>#DIV/0!</v>
      </c>
      <c r="AS138" s="68">
        <v>0</v>
      </c>
      <c r="AT138" s="66">
        <v>0</v>
      </c>
      <c r="AU138" s="35" t="e">
        <f t="shared" si="306"/>
        <v>#DIV/0!</v>
      </c>
      <c r="AV138" s="6" t="e">
        <f t="shared" si="307"/>
        <v>#DIV/0!</v>
      </c>
      <c r="AW138" s="68">
        <v>0</v>
      </c>
      <c r="AX138" s="66">
        <v>0</v>
      </c>
      <c r="AY138" s="35" t="e">
        <f t="shared" si="308"/>
        <v>#DIV/0!</v>
      </c>
      <c r="AZ138" s="6" t="e">
        <f t="shared" si="309"/>
        <v>#DIV/0!</v>
      </c>
      <c r="BA138" s="68">
        <v>0</v>
      </c>
      <c r="BB138" s="66">
        <v>0</v>
      </c>
      <c r="BC138" s="35" t="e">
        <f t="shared" si="310"/>
        <v>#DIV/0!</v>
      </c>
      <c r="BD138" s="11" t="e">
        <f t="shared" si="311"/>
        <v>#DIV/0!</v>
      </c>
    </row>
    <row r="139" spans="1:56" ht="15.75" thickBot="1" x14ac:dyDescent="0.3">
      <c r="A139" s="19" t="s">
        <v>3</v>
      </c>
      <c r="B139" s="8">
        <v>208180</v>
      </c>
      <c r="C139" s="35">
        <f>B139/F133</f>
        <v>76.061381074168793</v>
      </c>
      <c r="D139" s="8">
        <v>2700</v>
      </c>
      <c r="E139" s="68">
        <v>0</v>
      </c>
      <c r="F139" s="70">
        <v>0</v>
      </c>
      <c r="G139" s="35" t="e">
        <f t="shared" si="286"/>
        <v>#DIV/0!</v>
      </c>
      <c r="H139" s="11" t="e">
        <f t="shared" si="287"/>
        <v>#DIV/0!</v>
      </c>
      <c r="I139" s="35">
        <v>0</v>
      </c>
      <c r="J139" s="70">
        <v>0</v>
      </c>
      <c r="K139" s="35" t="e">
        <f t="shared" si="288"/>
        <v>#DIV/0!</v>
      </c>
      <c r="L139" s="6" t="e">
        <f t="shared" si="289"/>
        <v>#DIV/0!</v>
      </c>
      <c r="M139" s="68">
        <v>0</v>
      </c>
      <c r="N139" s="5">
        <v>0</v>
      </c>
      <c r="O139" s="35" t="e">
        <f t="shared" si="290"/>
        <v>#DIV/0!</v>
      </c>
      <c r="P139" s="11" t="e">
        <f t="shared" si="291"/>
        <v>#DIV/0!</v>
      </c>
      <c r="Q139" s="35">
        <v>0</v>
      </c>
      <c r="R139" s="66">
        <v>0</v>
      </c>
      <c r="S139" s="35" t="e">
        <f t="shared" si="292"/>
        <v>#DIV/0!</v>
      </c>
      <c r="T139" s="6" t="e">
        <f t="shared" si="293"/>
        <v>#DIV/0!</v>
      </c>
      <c r="U139" s="68">
        <v>0</v>
      </c>
      <c r="V139" s="66">
        <v>0</v>
      </c>
      <c r="W139" s="20" t="e">
        <f t="shared" si="294"/>
        <v>#DIV/0!</v>
      </c>
      <c r="X139" s="6" t="e">
        <f t="shared" si="295"/>
        <v>#DIV/0!</v>
      </c>
      <c r="Y139" s="68">
        <v>27500</v>
      </c>
      <c r="Z139" s="69">
        <v>384</v>
      </c>
      <c r="AA139" s="35">
        <f t="shared" si="296"/>
        <v>71.614583333333329</v>
      </c>
      <c r="AB139" s="11">
        <f t="shared" si="297"/>
        <v>0.94153672102667563</v>
      </c>
      <c r="AC139" s="20">
        <v>20530</v>
      </c>
      <c r="AD139" s="33">
        <v>829</v>
      </c>
      <c r="AE139" s="35">
        <f t="shared" si="298"/>
        <v>24.764776839565741</v>
      </c>
      <c r="AF139" s="6">
        <f t="shared" si="299"/>
        <v>0.32558936598084082</v>
      </c>
      <c r="AG139" s="68">
        <v>0</v>
      </c>
      <c r="AH139" s="66">
        <v>0</v>
      </c>
      <c r="AI139" s="35" t="e">
        <f t="shared" si="300"/>
        <v>#DIV/0!</v>
      </c>
      <c r="AJ139" s="6" t="e">
        <f t="shared" si="301"/>
        <v>#DIV/0!</v>
      </c>
      <c r="AK139" s="68">
        <v>5090</v>
      </c>
      <c r="AL139" s="65">
        <v>286</v>
      </c>
      <c r="AM139" s="35">
        <f t="shared" si="302"/>
        <v>17.797202797202797</v>
      </c>
      <c r="AN139" s="6">
        <f t="shared" si="303"/>
        <v>0.23398474424029234</v>
      </c>
      <c r="AO139" s="68">
        <v>0</v>
      </c>
      <c r="AP139" s="66">
        <v>0</v>
      </c>
      <c r="AQ139" s="35" t="e">
        <f t="shared" si="304"/>
        <v>#DIV/0!</v>
      </c>
      <c r="AR139" s="6" t="e">
        <f t="shared" si="305"/>
        <v>#DIV/0!</v>
      </c>
      <c r="AS139" s="68">
        <v>0</v>
      </c>
      <c r="AT139" s="66">
        <v>0</v>
      </c>
      <c r="AU139" s="35" t="e">
        <f t="shared" si="306"/>
        <v>#DIV/0!</v>
      </c>
      <c r="AV139" s="6" t="e">
        <f t="shared" si="307"/>
        <v>#DIV/0!</v>
      </c>
      <c r="AW139" s="68">
        <v>0</v>
      </c>
      <c r="AX139" s="66">
        <v>0</v>
      </c>
      <c r="AY139" s="35" t="e">
        <f t="shared" si="308"/>
        <v>#DIV/0!</v>
      </c>
      <c r="AZ139" s="6" t="e">
        <f t="shared" si="309"/>
        <v>#DIV/0!</v>
      </c>
      <c r="BA139" s="68">
        <v>0</v>
      </c>
      <c r="BB139" s="66">
        <v>0</v>
      </c>
      <c r="BC139" s="35" t="e">
        <f t="shared" si="310"/>
        <v>#DIV/0!</v>
      </c>
      <c r="BD139" s="11" t="e">
        <f t="shared" si="311"/>
        <v>#DIV/0!</v>
      </c>
    </row>
    <row r="140" spans="1:56" ht="15.75" thickBot="1" x14ac:dyDescent="0.3">
      <c r="A140" s="19" t="s">
        <v>4</v>
      </c>
      <c r="B140" s="8">
        <v>257090</v>
      </c>
      <c r="C140" s="35">
        <f>B140/F133</f>
        <v>93.93131165509682</v>
      </c>
      <c r="D140" s="8">
        <v>5250</v>
      </c>
      <c r="E140" s="68">
        <v>0</v>
      </c>
      <c r="F140" s="70">
        <v>0</v>
      </c>
      <c r="G140" s="35" t="e">
        <f t="shared" si="286"/>
        <v>#DIV/0!</v>
      </c>
      <c r="H140" s="11" t="e">
        <f t="shared" si="287"/>
        <v>#DIV/0!</v>
      </c>
      <c r="I140" s="35">
        <v>0</v>
      </c>
      <c r="J140" s="70">
        <v>0</v>
      </c>
      <c r="K140" s="35" t="e">
        <f t="shared" si="288"/>
        <v>#DIV/0!</v>
      </c>
      <c r="L140" s="6" t="e">
        <f t="shared" si="289"/>
        <v>#DIV/0!</v>
      </c>
      <c r="M140" s="68">
        <v>0</v>
      </c>
      <c r="N140" s="5">
        <v>0</v>
      </c>
      <c r="O140" s="35" t="e">
        <f t="shared" si="290"/>
        <v>#DIV/0!</v>
      </c>
      <c r="P140" s="11" t="e">
        <f t="shared" si="291"/>
        <v>#DIV/0!</v>
      </c>
      <c r="Q140" s="35">
        <v>0</v>
      </c>
      <c r="R140" s="66">
        <v>0</v>
      </c>
      <c r="S140" s="35" t="e">
        <f t="shared" si="292"/>
        <v>#DIV/0!</v>
      </c>
      <c r="T140" s="6" t="e">
        <f t="shared" si="293"/>
        <v>#DIV/0!</v>
      </c>
      <c r="U140" s="68">
        <v>0</v>
      </c>
      <c r="V140" s="66">
        <v>0</v>
      </c>
      <c r="W140" s="20" t="e">
        <f t="shared" si="294"/>
        <v>#DIV/0!</v>
      </c>
      <c r="X140" s="6" t="e">
        <f t="shared" si="295"/>
        <v>#DIV/0!</v>
      </c>
      <c r="Y140" s="68">
        <v>33690</v>
      </c>
      <c r="Z140" s="69">
        <v>384</v>
      </c>
      <c r="AA140" s="35">
        <f t="shared" si="296"/>
        <v>87.734375</v>
      </c>
      <c r="AB140" s="11">
        <f t="shared" si="297"/>
        <v>0.93402693366136369</v>
      </c>
      <c r="AC140" s="20">
        <v>23310</v>
      </c>
      <c r="AD140" s="33">
        <v>829</v>
      </c>
      <c r="AE140" s="35">
        <f t="shared" si="298"/>
        <v>28.118214716525934</v>
      </c>
      <c r="AF140" s="6">
        <f t="shared" si="299"/>
        <v>0.29934868598207431</v>
      </c>
      <c r="AG140" s="68">
        <v>0</v>
      </c>
      <c r="AH140" s="66">
        <v>0</v>
      </c>
      <c r="AI140" s="35" t="e">
        <f t="shared" si="300"/>
        <v>#DIV/0!</v>
      </c>
      <c r="AJ140" s="6" t="e">
        <f t="shared" si="301"/>
        <v>#DIV/0!</v>
      </c>
      <c r="AK140" s="68">
        <v>5570</v>
      </c>
      <c r="AL140" s="65">
        <v>286</v>
      </c>
      <c r="AM140" s="35">
        <f t="shared" si="302"/>
        <v>19.475524475524477</v>
      </c>
      <c r="AN140" s="6">
        <f t="shared" si="303"/>
        <v>0.20733793803535919</v>
      </c>
      <c r="AO140" s="68">
        <v>0</v>
      </c>
      <c r="AP140" s="66">
        <v>0</v>
      </c>
      <c r="AQ140" s="35" t="e">
        <f t="shared" si="304"/>
        <v>#DIV/0!</v>
      </c>
      <c r="AR140" s="6" t="e">
        <f t="shared" si="305"/>
        <v>#DIV/0!</v>
      </c>
      <c r="AS140" s="68">
        <v>0</v>
      </c>
      <c r="AT140" s="66">
        <v>0</v>
      </c>
      <c r="AU140" s="35" t="e">
        <f t="shared" si="306"/>
        <v>#DIV/0!</v>
      </c>
      <c r="AV140" s="6" t="e">
        <f t="shared" si="307"/>
        <v>#DIV/0!</v>
      </c>
      <c r="AW140" s="68">
        <v>0</v>
      </c>
      <c r="AX140" s="66">
        <v>0</v>
      </c>
      <c r="AY140" s="35" t="e">
        <f t="shared" si="308"/>
        <v>#DIV/0!</v>
      </c>
      <c r="AZ140" s="6" t="e">
        <f t="shared" si="309"/>
        <v>#DIV/0!</v>
      </c>
      <c r="BA140" s="68">
        <v>0</v>
      </c>
      <c r="BB140" s="66">
        <v>0</v>
      </c>
      <c r="BC140" s="35" t="e">
        <f t="shared" si="310"/>
        <v>#DIV/0!</v>
      </c>
      <c r="BD140" s="11" t="e">
        <f t="shared" si="311"/>
        <v>#DIV/0!</v>
      </c>
    </row>
    <row r="141" spans="1:56" ht="15.75" thickBot="1" x14ac:dyDescent="0.3">
      <c r="A141" s="19" t="s">
        <v>5</v>
      </c>
      <c r="B141" s="8">
        <v>345250</v>
      </c>
      <c r="C141" s="35">
        <f>B141/F133</f>
        <v>126.14176105224699</v>
      </c>
      <c r="D141" s="8">
        <v>7050</v>
      </c>
      <c r="E141" s="68">
        <v>0</v>
      </c>
      <c r="F141" s="70">
        <v>0</v>
      </c>
      <c r="G141" s="35" t="e">
        <f t="shared" si="286"/>
        <v>#DIV/0!</v>
      </c>
      <c r="H141" s="11" t="e">
        <f t="shared" si="287"/>
        <v>#DIV/0!</v>
      </c>
      <c r="I141" s="35">
        <v>0</v>
      </c>
      <c r="J141" s="70">
        <v>0</v>
      </c>
      <c r="K141" s="35" t="e">
        <f t="shared" si="288"/>
        <v>#DIV/0!</v>
      </c>
      <c r="L141" s="6" t="e">
        <f t="shared" si="289"/>
        <v>#DIV/0!</v>
      </c>
      <c r="M141" s="68">
        <v>0</v>
      </c>
      <c r="N141" s="5">
        <v>0</v>
      </c>
      <c r="O141" s="35" t="e">
        <f t="shared" si="290"/>
        <v>#DIV/0!</v>
      </c>
      <c r="P141" s="11" t="e">
        <f t="shared" si="291"/>
        <v>#DIV/0!</v>
      </c>
      <c r="Q141" s="35">
        <v>0</v>
      </c>
      <c r="R141" s="66">
        <v>0</v>
      </c>
      <c r="S141" s="35" t="e">
        <f t="shared" si="292"/>
        <v>#DIV/0!</v>
      </c>
      <c r="T141" s="6" t="e">
        <f t="shared" si="293"/>
        <v>#DIV/0!</v>
      </c>
      <c r="U141" s="68">
        <v>0</v>
      </c>
      <c r="V141" s="66">
        <v>0</v>
      </c>
      <c r="W141" s="20" t="e">
        <f t="shared" si="294"/>
        <v>#DIV/0!</v>
      </c>
      <c r="X141" s="6" t="e">
        <f t="shared" si="295"/>
        <v>#DIV/0!</v>
      </c>
      <c r="Y141" s="68">
        <v>44020</v>
      </c>
      <c r="Z141" s="69">
        <v>384</v>
      </c>
      <c r="AA141" s="35">
        <f t="shared" si="296"/>
        <v>114.63541666666667</v>
      </c>
      <c r="AB141" s="11">
        <f t="shared" si="297"/>
        <v>0.90878243422640603</v>
      </c>
      <c r="AC141" s="20">
        <v>24120</v>
      </c>
      <c r="AD141" s="33">
        <v>829</v>
      </c>
      <c r="AE141" s="35">
        <f t="shared" si="298"/>
        <v>29.095295536791316</v>
      </c>
      <c r="AF141" s="6">
        <f t="shared" si="299"/>
        <v>0.23065553623228915</v>
      </c>
      <c r="AG141" s="68">
        <v>0</v>
      </c>
      <c r="AH141" s="66">
        <v>0</v>
      </c>
      <c r="AI141" s="35" t="e">
        <f t="shared" si="300"/>
        <v>#DIV/0!</v>
      </c>
      <c r="AJ141" s="6" t="e">
        <f t="shared" si="301"/>
        <v>#DIV/0!</v>
      </c>
      <c r="AK141" s="68">
        <v>6840</v>
      </c>
      <c r="AL141" s="65">
        <v>286</v>
      </c>
      <c r="AM141" s="35">
        <f t="shared" si="302"/>
        <v>23.916083916083917</v>
      </c>
      <c r="AN141" s="6">
        <f t="shared" si="303"/>
        <v>0.1895968766931837</v>
      </c>
      <c r="AO141" s="68">
        <v>0</v>
      </c>
      <c r="AP141" s="66">
        <v>0</v>
      </c>
      <c r="AQ141" s="35" t="e">
        <f t="shared" si="304"/>
        <v>#DIV/0!</v>
      </c>
      <c r="AR141" s="6" t="e">
        <f t="shared" si="305"/>
        <v>#DIV/0!</v>
      </c>
      <c r="AS141" s="68">
        <v>0</v>
      </c>
      <c r="AT141" s="66">
        <v>0</v>
      </c>
      <c r="AU141" s="35" t="e">
        <f t="shared" si="306"/>
        <v>#DIV/0!</v>
      </c>
      <c r="AV141" s="6" t="e">
        <f t="shared" si="307"/>
        <v>#DIV/0!</v>
      </c>
      <c r="AW141" s="68">
        <v>0</v>
      </c>
      <c r="AX141" s="66">
        <v>0</v>
      </c>
      <c r="AY141" s="35" t="e">
        <f t="shared" si="308"/>
        <v>#DIV/0!</v>
      </c>
      <c r="AZ141" s="6" t="e">
        <f t="shared" si="309"/>
        <v>#DIV/0!</v>
      </c>
      <c r="BA141" s="68">
        <v>0</v>
      </c>
      <c r="BB141" s="66">
        <v>0</v>
      </c>
      <c r="BC141" s="35" t="e">
        <f t="shared" si="310"/>
        <v>#DIV/0!</v>
      </c>
      <c r="BD141" s="11" t="e">
        <f t="shared" si="311"/>
        <v>#DIV/0!</v>
      </c>
    </row>
    <row r="142" spans="1:56" x14ac:dyDescent="0.25">
      <c r="A142" s="19" t="s">
        <v>6</v>
      </c>
      <c r="B142" s="8">
        <v>415770</v>
      </c>
      <c r="C142" s="35">
        <f>B142/F133</f>
        <v>151.90719766167337</v>
      </c>
      <c r="D142" s="8">
        <v>10950</v>
      </c>
      <c r="E142" s="68">
        <v>0</v>
      </c>
      <c r="F142" s="70">
        <v>0</v>
      </c>
      <c r="G142" s="35" t="e">
        <f t="shared" si="286"/>
        <v>#DIV/0!</v>
      </c>
      <c r="H142" s="11" t="e">
        <f t="shared" si="287"/>
        <v>#DIV/0!</v>
      </c>
      <c r="I142" s="35">
        <v>0</v>
      </c>
      <c r="J142" s="70">
        <v>0</v>
      </c>
      <c r="K142" s="35" t="e">
        <f t="shared" si="288"/>
        <v>#DIV/0!</v>
      </c>
      <c r="L142" s="6" t="e">
        <f t="shared" si="289"/>
        <v>#DIV/0!</v>
      </c>
      <c r="M142" s="68">
        <v>0</v>
      </c>
      <c r="N142" s="5">
        <v>0</v>
      </c>
      <c r="O142" s="35" t="e">
        <f t="shared" si="290"/>
        <v>#DIV/0!</v>
      </c>
      <c r="P142" s="11" t="e">
        <f t="shared" si="291"/>
        <v>#DIV/0!</v>
      </c>
      <c r="Q142" s="35">
        <v>0</v>
      </c>
      <c r="R142" s="66">
        <v>0</v>
      </c>
      <c r="S142" s="35" t="e">
        <f t="shared" si="292"/>
        <v>#DIV/0!</v>
      </c>
      <c r="T142" s="6" t="e">
        <f t="shared" si="293"/>
        <v>#DIV/0!</v>
      </c>
      <c r="U142" s="68">
        <v>0</v>
      </c>
      <c r="V142" s="66">
        <v>0</v>
      </c>
      <c r="W142" s="20" t="e">
        <f t="shared" si="294"/>
        <v>#DIV/0!</v>
      </c>
      <c r="X142" s="6" t="e">
        <f t="shared" si="295"/>
        <v>#DIV/0!</v>
      </c>
      <c r="Y142" s="68">
        <v>48200</v>
      </c>
      <c r="Z142" s="69">
        <v>384</v>
      </c>
      <c r="AA142" s="35">
        <f t="shared" si="296"/>
        <v>125.52083333333333</v>
      </c>
      <c r="AB142" s="11">
        <f t="shared" si="297"/>
        <v>0.82629944640867148</v>
      </c>
      <c r="AC142" s="20">
        <v>35220</v>
      </c>
      <c r="AD142" s="33">
        <v>829</v>
      </c>
      <c r="AE142" s="35">
        <f t="shared" si="298"/>
        <v>42.484921592279854</v>
      </c>
      <c r="AF142" s="6">
        <f t="shared" si="299"/>
        <v>0.27967681746655593</v>
      </c>
      <c r="AG142" s="68">
        <v>0</v>
      </c>
      <c r="AH142" s="66">
        <v>0</v>
      </c>
      <c r="AI142" s="35" t="e">
        <f t="shared" si="300"/>
        <v>#DIV/0!</v>
      </c>
      <c r="AJ142" s="6" t="e">
        <f t="shared" si="301"/>
        <v>#DIV/0!</v>
      </c>
      <c r="AK142" s="68">
        <v>8310</v>
      </c>
      <c r="AL142" s="65">
        <v>286</v>
      </c>
      <c r="AM142" s="35">
        <f t="shared" si="302"/>
        <v>29.055944055944057</v>
      </c>
      <c r="AN142" s="6">
        <f t="shared" si="303"/>
        <v>0.19127430762469366</v>
      </c>
      <c r="AO142" s="68">
        <v>0</v>
      </c>
      <c r="AP142" s="66">
        <v>0</v>
      </c>
      <c r="AQ142" s="35" t="e">
        <f t="shared" si="304"/>
        <v>#DIV/0!</v>
      </c>
      <c r="AR142" s="6" t="e">
        <f t="shared" si="305"/>
        <v>#DIV/0!</v>
      </c>
      <c r="AS142" s="68">
        <v>0</v>
      </c>
      <c r="AT142" s="66">
        <v>0</v>
      </c>
      <c r="AU142" s="35" t="e">
        <f t="shared" si="306"/>
        <v>#DIV/0!</v>
      </c>
      <c r="AV142" s="6" t="e">
        <f t="shared" si="307"/>
        <v>#DIV/0!</v>
      </c>
      <c r="AW142" s="68">
        <v>0</v>
      </c>
      <c r="AX142" s="66">
        <v>0</v>
      </c>
      <c r="AY142" s="35" t="e">
        <f t="shared" si="308"/>
        <v>#DIV/0!</v>
      </c>
      <c r="AZ142" s="6" t="e">
        <f t="shared" si="309"/>
        <v>#DIV/0!</v>
      </c>
      <c r="BA142" s="68">
        <v>0</v>
      </c>
      <c r="BB142" s="66">
        <v>0</v>
      </c>
      <c r="BC142" s="35" t="e">
        <f t="shared" si="310"/>
        <v>#DIV/0!</v>
      </c>
      <c r="BD142" s="11" t="e">
        <f t="shared" si="311"/>
        <v>#DIV/0!</v>
      </c>
    </row>
    <row r="143" spans="1:56" ht="15.75" thickBot="1" x14ac:dyDescent="0.3">
      <c r="A143" s="21"/>
      <c r="B143" s="22"/>
      <c r="C143" s="23">
        <f>AVERAGE(Table110514[MA $/Sq Ft])</f>
        <v>87.291612297092755</v>
      </c>
      <c r="D143" s="22">
        <f>AVERAGE(Table110514[Basic Allowance])</f>
        <v>4442.8571428571431</v>
      </c>
      <c r="E143" s="16"/>
      <c r="F143" s="22"/>
      <c r="G143" s="15"/>
      <c r="H143" s="24" t="e">
        <f>AVERAGE(Table110514[Bsmt % Base])</f>
        <v>#DIV/0!</v>
      </c>
      <c r="I143" s="15"/>
      <c r="J143" s="15"/>
      <c r="K143" s="15"/>
      <c r="L143" s="25" t="e">
        <f>AVERAGE(Table110514[[#Headers],[#Data],[UnfBsmt % Base]])</f>
        <v>#DIV/0!</v>
      </c>
      <c r="M143" s="44"/>
      <c r="N143" s="15"/>
      <c r="O143" s="23" t="e">
        <f>AVERAGE(Table110514[LowerVal/SqFt])</f>
        <v>#DIV/0!</v>
      </c>
      <c r="P143" s="24" t="e">
        <f>AVERAGE(Table110514[Lower % Base])</f>
        <v>#DIV/0!</v>
      </c>
      <c r="Q143" s="13"/>
      <c r="R143" s="13"/>
      <c r="S143" s="13"/>
      <c r="T143" s="25" t="e">
        <f>AVERAGE(Table110514[Unf Lower % Base])</f>
        <v>#DIV/0!</v>
      </c>
      <c r="U143" s="12"/>
      <c r="V143" s="13"/>
      <c r="W143" s="13"/>
      <c r="X143" s="25" t="e">
        <f>AVERAGE(Table110514[1/2 Story % Base])</f>
        <v>#DIV/0!</v>
      </c>
      <c r="Y143" s="12"/>
      <c r="Z143" s="13"/>
      <c r="AA143" s="13"/>
      <c r="AB143" s="24">
        <f>AVERAGE(Table110514[2nd Story % Base])</f>
        <v>0.98090700547662357</v>
      </c>
      <c r="AC143" s="13"/>
      <c r="AD143" s="13"/>
      <c r="AE143" s="23">
        <f>AVERAGE(Table110514[AttGarVal/SqFt])</f>
        <v>25.605721178700669</v>
      </c>
      <c r="AF143" s="25">
        <f>AVERAGE(Table110514[Att Gar % Base])</f>
        <v>0.304662912143216</v>
      </c>
      <c r="AG143" s="12"/>
      <c r="AH143" s="13"/>
      <c r="AI143" s="13"/>
      <c r="AJ143" s="25" t="e">
        <f>AVERAGE(Table110514[Porch % Base])</f>
        <v>#DIV/0!</v>
      </c>
      <c r="AK143" s="12"/>
      <c r="AL143" s="13"/>
      <c r="AM143" s="13"/>
      <c r="AN143" s="25">
        <f>AVERAGE(Table110514[Cov Porch % Base])</f>
        <v>0.2053606906835716</v>
      </c>
      <c r="AO143" s="12"/>
      <c r="AP143" s="13"/>
      <c r="AQ143" s="13"/>
      <c r="AR143" s="25" t="e">
        <f>AVERAGE(Table110514[Deck % Base])</f>
        <v>#DIV/0!</v>
      </c>
      <c r="AS143" s="12"/>
      <c r="AT143" s="13"/>
      <c r="AU143" s="23" t="e">
        <f>AVERAGE(Table110514[CovDeckVal/SqFt])</f>
        <v>#DIV/0!</v>
      </c>
      <c r="AV143" s="25" t="e">
        <f>AVERAGE(Table110514[CovDeck % Base])</f>
        <v>#DIV/0!</v>
      </c>
      <c r="AW143" s="12"/>
      <c r="AX143" s="13"/>
      <c r="AY143" s="13"/>
      <c r="AZ143" s="25" t="e">
        <f>AVERAGE(Table110514[CarP % Base])</f>
        <v>#DIV/0!</v>
      </c>
      <c r="BA143" s="12"/>
      <c r="BB143" s="13"/>
      <c r="BC143" s="13"/>
      <c r="BD143" s="24" t="e">
        <f>AVERAGE(Table110514[EFP % Base])</f>
        <v>#DIV/0!</v>
      </c>
    </row>
    <row r="145" spans="1:56" ht="15.75" thickBot="1" x14ac:dyDescent="0.3">
      <c r="A145" s="82"/>
      <c r="B145" t="s">
        <v>79</v>
      </c>
      <c r="C145" s="78" t="s">
        <v>99</v>
      </c>
      <c r="E145" t="s">
        <v>33</v>
      </c>
      <c r="F145" s="79">
        <v>2329</v>
      </c>
      <c r="H145" t="s">
        <v>80</v>
      </c>
      <c r="I145" t="s">
        <v>134</v>
      </c>
    </row>
    <row r="146" spans="1:56" x14ac:dyDescent="0.25">
      <c r="A146" s="112"/>
      <c r="B146" s="113"/>
      <c r="C146" s="113"/>
      <c r="D146" s="114"/>
      <c r="E146" s="115" t="s">
        <v>27</v>
      </c>
      <c r="F146" s="116"/>
      <c r="G146" s="116"/>
      <c r="H146" s="117"/>
      <c r="I146" s="118" t="s">
        <v>28</v>
      </c>
      <c r="J146" s="119"/>
      <c r="K146" s="119"/>
      <c r="L146" s="120"/>
      <c r="M146" s="121" t="s">
        <v>7</v>
      </c>
      <c r="N146" s="122"/>
      <c r="O146" s="122"/>
      <c r="P146" s="122"/>
      <c r="Q146" s="124" t="s">
        <v>29</v>
      </c>
      <c r="R146" s="125"/>
      <c r="S146" s="125"/>
      <c r="T146" s="126"/>
      <c r="U146" s="128" t="s">
        <v>8</v>
      </c>
      <c r="V146" s="128"/>
      <c r="W146" s="128"/>
      <c r="X146" s="129"/>
      <c r="Y146" s="130" t="s">
        <v>0</v>
      </c>
      <c r="Z146" s="131"/>
      <c r="AA146" s="131"/>
      <c r="AB146" s="132"/>
      <c r="AC146" s="133" t="s">
        <v>34</v>
      </c>
      <c r="AD146" s="134"/>
      <c r="AE146" s="134"/>
      <c r="AF146" s="135"/>
      <c r="AG146" s="115" t="s">
        <v>9</v>
      </c>
      <c r="AH146" s="116"/>
      <c r="AI146" s="116"/>
      <c r="AJ146" s="117"/>
      <c r="AK146" s="136" t="s">
        <v>35</v>
      </c>
      <c r="AL146" s="137"/>
      <c r="AM146" s="137"/>
      <c r="AN146" s="138"/>
      <c r="AO146" s="139" t="s">
        <v>10</v>
      </c>
      <c r="AP146" s="140"/>
      <c r="AQ146" s="140"/>
      <c r="AR146" s="141"/>
      <c r="AS146" s="124" t="s">
        <v>36</v>
      </c>
      <c r="AT146" s="125"/>
      <c r="AU146" s="125"/>
      <c r="AV146" s="126"/>
      <c r="AW146" s="142" t="s">
        <v>11</v>
      </c>
      <c r="AX146" s="143"/>
      <c r="AY146" s="143"/>
      <c r="AZ146" s="144"/>
      <c r="BA146" s="148" t="s">
        <v>17</v>
      </c>
      <c r="BB146" s="149"/>
      <c r="BC146" s="149"/>
      <c r="BD146" s="150"/>
    </row>
    <row r="147" spans="1:56" s="1" customFormat="1" ht="15.75" thickBot="1" x14ac:dyDescent="0.3">
      <c r="A147" s="41" t="s">
        <v>13</v>
      </c>
      <c r="B147" s="42" t="s">
        <v>15</v>
      </c>
      <c r="C147" s="42" t="s">
        <v>32</v>
      </c>
      <c r="D147" s="43" t="s">
        <v>18</v>
      </c>
      <c r="E147" s="30" t="s">
        <v>30</v>
      </c>
      <c r="F147" s="31" t="s">
        <v>61</v>
      </c>
      <c r="G147" s="31" t="s">
        <v>38</v>
      </c>
      <c r="H147" s="32" t="s">
        <v>62</v>
      </c>
      <c r="I147" s="37" t="s">
        <v>31</v>
      </c>
      <c r="J147" s="38" t="s">
        <v>39</v>
      </c>
      <c r="K147" s="38" t="s">
        <v>40</v>
      </c>
      <c r="L147" s="39" t="s">
        <v>63</v>
      </c>
      <c r="M147" s="40" t="s">
        <v>19</v>
      </c>
      <c r="N147" s="7" t="s">
        <v>41</v>
      </c>
      <c r="O147" s="7" t="s">
        <v>37</v>
      </c>
      <c r="P147" s="7" t="s">
        <v>64</v>
      </c>
      <c r="Q147" s="27" t="s">
        <v>20</v>
      </c>
      <c r="R147" s="28" t="s">
        <v>60</v>
      </c>
      <c r="S147" s="28" t="s">
        <v>59</v>
      </c>
      <c r="T147" s="29" t="s">
        <v>65</v>
      </c>
      <c r="U147" s="48" t="s">
        <v>21</v>
      </c>
      <c r="V147" s="48" t="s">
        <v>42</v>
      </c>
      <c r="W147" s="48" t="s">
        <v>43</v>
      </c>
      <c r="X147" s="49" t="s">
        <v>66</v>
      </c>
      <c r="Y147" s="50" t="s">
        <v>22</v>
      </c>
      <c r="Z147" s="51" t="s">
        <v>44</v>
      </c>
      <c r="AA147" s="51" t="s">
        <v>45</v>
      </c>
      <c r="AB147" s="52" t="s">
        <v>67</v>
      </c>
      <c r="AC147" s="45" t="s">
        <v>23</v>
      </c>
      <c r="AD147" s="46" t="s">
        <v>46</v>
      </c>
      <c r="AE147" s="46" t="s">
        <v>47</v>
      </c>
      <c r="AF147" s="47" t="s">
        <v>68</v>
      </c>
      <c r="AG147" s="30" t="s">
        <v>24</v>
      </c>
      <c r="AH147" s="31" t="s">
        <v>48</v>
      </c>
      <c r="AI147" s="31" t="s">
        <v>49</v>
      </c>
      <c r="AJ147" s="32" t="s">
        <v>69</v>
      </c>
      <c r="AK147" s="53" t="s">
        <v>25</v>
      </c>
      <c r="AL147" s="54" t="s">
        <v>50</v>
      </c>
      <c r="AM147" s="54" t="s">
        <v>51</v>
      </c>
      <c r="AN147" s="55" t="s">
        <v>70</v>
      </c>
      <c r="AO147" s="56" t="s">
        <v>26</v>
      </c>
      <c r="AP147" s="57" t="s">
        <v>52</v>
      </c>
      <c r="AQ147" s="57" t="s">
        <v>53</v>
      </c>
      <c r="AR147" s="58" t="s">
        <v>71</v>
      </c>
      <c r="AS147" s="59" t="s">
        <v>55</v>
      </c>
      <c r="AT147" s="60" t="s">
        <v>54</v>
      </c>
      <c r="AU147" s="60" t="s">
        <v>56</v>
      </c>
      <c r="AV147" s="61" t="s">
        <v>76</v>
      </c>
      <c r="AW147" s="62" t="s">
        <v>72</v>
      </c>
      <c r="AX147" s="63" t="s">
        <v>73</v>
      </c>
      <c r="AY147" s="63" t="s">
        <v>74</v>
      </c>
      <c r="AZ147" s="64" t="s">
        <v>75</v>
      </c>
      <c r="BA147" s="71" t="s">
        <v>77</v>
      </c>
      <c r="BB147" s="72" t="s">
        <v>57</v>
      </c>
      <c r="BC147" s="72" t="s">
        <v>58</v>
      </c>
      <c r="BD147" s="73" t="s">
        <v>78</v>
      </c>
    </row>
    <row r="148" spans="1:56" ht="15.75" thickBot="1" x14ac:dyDescent="0.3">
      <c r="A148" s="17" t="s">
        <v>1</v>
      </c>
      <c r="B148" s="14">
        <v>107130</v>
      </c>
      <c r="C148" s="34">
        <f>B148/F145</f>
        <v>45.998282524688705</v>
      </c>
      <c r="D148" s="14">
        <v>1525</v>
      </c>
      <c r="E148" s="67">
        <v>0</v>
      </c>
      <c r="F148" s="69">
        <v>0</v>
      </c>
      <c r="G148" s="34" t="e">
        <f t="shared" ref="G148:G154" si="312">E148/F148</f>
        <v>#DIV/0!</v>
      </c>
      <c r="H148" s="10" t="e">
        <f t="shared" ref="H148:H154" si="313">G148/C148</f>
        <v>#DIV/0!</v>
      </c>
      <c r="I148" s="34">
        <v>0</v>
      </c>
      <c r="J148" s="69">
        <v>0</v>
      </c>
      <c r="K148" s="34" t="e">
        <f t="shared" ref="K148:K154" si="314">I148/J148</f>
        <v>#DIV/0!</v>
      </c>
      <c r="L148" s="9" t="e">
        <f t="shared" ref="L148:L154" si="315">K148/C148</f>
        <v>#DIV/0!</v>
      </c>
      <c r="M148" s="67">
        <v>0</v>
      </c>
      <c r="N148" s="26">
        <v>0</v>
      </c>
      <c r="O148" s="34" t="e">
        <f t="shared" ref="O148:O154" si="316">M148/N148</f>
        <v>#DIV/0!</v>
      </c>
      <c r="P148" s="10" t="e">
        <f t="shared" ref="P148:P154" si="317">O148/C148</f>
        <v>#DIV/0!</v>
      </c>
      <c r="Q148" s="35">
        <v>0</v>
      </c>
      <c r="R148" s="66">
        <v>0</v>
      </c>
      <c r="S148" s="35" t="e">
        <f t="shared" ref="S148:S154" si="318">Q148/R148</f>
        <v>#DIV/0!</v>
      </c>
      <c r="T148" s="6" t="e">
        <f t="shared" ref="T148:T154" si="319">S148/C148</f>
        <v>#DIV/0!</v>
      </c>
      <c r="U148" s="67">
        <v>0</v>
      </c>
      <c r="V148" s="65">
        <v>0</v>
      </c>
      <c r="W148" s="18" t="e">
        <f t="shared" ref="W148:W154" si="320">U148/V148</f>
        <v>#DIV/0!</v>
      </c>
      <c r="X148" s="9" t="e">
        <f t="shared" ref="X148:X154" si="321">W148/C148</f>
        <v>#DIV/0!</v>
      </c>
      <c r="Y148" s="67">
        <v>0</v>
      </c>
      <c r="Z148" s="69">
        <v>0</v>
      </c>
      <c r="AA148" s="34" t="e">
        <f t="shared" ref="AA148:AA154" si="322">Y148/Z148</f>
        <v>#DIV/0!</v>
      </c>
      <c r="AB148" s="10" t="e">
        <f t="shared" ref="AB148:AB154" si="323">AA148/C148</f>
        <v>#DIV/0!</v>
      </c>
      <c r="AC148" s="18">
        <v>18820</v>
      </c>
      <c r="AD148" s="33">
        <v>1416</v>
      </c>
      <c r="AE148" s="34">
        <f t="shared" ref="AE148:AE154" si="324">AC148/AD148</f>
        <v>13.290960451977401</v>
      </c>
      <c r="AF148" s="9">
        <f t="shared" ref="AF148:AF154" si="325">AE148/C148</f>
        <v>0.28894471103010705</v>
      </c>
      <c r="AG148" s="67">
        <v>0</v>
      </c>
      <c r="AH148" s="65">
        <v>0</v>
      </c>
      <c r="AI148" s="34" t="e">
        <f t="shared" ref="AI148:AI154" si="326">AG148/AH148</f>
        <v>#DIV/0!</v>
      </c>
      <c r="AJ148" s="9" t="e">
        <f t="shared" ref="AJ148:AJ154" si="327">AI148/C148</f>
        <v>#DIV/0!</v>
      </c>
      <c r="AK148" s="67">
        <v>4760</v>
      </c>
      <c r="AL148" s="65">
        <v>565</v>
      </c>
      <c r="AM148" s="34">
        <f t="shared" ref="AM148:AM154" si="328">AK148/AL148</f>
        <v>8.4247787610619476</v>
      </c>
      <c r="AN148" s="9">
        <f t="shared" ref="AN148:AN154" si="329">AM148/C148</f>
        <v>0.18315420269311375</v>
      </c>
      <c r="AO148" s="67">
        <v>0</v>
      </c>
      <c r="AP148" s="65">
        <v>0</v>
      </c>
      <c r="AQ148" s="34" t="e">
        <f t="shared" ref="AQ148:AQ154" si="330">AO148/AP148</f>
        <v>#DIV/0!</v>
      </c>
      <c r="AR148" s="9" t="e">
        <f t="shared" ref="AR148:AR154" si="331">AQ148/C148</f>
        <v>#DIV/0!</v>
      </c>
      <c r="AS148" s="67">
        <v>0</v>
      </c>
      <c r="AT148" s="65">
        <v>0</v>
      </c>
      <c r="AU148" s="34" t="e">
        <f t="shared" ref="AU148:AU154" si="332">AS148/AT148</f>
        <v>#DIV/0!</v>
      </c>
      <c r="AV148" s="9" t="e">
        <f t="shared" ref="AV148:AV154" si="333">AU148/C148</f>
        <v>#DIV/0!</v>
      </c>
      <c r="AW148" s="67">
        <v>0</v>
      </c>
      <c r="AX148" s="65">
        <v>0</v>
      </c>
      <c r="AY148" s="34" t="e">
        <f t="shared" ref="AY148:AY154" si="334">AW148/AX148</f>
        <v>#DIV/0!</v>
      </c>
      <c r="AZ148" s="9" t="e">
        <f t="shared" ref="AZ148:AZ154" si="335">AY148/C148</f>
        <v>#DIV/0!</v>
      </c>
      <c r="BA148" s="67">
        <v>0</v>
      </c>
      <c r="BB148" s="65">
        <v>0</v>
      </c>
      <c r="BC148" s="34" t="e">
        <f t="shared" ref="BC148:BC154" si="336">BA148/BB148</f>
        <v>#DIV/0!</v>
      </c>
      <c r="BD148" s="10" t="e">
        <f t="shared" ref="BD148:BD154" si="337">BC148/C148</f>
        <v>#DIV/0!</v>
      </c>
    </row>
    <row r="149" spans="1:56" ht="15.75" thickBot="1" x14ac:dyDescent="0.3">
      <c r="A149" s="19" t="s">
        <v>16</v>
      </c>
      <c r="B149" s="8">
        <v>125930</v>
      </c>
      <c r="C149" s="35">
        <f>B149/F145</f>
        <v>54.070416487762991</v>
      </c>
      <c r="D149" s="8">
        <v>1525</v>
      </c>
      <c r="E149" s="68">
        <v>0</v>
      </c>
      <c r="F149" s="70">
        <v>0</v>
      </c>
      <c r="G149" s="35" t="e">
        <f t="shared" si="312"/>
        <v>#DIV/0!</v>
      </c>
      <c r="H149" s="11" t="e">
        <f t="shared" si="313"/>
        <v>#DIV/0!</v>
      </c>
      <c r="I149" s="35">
        <v>0</v>
      </c>
      <c r="J149" s="70">
        <v>0</v>
      </c>
      <c r="K149" s="35" t="e">
        <f t="shared" si="314"/>
        <v>#DIV/0!</v>
      </c>
      <c r="L149" s="6" t="e">
        <f t="shared" si="315"/>
        <v>#DIV/0!</v>
      </c>
      <c r="M149" s="68">
        <v>0</v>
      </c>
      <c r="N149" s="5">
        <v>0</v>
      </c>
      <c r="O149" s="35" t="e">
        <f t="shared" si="316"/>
        <v>#DIV/0!</v>
      </c>
      <c r="P149" s="11" t="e">
        <f t="shared" si="317"/>
        <v>#DIV/0!</v>
      </c>
      <c r="Q149" s="35">
        <v>0</v>
      </c>
      <c r="R149" s="66">
        <v>0</v>
      </c>
      <c r="S149" s="35" t="e">
        <f t="shared" si="318"/>
        <v>#DIV/0!</v>
      </c>
      <c r="T149" s="6" t="e">
        <f t="shared" si="319"/>
        <v>#DIV/0!</v>
      </c>
      <c r="U149" s="68">
        <v>0</v>
      </c>
      <c r="V149" s="66">
        <v>0</v>
      </c>
      <c r="W149" s="20" t="e">
        <f t="shared" si="320"/>
        <v>#DIV/0!</v>
      </c>
      <c r="X149" s="6" t="e">
        <f t="shared" si="321"/>
        <v>#DIV/0!</v>
      </c>
      <c r="Y149" s="68">
        <v>0</v>
      </c>
      <c r="Z149" s="70">
        <v>0</v>
      </c>
      <c r="AA149" s="35" t="e">
        <f t="shared" si="322"/>
        <v>#DIV/0!</v>
      </c>
      <c r="AB149" s="11" t="e">
        <f t="shared" si="323"/>
        <v>#DIV/0!</v>
      </c>
      <c r="AC149" s="20">
        <v>23970</v>
      </c>
      <c r="AD149" s="33">
        <v>1416</v>
      </c>
      <c r="AE149" s="35">
        <f t="shared" si="324"/>
        <v>16.927966101694917</v>
      </c>
      <c r="AF149" s="6">
        <f t="shared" si="325"/>
        <v>0.31307260423129879</v>
      </c>
      <c r="AG149" s="68">
        <v>0</v>
      </c>
      <c r="AH149" s="66">
        <v>0</v>
      </c>
      <c r="AI149" s="35" t="e">
        <f t="shared" si="326"/>
        <v>#DIV/0!</v>
      </c>
      <c r="AJ149" s="6" t="e">
        <f t="shared" si="327"/>
        <v>#DIV/0!</v>
      </c>
      <c r="AK149" s="68">
        <v>6580</v>
      </c>
      <c r="AL149" s="65">
        <v>565</v>
      </c>
      <c r="AM149" s="35">
        <f t="shared" si="328"/>
        <v>11.646017699115044</v>
      </c>
      <c r="AN149" s="6">
        <f t="shared" si="329"/>
        <v>0.21538612897037193</v>
      </c>
      <c r="AO149" s="68">
        <v>0</v>
      </c>
      <c r="AP149" s="66">
        <v>0</v>
      </c>
      <c r="AQ149" s="35" t="e">
        <f t="shared" si="330"/>
        <v>#DIV/0!</v>
      </c>
      <c r="AR149" s="6" t="e">
        <f t="shared" si="331"/>
        <v>#DIV/0!</v>
      </c>
      <c r="AS149" s="68">
        <v>0</v>
      </c>
      <c r="AT149" s="66">
        <v>0</v>
      </c>
      <c r="AU149" s="35" t="e">
        <f t="shared" si="332"/>
        <v>#DIV/0!</v>
      </c>
      <c r="AV149" s="6" t="e">
        <f t="shared" si="333"/>
        <v>#DIV/0!</v>
      </c>
      <c r="AW149" s="68">
        <v>0</v>
      </c>
      <c r="AX149" s="66">
        <v>0</v>
      </c>
      <c r="AY149" s="35" t="e">
        <f t="shared" si="334"/>
        <v>#DIV/0!</v>
      </c>
      <c r="AZ149" s="6" t="e">
        <f t="shared" si="335"/>
        <v>#DIV/0!</v>
      </c>
      <c r="BA149" s="68">
        <v>0</v>
      </c>
      <c r="BB149" s="66">
        <v>0</v>
      </c>
      <c r="BC149" s="35" t="e">
        <f t="shared" si="336"/>
        <v>#DIV/0!</v>
      </c>
      <c r="BD149" s="11" t="e">
        <f t="shared" si="337"/>
        <v>#DIV/0!</v>
      </c>
    </row>
    <row r="150" spans="1:56" ht="15.75" thickBot="1" x14ac:dyDescent="0.3">
      <c r="A150" s="19" t="s">
        <v>2</v>
      </c>
      <c r="B150" s="8">
        <v>146560</v>
      </c>
      <c r="C150" s="35">
        <f>B150/F145</f>
        <v>62.928295405753545</v>
      </c>
      <c r="D150" s="8">
        <v>2100</v>
      </c>
      <c r="E150" s="68">
        <v>0</v>
      </c>
      <c r="F150" s="70">
        <v>0</v>
      </c>
      <c r="G150" s="35" t="e">
        <f t="shared" si="312"/>
        <v>#DIV/0!</v>
      </c>
      <c r="H150" s="11" t="e">
        <f t="shared" si="313"/>
        <v>#DIV/0!</v>
      </c>
      <c r="I150" s="35">
        <v>0</v>
      </c>
      <c r="J150" s="70">
        <v>0</v>
      </c>
      <c r="K150" s="35" t="e">
        <f t="shared" si="314"/>
        <v>#DIV/0!</v>
      </c>
      <c r="L150" s="6" t="e">
        <f t="shared" si="315"/>
        <v>#DIV/0!</v>
      </c>
      <c r="M150" s="68">
        <v>0</v>
      </c>
      <c r="N150" s="5">
        <v>0</v>
      </c>
      <c r="O150" s="35" t="e">
        <f t="shared" si="316"/>
        <v>#DIV/0!</v>
      </c>
      <c r="P150" s="11" t="e">
        <f t="shared" si="317"/>
        <v>#DIV/0!</v>
      </c>
      <c r="Q150" s="35">
        <v>0</v>
      </c>
      <c r="R150" s="66">
        <v>0</v>
      </c>
      <c r="S150" s="35" t="e">
        <f t="shared" si="318"/>
        <v>#DIV/0!</v>
      </c>
      <c r="T150" s="6" t="e">
        <f t="shared" si="319"/>
        <v>#DIV/0!</v>
      </c>
      <c r="U150" s="68">
        <v>0</v>
      </c>
      <c r="V150" s="66">
        <v>0</v>
      </c>
      <c r="W150" s="20" t="e">
        <f t="shared" si="320"/>
        <v>#DIV/0!</v>
      </c>
      <c r="X150" s="6" t="e">
        <f t="shared" si="321"/>
        <v>#DIV/0!</v>
      </c>
      <c r="Y150" s="68">
        <v>0</v>
      </c>
      <c r="Z150" s="70">
        <v>0</v>
      </c>
      <c r="AA150" s="35" t="e">
        <f t="shared" si="322"/>
        <v>#DIV/0!</v>
      </c>
      <c r="AB150" s="11" t="e">
        <f t="shared" si="323"/>
        <v>#DIV/0!</v>
      </c>
      <c r="AC150" s="20">
        <v>31520</v>
      </c>
      <c r="AD150" s="33">
        <v>1416</v>
      </c>
      <c r="AE150" s="35">
        <f t="shared" si="324"/>
        <v>22.259887005649716</v>
      </c>
      <c r="AF150" s="6">
        <f t="shared" si="325"/>
        <v>0.35373414871832826</v>
      </c>
      <c r="AG150" s="68">
        <v>0</v>
      </c>
      <c r="AH150" s="66">
        <v>0</v>
      </c>
      <c r="AI150" s="35" t="e">
        <f t="shared" si="326"/>
        <v>#DIV/0!</v>
      </c>
      <c r="AJ150" s="6" t="e">
        <f t="shared" si="327"/>
        <v>#DIV/0!</v>
      </c>
      <c r="AK150" s="68">
        <v>7700</v>
      </c>
      <c r="AL150" s="65">
        <v>565</v>
      </c>
      <c r="AM150" s="35">
        <f t="shared" si="328"/>
        <v>13.628318584070797</v>
      </c>
      <c r="AN150" s="6">
        <f t="shared" si="329"/>
        <v>0.21656900915871238</v>
      </c>
      <c r="AO150" s="68">
        <v>0</v>
      </c>
      <c r="AP150" s="66">
        <v>0</v>
      </c>
      <c r="AQ150" s="35" t="e">
        <f t="shared" si="330"/>
        <v>#DIV/0!</v>
      </c>
      <c r="AR150" s="6" t="e">
        <f t="shared" si="331"/>
        <v>#DIV/0!</v>
      </c>
      <c r="AS150" s="68">
        <v>0</v>
      </c>
      <c r="AT150" s="66">
        <v>0</v>
      </c>
      <c r="AU150" s="35" t="e">
        <f t="shared" si="332"/>
        <v>#DIV/0!</v>
      </c>
      <c r="AV150" s="6" t="e">
        <f t="shared" si="333"/>
        <v>#DIV/0!</v>
      </c>
      <c r="AW150" s="68">
        <v>0</v>
      </c>
      <c r="AX150" s="66">
        <v>0</v>
      </c>
      <c r="AY150" s="35" t="e">
        <f t="shared" si="334"/>
        <v>#DIV/0!</v>
      </c>
      <c r="AZ150" s="6" t="e">
        <f t="shared" si="335"/>
        <v>#DIV/0!</v>
      </c>
      <c r="BA150" s="68">
        <v>0</v>
      </c>
      <c r="BB150" s="66">
        <v>0</v>
      </c>
      <c r="BC150" s="35" t="e">
        <f t="shared" si="336"/>
        <v>#DIV/0!</v>
      </c>
      <c r="BD150" s="11" t="e">
        <f t="shared" si="337"/>
        <v>#DIV/0!</v>
      </c>
    </row>
    <row r="151" spans="1:56" ht="15.75" thickBot="1" x14ac:dyDescent="0.3">
      <c r="A151" s="19" t="s">
        <v>3</v>
      </c>
      <c r="B151" s="8">
        <v>181060</v>
      </c>
      <c r="C151" s="35">
        <f>B151/F145</f>
        <v>77.741519965650497</v>
      </c>
      <c r="D151" s="8">
        <v>2700</v>
      </c>
      <c r="E151" s="68">
        <v>0</v>
      </c>
      <c r="F151" s="70">
        <v>0</v>
      </c>
      <c r="G151" s="35" t="e">
        <f t="shared" si="312"/>
        <v>#DIV/0!</v>
      </c>
      <c r="H151" s="11" t="e">
        <f t="shared" si="313"/>
        <v>#DIV/0!</v>
      </c>
      <c r="I151" s="35">
        <v>0</v>
      </c>
      <c r="J151" s="70">
        <v>0</v>
      </c>
      <c r="K151" s="35" t="e">
        <f t="shared" si="314"/>
        <v>#DIV/0!</v>
      </c>
      <c r="L151" s="6" t="e">
        <f t="shared" si="315"/>
        <v>#DIV/0!</v>
      </c>
      <c r="M151" s="68">
        <v>0</v>
      </c>
      <c r="N151" s="5">
        <v>0</v>
      </c>
      <c r="O151" s="35" t="e">
        <f t="shared" si="316"/>
        <v>#DIV/0!</v>
      </c>
      <c r="P151" s="11" t="e">
        <f t="shared" si="317"/>
        <v>#DIV/0!</v>
      </c>
      <c r="Q151" s="35">
        <v>0</v>
      </c>
      <c r="R151" s="66">
        <v>0</v>
      </c>
      <c r="S151" s="35" t="e">
        <f t="shared" si="318"/>
        <v>#DIV/0!</v>
      </c>
      <c r="T151" s="6" t="e">
        <f t="shared" si="319"/>
        <v>#DIV/0!</v>
      </c>
      <c r="U151" s="68">
        <v>0</v>
      </c>
      <c r="V151" s="66">
        <v>0</v>
      </c>
      <c r="W151" s="20" t="e">
        <f t="shared" si="320"/>
        <v>#DIV/0!</v>
      </c>
      <c r="X151" s="6" t="e">
        <f t="shared" si="321"/>
        <v>#DIV/0!</v>
      </c>
      <c r="Y151" s="68">
        <v>0</v>
      </c>
      <c r="Z151" s="70">
        <v>0</v>
      </c>
      <c r="AA151" s="35" t="e">
        <f t="shared" si="322"/>
        <v>#DIV/0!</v>
      </c>
      <c r="AB151" s="11" t="e">
        <f t="shared" si="323"/>
        <v>#DIV/0!</v>
      </c>
      <c r="AC151" s="20">
        <v>33550</v>
      </c>
      <c r="AD151" s="33">
        <v>1416</v>
      </c>
      <c r="AE151" s="35">
        <f t="shared" si="324"/>
        <v>23.693502824858758</v>
      </c>
      <c r="AF151" s="6">
        <f t="shared" si="325"/>
        <v>0.30477282712413589</v>
      </c>
      <c r="AG151" s="68">
        <v>0</v>
      </c>
      <c r="AH151" s="66">
        <v>0</v>
      </c>
      <c r="AI151" s="35" t="e">
        <f t="shared" si="326"/>
        <v>#DIV/0!</v>
      </c>
      <c r="AJ151" s="6" t="e">
        <f t="shared" si="327"/>
        <v>#DIV/0!</v>
      </c>
      <c r="AK151" s="68">
        <v>10050</v>
      </c>
      <c r="AL151" s="65">
        <v>565</v>
      </c>
      <c r="AM151" s="35">
        <f t="shared" si="328"/>
        <v>17.787610619469028</v>
      </c>
      <c r="AN151" s="6">
        <f t="shared" si="329"/>
        <v>0.22880451304950494</v>
      </c>
      <c r="AO151" s="68">
        <v>0</v>
      </c>
      <c r="AP151" s="66">
        <v>0</v>
      </c>
      <c r="AQ151" s="35" t="e">
        <f t="shared" si="330"/>
        <v>#DIV/0!</v>
      </c>
      <c r="AR151" s="6" t="e">
        <f t="shared" si="331"/>
        <v>#DIV/0!</v>
      </c>
      <c r="AS151" s="68">
        <v>0</v>
      </c>
      <c r="AT151" s="66">
        <v>0</v>
      </c>
      <c r="AU151" s="35" t="e">
        <f t="shared" si="332"/>
        <v>#DIV/0!</v>
      </c>
      <c r="AV151" s="6" t="e">
        <f t="shared" si="333"/>
        <v>#DIV/0!</v>
      </c>
      <c r="AW151" s="68">
        <v>0</v>
      </c>
      <c r="AX151" s="66">
        <v>0</v>
      </c>
      <c r="AY151" s="35" t="e">
        <f t="shared" si="334"/>
        <v>#DIV/0!</v>
      </c>
      <c r="AZ151" s="6" t="e">
        <f t="shared" si="335"/>
        <v>#DIV/0!</v>
      </c>
      <c r="BA151" s="68">
        <v>0</v>
      </c>
      <c r="BB151" s="66">
        <v>0</v>
      </c>
      <c r="BC151" s="35" t="e">
        <f t="shared" si="336"/>
        <v>#DIV/0!</v>
      </c>
      <c r="BD151" s="11" t="e">
        <f t="shared" si="337"/>
        <v>#DIV/0!</v>
      </c>
    </row>
    <row r="152" spans="1:56" ht="15.75" thickBot="1" x14ac:dyDescent="0.3">
      <c r="A152" s="19" t="s">
        <v>4</v>
      </c>
      <c r="B152" s="8">
        <v>223510</v>
      </c>
      <c r="C152" s="35">
        <f>B152/F145</f>
        <v>95.968226706741092</v>
      </c>
      <c r="D152" s="8">
        <v>5250</v>
      </c>
      <c r="E152" s="68">
        <v>0</v>
      </c>
      <c r="F152" s="70">
        <v>0</v>
      </c>
      <c r="G152" s="35" t="e">
        <f t="shared" si="312"/>
        <v>#DIV/0!</v>
      </c>
      <c r="H152" s="11" t="e">
        <f t="shared" si="313"/>
        <v>#DIV/0!</v>
      </c>
      <c r="I152" s="35">
        <v>0</v>
      </c>
      <c r="J152" s="70">
        <v>0</v>
      </c>
      <c r="K152" s="35" t="e">
        <f t="shared" si="314"/>
        <v>#DIV/0!</v>
      </c>
      <c r="L152" s="6" t="e">
        <f t="shared" si="315"/>
        <v>#DIV/0!</v>
      </c>
      <c r="M152" s="68">
        <v>0</v>
      </c>
      <c r="N152" s="5">
        <v>0</v>
      </c>
      <c r="O152" s="35" t="e">
        <f t="shared" si="316"/>
        <v>#DIV/0!</v>
      </c>
      <c r="P152" s="11" t="e">
        <f t="shared" si="317"/>
        <v>#DIV/0!</v>
      </c>
      <c r="Q152" s="35">
        <v>0</v>
      </c>
      <c r="R152" s="66">
        <v>0</v>
      </c>
      <c r="S152" s="35" t="e">
        <f t="shared" si="318"/>
        <v>#DIV/0!</v>
      </c>
      <c r="T152" s="6" t="e">
        <f t="shared" si="319"/>
        <v>#DIV/0!</v>
      </c>
      <c r="U152" s="68">
        <v>0</v>
      </c>
      <c r="V152" s="66">
        <v>0</v>
      </c>
      <c r="W152" s="20" t="e">
        <f t="shared" si="320"/>
        <v>#DIV/0!</v>
      </c>
      <c r="X152" s="6" t="e">
        <f t="shared" si="321"/>
        <v>#DIV/0!</v>
      </c>
      <c r="Y152" s="68">
        <v>0</v>
      </c>
      <c r="Z152" s="70">
        <v>0</v>
      </c>
      <c r="AA152" s="35" t="e">
        <f t="shared" si="322"/>
        <v>#DIV/0!</v>
      </c>
      <c r="AB152" s="11" t="e">
        <f t="shared" si="323"/>
        <v>#DIV/0!</v>
      </c>
      <c r="AC152" s="20">
        <v>38100</v>
      </c>
      <c r="AD152" s="33">
        <v>1416</v>
      </c>
      <c r="AE152" s="35">
        <f t="shared" si="324"/>
        <v>26.906779661016948</v>
      </c>
      <c r="AF152" s="6">
        <f t="shared" si="325"/>
        <v>0.280371749946349</v>
      </c>
      <c r="AG152" s="68">
        <v>0</v>
      </c>
      <c r="AH152" s="66">
        <v>0</v>
      </c>
      <c r="AI152" s="35" t="e">
        <f t="shared" si="326"/>
        <v>#DIV/0!</v>
      </c>
      <c r="AJ152" s="6" t="e">
        <f t="shared" si="327"/>
        <v>#DIV/0!</v>
      </c>
      <c r="AK152" s="68">
        <v>11030</v>
      </c>
      <c r="AL152" s="65">
        <v>565</v>
      </c>
      <c r="AM152" s="35">
        <f t="shared" si="328"/>
        <v>19.522123893805311</v>
      </c>
      <c r="AN152" s="6">
        <f t="shared" si="329"/>
        <v>0.20342278443323597</v>
      </c>
      <c r="AO152" s="68">
        <v>0</v>
      </c>
      <c r="AP152" s="66">
        <v>0</v>
      </c>
      <c r="AQ152" s="35" t="e">
        <f t="shared" si="330"/>
        <v>#DIV/0!</v>
      </c>
      <c r="AR152" s="6" t="e">
        <f t="shared" si="331"/>
        <v>#DIV/0!</v>
      </c>
      <c r="AS152" s="68">
        <v>0</v>
      </c>
      <c r="AT152" s="66">
        <v>0</v>
      </c>
      <c r="AU152" s="35" t="e">
        <f t="shared" si="332"/>
        <v>#DIV/0!</v>
      </c>
      <c r="AV152" s="6" t="e">
        <f t="shared" si="333"/>
        <v>#DIV/0!</v>
      </c>
      <c r="AW152" s="68">
        <v>0</v>
      </c>
      <c r="AX152" s="66">
        <v>0</v>
      </c>
      <c r="AY152" s="35" t="e">
        <f t="shared" si="334"/>
        <v>#DIV/0!</v>
      </c>
      <c r="AZ152" s="6" t="e">
        <f t="shared" si="335"/>
        <v>#DIV/0!</v>
      </c>
      <c r="BA152" s="68">
        <v>0</v>
      </c>
      <c r="BB152" s="66">
        <v>0</v>
      </c>
      <c r="BC152" s="35" t="e">
        <f t="shared" si="336"/>
        <v>#DIV/0!</v>
      </c>
      <c r="BD152" s="11" t="e">
        <f t="shared" si="337"/>
        <v>#DIV/0!</v>
      </c>
    </row>
    <row r="153" spans="1:56" ht="15.75" thickBot="1" x14ac:dyDescent="0.3">
      <c r="A153" s="19" t="s">
        <v>5</v>
      </c>
      <c r="B153" s="8">
        <v>299920</v>
      </c>
      <c r="C153" s="35">
        <f>B153/F145</f>
        <v>128.77629884070416</v>
      </c>
      <c r="D153" s="8">
        <v>7050</v>
      </c>
      <c r="E153" s="68">
        <v>0</v>
      </c>
      <c r="F153" s="70">
        <v>0</v>
      </c>
      <c r="G153" s="35" t="e">
        <f t="shared" si="312"/>
        <v>#DIV/0!</v>
      </c>
      <c r="H153" s="11" t="e">
        <f t="shared" si="313"/>
        <v>#DIV/0!</v>
      </c>
      <c r="I153" s="35">
        <v>0</v>
      </c>
      <c r="J153" s="70">
        <v>0</v>
      </c>
      <c r="K153" s="35" t="e">
        <f t="shared" si="314"/>
        <v>#DIV/0!</v>
      </c>
      <c r="L153" s="6" t="e">
        <f t="shared" si="315"/>
        <v>#DIV/0!</v>
      </c>
      <c r="M153" s="68">
        <v>0</v>
      </c>
      <c r="N153" s="5">
        <v>0</v>
      </c>
      <c r="O153" s="35" t="e">
        <f t="shared" si="316"/>
        <v>#DIV/0!</v>
      </c>
      <c r="P153" s="11" t="e">
        <f t="shared" si="317"/>
        <v>#DIV/0!</v>
      </c>
      <c r="Q153" s="35">
        <v>0</v>
      </c>
      <c r="R153" s="66">
        <v>0</v>
      </c>
      <c r="S153" s="35" t="e">
        <f t="shared" si="318"/>
        <v>#DIV/0!</v>
      </c>
      <c r="T153" s="6" t="e">
        <f t="shared" si="319"/>
        <v>#DIV/0!</v>
      </c>
      <c r="U153" s="68">
        <v>0</v>
      </c>
      <c r="V153" s="66">
        <v>0</v>
      </c>
      <c r="W153" s="20" t="e">
        <f t="shared" si="320"/>
        <v>#DIV/0!</v>
      </c>
      <c r="X153" s="6" t="e">
        <f t="shared" si="321"/>
        <v>#DIV/0!</v>
      </c>
      <c r="Y153" s="68">
        <v>0</v>
      </c>
      <c r="Z153" s="70">
        <v>0</v>
      </c>
      <c r="AA153" s="35" t="e">
        <f t="shared" si="322"/>
        <v>#DIV/0!</v>
      </c>
      <c r="AB153" s="11" t="e">
        <f t="shared" si="323"/>
        <v>#DIV/0!</v>
      </c>
      <c r="AC153" s="20">
        <v>39420</v>
      </c>
      <c r="AD153" s="33">
        <v>1416</v>
      </c>
      <c r="AE153" s="35">
        <f t="shared" si="324"/>
        <v>27.838983050847457</v>
      </c>
      <c r="AF153" s="6">
        <f t="shared" si="325"/>
        <v>0.2161809533389695</v>
      </c>
      <c r="AG153" s="68">
        <v>0</v>
      </c>
      <c r="AH153" s="66">
        <v>0</v>
      </c>
      <c r="AI153" s="35" t="e">
        <f t="shared" si="326"/>
        <v>#DIV/0!</v>
      </c>
      <c r="AJ153" s="6" t="e">
        <f t="shared" si="327"/>
        <v>#DIV/0!</v>
      </c>
      <c r="AK153" s="68">
        <v>13510</v>
      </c>
      <c r="AL153" s="65">
        <v>565</v>
      </c>
      <c r="AM153" s="35">
        <f t="shared" si="328"/>
        <v>23.911504424778762</v>
      </c>
      <c r="AN153" s="6">
        <f t="shared" si="329"/>
        <v>0.18568249468294792</v>
      </c>
      <c r="AO153" s="68">
        <v>0</v>
      </c>
      <c r="AP153" s="66">
        <v>0</v>
      </c>
      <c r="AQ153" s="35" t="e">
        <f t="shared" si="330"/>
        <v>#DIV/0!</v>
      </c>
      <c r="AR153" s="6" t="e">
        <f t="shared" si="331"/>
        <v>#DIV/0!</v>
      </c>
      <c r="AS153" s="68">
        <v>0</v>
      </c>
      <c r="AT153" s="66">
        <v>0</v>
      </c>
      <c r="AU153" s="35" t="e">
        <f t="shared" si="332"/>
        <v>#DIV/0!</v>
      </c>
      <c r="AV153" s="6" t="e">
        <f t="shared" si="333"/>
        <v>#DIV/0!</v>
      </c>
      <c r="AW153" s="68">
        <v>0</v>
      </c>
      <c r="AX153" s="66">
        <v>0</v>
      </c>
      <c r="AY153" s="35" t="e">
        <f t="shared" si="334"/>
        <v>#DIV/0!</v>
      </c>
      <c r="AZ153" s="6" t="e">
        <f t="shared" si="335"/>
        <v>#DIV/0!</v>
      </c>
      <c r="BA153" s="68">
        <v>0</v>
      </c>
      <c r="BB153" s="66">
        <v>0</v>
      </c>
      <c r="BC153" s="35" t="e">
        <f t="shared" si="336"/>
        <v>#DIV/0!</v>
      </c>
      <c r="BD153" s="11" t="e">
        <f t="shared" si="337"/>
        <v>#DIV/0!</v>
      </c>
    </row>
    <row r="154" spans="1:56" x14ac:dyDescent="0.25">
      <c r="A154" s="19" t="s">
        <v>6</v>
      </c>
      <c r="B154" s="8">
        <v>361090</v>
      </c>
      <c r="C154" s="35">
        <f>B154/F145</f>
        <v>155.04079003864319</v>
      </c>
      <c r="D154" s="8">
        <v>10950</v>
      </c>
      <c r="E154" s="68">
        <v>0</v>
      </c>
      <c r="F154" s="70">
        <v>0</v>
      </c>
      <c r="G154" s="35" t="e">
        <f t="shared" si="312"/>
        <v>#DIV/0!</v>
      </c>
      <c r="H154" s="11" t="e">
        <f t="shared" si="313"/>
        <v>#DIV/0!</v>
      </c>
      <c r="I154" s="35">
        <v>0</v>
      </c>
      <c r="J154" s="70">
        <v>0</v>
      </c>
      <c r="K154" s="35" t="e">
        <f t="shared" si="314"/>
        <v>#DIV/0!</v>
      </c>
      <c r="L154" s="6" t="e">
        <f t="shared" si="315"/>
        <v>#DIV/0!</v>
      </c>
      <c r="M154" s="68">
        <v>0</v>
      </c>
      <c r="N154" s="5">
        <v>0</v>
      </c>
      <c r="O154" s="35" t="e">
        <f t="shared" si="316"/>
        <v>#DIV/0!</v>
      </c>
      <c r="P154" s="11" t="e">
        <f t="shared" si="317"/>
        <v>#DIV/0!</v>
      </c>
      <c r="Q154" s="35">
        <v>0</v>
      </c>
      <c r="R154" s="66">
        <v>0</v>
      </c>
      <c r="S154" s="35" t="e">
        <f t="shared" si="318"/>
        <v>#DIV/0!</v>
      </c>
      <c r="T154" s="6" t="e">
        <f t="shared" si="319"/>
        <v>#DIV/0!</v>
      </c>
      <c r="U154" s="68">
        <v>0</v>
      </c>
      <c r="V154" s="66">
        <v>0</v>
      </c>
      <c r="W154" s="20" t="e">
        <f t="shared" si="320"/>
        <v>#DIV/0!</v>
      </c>
      <c r="X154" s="6" t="e">
        <f t="shared" si="321"/>
        <v>#DIV/0!</v>
      </c>
      <c r="Y154" s="68">
        <v>0</v>
      </c>
      <c r="Z154" s="70">
        <v>0</v>
      </c>
      <c r="AA154" s="35" t="e">
        <f t="shared" si="322"/>
        <v>#DIV/0!</v>
      </c>
      <c r="AB154" s="11" t="e">
        <f t="shared" si="323"/>
        <v>#DIV/0!</v>
      </c>
      <c r="AC154" s="20">
        <v>57570</v>
      </c>
      <c r="AD154" s="33">
        <v>1416</v>
      </c>
      <c r="AE154" s="35">
        <f t="shared" si="324"/>
        <v>40.656779661016948</v>
      </c>
      <c r="AF154" s="6">
        <f t="shared" si="325"/>
        <v>0.26223279467863542</v>
      </c>
      <c r="AG154" s="68">
        <v>0</v>
      </c>
      <c r="AH154" s="66">
        <v>0</v>
      </c>
      <c r="AI154" s="35" t="e">
        <f t="shared" si="326"/>
        <v>#DIV/0!</v>
      </c>
      <c r="AJ154" s="6" t="e">
        <f t="shared" si="327"/>
        <v>#DIV/0!</v>
      </c>
      <c r="AK154" s="68">
        <v>16390</v>
      </c>
      <c r="AL154" s="65">
        <v>565</v>
      </c>
      <c r="AM154" s="35">
        <f t="shared" si="328"/>
        <v>29.008849557522122</v>
      </c>
      <c r="AN154" s="6">
        <f t="shared" si="329"/>
        <v>0.18710462937070821</v>
      </c>
      <c r="AO154" s="68">
        <v>0</v>
      </c>
      <c r="AP154" s="66">
        <v>0</v>
      </c>
      <c r="AQ154" s="35" t="e">
        <f t="shared" si="330"/>
        <v>#DIV/0!</v>
      </c>
      <c r="AR154" s="6" t="e">
        <f t="shared" si="331"/>
        <v>#DIV/0!</v>
      </c>
      <c r="AS154" s="68">
        <v>0</v>
      </c>
      <c r="AT154" s="66">
        <v>0</v>
      </c>
      <c r="AU154" s="35" t="e">
        <f t="shared" si="332"/>
        <v>#DIV/0!</v>
      </c>
      <c r="AV154" s="6" t="e">
        <f t="shared" si="333"/>
        <v>#DIV/0!</v>
      </c>
      <c r="AW154" s="68">
        <v>0</v>
      </c>
      <c r="AX154" s="66">
        <v>0</v>
      </c>
      <c r="AY154" s="35" t="e">
        <f t="shared" si="334"/>
        <v>#DIV/0!</v>
      </c>
      <c r="AZ154" s="6" t="e">
        <f t="shared" si="335"/>
        <v>#DIV/0!</v>
      </c>
      <c r="BA154" s="68">
        <v>0</v>
      </c>
      <c r="BB154" s="66">
        <v>0</v>
      </c>
      <c r="BC154" s="35" t="e">
        <f t="shared" si="336"/>
        <v>#DIV/0!</v>
      </c>
      <c r="BD154" s="11" t="e">
        <f t="shared" si="337"/>
        <v>#DIV/0!</v>
      </c>
    </row>
    <row r="155" spans="1:56" ht="15.75" thickBot="1" x14ac:dyDescent="0.3">
      <c r="A155" s="21"/>
      <c r="B155" s="22"/>
      <c r="C155" s="23">
        <f>AVERAGE(Table110615[MA $/Sq Ft])</f>
        <v>88.646261424277753</v>
      </c>
      <c r="D155" s="22">
        <f>AVERAGE(Table110615[Basic Allowance])</f>
        <v>4442.8571428571431</v>
      </c>
      <c r="E155" s="16"/>
      <c r="F155" s="22"/>
      <c r="G155" s="15"/>
      <c r="H155" s="24" t="e">
        <f>AVERAGE(Table110615[Bsmt % Base])</f>
        <v>#DIV/0!</v>
      </c>
      <c r="I155" s="15"/>
      <c r="J155" s="15"/>
      <c r="K155" s="15"/>
      <c r="L155" s="25" t="e">
        <f>AVERAGE(Table110615[[#Headers],[#Data],[UnfBsmt % Base]])</f>
        <v>#DIV/0!</v>
      </c>
      <c r="M155" s="44"/>
      <c r="N155" s="15"/>
      <c r="O155" s="23" t="e">
        <f>AVERAGE(Table110615[LowerVal/SqFt])</f>
        <v>#DIV/0!</v>
      </c>
      <c r="P155" s="24" t="e">
        <f>AVERAGE(Table110615[Lower % Base])</f>
        <v>#DIV/0!</v>
      </c>
      <c r="Q155" s="13"/>
      <c r="R155" s="13"/>
      <c r="S155" s="13"/>
      <c r="T155" s="25" t="e">
        <f>AVERAGE(Table110615[Unf Lower % Base])</f>
        <v>#DIV/0!</v>
      </c>
      <c r="U155" s="12"/>
      <c r="V155" s="13"/>
      <c r="W155" s="13"/>
      <c r="X155" s="25" t="e">
        <f>AVERAGE(Table110615[1/2 Story % Base])</f>
        <v>#DIV/0!</v>
      </c>
      <c r="Y155" s="12"/>
      <c r="Z155" s="13"/>
      <c r="AA155" s="13"/>
      <c r="AB155" s="24" t="e">
        <f>AVERAGE(Table110615[2nd Story % Base])</f>
        <v>#DIV/0!</v>
      </c>
      <c r="AC155" s="13"/>
      <c r="AD155" s="13"/>
      <c r="AE155" s="23">
        <f>AVERAGE(Table110615[AttGarVal/SqFt])</f>
        <v>24.510694108151732</v>
      </c>
      <c r="AF155" s="25">
        <f>AVERAGE(Table110615[Att Gar % Base])</f>
        <v>0.28847282700968918</v>
      </c>
      <c r="AG155" s="12"/>
      <c r="AH155" s="13"/>
      <c r="AI155" s="13"/>
      <c r="AJ155" s="25" t="e">
        <f>AVERAGE(Table110615[Porch % Base])</f>
        <v>#DIV/0!</v>
      </c>
      <c r="AK155" s="12"/>
      <c r="AL155" s="13"/>
      <c r="AM155" s="13"/>
      <c r="AN155" s="25">
        <f>AVERAGE(Table110615[Cov Porch % Base])</f>
        <v>0.20287482319408498</v>
      </c>
      <c r="AO155" s="12"/>
      <c r="AP155" s="13"/>
      <c r="AQ155" s="13"/>
      <c r="AR155" s="25" t="e">
        <f>AVERAGE(Table110615[Deck % Base])</f>
        <v>#DIV/0!</v>
      </c>
      <c r="AS155" s="12"/>
      <c r="AT155" s="13"/>
      <c r="AU155" s="23" t="e">
        <f>AVERAGE(Table110615[CovDeckVal/SqFt])</f>
        <v>#DIV/0!</v>
      </c>
      <c r="AV155" s="25" t="e">
        <f>AVERAGE(Table110615[CovDeck % Base])</f>
        <v>#DIV/0!</v>
      </c>
      <c r="AW155" s="12"/>
      <c r="AX155" s="13"/>
      <c r="AY155" s="13"/>
      <c r="AZ155" s="25" t="e">
        <f>AVERAGE(Table110615[CarP % Base])</f>
        <v>#DIV/0!</v>
      </c>
      <c r="BA155" s="12"/>
      <c r="BB155" s="13"/>
      <c r="BC155" s="13"/>
      <c r="BD155" s="24" t="e">
        <f>AVERAGE(Table110615[EFP % Base])</f>
        <v>#DIV/0!</v>
      </c>
    </row>
    <row r="157" spans="1:56" ht="15.75" thickBot="1" x14ac:dyDescent="0.3">
      <c r="A157" s="82"/>
      <c r="B157" t="s">
        <v>79</v>
      </c>
      <c r="C157" s="78" t="s">
        <v>100</v>
      </c>
      <c r="E157" t="s">
        <v>33</v>
      </c>
      <c r="F157" s="79">
        <v>1534</v>
      </c>
      <c r="H157" t="s">
        <v>80</v>
      </c>
      <c r="I157" t="s">
        <v>95</v>
      </c>
    </row>
    <row r="158" spans="1:56" x14ac:dyDescent="0.25">
      <c r="A158" s="112"/>
      <c r="B158" s="113"/>
      <c r="C158" s="113"/>
      <c r="D158" s="114"/>
      <c r="E158" s="115" t="s">
        <v>27</v>
      </c>
      <c r="F158" s="116"/>
      <c r="G158" s="116"/>
      <c r="H158" s="117"/>
      <c r="I158" s="118" t="s">
        <v>28</v>
      </c>
      <c r="J158" s="119"/>
      <c r="K158" s="119"/>
      <c r="L158" s="120"/>
      <c r="M158" s="121" t="s">
        <v>7</v>
      </c>
      <c r="N158" s="122"/>
      <c r="O158" s="122"/>
      <c r="P158" s="122"/>
      <c r="Q158" s="124" t="s">
        <v>29</v>
      </c>
      <c r="R158" s="125"/>
      <c r="S158" s="125"/>
      <c r="T158" s="126"/>
      <c r="U158" s="128" t="s">
        <v>8</v>
      </c>
      <c r="V158" s="128"/>
      <c r="W158" s="128"/>
      <c r="X158" s="129"/>
      <c r="Y158" s="130" t="s">
        <v>0</v>
      </c>
      <c r="Z158" s="131"/>
      <c r="AA158" s="131"/>
      <c r="AB158" s="132"/>
      <c r="AC158" s="133" t="s">
        <v>34</v>
      </c>
      <c r="AD158" s="134"/>
      <c r="AE158" s="134"/>
      <c r="AF158" s="135"/>
      <c r="AG158" s="115" t="s">
        <v>9</v>
      </c>
      <c r="AH158" s="116"/>
      <c r="AI158" s="116"/>
      <c r="AJ158" s="117"/>
      <c r="AK158" s="136" t="s">
        <v>35</v>
      </c>
      <c r="AL158" s="137"/>
      <c r="AM158" s="137"/>
      <c r="AN158" s="138"/>
      <c r="AO158" s="139" t="s">
        <v>10</v>
      </c>
      <c r="AP158" s="140"/>
      <c r="AQ158" s="140"/>
      <c r="AR158" s="141"/>
      <c r="AS158" s="124" t="s">
        <v>36</v>
      </c>
      <c r="AT158" s="125"/>
      <c r="AU158" s="125"/>
      <c r="AV158" s="126"/>
      <c r="AW158" s="142" t="s">
        <v>11</v>
      </c>
      <c r="AX158" s="143"/>
      <c r="AY158" s="143"/>
      <c r="AZ158" s="144"/>
      <c r="BA158" s="148" t="s">
        <v>17</v>
      </c>
      <c r="BB158" s="149"/>
      <c r="BC158" s="149"/>
      <c r="BD158" s="150"/>
    </row>
    <row r="159" spans="1:56" s="1" customFormat="1" ht="15.75" thickBot="1" x14ac:dyDescent="0.3">
      <c r="A159" s="41" t="s">
        <v>13</v>
      </c>
      <c r="B159" s="42" t="s">
        <v>15</v>
      </c>
      <c r="C159" s="42" t="s">
        <v>32</v>
      </c>
      <c r="D159" s="43" t="s">
        <v>18</v>
      </c>
      <c r="E159" s="30" t="s">
        <v>30</v>
      </c>
      <c r="F159" s="31" t="s">
        <v>61</v>
      </c>
      <c r="G159" s="31" t="s">
        <v>38</v>
      </c>
      <c r="H159" s="32" t="s">
        <v>62</v>
      </c>
      <c r="I159" s="37" t="s">
        <v>31</v>
      </c>
      <c r="J159" s="38" t="s">
        <v>39</v>
      </c>
      <c r="K159" s="38" t="s">
        <v>40</v>
      </c>
      <c r="L159" s="39" t="s">
        <v>63</v>
      </c>
      <c r="M159" s="40" t="s">
        <v>19</v>
      </c>
      <c r="N159" s="7" t="s">
        <v>41</v>
      </c>
      <c r="O159" s="7" t="s">
        <v>37</v>
      </c>
      <c r="P159" s="7" t="s">
        <v>64</v>
      </c>
      <c r="Q159" s="27" t="s">
        <v>20</v>
      </c>
      <c r="R159" s="28" t="s">
        <v>60</v>
      </c>
      <c r="S159" s="28" t="s">
        <v>59</v>
      </c>
      <c r="T159" s="29" t="s">
        <v>65</v>
      </c>
      <c r="U159" s="48" t="s">
        <v>21</v>
      </c>
      <c r="V159" s="48" t="s">
        <v>42</v>
      </c>
      <c r="W159" s="48" t="s">
        <v>43</v>
      </c>
      <c r="X159" s="49" t="s">
        <v>66</v>
      </c>
      <c r="Y159" s="50" t="s">
        <v>22</v>
      </c>
      <c r="Z159" s="51" t="s">
        <v>44</v>
      </c>
      <c r="AA159" s="51" t="s">
        <v>45</v>
      </c>
      <c r="AB159" s="52" t="s">
        <v>67</v>
      </c>
      <c r="AC159" s="45" t="s">
        <v>23</v>
      </c>
      <c r="AD159" s="46" t="s">
        <v>46</v>
      </c>
      <c r="AE159" s="46" t="s">
        <v>47</v>
      </c>
      <c r="AF159" s="47" t="s">
        <v>68</v>
      </c>
      <c r="AG159" s="30" t="s">
        <v>24</v>
      </c>
      <c r="AH159" s="31" t="s">
        <v>48</v>
      </c>
      <c r="AI159" s="31" t="s">
        <v>49</v>
      </c>
      <c r="AJ159" s="32" t="s">
        <v>69</v>
      </c>
      <c r="AK159" s="53" t="s">
        <v>25</v>
      </c>
      <c r="AL159" s="54" t="s">
        <v>50</v>
      </c>
      <c r="AM159" s="54" t="s">
        <v>51</v>
      </c>
      <c r="AN159" s="55" t="s">
        <v>70</v>
      </c>
      <c r="AO159" s="56" t="s">
        <v>26</v>
      </c>
      <c r="AP159" s="57" t="s">
        <v>52</v>
      </c>
      <c r="AQ159" s="57" t="s">
        <v>53</v>
      </c>
      <c r="AR159" s="58" t="s">
        <v>71</v>
      </c>
      <c r="AS159" s="59" t="s">
        <v>55</v>
      </c>
      <c r="AT159" s="60" t="s">
        <v>54</v>
      </c>
      <c r="AU159" s="60" t="s">
        <v>56</v>
      </c>
      <c r="AV159" s="61" t="s">
        <v>76</v>
      </c>
      <c r="AW159" s="62" t="s">
        <v>72</v>
      </c>
      <c r="AX159" s="63" t="s">
        <v>73</v>
      </c>
      <c r="AY159" s="63" t="s">
        <v>74</v>
      </c>
      <c r="AZ159" s="64" t="s">
        <v>75</v>
      </c>
      <c r="BA159" s="71" t="s">
        <v>77</v>
      </c>
      <c r="BB159" s="72" t="s">
        <v>57</v>
      </c>
      <c r="BC159" s="72" t="s">
        <v>58</v>
      </c>
      <c r="BD159" s="73" t="s">
        <v>78</v>
      </c>
    </row>
    <row r="160" spans="1:56" ht="15.75" thickBot="1" x14ac:dyDescent="0.3">
      <c r="A160" s="17" t="s">
        <v>1</v>
      </c>
      <c r="B160" s="14">
        <v>75060</v>
      </c>
      <c r="C160" s="34">
        <f>B160/F157</f>
        <v>48.930899608865708</v>
      </c>
      <c r="D160" s="14">
        <v>1525</v>
      </c>
      <c r="E160" s="67">
        <v>30020</v>
      </c>
      <c r="F160" s="69">
        <v>1144</v>
      </c>
      <c r="G160" s="34">
        <f t="shared" ref="G160:G166" si="338">E160/F160</f>
        <v>26.24125874125874</v>
      </c>
      <c r="H160" s="10">
        <f t="shared" ref="H160:H166" si="339">G160/C160</f>
        <v>0.53629217837850929</v>
      </c>
      <c r="I160" s="34">
        <v>0</v>
      </c>
      <c r="J160" s="69">
        <v>0</v>
      </c>
      <c r="K160" s="34" t="e">
        <f t="shared" ref="K160:K166" si="340">I160/J160</f>
        <v>#DIV/0!</v>
      </c>
      <c r="L160" s="9" t="e">
        <f t="shared" ref="L160:L166" si="341">K160/C160</f>
        <v>#DIV/0!</v>
      </c>
      <c r="M160" s="67">
        <v>0</v>
      </c>
      <c r="N160" s="26">
        <v>0</v>
      </c>
      <c r="O160" s="34" t="e">
        <f t="shared" ref="O160:O166" si="342">M160/N160</f>
        <v>#DIV/0!</v>
      </c>
      <c r="P160" s="10" t="e">
        <f t="shared" ref="P160:P166" si="343">O160/C160</f>
        <v>#DIV/0!</v>
      </c>
      <c r="Q160" s="35">
        <v>0</v>
      </c>
      <c r="R160" s="66">
        <v>0</v>
      </c>
      <c r="S160" s="35" t="e">
        <f t="shared" ref="S160:S166" si="344">Q160/R160</f>
        <v>#DIV/0!</v>
      </c>
      <c r="T160" s="6" t="e">
        <f t="shared" ref="T160:T166" si="345">S160/C160</f>
        <v>#DIV/0!</v>
      </c>
      <c r="U160" s="67">
        <v>0</v>
      </c>
      <c r="V160" s="65">
        <v>0</v>
      </c>
      <c r="W160" s="18" t="e">
        <f t="shared" ref="W160:W166" si="346">U160/V160</f>
        <v>#DIV/0!</v>
      </c>
      <c r="X160" s="9" t="e">
        <f t="shared" ref="X160:X166" si="347">W160/C160</f>
        <v>#DIV/0!</v>
      </c>
      <c r="Y160" s="67">
        <v>0</v>
      </c>
      <c r="Z160" s="69">
        <v>0</v>
      </c>
      <c r="AA160" s="34" t="e">
        <f t="shared" ref="AA160:AA166" si="348">Y160/Z160</f>
        <v>#DIV/0!</v>
      </c>
      <c r="AB160" s="10" t="e">
        <f t="shared" ref="AB160:AB166" si="349">AA160/C160</f>
        <v>#DIV/0!</v>
      </c>
      <c r="AC160" s="18">
        <v>7550</v>
      </c>
      <c r="AD160" s="33">
        <v>504</v>
      </c>
      <c r="AE160" s="34">
        <f t="shared" ref="AE160:AE166" si="350">AC160/AD160</f>
        <v>14.980158730158729</v>
      </c>
      <c r="AF160" s="9">
        <f t="shared" ref="AF160:AF166" si="351">AE160/C160</f>
        <v>0.30614926048579127</v>
      </c>
      <c r="AG160" s="67">
        <v>420</v>
      </c>
      <c r="AH160" s="65">
        <v>168</v>
      </c>
      <c r="AI160" s="34">
        <f t="shared" ref="AI160:AI166" si="352">AG160/AH160</f>
        <v>2.5</v>
      </c>
      <c r="AJ160" s="9">
        <f t="shared" ref="AJ160:AJ166" si="353">AI160/C160</f>
        <v>5.1092459365840663E-2</v>
      </c>
      <c r="AK160" s="67">
        <v>1480</v>
      </c>
      <c r="AL160" s="66">
        <v>176</v>
      </c>
      <c r="AM160" s="34">
        <f t="shared" ref="AM160:AM166" si="354">AK160/AL160</f>
        <v>8.4090909090909083</v>
      </c>
      <c r="AN160" s="9">
        <f t="shared" ref="AN160:AN166" si="355">AM160/C160</f>
        <v>0.17185645423055493</v>
      </c>
      <c r="AO160" s="67">
        <v>0</v>
      </c>
      <c r="AP160" s="65">
        <v>0</v>
      </c>
      <c r="AQ160" s="34" t="e">
        <f t="shared" ref="AQ160:AQ166" si="356">AO160/AP160</f>
        <v>#DIV/0!</v>
      </c>
      <c r="AR160" s="9" t="e">
        <f t="shared" ref="AR160:AR166" si="357">AQ160/C160</f>
        <v>#DIV/0!</v>
      </c>
      <c r="AS160" s="67">
        <v>5190</v>
      </c>
      <c r="AT160" s="65">
        <v>363</v>
      </c>
      <c r="AU160" s="34">
        <f t="shared" ref="AU160:AU166" si="358">AS160/AT160</f>
        <v>14.297520661157025</v>
      </c>
      <c r="AV160" s="9">
        <f t="shared" ref="AV160:AV166" si="359">AU160/C160</f>
        <v>0.29219819736497304</v>
      </c>
      <c r="AW160" s="67">
        <v>0</v>
      </c>
      <c r="AX160" s="65">
        <v>0</v>
      </c>
      <c r="AY160" s="34" t="e">
        <f t="shared" ref="AY160:AY166" si="360">AW160/AX160</f>
        <v>#DIV/0!</v>
      </c>
      <c r="AZ160" s="9" t="e">
        <f t="shared" ref="AZ160:AZ166" si="361">AY160/C160</f>
        <v>#DIV/0!</v>
      </c>
      <c r="BA160" s="67">
        <v>0</v>
      </c>
      <c r="BB160" s="65">
        <v>0</v>
      </c>
      <c r="BC160" s="34" t="e">
        <f t="shared" ref="BC160:BC166" si="362">BA160/BB160</f>
        <v>#DIV/0!</v>
      </c>
      <c r="BD160" s="10" t="e">
        <f t="shared" ref="BD160:BD166" si="363">BC160/C160</f>
        <v>#DIV/0!</v>
      </c>
    </row>
    <row r="161" spans="1:56" ht="15.75" thickBot="1" x14ac:dyDescent="0.3">
      <c r="A161" s="19" t="s">
        <v>16</v>
      </c>
      <c r="B161" s="8">
        <v>88320</v>
      </c>
      <c r="C161" s="35">
        <f>B161/F157</f>
        <v>57.574967405475881</v>
      </c>
      <c r="D161" s="8">
        <v>1525</v>
      </c>
      <c r="E161" s="68">
        <v>41180</v>
      </c>
      <c r="F161" s="69">
        <v>1144</v>
      </c>
      <c r="G161" s="35">
        <f t="shared" si="338"/>
        <v>35.996503496503493</v>
      </c>
      <c r="H161" s="11">
        <f t="shared" si="339"/>
        <v>0.62521100955204212</v>
      </c>
      <c r="I161" s="35">
        <v>0</v>
      </c>
      <c r="J161" s="70">
        <v>0</v>
      </c>
      <c r="K161" s="35" t="e">
        <f t="shared" si="340"/>
        <v>#DIV/0!</v>
      </c>
      <c r="L161" s="6" t="e">
        <f t="shared" si="341"/>
        <v>#DIV/0!</v>
      </c>
      <c r="M161" s="68">
        <v>0</v>
      </c>
      <c r="N161" s="5">
        <v>0</v>
      </c>
      <c r="O161" s="35" t="e">
        <f t="shared" si="342"/>
        <v>#DIV/0!</v>
      </c>
      <c r="P161" s="11" t="e">
        <f t="shared" si="343"/>
        <v>#DIV/0!</v>
      </c>
      <c r="Q161" s="35">
        <v>0</v>
      </c>
      <c r="R161" s="66">
        <v>0</v>
      </c>
      <c r="S161" s="35" t="e">
        <f t="shared" si="344"/>
        <v>#DIV/0!</v>
      </c>
      <c r="T161" s="6" t="e">
        <f t="shared" si="345"/>
        <v>#DIV/0!</v>
      </c>
      <c r="U161" s="68">
        <v>0</v>
      </c>
      <c r="V161" s="66">
        <v>0</v>
      </c>
      <c r="W161" s="20" t="e">
        <f t="shared" si="346"/>
        <v>#DIV/0!</v>
      </c>
      <c r="X161" s="6" t="e">
        <f t="shared" si="347"/>
        <v>#DIV/0!</v>
      </c>
      <c r="Y161" s="68">
        <v>0</v>
      </c>
      <c r="Z161" s="70">
        <v>0</v>
      </c>
      <c r="AA161" s="35" t="e">
        <f t="shared" si="348"/>
        <v>#DIV/0!</v>
      </c>
      <c r="AB161" s="11" t="e">
        <f t="shared" si="349"/>
        <v>#DIV/0!</v>
      </c>
      <c r="AC161" s="20">
        <v>10380</v>
      </c>
      <c r="AD161" s="33">
        <v>504</v>
      </c>
      <c r="AE161" s="35">
        <f t="shared" si="350"/>
        <v>20.595238095238095</v>
      </c>
      <c r="AF161" s="6">
        <f t="shared" si="351"/>
        <v>0.3577116761559696</v>
      </c>
      <c r="AG161" s="68">
        <v>520</v>
      </c>
      <c r="AH161" s="65">
        <v>168</v>
      </c>
      <c r="AI161" s="35">
        <f t="shared" si="352"/>
        <v>3.0952380952380953</v>
      </c>
      <c r="AJ161" s="6">
        <f t="shared" si="353"/>
        <v>5.3760136300897168E-2</v>
      </c>
      <c r="AK161" s="68">
        <v>2050</v>
      </c>
      <c r="AL161" s="66">
        <v>176</v>
      </c>
      <c r="AM161" s="35">
        <f t="shared" si="354"/>
        <v>11.647727272727273</v>
      </c>
      <c r="AN161" s="6">
        <f t="shared" si="355"/>
        <v>0.2023054080204216</v>
      </c>
      <c r="AO161" s="68">
        <v>0</v>
      </c>
      <c r="AP161" s="66">
        <v>0</v>
      </c>
      <c r="AQ161" s="35" t="e">
        <f t="shared" si="356"/>
        <v>#DIV/0!</v>
      </c>
      <c r="AR161" s="6" t="e">
        <f t="shared" si="357"/>
        <v>#DIV/0!</v>
      </c>
      <c r="AS161" s="68">
        <v>7300</v>
      </c>
      <c r="AT161" s="65">
        <v>363</v>
      </c>
      <c r="AU161" s="35">
        <f t="shared" si="358"/>
        <v>20.110192837465565</v>
      </c>
      <c r="AV161" s="6">
        <f t="shared" si="359"/>
        <v>0.34928709027029187</v>
      </c>
      <c r="AW161" s="68">
        <v>0</v>
      </c>
      <c r="AX161" s="66">
        <v>0</v>
      </c>
      <c r="AY161" s="35" t="e">
        <f t="shared" si="360"/>
        <v>#DIV/0!</v>
      </c>
      <c r="AZ161" s="6" t="e">
        <f t="shared" si="361"/>
        <v>#DIV/0!</v>
      </c>
      <c r="BA161" s="68">
        <v>0</v>
      </c>
      <c r="BB161" s="66">
        <v>0</v>
      </c>
      <c r="BC161" s="35" t="e">
        <f t="shared" si="362"/>
        <v>#DIV/0!</v>
      </c>
      <c r="BD161" s="11" t="e">
        <f t="shared" si="363"/>
        <v>#DIV/0!</v>
      </c>
    </row>
    <row r="162" spans="1:56" ht="15.75" thickBot="1" x14ac:dyDescent="0.3">
      <c r="A162" s="19" t="s">
        <v>2</v>
      </c>
      <c r="B162" s="8">
        <v>103160</v>
      </c>
      <c r="C162" s="35">
        <f>B162/F157</f>
        <v>67.249022164276397</v>
      </c>
      <c r="D162" s="8">
        <v>2100</v>
      </c>
      <c r="E162" s="68">
        <v>46690</v>
      </c>
      <c r="F162" s="69">
        <v>1144</v>
      </c>
      <c r="G162" s="35">
        <f t="shared" si="338"/>
        <v>40.81293706293706</v>
      </c>
      <c r="H162" s="11">
        <f t="shared" si="339"/>
        <v>0.60689264690330991</v>
      </c>
      <c r="I162" s="35">
        <v>0</v>
      </c>
      <c r="J162" s="70">
        <v>0</v>
      </c>
      <c r="K162" s="35" t="e">
        <f t="shared" si="340"/>
        <v>#DIV/0!</v>
      </c>
      <c r="L162" s="6" t="e">
        <f t="shared" si="341"/>
        <v>#DIV/0!</v>
      </c>
      <c r="M162" s="68">
        <v>0</v>
      </c>
      <c r="N162" s="5">
        <v>0</v>
      </c>
      <c r="O162" s="35" t="e">
        <f t="shared" si="342"/>
        <v>#DIV/0!</v>
      </c>
      <c r="P162" s="11" t="e">
        <f t="shared" si="343"/>
        <v>#DIV/0!</v>
      </c>
      <c r="Q162" s="35">
        <v>0</v>
      </c>
      <c r="R162" s="66">
        <v>0</v>
      </c>
      <c r="S162" s="35" t="e">
        <f t="shared" si="344"/>
        <v>#DIV/0!</v>
      </c>
      <c r="T162" s="6" t="e">
        <f t="shared" si="345"/>
        <v>#DIV/0!</v>
      </c>
      <c r="U162" s="68">
        <v>0</v>
      </c>
      <c r="V162" s="66">
        <v>0</v>
      </c>
      <c r="W162" s="20" t="e">
        <f t="shared" si="346"/>
        <v>#DIV/0!</v>
      </c>
      <c r="X162" s="6" t="e">
        <f t="shared" si="347"/>
        <v>#DIV/0!</v>
      </c>
      <c r="Y162" s="68">
        <v>0</v>
      </c>
      <c r="Z162" s="70">
        <v>0</v>
      </c>
      <c r="AA162" s="35" t="e">
        <f t="shared" si="348"/>
        <v>#DIV/0!</v>
      </c>
      <c r="AB162" s="11" t="e">
        <f t="shared" si="349"/>
        <v>#DIV/0!</v>
      </c>
      <c r="AC162" s="20">
        <v>12800</v>
      </c>
      <c r="AD162" s="33">
        <v>504</v>
      </c>
      <c r="AE162" s="35">
        <f t="shared" si="350"/>
        <v>25.396825396825395</v>
      </c>
      <c r="AF162" s="6">
        <f t="shared" si="351"/>
        <v>0.37765345248865995</v>
      </c>
      <c r="AG162" s="68">
        <v>570</v>
      </c>
      <c r="AH162" s="65">
        <v>168</v>
      </c>
      <c r="AI162" s="35">
        <f t="shared" si="352"/>
        <v>3.3928571428571428</v>
      </c>
      <c r="AJ162" s="6">
        <f t="shared" si="353"/>
        <v>5.0452140918406913E-2</v>
      </c>
      <c r="AK162" s="68">
        <v>2390</v>
      </c>
      <c r="AL162" s="66">
        <v>176</v>
      </c>
      <c r="AM162" s="35">
        <f t="shared" si="354"/>
        <v>13.579545454545455</v>
      </c>
      <c r="AN162" s="6">
        <f t="shared" si="355"/>
        <v>0.20192926257534635</v>
      </c>
      <c r="AO162" s="68">
        <v>0</v>
      </c>
      <c r="AP162" s="66">
        <v>0</v>
      </c>
      <c r="AQ162" s="35" t="e">
        <f t="shared" si="356"/>
        <v>#DIV/0!</v>
      </c>
      <c r="AR162" s="6" t="e">
        <f t="shared" si="357"/>
        <v>#DIV/0!</v>
      </c>
      <c r="AS162" s="68">
        <v>8140</v>
      </c>
      <c r="AT162" s="65">
        <v>363</v>
      </c>
      <c r="AU162" s="35">
        <f t="shared" si="358"/>
        <v>22.424242424242426</v>
      </c>
      <c r="AV162" s="6">
        <f t="shared" si="359"/>
        <v>0.33345083248146457</v>
      </c>
      <c r="AW162" s="68">
        <v>0</v>
      </c>
      <c r="AX162" s="66">
        <v>0</v>
      </c>
      <c r="AY162" s="35" t="e">
        <f t="shared" si="360"/>
        <v>#DIV/0!</v>
      </c>
      <c r="AZ162" s="6" t="e">
        <f t="shared" si="361"/>
        <v>#DIV/0!</v>
      </c>
      <c r="BA162" s="68">
        <v>0</v>
      </c>
      <c r="BB162" s="66">
        <v>0</v>
      </c>
      <c r="BC162" s="35" t="e">
        <f t="shared" si="362"/>
        <v>#DIV/0!</v>
      </c>
      <c r="BD162" s="11" t="e">
        <f t="shared" si="363"/>
        <v>#DIV/0!</v>
      </c>
    </row>
    <row r="163" spans="1:56" ht="15.75" thickBot="1" x14ac:dyDescent="0.3">
      <c r="A163" s="19" t="s">
        <v>3</v>
      </c>
      <c r="B163" s="8">
        <v>124830</v>
      </c>
      <c r="C163" s="35">
        <f>B163/F157</f>
        <v>81.375488917861801</v>
      </c>
      <c r="D163" s="8">
        <v>2700</v>
      </c>
      <c r="E163" s="68">
        <v>54430</v>
      </c>
      <c r="F163" s="69">
        <v>1144</v>
      </c>
      <c r="G163" s="35">
        <f t="shared" si="338"/>
        <v>47.578671328671327</v>
      </c>
      <c r="H163" s="11">
        <f t="shared" si="339"/>
        <v>0.58468062018891143</v>
      </c>
      <c r="I163" s="35">
        <v>0</v>
      </c>
      <c r="J163" s="70">
        <v>0</v>
      </c>
      <c r="K163" s="35" t="e">
        <f t="shared" si="340"/>
        <v>#DIV/0!</v>
      </c>
      <c r="L163" s="6" t="e">
        <f t="shared" si="341"/>
        <v>#DIV/0!</v>
      </c>
      <c r="M163" s="68">
        <v>0</v>
      </c>
      <c r="N163" s="5">
        <v>0</v>
      </c>
      <c r="O163" s="35" t="e">
        <f t="shared" si="342"/>
        <v>#DIV/0!</v>
      </c>
      <c r="P163" s="11" t="e">
        <f t="shared" si="343"/>
        <v>#DIV/0!</v>
      </c>
      <c r="Q163" s="35">
        <v>0</v>
      </c>
      <c r="R163" s="66">
        <v>0</v>
      </c>
      <c r="S163" s="35" t="e">
        <f t="shared" si="344"/>
        <v>#DIV/0!</v>
      </c>
      <c r="T163" s="6" t="e">
        <f t="shared" si="345"/>
        <v>#DIV/0!</v>
      </c>
      <c r="U163" s="68">
        <v>0</v>
      </c>
      <c r="V163" s="66">
        <v>0</v>
      </c>
      <c r="W163" s="20" t="e">
        <f t="shared" si="346"/>
        <v>#DIV/0!</v>
      </c>
      <c r="X163" s="6" t="e">
        <f t="shared" si="347"/>
        <v>#DIV/0!</v>
      </c>
      <c r="Y163" s="68">
        <v>0</v>
      </c>
      <c r="Z163" s="70">
        <v>0</v>
      </c>
      <c r="AA163" s="35" t="e">
        <f t="shared" si="348"/>
        <v>#DIV/0!</v>
      </c>
      <c r="AB163" s="11" t="e">
        <f t="shared" si="349"/>
        <v>#DIV/0!</v>
      </c>
      <c r="AC163" s="20">
        <v>13570</v>
      </c>
      <c r="AD163" s="33">
        <v>504</v>
      </c>
      <c r="AE163" s="35">
        <f t="shared" si="350"/>
        <v>26.924603174603174</v>
      </c>
      <c r="AF163" s="6">
        <f t="shared" si="351"/>
        <v>0.33086871160651499</v>
      </c>
      <c r="AG163" s="68">
        <v>620</v>
      </c>
      <c r="AH163" s="65">
        <v>168</v>
      </c>
      <c r="AI163" s="35">
        <f t="shared" si="352"/>
        <v>3.6904761904761907</v>
      </c>
      <c r="AJ163" s="6">
        <f t="shared" si="353"/>
        <v>4.5351201443486956E-2</v>
      </c>
      <c r="AK163" s="68">
        <v>3140</v>
      </c>
      <c r="AL163" s="66">
        <v>176</v>
      </c>
      <c r="AM163" s="35">
        <f t="shared" si="354"/>
        <v>17.84090909090909</v>
      </c>
      <c r="AN163" s="6">
        <f t="shared" si="355"/>
        <v>0.21924180521873382</v>
      </c>
      <c r="AO163" s="68">
        <v>0</v>
      </c>
      <c r="AP163" s="66">
        <v>0</v>
      </c>
      <c r="AQ163" s="35" t="e">
        <f t="shared" si="356"/>
        <v>#DIV/0!</v>
      </c>
      <c r="AR163" s="6" t="e">
        <f t="shared" si="357"/>
        <v>#DIV/0!</v>
      </c>
      <c r="AS163" s="68">
        <v>9730</v>
      </c>
      <c r="AT163" s="65">
        <v>363</v>
      </c>
      <c r="AU163" s="35">
        <f t="shared" si="358"/>
        <v>26.804407713498623</v>
      </c>
      <c r="AV163" s="6">
        <f t="shared" si="359"/>
        <v>0.32939166412326271</v>
      </c>
      <c r="AW163" s="68">
        <v>0</v>
      </c>
      <c r="AX163" s="66">
        <v>0</v>
      </c>
      <c r="AY163" s="35" t="e">
        <f t="shared" si="360"/>
        <v>#DIV/0!</v>
      </c>
      <c r="AZ163" s="6" t="e">
        <f t="shared" si="361"/>
        <v>#DIV/0!</v>
      </c>
      <c r="BA163" s="68">
        <v>0</v>
      </c>
      <c r="BB163" s="66">
        <v>0</v>
      </c>
      <c r="BC163" s="35" t="e">
        <f t="shared" si="362"/>
        <v>#DIV/0!</v>
      </c>
      <c r="BD163" s="11" t="e">
        <f t="shared" si="363"/>
        <v>#DIV/0!</v>
      </c>
    </row>
    <row r="164" spans="1:56" ht="15.75" thickBot="1" x14ac:dyDescent="0.3">
      <c r="A164" s="19" t="s">
        <v>4</v>
      </c>
      <c r="B164" s="8">
        <v>154970</v>
      </c>
      <c r="C164" s="35">
        <f>B164/F157</f>
        <v>101.02346805736636</v>
      </c>
      <c r="D164" s="8">
        <v>5250</v>
      </c>
      <c r="E164" s="68">
        <v>75240</v>
      </c>
      <c r="F164" s="69">
        <v>1144</v>
      </c>
      <c r="G164" s="35">
        <f t="shared" si="338"/>
        <v>65.769230769230774</v>
      </c>
      <c r="H164" s="11">
        <f t="shared" si="339"/>
        <v>0.65102923146415448</v>
      </c>
      <c r="I164" s="35">
        <v>0</v>
      </c>
      <c r="J164" s="70">
        <v>0</v>
      </c>
      <c r="K164" s="35" t="e">
        <f t="shared" si="340"/>
        <v>#DIV/0!</v>
      </c>
      <c r="L164" s="6" t="e">
        <f t="shared" si="341"/>
        <v>#DIV/0!</v>
      </c>
      <c r="M164" s="68">
        <v>0</v>
      </c>
      <c r="N164" s="5">
        <v>0</v>
      </c>
      <c r="O164" s="35" t="e">
        <f t="shared" si="342"/>
        <v>#DIV/0!</v>
      </c>
      <c r="P164" s="11" t="e">
        <f t="shared" si="343"/>
        <v>#DIV/0!</v>
      </c>
      <c r="Q164" s="35">
        <v>0</v>
      </c>
      <c r="R164" s="66">
        <v>0</v>
      </c>
      <c r="S164" s="35" t="e">
        <f t="shared" si="344"/>
        <v>#DIV/0!</v>
      </c>
      <c r="T164" s="6" t="e">
        <f t="shared" si="345"/>
        <v>#DIV/0!</v>
      </c>
      <c r="U164" s="68">
        <v>0</v>
      </c>
      <c r="V164" s="66">
        <v>0</v>
      </c>
      <c r="W164" s="20" t="e">
        <f t="shared" si="346"/>
        <v>#DIV/0!</v>
      </c>
      <c r="X164" s="6" t="e">
        <f t="shared" si="347"/>
        <v>#DIV/0!</v>
      </c>
      <c r="Y164" s="68">
        <v>0</v>
      </c>
      <c r="Z164" s="70">
        <v>0</v>
      </c>
      <c r="AA164" s="35" t="e">
        <f t="shared" si="348"/>
        <v>#DIV/0!</v>
      </c>
      <c r="AB164" s="11" t="e">
        <f t="shared" si="349"/>
        <v>#DIV/0!</v>
      </c>
      <c r="AC164" s="20">
        <v>15470</v>
      </c>
      <c r="AD164" s="33">
        <v>504</v>
      </c>
      <c r="AE164" s="35">
        <f t="shared" si="350"/>
        <v>30.694444444444443</v>
      </c>
      <c r="AF164" s="6">
        <f t="shared" si="351"/>
        <v>0.30383479239709477</v>
      </c>
      <c r="AG164" s="68">
        <v>740</v>
      </c>
      <c r="AH164" s="65">
        <v>168</v>
      </c>
      <c r="AI164" s="35">
        <f t="shared" si="352"/>
        <v>4.4047619047619051</v>
      </c>
      <c r="AJ164" s="6">
        <f t="shared" si="353"/>
        <v>4.3601372923177145E-2</v>
      </c>
      <c r="AK164" s="68">
        <v>3430</v>
      </c>
      <c r="AL164" s="66">
        <v>176</v>
      </c>
      <c r="AM164" s="35">
        <f t="shared" si="354"/>
        <v>19.488636363636363</v>
      </c>
      <c r="AN164" s="6">
        <f t="shared" si="355"/>
        <v>0.19291197123196865</v>
      </c>
      <c r="AO164" s="68">
        <v>0</v>
      </c>
      <c r="AP164" s="66">
        <v>0</v>
      </c>
      <c r="AQ164" s="35" t="e">
        <f t="shared" si="356"/>
        <v>#DIV/0!</v>
      </c>
      <c r="AR164" s="6" t="e">
        <f t="shared" si="357"/>
        <v>#DIV/0!</v>
      </c>
      <c r="AS164" s="68">
        <v>11550</v>
      </c>
      <c r="AT164" s="65">
        <v>363</v>
      </c>
      <c r="AU164" s="35">
        <f t="shared" si="358"/>
        <v>31.818181818181817</v>
      </c>
      <c r="AV164" s="6">
        <f t="shared" si="359"/>
        <v>0.31495832037872434</v>
      </c>
      <c r="AW164" s="68">
        <v>0</v>
      </c>
      <c r="AX164" s="66">
        <v>0</v>
      </c>
      <c r="AY164" s="35" t="e">
        <f t="shared" si="360"/>
        <v>#DIV/0!</v>
      </c>
      <c r="AZ164" s="6" t="e">
        <f t="shared" si="361"/>
        <v>#DIV/0!</v>
      </c>
      <c r="BA164" s="68">
        <v>0</v>
      </c>
      <c r="BB164" s="66">
        <v>0</v>
      </c>
      <c r="BC164" s="35" t="e">
        <f t="shared" si="362"/>
        <v>#DIV/0!</v>
      </c>
      <c r="BD164" s="11" t="e">
        <f t="shared" si="363"/>
        <v>#DIV/0!</v>
      </c>
    </row>
    <row r="165" spans="1:56" ht="15.75" thickBot="1" x14ac:dyDescent="0.3">
      <c r="A165" s="19" t="s">
        <v>5</v>
      </c>
      <c r="B165" s="8">
        <v>204510</v>
      </c>
      <c r="C165" s="35">
        <f>B165/F157</f>
        <v>133.3181225554107</v>
      </c>
      <c r="D165" s="8">
        <v>7050</v>
      </c>
      <c r="E165" s="68">
        <v>84470</v>
      </c>
      <c r="F165" s="69">
        <v>1144</v>
      </c>
      <c r="G165" s="35">
        <f t="shared" si="338"/>
        <v>73.837412587412587</v>
      </c>
      <c r="H165" s="11">
        <f t="shared" si="339"/>
        <v>0.55384377736585455</v>
      </c>
      <c r="I165" s="35">
        <v>0</v>
      </c>
      <c r="J165" s="70">
        <v>0</v>
      </c>
      <c r="K165" s="35" t="e">
        <f t="shared" si="340"/>
        <v>#DIV/0!</v>
      </c>
      <c r="L165" s="6" t="e">
        <f t="shared" si="341"/>
        <v>#DIV/0!</v>
      </c>
      <c r="M165" s="68">
        <v>0</v>
      </c>
      <c r="N165" s="5">
        <v>0</v>
      </c>
      <c r="O165" s="35" t="e">
        <f t="shared" si="342"/>
        <v>#DIV/0!</v>
      </c>
      <c r="P165" s="11" t="e">
        <f t="shared" si="343"/>
        <v>#DIV/0!</v>
      </c>
      <c r="Q165" s="35">
        <v>0</v>
      </c>
      <c r="R165" s="66">
        <v>0</v>
      </c>
      <c r="S165" s="35" t="e">
        <f t="shared" si="344"/>
        <v>#DIV/0!</v>
      </c>
      <c r="T165" s="6" t="e">
        <f t="shared" si="345"/>
        <v>#DIV/0!</v>
      </c>
      <c r="U165" s="68">
        <v>0</v>
      </c>
      <c r="V165" s="66">
        <v>0</v>
      </c>
      <c r="W165" s="20" t="e">
        <f t="shared" si="346"/>
        <v>#DIV/0!</v>
      </c>
      <c r="X165" s="6" t="e">
        <f t="shared" si="347"/>
        <v>#DIV/0!</v>
      </c>
      <c r="Y165" s="68">
        <v>0</v>
      </c>
      <c r="Z165" s="70">
        <v>0</v>
      </c>
      <c r="AA165" s="35" t="e">
        <f t="shared" si="348"/>
        <v>#DIV/0!</v>
      </c>
      <c r="AB165" s="11" t="e">
        <f t="shared" si="349"/>
        <v>#DIV/0!</v>
      </c>
      <c r="AC165" s="20">
        <v>17510</v>
      </c>
      <c r="AD165" s="33">
        <v>504</v>
      </c>
      <c r="AE165" s="35">
        <f t="shared" si="350"/>
        <v>34.742063492063494</v>
      </c>
      <c r="AF165" s="6">
        <f t="shared" si="351"/>
        <v>0.26059520510892081</v>
      </c>
      <c r="AG165" s="68">
        <v>1130</v>
      </c>
      <c r="AH165" s="65">
        <v>168</v>
      </c>
      <c r="AI165" s="35">
        <f t="shared" si="352"/>
        <v>6.7261904761904763</v>
      </c>
      <c r="AJ165" s="6">
        <f t="shared" si="353"/>
        <v>5.0452184198700262E-2</v>
      </c>
      <c r="AK165" s="68">
        <v>4210</v>
      </c>
      <c r="AL165" s="66">
        <v>176</v>
      </c>
      <c r="AM165" s="35">
        <f t="shared" si="354"/>
        <v>23.920454545454547</v>
      </c>
      <c r="AN165" s="6">
        <f t="shared" si="355"/>
        <v>0.17942387791661665</v>
      </c>
      <c r="AO165" s="68">
        <v>0</v>
      </c>
      <c r="AP165" s="66">
        <v>0</v>
      </c>
      <c r="AQ165" s="35" t="e">
        <f t="shared" si="356"/>
        <v>#DIV/0!</v>
      </c>
      <c r="AR165" s="6" t="e">
        <f t="shared" si="357"/>
        <v>#DIV/0!</v>
      </c>
      <c r="AS165" s="68">
        <v>13480</v>
      </c>
      <c r="AT165" s="65">
        <v>363</v>
      </c>
      <c r="AU165" s="35">
        <f t="shared" si="358"/>
        <v>37.134986225895318</v>
      </c>
      <c r="AV165" s="6">
        <f t="shared" si="359"/>
        <v>0.27854417324592157</v>
      </c>
      <c r="AW165" s="68">
        <v>0</v>
      </c>
      <c r="AX165" s="66">
        <v>0</v>
      </c>
      <c r="AY165" s="35" t="e">
        <f t="shared" si="360"/>
        <v>#DIV/0!</v>
      </c>
      <c r="AZ165" s="6" t="e">
        <f t="shared" si="361"/>
        <v>#DIV/0!</v>
      </c>
      <c r="BA165" s="68">
        <v>0</v>
      </c>
      <c r="BB165" s="66">
        <v>0</v>
      </c>
      <c r="BC165" s="35" t="e">
        <f t="shared" si="362"/>
        <v>#DIV/0!</v>
      </c>
      <c r="BD165" s="11" t="e">
        <f t="shared" si="363"/>
        <v>#DIV/0!</v>
      </c>
    </row>
    <row r="166" spans="1:56" x14ac:dyDescent="0.25">
      <c r="A166" s="19" t="s">
        <v>6</v>
      </c>
      <c r="B166" s="8">
        <v>249170</v>
      </c>
      <c r="C166" s="35">
        <f>B166/F157</f>
        <v>162.4315514993481</v>
      </c>
      <c r="D166" s="8">
        <v>10950</v>
      </c>
      <c r="E166" s="68">
        <v>105220</v>
      </c>
      <c r="F166" s="69">
        <v>1144</v>
      </c>
      <c r="G166" s="35">
        <f t="shared" si="338"/>
        <v>91.97552447552448</v>
      </c>
      <c r="H166" s="11">
        <f t="shared" si="339"/>
        <v>0.5662417407611452</v>
      </c>
      <c r="I166" s="35">
        <v>0</v>
      </c>
      <c r="J166" s="70">
        <v>0</v>
      </c>
      <c r="K166" s="35" t="e">
        <f t="shared" si="340"/>
        <v>#DIV/0!</v>
      </c>
      <c r="L166" s="6" t="e">
        <f t="shared" si="341"/>
        <v>#DIV/0!</v>
      </c>
      <c r="M166" s="68">
        <v>0</v>
      </c>
      <c r="N166" s="5">
        <v>0</v>
      </c>
      <c r="O166" s="35" t="e">
        <f t="shared" si="342"/>
        <v>#DIV/0!</v>
      </c>
      <c r="P166" s="11" t="e">
        <f t="shared" si="343"/>
        <v>#DIV/0!</v>
      </c>
      <c r="Q166" s="35">
        <v>0</v>
      </c>
      <c r="R166" s="66">
        <v>0</v>
      </c>
      <c r="S166" s="35" t="e">
        <f t="shared" si="344"/>
        <v>#DIV/0!</v>
      </c>
      <c r="T166" s="6" t="e">
        <f t="shared" si="345"/>
        <v>#DIV/0!</v>
      </c>
      <c r="U166" s="68">
        <v>0</v>
      </c>
      <c r="V166" s="66">
        <v>0</v>
      </c>
      <c r="W166" s="20" t="e">
        <f t="shared" si="346"/>
        <v>#DIV/0!</v>
      </c>
      <c r="X166" s="6" t="e">
        <f t="shared" si="347"/>
        <v>#DIV/0!</v>
      </c>
      <c r="Y166" s="68">
        <v>0</v>
      </c>
      <c r="Z166" s="70">
        <v>0</v>
      </c>
      <c r="AA166" s="35" t="e">
        <f t="shared" si="348"/>
        <v>#DIV/0!</v>
      </c>
      <c r="AB166" s="11" t="e">
        <f t="shared" si="349"/>
        <v>#DIV/0!</v>
      </c>
      <c r="AC166" s="20">
        <v>25040</v>
      </c>
      <c r="AD166" s="33">
        <v>504</v>
      </c>
      <c r="AE166" s="35">
        <f t="shared" si="350"/>
        <v>49.682539682539684</v>
      </c>
      <c r="AF166" s="6">
        <f t="shared" si="351"/>
        <v>0.30586754373727126</v>
      </c>
      <c r="AG166" s="68">
        <v>1370</v>
      </c>
      <c r="AH166" s="65">
        <v>168</v>
      </c>
      <c r="AI166" s="35">
        <f t="shared" si="352"/>
        <v>8.1547619047619051</v>
      </c>
      <c r="AJ166" s="6">
        <f t="shared" si="353"/>
        <v>5.0204297314703869E-2</v>
      </c>
      <c r="AK166" s="68">
        <v>5110</v>
      </c>
      <c r="AL166" s="66">
        <v>176</v>
      </c>
      <c r="AM166" s="35">
        <f t="shared" si="354"/>
        <v>29.03409090909091</v>
      </c>
      <c r="AN166" s="6">
        <f t="shared" si="355"/>
        <v>0.17874662059856908</v>
      </c>
      <c r="AO166" s="68">
        <v>0</v>
      </c>
      <c r="AP166" s="66">
        <v>0</v>
      </c>
      <c r="AQ166" s="35" t="e">
        <f t="shared" si="356"/>
        <v>#DIV/0!</v>
      </c>
      <c r="AR166" s="6" t="e">
        <f t="shared" si="357"/>
        <v>#DIV/0!</v>
      </c>
      <c r="AS166" s="68">
        <v>15340</v>
      </c>
      <c r="AT166" s="65">
        <v>363</v>
      </c>
      <c r="AU166" s="35">
        <f t="shared" si="358"/>
        <v>42.25895316804408</v>
      </c>
      <c r="AV166" s="6">
        <f t="shared" si="359"/>
        <v>0.26016468338796656</v>
      </c>
      <c r="AW166" s="68">
        <v>0</v>
      </c>
      <c r="AX166" s="66">
        <v>0</v>
      </c>
      <c r="AY166" s="35" t="e">
        <f t="shared" si="360"/>
        <v>#DIV/0!</v>
      </c>
      <c r="AZ166" s="6" t="e">
        <f t="shared" si="361"/>
        <v>#DIV/0!</v>
      </c>
      <c r="BA166" s="68">
        <v>0</v>
      </c>
      <c r="BB166" s="66">
        <v>0</v>
      </c>
      <c r="BC166" s="35" t="e">
        <f t="shared" si="362"/>
        <v>#DIV/0!</v>
      </c>
      <c r="BD166" s="11" t="e">
        <f t="shared" si="363"/>
        <v>#DIV/0!</v>
      </c>
    </row>
    <row r="167" spans="1:56" ht="15.75" thickBot="1" x14ac:dyDescent="0.3">
      <c r="A167" s="21"/>
      <c r="B167" s="22"/>
      <c r="C167" s="23">
        <f>AVERAGE(Table110716[MA $/Sq Ft])</f>
        <v>93.129074315514998</v>
      </c>
      <c r="D167" s="22">
        <f>AVERAGE(Table110716[Basic Allowance])</f>
        <v>4442.8571428571431</v>
      </c>
      <c r="E167" s="16"/>
      <c r="F167" s="22"/>
      <c r="G167" s="15"/>
      <c r="H167" s="24">
        <f>AVERAGE(Table110716[Bsmt % Base])</f>
        <v>0.58917017208770373</v>
      </c>
      <c r="I167" s="15"/>
      <c r="J167" s="15"/>
      <c r="K167" s="15"/>
      <c r="L167" s="25" t="e">
        <f>AVERAGE(Table110716[[#Headers],[#Data],[UnfBsmt % Base]])</f>
        <v>#DIV/0!</v>
      </c>
      <c r="M167" s="44"/>
      <c r="N167" s="15"/>
      <c r="O167" s="23" t="e">
        <f>AVERAGE(Table110716[LowerVal/SqFt])</f>
        <v>#DIV/0!</v>
      </c>
      <c r="P167" s="24" t="e">
        <f>AVERAGE(Table110716[Lower % Base])</f>
        <v>#DIV/0!</v>
      </c>
      <c r="Q167" s="13"/>
      <c r="R167" s="13"/>
      <c r="S167" s="13"/>
      <c r="T167" s="25" t="e">
        <f>AVERAGE(Table110716[Unf Lower % Base])</f>
        <v>#DIV/0!</v>
      </c>
      <c r="U167" s="12"/>
      <c r="V167" s="13"/>
      <c r="W167" s="13"/>
      <c r="X167" s="25" t="e">
        <f>AVERAGE(Table110716[1/2 Story % Base])</f>
        <v>#DIV/0!</v>
      </c>
      <c r="Y167" s="12"/>
      <c r="Z167" s="13"/>
      <c r="AA167" s="13"/>
      <c r="AB167" s="24" t="e">
        <f>AVERAGE(Table110716[2nd Story % Base])</f>
        <v>#DIV/0!</v>
      </c>
      <c r="AC167" s="13"/>
      <c r="AD167" s="13"/>
      <c r="AE167" s="23">
        <f>AVERAGE(Table110716[AttGarVal/SqFt])</f>
        <v>29.002267573696145</v>
      </c>
      <c r="AF167" s="25">
        <f>AVERAGE(Table110716[Att Gar % Base])</f>
        <v>0.32038294885431756</v>
      </c>
      <c r="AG167" s="12"/>
      <c r="AH167" s="13"/>
      <c r="AI167" s="13"/>
      <c r="AJ167" s="25">
        <f>AVERAGE(Table110716[Porch % Base])</f>
        <v>4.9273398923601851E-2</v>
      </c>
      <c r="AK167" s="12"/>
      <c r="AL167" s="13"/>
      <c r="AM167" s="13"/>
      <c r="AN167" s="25">
        <f>AVERAGE(Table110716[Cov Porch % Base])</f>
        <v>0.19234505711317301</v>
      </c>
      <c r="AO167" s="12"/>
      <c r="AP167" s="13"/>
      <c r="AQ167" s="13"/>
      <c r="AR167" s="25" t="e">
        <f>AVERAGE(Table110716[Deck % Base])</f>
        <v>#DIV/0!</v>
      </c>
      <c r="AS167" s="12"/>
      <c r="AT167" s="13"/>
      <c r="AU167" s="23">
        <f>AVERAGE(Table110716[CovDeckVal/SqFt])</f>
        <v>27.835497835497836</v>
      </c>
      <c r="AV167" s="25">
        <f>AVERAGE(Table110716[CovDeck % Base])</f>
        <v>0.30828499446465779</v>
      </c>
      <c r="AW167" s="12"/>
      <c r="AX167" s="13"/>
      <c r="AY167" s="13"/>
      <c r="AZ167" s="25" t="e">
        <f>AVERAGE(Table110716[CarP % Base])</f>
        <v>#DIV/0!</v>
      </c>
      <c r="BA167" s="12"/>
      <c r="BB167" s="13"/>
      <c r="BC167" s="13"/>
      <c r="BD167" s="24" t="e">
        <f>AVERAGE(Table110716[EFP % Base])</f>
        <v>#DIV/0!</v>
      </c>
    </row>
    <row r="169" spans="1:56" ht="15.75" thickBot="1" x14ac:dyDescent="0.3">
      <c r="A169" s="82"/>
      <c r="B169" t="s">
        <v>79</v>
      </c>
      <c r="C169" s="78" t="s">
        <v>101</v>
      </c>
      <c r="E169" t="s">
        <v>33</v>
      </c>
      <c r="F169" s="79">
        <v>1176</v>
      </c>
      <c r="H169" t="s">
        <v>80</v>
      </c>
      <c r="I169" t="s">
        <v>194</v>
      </c>
    </row>
    <row r="170" spans="1:56" x14ac:dyDescent="0.25">
      <c r="A170" s="112"/>
      <c r="B170" s="113"/>
      <c r="C170" s="113"/>
      <c r="D170" s="114"/>
      <c r="E170" s="115" t="s">
        <v>27</v>
      </c>
      <c r="F170" s="116"/>
      <c r="G170" s="116"/>
      <c r="H170" s="117"/>
      <c r="I170" s="118" t="s">
        <v>28</v>
      </c>
      <c r="J170" s="119"/>
      <c r="K170" s="119"/>
      <c r="L170" s="120"/>
      <c r="M170" s="121" t="s">
        <v>7</v>
      </c>
      <c r="N170" s="122"/>
      <c r="O170" s="122"/>
      <c r="P170" s="122"/>
      <c r="Q170" s="124" t="s">
        <v>29</v>
      </c>
      <c r="R170" s="125"/>
      <c r="S170" s="125"/>
      <c r="T170" s="126"/>
      <c r="U170" s="128" t="s">
        <v>8</v>
      </c>
      <c r="V170" s="128"/>
      <c r="W170" s="128"/>
      <c r="X170" s="129"/>
      <c r="Y170" s="130" t="s">
        <v>0</v>
      </c>
      <c r="Z170" s="131"/>
      <c r="AA170" s="131"/>
      <c r="AB170" s="132"/>
      <c r="AC170" s="133" t="s">
        <v>34</v>
      </c>
      <c r="AD170" s="134"/>
      <c r="AE170" s="134"/>
      <c r="AF170" s="135"/>
      <c r="AG170" s="115" t="s">
        <v>9</v>
      </c>
      <c r="AH170" s="116"/>
      <c r="AI170" s="116"/>
      <c r="AJ170" s="117"/>
      <c r="AK170" s="136" t="s">
        <v>35</v>
      </c>
      <c r="AL170" s="137"/>
      <c r="AM170" s="137"/>
      <c r="AN170" s="138"/>
      <c r="AO170" s="139" t="s">
        <v>10</v>
      </c>
      <c r="AP170" s="140"/>
      <c r="AQ170" s="140"/>
      <c r="AR170" s="141"/>
      <c r="AS170" s="124" t="s">
        <v>36</v>
      </c>
      <c r="AT170" s="125"/>
      <c r="AU170" s="125"/>
      <c r="AV170" s="126"/>
      <c r="AW170" s="142" t="s">
        <v>11</v>
      </c>
      <c r="AX170" s="143"/>
      <c r="AY170" s="143"/>
      <c r="AZ170" s="144"/>
      <c r="BA170" s="148" t="s">
        <v>17</v>
      </c>
      <c r="BB170" s="149"/>
      <c r="BC170" s="149"/>
      <c r="BD170" s="150"/>
    </row>
    <row r="171" spans="1:56" s="1" customFormat="1" ht="15.75" thickBot="1" x14ac:dyDescent="0.3">
      <c r="A171" s="41" t="s">
        <v>13</v>
      </c>
      <c r="B171" s="42" t="s">
        <v>15</v>
      </c>
      <c r="C171" s="42" t="s">
        <v>32</v>
      </c>
      <c r="D171" s="43" t="s">
        <v>18</v>
      </c>
      <c r="E171" s="30" t="s">
        <v>30</v>
      </c>
      <c r="F171" s="31" t="s">
        <v>61</v>
      </c>
      <c r="G171" s="31" t="s">
        <v>38</v>
      </c>
      <c r="H171" s="32" t="s">
        <v>62</v>
      </c>
      <c r="I171" s="37" t="s">
        <v>31</v>
      </c>
      <c r="J171" s="38" t="s">
        <v>39</v>
      </c>
      <c r="K171" s="38" t="s">
        <v>40</v>
      </c>
      <c r="L171" s="39" t="s">
        <v>63</v>
      </c>
      <c r="M171" s="40" t="s">
        <v>19</v>
      </c>
      <c r="N171" s="7" t="s">
        <v>41</v>
      </c>
      <c r="O171" s="7" t="s">
        <v>37</v>
      </c>
      <c r="P171" s="7" t="s">
        <v>64</v>
      </c>
      <c r="Q171" s="27" t="s">
        <v>20</v>
      </c>
      <c r="R171" s="28" t="s">
        <v>60</v>
      </c>
      <c r="S171" s="28" t="s">
        <v>59</v>
      </c>
      <c r="T171" s="29" t="s">
        <v>65</v>
      </c>
      <c r="U171" s="48" t="s">
        <v>21</v>
      </c>
      <c r="V171" s="48" t="s">
        <v>42</v>
      </c>
      <c r="W171" s="48" t="s">
        <v>43</v>
      </c>
      <c r="X171" s="49" t="s">
        <v>66</v>
      </c>
      <c r="Y171" s="50" t="s">
        <v>22</v>
      </c>
      <c r="Z171" s="51" t="s">
        <v>44</v>
      </c>
      <c r="AA171" s="51" t="s">
        <v>45</v>
      </c>
      <c r="AB171" s="52" t="s">
        <v>67</v>
      </c>
      <c r="AC171" s="45" t="s">
        <v>23</v>
      </c>
      <c r="AD171" s="46" t="s">
        <v>46</v>
      </c>
      <c r="AE171" s="46" t="s">
        <v>47</v>
      </c>
      <c r="AF171" s="47" t="s">
        <v>68</v>
      </c>
      <c r="AG171" s="30" t="s">
        <v>24</v>
      </c>
      <c r="AH171" s="31" t="s">
        <v>48</v>
      </c>
      <c r="AI171" s="31" t="s">
        <v>49</v>
      </c>
      <c r="AJ171" s="32" t="s">
        <v>69</v>
      </c>
      <c r="AK171" s="53" t="s">
        <v>25</v>
      </c>
      <c r="AL171" s="54" t="s">
        <v>50</v>
      </c>
      <c r="AM171" s="54" t="s">
        <v>51</v>
      </c>
      <c r="AN171" s="55" t="s">
        <v>70</v>
      </c>
      <c r="AO171" s="56" t="s">
        <v>26</v>
      </c>
      <c r="AP171" s="57" t="s">
        <v>52</v>
      </c>
      <c r="AQ171" s="57" t="s">
        <v>53</v>
      </c>
      <c r="AR171" s="58" t="s">
        <v>71</v>
      </c>
      <c r="AS171" s="59" t="s">
        <v>55</v>
      </c>
      <c r="AT171" s="60" t="s">
        <v>54</v>
      </c>
      <c r="AU171" s="60" t="s">
        <v>56</v>
      </c>
      <c r="AV171" s="61" t="s">
        <v>76</v>
      </c>
      <c r="AW171" s="62" t="s">
        <v>72</v>
      </c>
      <c r="AX171" s="63" t="s">
        <v>73</v>
      </c>
      <c r="AY171" s="63" t="s">
        <v>74</v>
      </c>
      <c r="AZ171" s="64" t="s">
        <v>75</v>
      </c>
      <c r="BA171" s="71" t="s">
        <v>77</v>
      </c>
      <c r="BB171" s="72" t="s">
        <v>57</v>
      </c>
      <c r="BC171" s="72" t="s">
        <v>58</v>
      </c>
      <c r="BD171" s="73" t="s">
        <v>78</v>
      </c>
    </row>
    <row r="172" spans="1:56" ht="15.75" thickBot="1" x14ac:dyDescent="0.3">
      <c r="A172" s="17" t="s">
        <v>1</v>
      </c>
      <c r="B172" s="14">
        <v>59890</v>
      </c>
      <c r="C172" s="34">
        <f>B172/F169</f>
        <v>50.926870748299322</v>
      </c>
      <c r="D172" s="14">
        <v>1525</v>
      </c>
      <c r="E172" s="67">
        <v>0</v>
      </c>
      <c r="F172" s="69">
        <v>0</v>
      </c>
      <c r="G172" s="34" t="e">
        <f t="shared" ref="G172:G178" si="364">E172/F172</f>
        <v>#DIV/0!</v>
      </c>
      <c r="H172" s="10" t="e">
        <f t="shared" ref="H172:H178" si="365">G172/C172</f>
        <v>#DIV/0!</v>
      </c>
      <c r="I172" s="34">
        <v>0</v>
      </c>
      <c r="J172" s="69">
        <v>0</v>
      </c>
      <c r="K172" s="34" t="e">
        <f t="shared" ref="K172:K178" si="366">I172/J172</f>
        <v>#DIV/0!</v>
      </c>
      <c r="L172" s="9" t="e">
        <f t="shared" ref="L172:L178" si="367">K172/C172</f>
        <v>#DIV/0!</v>
      </c>
      <c r="M172" s="67">
        <v>0</v>
      </c>
      <c r="N172" s="26">
        <v>0</v>
      </c>
      <c r="O172" s="34" t="e">
        <f t="shared" ref="O172:O178" si="368">M172/N172</f>
        <v>#DIV/0!</v>
      </c>
      <c r="P172" s="10" t="e">
        <f t="shared" ref="P172:P178" si="369">O172/C172</f>
        <v>#DIV/0!</v>
      </c>
      <c r="Q172" s="35">
        <v>0</v>
      </c>
      <c r="R172" s="66">
        <v>0</v>
      </c>
      <c r="S172" s="35" t="e">
        <f t="shared" ref="S172:S178" si="370">Q172/R172</f>
        <v>#DIV/0!</v>
      </c>
      <c r="T172" s="6" t="e">
        <f t="shared" ref="T172:T178" si="371">S172/C172</f>
        <v>#DIV/0!</v>
      </c>
      <c r="U172" s="67">
        <v>0</v>
      </c>
      <c r="V172" s="65">
        <v>0</v>
      </c>
      <c r="W172" s="18" t="e">
        <f t="shared" ref="W172:W178" si="372">U172/V172</f>
        <v>#DIV/0!</v>
      </c>
      <c r="X172" s="9" t="e">
        <f t="shared" ref="X172:X178" si="373">W172/C172</f>
        <v>#DIV/0!</v>
      </c>
      <c r="Y172" s="67">
        <v>41560</v>
      </c>
      <c r="Z172" s="69">
        <v>1154</v>
      </c>
      <c r="AA172" s="34">
        <f t="shared" ref="AA172:AA178" si="374">Y172/Z172</f>
        <v>36.013864818024267</v>
      </c>
      <c r="AB172" s="10">
        <f t="shared" ref="AB172:AB178" si="375">AA172/C172</f>
        <v>0.70716822551338343</v>
      </c>
      <c r="AC172" s="18">
        <v>9640</v>
      </c>
      <c r="AD172" s="33">
        <v>672</v>
      </c>
      <c r="AE172" s="34">
        <f t="shared" ref="AE172:AE178" si="376">AC172/AD172</f>
        <v>14.345238095238095</v>
      </c>
      <c r="AF172" s="9">
        <f t="shared" ref="AF172:AF178" si="377">AE172/C172</f>
        <v>0.28168308565703787</v>
      </c>
      <c r="AG172" s="67">
        <v>0</v>
      </c>
      <c r="AH172" s="65">
        <v>0</v>
      </c>
      <c r="AI172" s="34" t="e">
        <f t="shared" ref="AI172:AI178" si="378">AG172/AH172</f>
        <v>#DIV/0!</v>
      </c>
      <c r="AJ172" s="9" t="e">
        <f t="shared" ref="AJ172:AJ178" si="379">AI172/C172</f>
        <v>#DIV/0!</v>
      </c>
      <c r="AK172" s="67">
        <v>0</v>
      </c>
      <c r="AL172" s="65">
        <v>0</v>
      </c>
      <c r="AM172" s="34" t="e">
        <f t="shared" ref="AM172:AM178" si="380">AK172/AL172</f>
        <v>#DIV/0!</v>
      </c>
      <c r="AN172" s="9" t="e">
        <f t="shared" ref="AN172:AN178" si="381">AM172/C172</f>
        <v>#DIV/0!</v>
      </c>
      <c r="AO172" s="67">
        <v>0</v>
      </c>
      <c r="AP172" s="65">
        <v>0</v>
      </c>
      <c r="AQ172" s="34" t="e">
        <f t="shared" ref="AQ172:AQ178" si="382">AO172/AP172</f>
        <v>#DIV/0!</v>
      </c>
      <c r="AR172" s="9" t="e">
        <f t="shared" ref="AR172:AR178" si="383">AQ172/C172</f>
        <v>#DIV/0!</v>
      </c>
      <c r="AS172" s="67">
        <v>3570</v>
      </c>
      <c r="AT172" s="66">
        <v>299</v>
      </c>
      <c r="AU172" s="34">
        <f t="shared" ref="AU172:AU178" si="384">AS172/AT172</f>
        <v>11.939799331103679</v>
      </c>
      <c r="AV172" s="9">
        <f t="shared" ref="AV172:AV178" si="385">AU172/C172</f>
        <v>0.2344498916910657</v>
      </c>
      <c r="AW172" s="67">
        <v>0</v>
      </c>
      <c r="AX172" s="65">
        <v>0</v>
      </c>
      <c r="AY172" s="34" t="e">
        <f t="shared" ref="AY172:AY178" si="386">AW172/AX172</f>
        <v>#DIV/0!</v>
      </c>
      <c r="AZ172" s="9" t="e">
        <f t="shared" ref="AZ172:AZ178" si="387">AY172/C172</f>
        <v>#DIV/0!</v>
      </c>
      <c r="BA172" s="67">
        <v>0</v>
      </c>
      <c r="BB172" s="65">
        <v>0</v>
      </c>
      <c r="BC172" s="34" t="e">
        <f t="shared" ref="BC172:BC178" si="388">BA172/BB172</f>
        <v>#DIV/0!</v>
      </c>
      <c r="BD172" s="10" t="e">
        <f t="shared" ref="BD172:BD178" si="389">BC172/C172</f>
        <v>#DIV/0!</v>
      </c>
    </row>
    <row r="173" spans="1:56" ht="15.75" thickBot="1" x14ac:dyDescent="0.3">
      <c r="A173" s="19" t="s">
        <v>16</v>
      </c>
      <c r="B173" s="8">
        <v>70470</v>
      </c>
      <c r="C173" s="35">
        <f>B173/F169</f>
        <v>59.923469387755105</v>
      </c>
      <c r="D173" s="8">
        <v>1525</v>
      </c>
      <c r="E173" s="68">
        <v>0</v>
      </c>
      <c r="F173" s="70">
        <v>0</v>
      </c>
      <c r="G173" s="35" t="e">
        <f t="shared" si="364"/>
        <v>#DIV/0!</v>
      </c>
      <c r="H173" s="11" t="e">
        <f t="shared" si="365"/>
        <v>#DIV/0!</v>
      </c>
      <c r="I173" s="35">
        <v>0</v>
      </c>
      <c r="J173" s="70">
        <v>0</v>
      </c>
      <c r="K173" s="35" t="e">
        <f t="shared" si="366"/>
        <v>#DIV/0!</v>
      </c>
      <c r="L173" s="6" t="e">
        <f t="shared" si="367"/>
        <v>#DIV/0!</v>
      </c>
      <c r="M173" s="68">
        <v>0</v>
      </c>
      <c r="N173" s="5">
        <v>0</v>
      </c>
      <c r="O173" s="35" t="e">
        <f t="shared" si="368"/>
        <v>#DIV/0!</v>
      </c>
      <c r="P173" s="11" t="e">
        <f t="shared" si="369"/>
        <v>#DIV/0!</v>
      </c>
      <c r="Q173" s="35">
        <v>0</v>
      </c>
      <c r="R173" s="66">
        <v>0</v>
      </c>
      <c r="S173" s="35" t="e">
        <f t="shared" si="370"/>
        <v>#DIV/0!</v>
      </c>
      <c r="T173" s="6" t="e">
        <f t="shared" si="371"/>
        <v>#DIV/0!</v>
      </c>
      <c r="U173" s="68">
        <v>0</v>
      </c>
      <c r="V173" s="66">
        <v>0</v>
      </c>
      <c r="W173" s="20" t="e">
        <f t="shared" si="372"/>
        <v>#DIV/0!</v>
      </c>
      <c r="X173" s="6" t="e">
        <f t="shared" si="373"/>
        <v>#DIV/0!</v>
      </c>
      <c r="Y173" s="68">
        <v>56960</v>
      </c>
      <c r="Z173" s="69">
        <v>1154</v>
      </c>
      <c r="AA173" s="35">
        <f t="shared" si="374"/>
        <v>49.358752166377819</v>
      </c>
      <c r="AB173" s="11">
        <f t="shared" si="375"/>
        <v>0.8236965027339338</v>
      </c>
      <c r="AC173" s="20">
        <v>12770</v>
      </c>
      <c r="AD173" s="33">
        <v>672</v>
      </c>
      <c r="AE173" s="35">
        <f t="shared" si="376"/>
        <v>19.00297619047619</v>
      </c>
      <c r="AF173" s="6">
        <f t="shared" si="377"/>
        <v>0.31712076060735062</v>
      </c>
      <c r="AG173" s="68">
        <v>0</v>
      </c>
      <c r="AH173" s="66">
        <v>0</v>
      </c>
      <c r="AI173" s="35" t="e">
        <f t="shared" si="378"/>
        <v>#DIV/0!</v>
      </c>
      <c r="AJ173" s="6" t="e">
        <f t="shared" si="379"/>
        <v>#DIV/0!</v>
      </c>
      <c r="AK173" s="68">
        <v>0</v>
      </c>
      <c r="AL173" s="66">
        <v>0</v>
      </c>
      <c r="AM173" s="35" t="e">
        <f t="shared" si="380"/>
        <v>#DIV/0!</v>
      </c>
      <c r="AN173" s="6" t="e">
        <f t="shared" si="381"/>
        <v>#DIV/0!</v>
      </c>
      <c r="AO173" s="68">
        <v>0</v>
      </c>
      <c r="AP173" s="66">
        <v>0</v>
      </c>
      <c r="AQ173" s="35" t="e">
        <f t="shared" si="382"/>
        <v>#DIV/0!</v>
      </c>
      <c r="AR173" s="6" t="e">
        <f t="shared" si="383"/>
        <v>#DIV/0!</v>
      </c>
      <c r="AS173" s="68">
        <v>4960</v>
      </c>
      <c r="AT173" s="66">
        <v>299</v>
      </c>
      <c r="AU173" s="35">
        <f t="shared" si="384"/>
        <v>16.588628762541806</v>
      </c>
      <c r="AV173" s="6">
        <f t="shared" si="385"/>
        <v>0.27683024584573807</v>
      </c>
      <c r="AW173" s="68">
        <v>0</v>
      </c>
      <c r="AX173" s="66">
        <v>0</v>
      </c>
      <c r="AY173" s="35" t="e">
        <f t="shared" si="386"/>
        <v>#DIV/0!</v>
      </c>
      <c r="AZ173" s="6" t="e">
        <f t="shared" si="387"/>
        <v>#DIV/0!</v>
      </c>
      <c r="BA173" s="68">
        <v>0</v>
      </c>
      <c r="BB173" s="66">
        <v>0</v>
      </c>
      <c r="BC173" s="35" t="e">
        <f t="shared" si="388"/>
        <v>#DIV/0!</v>
      </c>
      <c r="BD173" s="11" t="e">
        <f t="shared" si="389"/>
        <v>#DIV/0!</v>
      </c>
    </row>
    <row r="174" spans="1:56" ht="15.75" thickBot="1" x14ac:dyDescent="0.3">
      <c r="A174" s="19" t="s">
        <v>2</v>
      </c>
      <c r="B174" s="8">
        <v>82420</v>
      </c>
      <c r="C174" s="35">
        <f>B174/F169</f>
        <v>70.085034013605437</v>
      </c>
      <c r="D174" s="8">
        <v>2100</v>
      </c>
      <c r="E174" s="68">
        <v>0</v>
      </c>
      <c r="F174" s="70">
        <v>0</v>
      </c>
      <c r="G174" s="35" t="e">
        <f t="shared" si="364"/>
        <v>#DIV/0!</v>
      </c>
      <c r="H174" s="11" t="e">
        <f t="shared" si="365"/>
        <v>#DIV/0!</v>
      </c>
      <c r="I174" s="35">
        <v>0</v>
      </c>
      <c r="J174" s="70">
        <v>0</v>
      </c>
      <c r="K174" s="35" t="e">
        <f t="shared" si="366"/>
        <v>#DIV/0!</v>
      </c>
      <c r="L174" s="6" t="e">
        <f t="shared" si="367"/>
        <v>#DIV/0!</v>
      </c>
      <c r="M174" s="68">
        <v>0</v>
      </c>
      <c r="N174" s="5">
        <v>0</v>
      </c>
      <c r="O174" s="35" t="e">
        <f t="shared" si="368"/>
        <v>#DIV/0!</v>
      </c>
      <c r="P174" s="11" t="e">
        <f t="shared" si="369"/>
        <v>#DIV/0!</v>
      </c>
      <c r="Q174" s="35">
        <v>0</v>
      </c>
      <c r="R174" s="66">
        <v>0</v>
      </c>
      <c r="S174" s="35" t="e">
        <f t="shared" si="370"/>
        <v>#DIV/0!</v>
      </c>
      <c r="T174" s="6" t="e">
        <f t="shared" si="371"/>
        <v>#DIV/0!</v>
      </c>
      <c r="U174" s="68">
        <v>0</v>
      </c>
      <c r="V174" s="66">
        <v>0</v>
      </c>
      <c r="W174" s="20" t="e">
        <f t="shared" si="372"/>
        <v>#DIV/0!</v>
      </c>
      <c r="X174" s="6" t="e">
        <f t="shared" si="373"/>
        <v>#DIV/0!</v>
      </c>
      <c r="Y174" s="68">
        <v>65300</v>
      </c>
      <c r="Z174" s="69">
        <v>1154</v>
      </c>
      <c r="AA174" s="35">
        <f t="shared" si="374"/>
        <v>56.585788561525128</v>
      </c>
      <c r="AB174" s="11">
        <f t="shared" si="375"/>
        <v>0.80738761645660706</v>
      </c>
      <c r="AC174" s="20">
        <v>16400</v>
      </c>
      <c r="AD174" s="33">
        <v>672</v>
      </c>
      <c r="AE174" s="35">
        <f t="shared" si="376"/>
        <v>24.404761904761905</v>
      </c>
      <c r="AF174" s="6">
        <f t="shared" si="377"/>
        <v>0.34821645231739873</v>
      </c>
      <c r="AG174" s="68">
        <v>0</v>
      </c>
      <c r="AH174" s="66">
        <v>0</v>
      </c>
      <c r="AI174" s="35" t="e">
        <f t="shared" si="378"/>
        <v>#DIV/0!</v>
      </c>
      <c r="AJ174" s="6" t="e">
        <f t="shared" si="379"/>
        <v>#DIV/0!</v>
      </c>
      <c r="AK174" s="68">
        <v>0</v>
      </c>
      <c r="AL174" s="66">
        <v>0</v>
      </c>
      <c r="AM174" s="35" t="e">
        <f t="shared" si="380"/>
        <v>#DIV/0!</v>
      </c>
      <c r="AN174" s="6" t="e">
        <f t="shared" si="381"/>
        <v>#DIV/0!</v>
      </c>
      <c r="AO174" s="68">
        <v>0</v>
      </c>
      <c r="AP174" s="66">
        <v>0</v>
      </c>
      <c r="AQ174" s="35" t="e">
        <f t="shared" si="382"/>
        <v>#DIV/0!</v>
      </c>
      <c r="AR174" s="6" t="e">
        <f t="shared" si="383"/>
        <v>#DIV/0!</v>
      </c>
      <c r="AS174" s="68">
        <v>5610</v>
      </c>
      <c r="AT174" s="66">
        <v>299</v>
      </c>
      <c r="AU174" s="35">
        <f t="shared" si="384"/>
        <v>18.762541806020067</v>
      </c>
      <c r="AV174" s="6">
        <f t="shared" si="385"/>
        <v>0.2677111036626984</v>
      </c>
      <c r="AW174" s="68">
        <v>0</v>
      </c>
      <c r="AX174" s="66">
        <v>0</v>
      </c>
      <c r="AY174" s="35" t="e">
        <f t="shared" si="386"/>
        <v>#DIV/0!</v>
      </c>
      <c r="AZ174" s="6" t="e">
        <f t="shared" si="387"/>
        <v>#DIV/0!</v>
      </c>
      <c r="BA174" s="68">
        <v>0</v>
      </c>
      <c r="BB174" s="66">
        <v>0</v>
      </c>
      <c r="BC174" s="35" t="e">
        <f t="shared" si="388"/>
        <v>#DIV/0!</v>
      </c>
      <c r="BD174" s="11" t="e">
        <f t="shared" si="389"/>
        <v>#DIV/0!</v>
      </c>
    </row>
    <row r="175" spans="1:56" ht="15.75" thickBot="1" x14ac:dyDescent="0.3">
      <c r="A175" s="19" t="s">
        <v>3</v>
      </c>
      <c r="B175" s="8">
        <v>99500</v>
      </c>
      <c r="C175" s="35">
        <f>B175/F169</f>
        <v>84.60884353741497</v>
      </c>
      <c r="D175" s="8">
        <v>2700</v>
      </c>
      <c r="E175" s="68">
        <v>0</v>
      </c>
      <c r="F175" s="70">
        <v>0</v>
      </c>
      <c r="G175" s="35" t="e">
        <f t="shared" si="364"/>
        <v>#DIV/0!</v>
      </c>
      <c r="H175" s="11" t="e">
        <f t="shared" si="365"/>
        <v>#DIV/0!</v>
      </c>
      <c r="I175" s="35">
        <v>0</v>
      </c>
      <c r="J175" s="70">
        <v>0</v>
      </c>
      <c r="K175" s="35" t="e">
        <f t="shared" si="366"/>
        <v>#DIV/0!</v>
      </c>
      <c r="L175" s="6" t="e">
        <f t="shared" si="367"/>
        <v>#DIV/0!</v>
      </c>
      <c r="M175" s="68">
        <v>0</v>
      </c>
      <c r="N175" s="5">
        <v>0</v>
      </c>
      <c r="O175" s="35" t="e">
        <f t="shared" si="368"/>
        <v>#DIV/0!</v>
      </c>
      <c r="P175" s="11" t="e">
        <f t="shared" si="369"/>
        <v>#DIV/0!</v>
      </c>
      <c r="Q175" s="35">
        <v>0</v>
      </c>
      <c r="R175" s="66">
        <v>0</v>
      </c>
      <c r="S175" s="35" t="e">
        <f t="shared" si="370"/>
        <v>#DIV/0!</v>
      </c>
      <c r="T175" s="6" t="e">
        <f t="shared" si="371"/>
        <v>#DIV/0!</v>
      </c>
      <c r="U175" s="68">
        <v>0</v>
      </c>
      <c r="V175" s="66">
        <v>0</v>
      </c>
      <c r="W175" s="20" t="e">
        <f t="shared" si="372"/>
        <v>#DIV/0!</v>
      </c>
      <c r="X175" s="6" t="e">
        <f t="shared" si="373"/>
        <v>#DIV/0!</v>
      </c>
      <c r="Y175" s="68">
        <v>73920</v>
      </c>
      <c r="Z175" s="69">
        <v>1154</v>
      </c>
      <c r="AA175" s="35">
        <f t="shared" si="374"/>
        <v>64.055459272097053</v>
      </c>
      <c r="AB175" s="11">
        <f t="shared" si="375"/>
        <v>0.75707758898478528</v>
      </c>
      <c r="AC175" s="20">
        <v>17470</v>
      </c>
      <c r="AD175" s="33">
        <v>672</v>
      </c>
      <c r="AE175" s="35">
        <f t="shared" si="376"/>
        <v>25.99702380952381</v>
      </c>
      <c r="AF175" s="6">
        <f t="shared" si="377"/>
        <v>0.30726130653266331</v>
      </c>
      <c r="AG175" s="68">
        <v>0</v>
      </c>
      <c r="AH175" s="66">
        <v>0</v>
      </c>
      <c r="AI175" s="35" t="e">
        <f t="shared" si="378"/>
        <v>#DIV/0!</v>
      </c>
      <c r="AJ175" s="6" t="e">
        <f t="shared" si="379"/>
        <v>#DIV/0!</v>
      </c>
      <c r="AK175" s="68">
        <v>0</v>
      </c>
      <c r="AL175" s="66">
        <v>0</v>
      </c>
      <c r="AM175" s="35" t="e">
        <f t="shared" si="380"/>
        <v>#DIV/0!</v>
      </c>
      <c r="AN175" s="6" t="e">
        <f t="shared" si="381"/>
        <v>#DIV/0!</v>
      </c>
      <c r="AO175" s="68">
        <v>0</v>
      </c>
      <c r="AP175" s="66">
        <v>0</v>
      </c>
      <c r="AQ175" s="35" t="e">
        <f t="shared" si="382"/>
        <v>#DIV/0!</v>
      </c>
      <c r="AR175" s="6" t="e">
        <f t="shared" si="383"/>
        <v>#DIV/0!</v>
      </c>
      <c r="AS175" s="68">
        <v>6910</v>
      </c>
      <c r="AT175" s="66">
        <v>299</v>
      </c>
      <c r="AU175" s="35">
        <f t="shared" si="384"/>
        <v>23.110367892976587</v>
      </c>
      <c r="AV175" s="6">
        <f t="shared" si="385"/>
        <v>0.27314364464462781</v>
      </c>
      <c r="AW175" s="68">
        <v>0</v>
      </c>
      <c r="AX175" s="66">
        <v>0</v>
      </c>
      <c r="AY175" s="35" t="e">
        <f t="shared" si="386"/>
        <v>#DIV/0!</v>
      </c>
      <c r="AZ175" s="6" t="e">
        <f t="shared" si="387"/>
        <v>#DIV/0!</v>
      </c>
      <c r="BA175" s="68">
        <v>0</v>
      </c>
      <c r="BB175" s="66">
        <v>0</v>
      </c>
      <c r="BC175" s="35" t="e">
        <f t="shared" si="388"/>
        <v>#DIV/0!</v>
      </c>
      <c r="BD175" s="11" t="e">
        <f t="shared" si="389"/>
        <v>#DIV/0!</v>
      </c>
    </row>
    <row r="176" spans="1:56" ht="15.75" thickBot="1" x14ac:dyDescent="0.3">
      <c r="A176" s="19" t="s">
        <v>4</v>
      </c>
      <c r="B176" s="8">
        <v>124160</v>
      </c>
      <c r="C176" s="35">
        <f>B176/F169</f>
        <v>105.578231292517</v>
      </c>
      <c r="D176" s="8">
        <v>5250</v>
      </c>
      <c r="E176" s="68">
        <v>0</v>
      </c>
      <c r="F176" s="70">
        <v>0</v>
      </c>
      <c r="G176" s="35" t="e">
        <f t="shared" si="364"/>
        <v>#DIV/0!</v>
      </c>
      <c r="H176" s="11" t="e">
        <f t="shared" si="365"/>
        <v>#DIV/0!</v>
      </c>
      <c r="I176" s="35">
        <v>0</v>
      </c>
      <c r="J176" s="70">
        <v>0</v>
      </c>
      <c r="K176" s="35" t="e">
        <f t="shared" si="366"/>
        <v>#DIV/0!</v>
      </c>
      <c r="L176" s="6" t="e">
        <f t="shared" si="367"/>
        <v>#DIV/0!</v>
      </c>
      <c r="M176" s="68">
        <v>0</v>
      </c>
      <c r="N176" s="5">
        <v>0</v>
      </c>
      <c r="O176" s="35" t="e">
        <f t="shared" si="368"/>
        <v>#DIV/0!</v>
      </c>
      <c r="P176" s="11" t="e">
        <f t="shared" si="369"/>
        <v>#DIV/0!</v>
      </c>
      <c r="Q176" s="35">
        <v>0</v>
      </c>
      <c r="R176" s="66">
        <v>0</v>
      </c>
      <c r="S176" s="35" t="e">
        <f t="shared" si="370"/>
        <v>#DIV/0!</v>
      </c>
      <c r="T176" s="6" t="e">
        <f t="shared" si="371"/>
        <v>#DIV/0!</v>
      </c>
      <c r="U176" s="68">
        <v>0</v>
      </c>
      <c r="V176" s="66">
        <v>0</v>
      </c>
      <c r="W176" s="20" t="e">
        <f t="shared" si="372"/>
        <v>#DIV/0!</v>
      </c>
      <c r="X176" s="6" t="e">
        <f t="shared" si="373"/>
        <v>#DIV/0!</v>
      </c>
      <c r="Y176" s="68">
        <v>94900</v>
      </c>
      <c r="Z176" s="69">
        <v>1154</v>
      </c>
      <c r="AA176" s="35">
        <f t="shared" si="374"/>
        <v>82.235701906412473</v>
      </c>
      <c r="AB176" s="11">
        <f t="shared" si="375"/>
        <v>0.77890774357233461</v>
      </c>
      <c r="AC176" s="20">
        <v>19870</v>
      </c>
      <c r="AD176" s="33">
        <v>672</v>
      </c>
      <c r="AE176" s="35">
        <f t="shared" si="376"/>
        <v>29.56845238095238</v>
      </c>
      <c r="AF176" s="6">
        <f t="shared" si="377"/>
        <v>0.2800620167525773</v>
      </c>
      <c r="AG176" s="68">
        <v>0</v>
      </c>
      <c r="AH176" s="66">
        <v>0</v>
      </c>
      <c r="AI176" s="35" t="e">
        <f t="shared" si="378"/>
        <v>#DIV/0!</v>
      </c>
      <c r="AJ176" s="6" t="e">
        <f t="shared" si="379"/>
        <v>#DIV/0!</v>
      </c>
      <c r="AK176" s="68">
        <v>0</v>
      </c>
      <c r="AL176" s="66">
        <v>0</v>
      </c>
      <c r="AM176" s="35" t="e">
        <f t="shared" si="380"/>
        <v>#DIV/0!</v>
      </c>
      <c r="AN176" s="6" t="e">
        <f t="shared" si="381"/>
        <v>#DIV/0!</v>
      </c>
      <c r="AO176" s="68">
        <v>0</v>
      </c>
      <c r="AP176" s="66">
        <v>0</v>
      </c>
      <c r="AQ176" s="35" t="e">
        <f t="shared" si="382"/>
        <v>#DIV/0!</v>
      </c>
      <c r="AR176" s="6" t="e">
        <f t="shared" si="383"/>
        <v>#DIV/0!</v>
      </c>
      <c r="AS176" s="68">
        <v>8120</v>
      </c>
      <c r="AT176" s="66">
        <v>299</v>
      </c>
      <c r="AU176" s="35">
        <f t="shared" si="384"/>
        <v>27.157190635451506</v>
      </c>
      <c r="AV176" s="6">
        <f t="shared" si="385"/>
        <v>0.25722339068372241</v>
      </c>
      <c r="AW176" s="68">
        <v>0</v>
      </c>
      <c r="AX176" s="66">
        <v>0</v>
      </c>
      <c r="AY176" s="35" t="e">
        <f t="shared" si="386"/>
        <v>#DIV/0!</v>
      </c>
      <c r="AZ176" s="6" t="e">
        <f t="shared" si="387"/>
        <v>#DIV/0!</v>
      </c>
      <c r="BA176" s="68">
        <v>0</v>
      </c>
      <c r="BB176" s="66">
        <v>0</v>
      </c>
      <c r="BC176" s="35" t="e">
        <f t="shared" si="388"/>
        <v>#DIV/0!</v>
      </c>
      <c r="BD176" s="11" t="e">
        <f t="shared" si="389"/>
        <v>#DIV/0!</v>
      </c>
    </row>
    <row r="177" spans="1:56" ht="15.75" thickBot="1" x14ac:dyDescent="0.3">
      <c r="A177" s="19" t="s">
        <v>5</v>
      </c>
      <c r="B177" s="8">
        <v>163180</v>
      </c>
      <c r="C177" s="35">
        <f>B177/F169</f>
        <v>138.75850340136054</v>
      </c>
      <c r="D177" s="8">
        <v>7050</v>
      </c>
      <c r="E177" s="68">
        <v>0</v>
      </c>
      <c r="F177" s="70">
        <v>0</v>
      </c>
      <c r="G177" s="35" t="e">
        <f t="shared" si="364"/>
        <v>#DIV/0!</v>
      </c>
      <c r="H177" s="11" t="e">
        <f t="shared" si="365"/>
        <v>#DIV/0!</v>
      </c>
      <c r="I177" s="35">
        <v>0</v>
      </c>
      <c r="J177" s="70">
        <v>0</v>
      </c>
      <c r="K177" s="35" t="e">
        <f t="shared" si="366"/>
        <v>#DIV/0!</v>
      </c>
      <c r="L177" s="6" t="e">
        <f t="shared" si="367"/>
        <v>#DIV/0!</v>
      </c>
      <c r="M177" s="68">
        <v>0</v>
      </c>
      <c r="N177" s="5">
        <v>0</v>
      </c>
      <c r="O177" s="35" t="e">
        <f t="shared" si="368"/>
        <v>#DIV/0!</v>
      </c>
      <c r="P177" s="11" t="e">
        <f t="shared" si="369"/>
        <v>#DIV/0!</v>
      </c>
      <c r="Q177" s="35">
        <v>0</v>
      </c>
      <c r="R177" s="66">
        <v>0</v>
      </c>
      <c r="S177" s="35" t="e">
        <f t="shared" si="370"/>
        <v>#DIV/0!</v>
      </c>
      <c r="T177" s="6" t="e">
        <f t="shared" si="371"/>
        <v>#DIV/0!</v>
      </c>
      <c r="U177" s="68">
        <v>0</v>
      </c>
      <c r="V177" s="66">
        <v>0</v>
      </c>
      <c r="W177" s="20" t="e">
        <f t="shared" si="372"/>
        <v>#DIV/0!</v>
      </c>
      <c r="X177" s="6" t="e">
        <f t="shared" si="373"/>
        <v>#DIV/0!</v>
      </c>
      <c r="Y177" s="68">
        <v>128140</v>
      </c>
      <c r="Z177" s="69">
        <v>1154</v>
      </c>
      <c r="AA177" s="35">
        <f t="shared" si="374"/>
        <v>111.03986135181975</v>
      </c>
      <c r="AB177" s="11">
        <f t="shared" si="375"/>
        <v>0.80023824580058844</v>
      </c>
      <c r="AC177" s="20">
        <v>21570</v>
      </c>
      <c r="AD177" s="33">
        <v>672</v>
      </c>
      <c r="AE177" s="35">
        <f t="shared" si="376"/>
        <v>32.098214285714285</v>
      </c>
      <c r="AF177" s="6">
        <f t="shared" si="377"/>
        <v>0.23132430444907465</v>
      </c>
      <c r="AG177" s="68">
        <v>0</v>
      </c>
      <c r="AH177" s="66">
        <v>0</v>
      </c>
      <c r="AI177" s="35" t="e">
        <f t="shared" si="378"/>
        <v>#DIV/0!</v>
      </c>
      <c r="AJ177" s="6" t="e">
        <f t="shared" si="379"/>
        <v>#DIV/0!</v>
      </c>
      <c r="AK177" s="68">
        <v>0</v>
      </c>
      <c r="AL177" s="66">
        <v>0</v>
      </c>
      <c r="AM177" s="35" t="e">
        <f t="shared" si="380"/>
        <v>#DIV/0!</v>
      </c>
      <c r="AN177" s="6" t="e">
        <f t="shared" si="381"/>
        <v>#DIV/0!</v>
      </c>
      <c r="AO177" s="68">
        <v>0</v>
      </c>
      <c r="AP177" s="66">
        <v>0</v>
      </c>
      <c r="AQ177" s="35" t="e">
        <f t="shared" si="382"/>
        <v>#DIV/0!</v>
      </c>
      <c r="AR177" s="6" t="e">
        <f t="shared" si="383"/>
        <v>#DIV/0!</v>
      </c>
      <c r="AS177" s="68">
        <v>9600</v>
      </c>
      <c r="AT177" s="66">
        <v>299</v>
      </c>
      <c r="AU177" s="35">
        <f t="shared" si="384"/>
        <v>32.107023411371237</v>
      </c>
      <c r="AV177" s="6">
        <f t="shared" si="385"/>
        <v>0.23138778975225258</v>
      </c>
      <c r="AW177" s="68">
        <v>0</v>
      </c>
      <c r="AX177" s="66">
        <v>0</v>
      </c>
      <c r="AY177" s="35" t="e">
        <f t="shared" si="386"/>
        <v>#DIV/0!</v>
      </c>
      <c r="AZ177" s="6" t="e">
        <f t="shared" si="387"/>
        <v>#DIV/0!</v>
      </c>
      <c r="BA177" s="68">
        <v>0</v>
      </c>
      <c r="BB177" s="66">
        <v>0</v>
      </c>
      <c r="BC177" s="35" t="e">
        <f t="shared" si="388"/>
        <v>#DIV/0!</v>
      </c>
      <c r="BD177" s="11" t="e">
        <f t="shared" si="389"/>
        <v>#DIV/0!</v>
      </c>
    </row>
    <row r="178" spans="1:56" x14ac:dyDescent="0.25">
      <c r="A178" s="19" t="s">
        <v>6</v>
      </c>
      <c r="B178" s="8">
        <v>192660</v>
      </c>
      <c r="C178" s="35">
        <f>B178/F169</f>
        <v>163.82653061224491</v>
      </c>
      <c r="D178" s="8">
        <v>10950</v>
      </c>
      <c r="E178" s="68">
        <v>0</v>
      </c>
      <c r="F178" s="70">
        <v>0</v>
      </c>
      <c r="G178" s="35" t="e">
        <f t="shared" si="364"/>
        <v>#DIV/0!</v>
      </c>
      <c r="H178" s="11" t="e">
        <f t="shared" si="365"/>
        <v>#DIV/0!</v>
      </c>
      <c r="I178" s="35">
        <v>0</v>
      </c>
      <c r="J178" s="70">
        <v>0</v>
      </c>
      <c r="K178" s="35" t="e">
        <f t="shared" si="366"/>
        <v>#DIV/0!</v>
      </c>
      <c r="L178" s="6" t="e">
        <f t="shared" si="367"/>
        <v>#DIV/0!</v>
      </c>
      <c r="M178" s="68">
        <v>0</v>
      </c>
      <c r="N178" s="5">
        <v>0</v>
      </c>
      <c r="O178" s="35" t="e">
        <f t="shared" si="368"/>
        <v>#DIV/0!</v>
      </c>
      <c r="P178" s="11" t="e">
        <f t="shared" si="369"/>
        <v>#DIV/0!</v>
      </c>
      <c r="Q178" s="35">
        <v>0</v>
      </c>
      <c r="R178" s="66">
        <v>0</v>
      </c>
      <c r="S178" s="35" t="e">
        <f t="shared" si="370"/>
        <v>#DIV/0!</v>
      </c>
      <c r="T178" s="6" t="e">
        <f t="shared" si="371"/>
        <v>#DIV/0!</v>
      </c>
      <c r="U178" s="68">
        <v>0</v>
      </c>
      <c r="V178" s="66">
        <v>0</v>
      </c>
      <c r="W178" s="20" t="e">
        <f t="shared" si="372"/>
        <v>#DIV/0!</v>
      </c>
      <c r="X178" s="6" t="e">
        <f t="shared" si="373"/>
        <v>#DIV/0!</v>
      </c>
      <c r="Y178" s="68">
        <v>144860</v>
      </c>
      <c r="Z178" s="69">
        <v>1154</v>
      </c>
      <c r="AA178" s="35">
        <f t="shared" si="374"/>
        <v>125.52859618717504</v>
      </c>
      <c r="AB178" s="11">
        <f t="shared" si="375"/>
        <v>0.7662287403514888</v>
      </c>
      <c r="AC178" s="20">
        <v>31140</v>
      </c>
      <c r="AD178" s="33">
        <v>672</v>
      </c>
      <c r="AE178" s="35">
        <f t="shared" si="376"/>
        <v>46.339285714285715</v>
      </c>
      <c r="AF178" s="6">
        <f t="shared" si="377"/>
        <v>0.28285580815945188</v>
      </c>
      <c r="AG178" s="68">
        <v>0</v>
      </c>
      <c r="AH178" s="66">
        <v>0</v>
      </c>
      <c r="AI178" s="35" t="e">
        <f t="shared" si="378"/>
        <v>#DIV/0!</v>
      </c>
      <c r="AJ178" s="6" t="e">
        <f t="shared" si="379"/>
        <v>#DIV/0!</v>
      </c>
      <c r="AK178" s="68">
        <v>0</v>
      </c>
      <c r="AL178" s="66">
        <v>0</v>
      </c>
      <c r="AM178" s="35" t="e">
        <f t="shared" si="380"/>
        <v>#DIV/0!</v>
      </c>
      <c r="AN178" s="6" t="e">
        <f t="shared" si="381"/>
        <v>#DIV/0!</v>
      </c>
      <c r="AO178" s="68">
        <v>0</v>
      </c>
      <c r="AP178" s="66">
        <v>0</v>
      </c>
      <c r="AQ178" s="35" t="e">
        <f t="shared" si="382"/>
        <v>#DIV/0!</v>
      </c>
      <c r="AR178" s="6" t="e">
        <f t="shared" si="383"/>
        <v>#DIV/0!</v>
      </c>
      <c r="AS178" s="68">
        <v>10970</v>
      </c>
      <c r="AT178" s="66">
        <v>299</v>
      </c>
      <c r="AU178" s="35">
        <f t="shared" si="384"/>
        <v>36.68896321070234</v>
      </c>
      <c r="AV178" s="6">
        <f t="shared" si="385"/>
        <v>0.22395007129547362</v>
      </c>
      <c r="AW178" s="68">
        <v>0</v>
      </c>
      <c r="AX178" s="66">
        <v>0</v>
      </c>
      <c r="AY178" s="35" t="e">
        <f t="shared" si="386"/>
        <v>#DIV/0!</v>
      </c>
      <c r="AZ178" s="6" t="e">
        <f t="shared" si="387"/>
        <v>#DIV/0!</v>
      </c>
      <c r="BA178" s="68">
        <v>0</v>
      </c>
      <c r="BB178" s="66">
        <v>0</v>
      </c>
      <c r="BC178" s="35" t="e">
        <f t="shared" si="388"/>
        <v>#DIV/0!</v>
      </c>
      <c r="BD178" s="11" t="e">
        <f t="shared" si="389"/>
        <v>#DIV/0!</v>
      </c>
    </row>
    <row r="179" spans="1:56" ht="15.75" thickBot="1" x14ac:dyDescent="0.3">
      <c r="A179" s="21"/>
      <c r="B179" s="22"/>
      <c r="C179" s="23">
        <f>AVERAGE(Table110817[MA $/Sq Ft])</f>
        <v>96.243926141885325</v>
      </c>
      <c r="D179" s="22">
        <f>AVERAGE(Table110817[Basic Allowance])</f>
        <v>4442.8571428571431</v>
      </c>
      <c r="E179" s="16"/>
      <c r="F179" s="22"/>
      <c r="G179" s="15"/>
      <c r="H179" s="24" t="e">
        <f>AVERAGE(Table110817[Bsmt % Base])</f>
        <v>#DIV/0!</v>
      </c>
      <c r="I179" s="15"/>
      <c r="J179" s="15"/>
      <c r="K179" s="15"/>
      <c r="L179" s="25" t="e">
        <f>AVERAGE(Table110817[[#Headers],[#Data],[UnfBsmt % Base]])</f>
        <v>#DIV/0!</v>
      </c>
      <c r="M179" s="44"/>
      <c r="N179" s="15"/>
      <c r="O179" s="23" t="e">
        <f>AVERAGE(Table110817[LowerVal/SqFt])</f>
        <v>#DIV/0!</v>
      </c>
      <c r="P179" s="24" t="e">
        <f>AVERAGE(Table110817[Lower % Base])</f>
        <v>#DIV/0!</v>
      </c>
      <c r="Q179" s="13"/>
      <c r="R179" s="13"/>
      <c r="S179" s="13"/>
      <c r="T179" s="25" t="e">
        <f>AVERAGE(Table110817[Unf Lower % Base])</f>
        <v>#DIV/0!</v>
      </c>
      <c r="U179" s="12"/>
      <c r="V179" s="13"/>
      <c r="W179" s="13"/>
      <c r="X179" s="25" t="e">
        <f>AVERAGE(Table110817[1/2 Story % Base])</f>
        <v>#DIV/0!</v>
      </c>
      <c r="Y179" s="12"/>
      <c r="Z179" s="13"/>
      <c r="AA179" s="13"/>
      <c r="AB179" s="24">
        <f>AVERAGE(Table110817[2nd Story % Base])</f>
        <v>0.77724352334473157</v>
      </c>
      <c r="AC179" s="13"/>
      <c r="AD179" s="13"/>
      <c r="AE179" s="23">
        <f>AVERAGE(Table110817[AttGarVal/SqFt])</f>
        <v>27.393707482993197</v>
      </c>
      <c r="AF179" s="25">
        <f>AVERAGE(Table110817[Att Gar % Base])</f>
        <v>0.29264624778222209</v>
      </c>
      <c r="AG179" s="12"/>
      <c r="AH179" s="13"/>
      <c r="AI179" s="13"/>
      <c r="AJ179" s="25" t="e">
        <f>AVERAGE(Table110817[Porch % Base])</f>
        <v>#DIV/0!</v>
      </c>
      <c r="AK179" s="12"/>
      <c r="AL179" s="13"/>
      <c r="AM179" s="13"/>
      <c r="AN179" s="25" t="e">
        <f>AVERAGE(Table110817[Cov Porch % Base])</f>
        <v>#DIV/0!</v>
      </c>
      <c r="AO179" s="12"/>
      <c r="AP179" s="13"/>
      <c r="AQ179" s="13"/>
      <c r="AR179" s="25" t="e">
        <f>AVERAGE(Table110817[Deck % Base])</f>
        <v>#DIV/0!</v>
      </c>
      <c r="AS179" s="12"/>
      <c r="AT179" s="13"/>
      <c r="AU179" s="23">
        <f>AVERAGE(Table110817[CovDeckVal/SqFt])</f>
        <v>23.764930721452458</v>
      </c>
      <c r="AV179" s="25">
        <f>AVERAGE(Table110817[CovDeck % Base])</f>
        <v>0.25209944822508262</v>
      </c>
      <c r="AW179" s="12"/>
      <c r="AX179" s="13"/>
      <c r="AY179" s="13"/>
      <c r="AZ179" s="25" t="e">
        <f>AVERAGE(Table110817[CarP % Base])</f>
        <v>#DIV/0!</v>
      </c>
      <c r="BA179" s="12"/>
      <c r="BB179" s="13"/>
      <c r="BC179" s="13"/>
      <c r="BD179" s="24" t="e">
        <f>AVERAGE(Table110817[EFP % Base])</f>
        <v>#DIV/0!</v>
      </c>
    </row>
    <row r="181" spans="1:56" ht="15.75" thickBot="1" x14ac:dyDescent="0.3">
      <c r="A181" s="82"/>
      <c r="B181" t="s">
        <v>79</v>
      </c>
      <c r="C181" s="78" t="s">
        <v>102</v>
      </c>
      <c r="E181" t="s">
        <v>33</v>
      </c>
      <c r="F181" s="79">
        <v>724</v>
      </c>
      <c r="H181" t="s">
        <v>80</v>
      </c>
      <c r="I181" t="s">
        <v>103</v>
      </c>
    </row>
    <row r="182" spans="1:56" x14ac:dyDescent="0.25">
      <c r="A182" s="112"/>
      <c r="B182" s="113"/>
      <c r="C182" s="113"/>
      <c r="D182" s="114"/>
      <c r="E182" s="115" t="s">
        <v>27</v>
      </c>
      <c r="F182" s="116"/>
      <c r="G182" s="116"/>
      <c r="H182" s="117"/>
      <c r="I182" s="118" t="s">
        <v>28</v>
      </c>
      <c r="J182" s="119"/>
      <c r="K182" s="119"/>
      <c r="L182" s="120"/>
      <c r="M182" s="121" t="s">
        <v>7</v>
      </c>
      <c r="N182" s="122"/>
      <c r="O182" s="122"/>
      <c r="P182" s="122"/>
      <c r="Q182" s="124" t="s">
        <v>29</v>
      </c>
      <c r="R182" s="125"/>
      <c r="S182" s="125"/>
      <c r="T182" s="126"/>
      <c r="U182" s="128" t="s">
        <v>8</v>
      </c>
      <c r="V182" s="128"/>
      <c r="W182" s="128"/>
      <c r="X182" s="129"/>
      <c r="Y182" s="130" t="s">
        <v>0</v>
      </c>
      <c r="Z182" s="131"/>
      <c r="AA182" s="131"/>
      <c r="AB182" s="132"/>
      <c r="AC182" s="133" t="s">
        <v>34</v>
      </c>
      <c r="AD182" s="134"/>
      <c r="AE182" s="134"/>
      <c r="AF182" s="135"/>
      <c r="AG182" s="115" t="s">
        <v>9</v>
      </c>
      <c r="AH182" s="116"/>
      <c r="AI182" s="116"/>
      <c r="AJ182" s="117"/>
      <c r="AK182" s="136" t="s">
        <v>35</v>
      </c>
      <c r="AL182" s="137"/>
      <c r="AM182" s="137"/>
      <c r="AN182" s="138"/>
      <c r="AO182" s="139" t="s">
        <v>10</v>
      </c>
      <c r="AP182" s="140"/>
      <c r="AQ182" s="140"/>
      <c r="AR182" s="141"/>
      <c r="AS182" s="124" t="s">
        <v>36</v>
      </c>
      <c r="AT182" s="125"/>
      <c r="AU182" s="125"/>
      <c r="AV182" s="126"/>
      <c r="AW182" s="142" t="s">
        <v>11</v>
      </c>
      <c r="AX182" s="143"/>
      <c r="AY182" s="143"/>
      <c r="AZ182" s="144"/>
      <c r="BA182" s="148" t="s">
        <v>17</v>
      </c>
      <c r="BB182" s="149"/>
      <c r="BC182" s="149"/>
      <c r="BD182" s="150"/>
    </row>
    <row r="183" spans="1:56" s="1" customFormat="1" ht="15.75" thickBot="1" x14ac:dyDescent="0.3">
      <c r="A183" s="41" t="s">
        <v>13</v>
      </c>
      <c r="B183" s="42" t="s">
        <v>15</v>
      </c>
      <c r="C183" s="42" t="s">
        <v>32</v>
      </c>
      <c r="D183" s="43" t="s">
        <v>18</v>
      </c>
      <c r="E183" s="30" t="s">
        <v>30</v>
      </c>
      <c r="F183" s="31" t="s">
        <v>61</v>
      </c>
      <c r="G183" s="31" t="s">
        <v>38</v>
      </c>
      <c r="H183" s="32" t="s">
        <v>62</v>
      </c>
      <c r="I183" s="37" t="s">
        <v>31</v>
      </c>
      <c r="J183" s="38" t="s">
        <v>39</v>
      </c>
      <c r="K183" s="38" t="s">
        <v>40</v>
      </c>
      <c r="L183" s="39" t="s">
        <v>63</v>
      </c>
      <c r="M183" s="40" t="s">
        <v>19</v>
      </c>
      <c r="N183" s="7" t="s">
        <v>41</v>
      </c>
      <c r="O183" s="7" t="s">
        <v>37</v>
      </c>
      <c r="P183" s="7" t="s">
        <v>64</v>
      </c>
      <c r="Q183" s="27" t="s">
        <v>20</v>
      </c>
      <c r="R183" s="28" t="s">
        <v>60</v>
      </c>
      <c r="S183" s="28" t="s">
        <v>59</v>
      </c>
      <c r="T183" s="29" t="s">
        <v>65</v>
      </c>
      <c r="U183" s="48" t="s">
        <v>21</v>
      </c>
      <c r="V183" s="48" t="s">
        <v>42</v>
      </c>
      <c r="W183" s="48" t="s">
        <v>43</v>
      </c>
      <c r="X183" s="49" t="s">
        <v>66</v>
      </c>
      <c r="Y183" s="50" t="s">
        <v>22</v>
      </c>
      <c r="Z183" s="51" t="s">
        <v>44</v>
      </c>
      <c r="AA183" s="51" t="s">
        <v>45</v>
      </c>
      <c r="AB183" s="52" t="s">
        <v>67</v>
      </c>
      <c r="AC183" s="45" t="s">
        <v>23</v>
      </c>
      <c r="AD183" s="46" t="s">
        <v>46</v>
      </c>
      <c r="AE183" s="46" t="s">
        <v>47</v>
      </c>
      <c r="AF183" s="47" t="s">
        <v>68</v>
      </c>
      <c r="AG183" s="30" t="s">
        <v>24</v>
      </c>
      <c r="AH183" s="31" t="s">
        <v>48</v>
      </c>
      <c r="AI183" s="31" t="s">
        <v>49</v>
      </c>
      <c r="AJ183" s="32" t="s">
        <v>69</v>
      </c>
      <c r="AK183" s="53" t="s">
        <v>25</v>
      </c>
      <c r="AL183" s="54" t="s">
        <v>50</v>
      </c>
      <c r="AM183" s="54" t="s">
        <v>51</v>
      </c>
      <c r="AN183" s="55" t="s">
        <v>70</v>
      </c>
      <c r="AO183" s="56" t="s">
        <v>26</v>
      </c>
      <c r="AP183" s="57" t="s">
        <v>52</v>
      </c>
      <c r="AQ183" s="57" t="s">
        <v>53</v>
      </c>
      <c r="AR183" s="58" t="s">
        <v>71</v>
      </c>
      <c r="AS183" s="59" t="s">
        <v>55</v>
      </c>
      <c r="AT183" s="60" t="s">
        <v>54</v>
      </c>
      <c r="AU183" s="60" t="s">
        <v>56</v>
      </c>
      <c r="AV183" s="61" t="s">
        <v>76</v>
      </c>
      <c r="AW183" s="62" t="s">
        <v>72</v>
      </c>
      <c r="AX183" s="63" t="s">
        <v>73</v>
      </c>
      <c r="AY183" s="63" t="s">
        <v>74</v>
      </c>
      <c r="AZ183" s="64" t="s">
        <v>75</v>
      </c>
      <c r="BA183" s="71" t="s">
        <v>77</v>
      </c>
      <c r="BB183" s="72" t="s">
        <v>57</v>
      </c>
      <c r="BC183" s="72" t="s">
        <v>58</v>
      </c>
      <c r="BD183" s="73" t="s">
        <v>78</v>
      </c>
    </row>
    <row r="184" spans="1:56" ht="15.75" thickBot="1" x14ac:dyDescent="0.3">
      <c r="A184" s="17" t="s">
        <v>1</v>
      </c>
      <c r="B184" s="14">
        <v>40350</v>
      </c>
      <c r="C184" s="34">
        <f>B184/F181</f>
        <v>55.732044198895025</v>
      </c>
      <c r="D184" s="14">
        <v>1525</v>
      </c>
      <c r="E184" s="67">
        <v>0</v>
      </c>
      <c r="F184" s="69">
        <v>0</v>
      </c>
      <c r="G184" s="34" t="e">
        <f t="shared" ref="G184:G190" si="390">E184/F184</f>
        <v>#DIV/0!</v>
      </c>
      <c r="H184" s="10" t="e">
        <f t="shared" ref="H184:H190" si="391">G184/C184</f>
        <v>#DIV/0!</v>
      </c>
      <c r="I184" s="34">
        <v>0</v>
      </c>
      <c r="J184" s="69">
        <v>0</v>
      </c>
      <c r="K184" s="34" t="e">
        <f t="shared" ref="K184:K190" si="392">I184/J184</f>
        <v>#DIV/0!</v>
      </c>
      <c r="L184" s="9" t="e">
        <f t="shared" ref="L184:L190" si="393">K184/C184</f>
        <v>#DIV/0!</v>
      </c>
      <c r="M184" s="67">
        <v>20090</v>
      </c>
      <c r="N184" s="26">
        <v>625</v>
      </c>
      <c r="O184" s="34">
        <f t="shared" ref="O184:O190" si="394">M184/N184</f>
        <v>32.143999999999998</v>
      </c>
      <c r="P184" s="10">
        <f t="shared" ref="P184:P190" si="395">O184/C184</f>
        <v>0.57675975216852537</v>
      </c>
      <c r="Q184" s="35">
        <v>0</v>
      </c>
      <c r="R184" s="66">
        <v>0</v>
      </c>
      <c r="S184" s="35" t="e">
        <f t="shared" ref="S184:S190" si="396">Q184/R184</f>
        <v>#DIV/0!</v>
      </c>
      <c r="T184" s="6" t="e">
        <f t="shared" ref="T184:T190" si="397">S184/C184</f>
        <v>#DIV/0!</v>
      </c>
      <c r="U184" s="67">
        <v>0</v>
      </c>
      <c r="V184" s="65">
        <v>0</v>
      </c>
      <c r="W184" s="18" t="e">
        <f t="shared" ref="W184:W190" si="398">U184/V184</f>
        <v>#DIV/0!</v>
      </c>
      <c r="X184" s="9" t="e">
        <f t="shared" ref="X184:X190" si="399">W184/C184</f>
        <v>#DIV/0!</v>
      </c>
      <c r="Y184" s="67">
        <v>25950</v>
      </c>
      <c r="Z184" s="69">
        <v>650</v>
      </c>
      <c r="AA184" s="34">
        <f t="shared" ref="AA184:AA190" si="400">Y184/Z184</f>
        <v>39.92307692307692</v>
      </c>
      <c r="AB184" s="10">
        <f t="shared" ref="AB184:AB190" si="401">AA184/C184</f>
        <v>0.71633971975979405</v>
      </c>
      <c r="AC184" s="18">
        <v>16590</v>
      </c>
      <c r="AD184" s="33">
        <v>1248</v>
      </c>
      <c r="AE184" s="34">
        <f t="shared" ref="AE184:AE190" si="402">AC184/AD184</f>
        <v>13.29326923076923</v>
      </c>
      <c r="AF184" s="9">
        <f t="shared" ref="AF184:AF190" si="403">AE184/C184</f>
        <v>0.23852111333523973</v>
      </c>
      <c r="AG184" s="67">
        <v>0</v>
      </c>
      <c r="AH184" s="65">
        <v>0</v>
      </c>
      <c r="AI184" s="34" t="e">
        <f t="shared" ref="AI184:AI190" si="404">AG184/AH184</f>
        <v>#DIV/0!</v>
      </c>
      <c r="AJ184" s="9" t="e">
        <f t="shared" ref="AJ184:AJ190" si="405">AI184/C184</f>
        <v>#DIV/0!</v>
      </c>
      <c r="AK184" s="67">
        <v>0</v>
      </c>
      <c r="AL184" s="65">
        <v>0</v>
      </c>
      <c r="AM184" s="34" t="e">
        <f t="shared" ref="AM184:AM190" si="406">AK184/AL184</f>
        <v>#DIV/0!</v>
      </c>
      <c r="AN184" s="9" t="e">
        <f t="shared" ref="AN184:AN190" si="407">AM184/C184</f>
        <v>#DIV/0!</v>
      </c>
      <c r="AO184" s="67">
        <v>1150</v>
      </c>
      <c r="AP184" s="65">
        <v>119</v>
      </c>
      <c r="AQ184" s="34">
        <f t="shared" ref="AQ184:AQ190" si="408">AO184/AP184</f>
        <v>9.6638655462184868</v>
      </c>
      <c r="AR184" s="9">
        <f t="shared" ref="AR184:AR190" si="409">AQ184/C184</f>
        <v>0.17339872752074809</v>
      </c>
      <c r="AS184" s="67">
        <v>4650</v>
      </c>
      <c r="AT184" s="65">
        <v>390</v>
      </c>
      <c r="AU184" s="34">
        <f t="shared" ref="AU184:AU190" si="410">AS184/AT184</f>
        <v>11.923076923076923</v>
      </c>
      <c r="AV184" s="9">
        <f t="shared" ref="AV184:AV190" si="411">AU184/C184</f>
        <v>0.21393575445620056</v>
      </c>
      <c r="AW184" s="67">
        <v>0</v>
      </c>
      <c r="AX184" s="65">
        <v>0</v>
      </c>
      <c r="AY184" s="34" t="e">
        <f t="shared" ref="AY184:AY190" si="412">AW184/AX184</f>
        <v>#DIV/0!</v>
      </c>
      <c r="AZ184" s="9" t="e">
        <f t="shared" ref="AZ184:AZ190" si="413">AY184/C184</f>
        <v>#DIV/0!</v>
      </c>
      <c r="BA184" s="67">
        <v>0</v>
      </c>
      <c r="BB184" s="65">
        <v>0</v>
      </c>
      <c r="BC184" s="34" t="e">
        <f t="shared" ref="BC184:BC190" si="414">BA184/BB184</f>
        <v>#DIV/0!</v>
      </c>
      <c r="BD184" s="10" t="e">
        <f t="shared" ref="BD184:BD190" si="415">BC184/C184</f>
        <v>#DIV/0!</v>
      </c>
    </row>
    <row r="185" spans="1:56" ht="15.75" thickBot="1" x14ac:dyDescent="0.3">
      <c r="A185" s="19" t="s">
        <v>16</v>
      </c>
      <c r="B185" s="8">
        <v>47470</v>
      </c>
      <c r="C185" s="35">
        <f>B185/F181</f>
        <v>65.56629834254143</v>
      </c>
      <c r="D185" s="8">
        <v>1525</v>
      </c>
      <c r="E185" s="68">
        <v>0</v>
      </c>
      <c r="F185" s="70">
        <v>0</v>
      </c>
      <c r="G185" s="35" t="e">
        <f t="shared" si="390"/>
        <v>#DIV/0!</v>
      </c>
      <c r="H185" s="11" t="e">
        <f t="shared" si="391"/>
        <v>#DIV/0!</v>
      </c>
      <c r="I185" s="35">
        <v>0</v>
      </c>
      <c r="J185" s="70">
        <v>0</v>
      </c>
      <c r="K185" s="35" t="e">
        <f t="shared" si="392"/>
        <v>#DIV/0!</v>
      </c>
      <c r="L185" s="6" t="e">
        <f t="shared" si="393"/>
        <v>#DIV/0!</v>
      </c>
      <c r="M185" s="68">
        <v>25080</v>
      </c>
      <c r="N185" s="26">
        <v>625</v>
      </c>
      <c r="O185" s="35">
        <f t="shared" si="394"/>
        <v>40.128</v>
      </c>
      <c r="P185" s="11">
        <f t="shared" si="395"/>
        <v>0.61202174004634513</v>
      </c>
      <c r="Q185" s="35">
        <v>0</v>
      </c>
      <c r="R185" s="66">
        <v>0</v>
      </c>
      <c r="S185" s="35" t="e">
        <f t="shared" si="396"/>
        <v>#DIV/0!</v>
      </c>
      <c r="T185" s="6" t="e">
        <f t="shared" si="397"/>
        <v>#DIV/0!</v>
      </c>
      <c r="U185" s="68">
        <v>0</v>
      </c>
      <c r="V185" s="66">
        <v>0</v>
      </c>
      <c r="W185" s="20" t="e">
        <f t="shared" si="398"/>
        <v>#DIV/0!</v>
      </c>
      <c r="X185" s="6" t="e">
        <f t="shared" si="399"/>
        <v>#DIV/0!</v>
      </c>
      <c r="Y185" s="68">
        <v>36050</v>
      </c>
      <c r="Z185" s="69">
        <v>650</v>
      </c>
      <c r="AA185" s="35">
        <f t="shared" si="400"/>
        <v>55.46153846153846</v>
      </c>
      <c r="AB185" s="11">
        <f t="shared" si="401"/>
        <v>0.84588485035082894</v>
      </c>
      <c r="AC185" s="20">
        <v>21130</v>
      </c>
      <c r="AD185" s="33">
        <v>1248</v>
      </c>
      <c r="AE185" s="35">
        <f t="shared" si="402"/>
        <v>16.931089743589745</v>
      </c>
      <c r="AF185" s="6">
        <f t="shared" si="403"/>
        <v>0.25822854380364391</v>
      </c>
      <c r="AG185" s="68">
        <v>0</v>
      </c>
      <c r="AH185" s="66">
        <v>0</v>
      </c>
      <c r="AI185" s="35" t="e">
        <f t="shared" si="404"/>
        <v>#DIV/0!</v>
      </c>
      <c r="AJ185" s="6" t="e">
        <f t="shared" si="405"/>
        <v>#DIV/0!</v>
      </c>
      <c r="AK185" s="68">
        <v>0</v>
      </c>
      <c r="AL185" s="66">
        <v>0</v>
      </c>
      <c r="AM185" s="35" t="e">
        <f t="shared" si="406"/>
        <v>#DIV/0!</v>
      </c>
      <c r="AN185" s="6" t="e">
        <f t="shared" si="407"/>
        <v>#DIV/0!</v>
      </c>
      <c r="AO185" s="68">
        <v>1610</v>
      </c>
      <c r="AP185" s="65">
        <v>119</v>
      </c>
      <c r="AQ185" s="35">
        <f t="shared" si="408"/>
        <v>13.529411764705882</v>
      </c>
      <c r="AR185" s="6">
        <f t="shared" si="409"/>
        <v>0.20634704271428397</v>
      </c>
      <c r="AS185" s="68">
        <v>6460</v>
      </c>
      <c r="AT185" s="65">
        <v>390</v>
      </c>
      <c r="AU185" s="35">
        <f t="shared" si="410"/>
        <v>16.564102564102566</v>
      </c>
      <c r="AV185" s="6">
        <f t="shared" si="411"/>
        <v>0.25263135151485694</v>
      </c>
      <c r="AW185" s="68">
        <v>0</v>
      </c>
      <c r="AX185" s="66">
        <v>0</v>
      </c>
      <c r="AY185" s="35" t="e">
        <f t="shared" si="412"/>
        <v>#DIV/0!</v>
      </c>
      <c r="AZ185" s="6" t="e">
        <f t="shared" si="413"/>
        <v>#DIV/0!</v>
      </c>
      <c r="BA185" s="68">
        <v>0</v>
      </c>
      <c r="BB185" s="66">
        <v>0</v>
      </c>
      <c r="BC185" s="35" t="e">
        <f t="shared" si="414"/>
        <v>#DIV/0!</v>
      </c>
      <c r="BD185" s="11" t="e">
        <f t="shared" si="415"/>
        <v>#DIV/0!</v>
      </c>
    </row>
    <row r="186" spans="1:56" ht="15.75" thickBot="1" x14ac:dyDescent="0.3">
      <c r="A186" s="19" t="s">
        <v>2</v>
      </c>
      <c r="B186" s="8">
        <v>55560</v>
      </c>
      <c r="C186" s="35">
        <f>B186/F181</f>
        <v>76.740331491712709</v>
      </c>
      <c r="D186" s="8">
        <v>2100</v>
      </c>
      <c r="E186" s="68">
        <v>0</v>
      </c>
      <c r="F186" s="70">
        <v>0</v>
      </c>
      <c r="G186" s="35" t="e">
        <f t="shared" si="390"/>
        <v>#DIV/0!</v>
      </c>
      <c r="H186" s="11" t="e">
        <f t="shared" si="391"/>
        <v>#DIV/0!</v>
      </c>
      <c r="I186" s="35">
        <v>0</v>
      </c>
      <c r="J186" s="70">
        <v>0</v>
      </c>
      <c r="K186" s="35" t="e">
        <f t="shared" si="392"/>
        <v>#DIV/0!</v>
      </c>
      <c r="L186" s="6" t="e">
        <f t="shared" si="393"/>
        <v>#DIV/0!</v>
      </c>
      <c r="M186" s="68">
        <v>28670</v>
      </c>
      <c r="N186" s="26">
        <v>625</v>
      </c>
      <c r="O186" s="35">
        <f t="shared" si="394"/>
        <v>45.872</v>
      </c>
      <c r="P186" s="11">
        <f t="shared" si="395"/>
        <v>0.59775608351331888</v>
      </c>
      <c r="Q186" s="35">
        <v>0</v>
      </c>
      <c r="R186" s="66">
        <v>0</v>
      </c>
      <c r="S186" s="35" t="e">
        <f t="shared" si="396"/>
        <v>#DIV/0!</v>
      </c>
      <c r="T186" s="6" t="e">
        <f t="shared" si="397"/>
        <v>#DIV/0!</v>
      </c>
      <c r="U186" s="68">
        <v>0</v>
      </c>
      <c r="V186" s="66">
        <v>0</v>
      </c>
      <c r="W186" s="20" t="e">
        <f t="shared" si="398"/>
        <v>#DIV/0!</v>
      </c>
      <c r="X186" s="6" t="e">
        <f t="shared" si="399"/>
        <v>#DIV/0!</v>
      </c>
      <c r="Y186" s="68">
        <v>43000</v>
      </c>
      <c r="Z186" s="69">
        <v>650</v>
      </c>
      <c r="AA186" s="35">
        <f t="shared" si="400"/>
        <v>66.15384615384616</v>
      </c>
      <c r="AB186" s="11">
        <f t="shared" si="401"/>
        <v>0.86204795924018396</v>
      </c>
      <c r="AC186" s="20">
        <v>27780</v>
      </c>
      <c r="AD186" s="33">
        <v>1248</v>
      </c>
      <c r="AE186" s="35">
        <f t="shared" si="402"/>
        <v>22.259615384615383</v>
      </c>
      <c r="AF186" s="6">
        <f t="shared" si="403"/>
        <v>0.29006410256410253</v>
      </c>
      <c r="AG186" s="68">
        <v>0</v>
      </c>
      <c r="AH186" s="66">
        <v>0</v>
      </c>
      <c r="AI186" s="35" t="e">
        <f t="shared" si="404"/>
        <v>#DIV/0!</v>
      </c>
      <c r="AJ186" s="6" t="e">
        <f t="shared" si="405"/>
        <v>#DIV/0!</v>
      </c>
      <c r="AK186" s="68">
        <v>0</v>
      </c>
      <c r="AL186" s="66">
        <v>0</v>
      </c>
      <c r="AM186" s="35" t="e">
        <f t="shared" si="406"/>
        <v>#DIV/0!</v>
      </c>
      <c r="AN186" s="6" t="e">
        <f t="shared" si="407"/>
        <v>#DIV/0!</v>
      </c>
      <c r="AO186" s="68">
        <v>1690</v>
      </c>
      <c r="AP186" s="65">
        <v>119</v>
      </c>
      <c r="AQ186" s="35">
        <f t="shared" si="408"/>
        <v>14.201680672268907</v>
      </c>
      <c r="AR186" s="6">
        <f t="shared" si="409"/>
        <v>0.1850614976012003</v>
      </c>
      <c r="AS186" s="68">
        <v>7310</v>
      </c>
      <c r="AT186" s="65">
        <v>390</v>
      </c>
      <c r="AU186" s="35">
        <f t="shared" si="410"/>
        <v>18.743589743589745</v>
      </c>
      <c r="AV186" s="6">
        <f t="shared" si="411"/>
        <v>0.24424692178471877</v>
      </c>
      <c r="AW186" s="68">
        <v>0</v>
      </c>
      <c r="AX186" s="66">
        <v>0</v>
      </c>
      <c r="AY186" s="35" t="e">
        <f t="shared" si="412"/>
        <v>#DIV/0!</v>
      </c>
      <c r="AZ186" s="6" t="e">
        <f t="shared" si="413"/>
        <v>#DIV/0!</v>
      </c>
      <c r="BA186" s="68">
        <v>0</v>
      </c>
      <c r="BB186" s="66">
        <v>0</v>
      </c>
      <c r="BC186" s="35" t="e">
        <f t="shared" si="414"/>
        <v>#DIV/0!</v>
      </c>
      <c r="BD186" s="11" t="e">
        <f t="shared" si="415"/>
        <v>#DIV/0!</v>
      </c>
    </row>
    <row r="187" spans="1:56" ht="15.75" thickBot="1" x14ac:dyDescent="0.3">
      <c r="A187" s="19" t="s">
        <v>3</v>
      </c>
      <c r="B187" s="8">
        <v>66180</v>
      </c>
      <c r="C187" s="35">
        <f>B187/F181</f>
        <v>91.408839779005518</v>
      </c>
      <c r="D187" s="8">
        <v>2700</v>
      </c>
      <c r="E187" s="68">
        <v>0</v>
      </c>
      <c r="F187" s="70">
        <v>0</v>
      </c>
      <c r="G187" s="35" t="e">
        <f t="shared" si="390"/>
        <v>#DIV/0!</v>
      </c>
      <c r="H187" s="11" t="e">
        <f t="shared" si="391"/>
        <v>#DIV/0!</v>
      </c>
      <c r="I187" s="35">
        <v>0</v>
      </c>
      <c r="J187" s="70">
        <v>0</v>
      </c>
      <c r="K187" s="35" t="e">
        <f t="shared" si="392"/>
        <v>#DIV/0!</v>
      </c>
      <c r="L187" s="6" t="e">
        <f t="shared" si="393"/>
        <v>#DIV/0!</v>
      </c>
      <c r="M187" s="68">
        <v>32900</v>
      </c>
      <c r="N187" s="26">
        <v>625</v>
      </c>
      <c r="O187" s="35">
        <f t="shared" si="394"/>
        <v>52.64</v>
      </c>
      <c r="P187" s="11">
        <f t="shared" si="395"/>
        <v>0.57587428226050175</v>
      </c>
      <c r="Q187" s="35">
        <v>0</v>
      </c>
      <c r="R187" s="66">
        <v>0</v>
      </c>
      <c r="S187" s="35" t="e">
        <f t="shared" si="396"/>
        <v>#DIV/0!</v>
      </c>
      <c r="T187" s="6" t="e">
        <f t="shared" si="397"/>
        <v>#DIV/0!</v>
      </c>
      <c r="U187" s="68">
        <v>0</v>
      </c>
      <c r="V187" s="66">
        <v>0</v>
      </c>
      <c r="W187" s="20" t="e">
        <f t="shared" si="398"/>
        <v>#DIV/0!</v>
      </c>
      <c r="X187" s="6" t="e">
        <f t="shared" si="399"/>
        <v>#DIV/0!</v>
      </c>
      <c r="Y187" s="68">
        <v>45960</v>
      </c>
      <c r="Z187" s="69">
        <v>650</v>
      </c>
      <c r="AA187" s="35">
        <f t="shared" si="400"/>
        <v>70.707692307692312</v>
      </c>
      <c r="AB187" s="11">
        <f t="shared" si="401"/>
        <v>0.77353232442987663</v>
      </c>
      <c r="AC187" s="20">
        <v>29570</v>
      </c>
      <c r="AD187" s="33">
        <v>1248</v>
      </c>
      <c r="AE187" s="35">
        <f t="shared" si="402"/>
        <v>23.693910256410255</v>
      </c>
      <c r="AF187" s="6">
        <f t="shared" si="403"/>
        <v>0.25920808440074078</v>
      </c>
      <c r="AG187" s="68">
        <v>0</v>
      </c>
      <c r="AH187" s="66">
        <v>0</v>
      </c>
      <c r="AI187" s="35" t="e">
        <f t="shared" si="404"/>
        <v>#DIV/0!</v>
      </c>
      <c r="AJ187" s="6" t="e">
        <f t="shared" si="405"/>
        <v>#DIV/0!</v>
      </c>
      <c r="AK187" s="68">
        <v>0</v>
      </c>
      <c r="AL187" s="66">
        <v>0</v>
      </c>
      <c r="AM187" s="35" t="e">
        <f t="shared" si="406"/>
        <v>#DIV/0!</v>
      </c>
      <c r="AN187" s="6" t="e">
        <f t="shared" si="407"/>
        <v>#DIV/0!</v>
      </c>
      <c r="AO187" s="68">
        <v>1760</v>
      </c>
      <c r="AP187" s="65">
        <v>119</v>
      </c>
      <c r="AQ187" s="35">
        <f t="shared" si="408"/>
        <v>14.789915966386555</v>
      </c>
      <c r="AR187" s="6">
        <f t="shared" si="409"/>
        <v>0.16179962465493905</v>
      </c>
      <c r="AS187" s="68">
        <v>9000</v>
      </c>
      <c r="AT187" s="65">
        <v>390</v>
      </c>
      <c r="AU187" s="35">
        <f t="shared" si="410"/>
        <v>23.076923076923077</v>
      </c>
      <c r="AV187" s="6">
        <f t="shared" si="411"/>
        <v>0.25245833042750543</v>
      </c>
      <c r="AW187" s="68">
        <v>0</v>
      </c>
      <c r="AX187" s="66">
        <v>0</v>
      </c>
      <c r="AY187" s="35" t="e">
        <f t="shared" si="412"/>
        <v>#DIV/0!</v>
      </c>
      <c r="AZ187" s="6" t="e">
        <f t="shared" si="413"/>
        <v>#DIV/0!</v>
      </c>
      <c r="BA187" s="68">
        <v>0</v>
      </c>
      <c r="BB187" s="66">
        <v>0</v>
      </c>
      <c r="BC187" s="35" t="e">
        <f t="shared" si="414"/>
        <v>#DIV/0!</v>
      </c>
      <c r="BD187" s="11" t="e">
        <f t="shared" si="415"/>
        <v>#DIV/0!</v>
      </c>
    </row>
    <row r="188" spans="1:56" ht="15.75" thickBot="1" x14ac:dyDescent="0.3">
      <c r="A188" s="19" t="s">
        <v>4</v>
      </c>
      <c r="B188" s="8">
        <v>81380</v>
      </c>
      <c r="C188" s="35">
        <f>B188/F181</f>
        <v>112.40331491712708</v>
      </c>
      <c r="D188" s="8">
        <v>5250</v>
      </c>
      <c r="E188" s="68">
        <v>0</v>
      </c>
      <c r="F188" s="70">
        <v>0</v>
      </c>
      <c r="G188" s="35" t="e">
        <f t="shared" si="390"/>
        <v>#DIV/0!</v>
      </c>
      <c r="H188" s="11" t="e">
        <f t="shared" si="391"/>
        <v>#DIV/0!</v>
      </c>
      <c r="I188" s="35">
        <v>0</v>
      </c>
      <c r="J188" s="70">
        <v>0</v>
      </c>
      <c r="K188" s="35" t="e">
        <f t="shared" si="392"/>
        <v>#DIV/0!</v>
      </c>
      <c r="L188" s="6" t="e">
        <f t="shared" si="393"/>
        <v>#DIV/0!</v>
      </c>
      <c r="M188" s="68">
        <v>44510</v>
      </c>
      <c r="N188" s="26">
        <v>625</v>
      </c>
      <c r="O188" s="35">
        <f t="shared" si="394"/>
        <v>71.215999999999994</v>
      </c>
      <c r="P188" s="11">
        <f t="shared" si="395"/>
        <v>0.63357562054558847</v>
      </c>
      <c r="Q188" s="35">
        <v>0</v>
      </c>
      <c r="R188" s="66">
        <v>0</v>
      </c>
      <c r="S188" s="35" t="e">
        <f t="shared" si="396"/>
        <v>#DIV/0!</v>
      </c>
      <c r="T188" s="6" t="e">
        <f t="shared" si="397"/>
        <v>#DIV/0!</v>
      </c>
      <c r="U188" s="68">
        <v>0</v>
      </c>
      <c r="V188" s="66">
        <v>0</v>
      </c>
      <c r="W188" s="20" t="e">
        <f t="shared" si="398"/>
        <v>#DIV/0!</v>
      </c>
      <c r="X188" s="6" t="e">
        <f t="shared" si="399"/>
        <v>#DIV/0!</v>
      </c>
      <c r="Y188" s="68">
        <v>57030</v>
      </c>
      <c r="Z188" s="69">
        <v>650</v>
      </c>
      <c r="AA188" s="35">
        <f t="shared" si="400"/>
        <v>87.738461538461536</v>
      </c>
      <c r="AB188" s="11">
        <f t="shared" si="401"/>
        <v>0.78056827419324337</v>
      </c>
      <c r="AC188" s="20">
        <v>33580</v>
      </c>
      <c r="AD188" s="33">
        <v>1248</v>
      </c>
      <c r="AE188" s="35">
        <f t="shared" si="402"/>
        <v>26.907051282051281</v>
      </c>
      <c r="AF188" s="6">
        <f t="shared" si="403"/>
        <v>0.23937951742694921</v>
      </c>
      <c r="AG188" s="68">
        <v>0</v>
      </c>
      <c r="AH188" s="66">
        <v>0</v>
      </c>
      <c r="AI188" s="35" t="e">
        <f t="shared" si="404"/>
        <v>#DIV/0!</v>
      </c>
      <c r="AJ188" s="6" t="e">
        <f t="shared" si="405"/>
        <v>#DIV/0!</v>
      </c>
      <c r="AK188" s="68">
        <v>0</v>
      </c>
      <c r="AL188" s="66">
        <v>0</v>
      </c>
      <c r="AM188" s="35" t="e">
        <f t="shared" si="406"/>
        <v>#DIV/0!</v>
      </c>
      <c r="AN188" s="6" t="e">
        <f t="shared" si="407"/>
        <v>#DIV/0!</v>
      </c>
      <c r="AO188" s="68">
        <v>2290</v>
      </c>
      <c r="AP188" s="65">
        <v>119</v>
      </c>
      <c r="AQ188" s="35">
        <f t="shared" si="408"/>
        <v>19.243697478991596</v>
      </c>
      <c r="AR188" s="6">
        <f t="shared" si="409"/>
        <v>0.17120222382391145</v>
      </c>
      <c r="AS188" s="68">
        <v>10570</v>
      </c>
      <c r="AT188" s="65">
        <v>390</v>
      </c>
      <c r="AU188" s="35">
        <f t="shared" si="410"/>
        <v>27.102564102564102</v>
      </c>
      <c r="AV188" s="6">
        <f t="shared" si="411"/>
        <v>0.24111890403362507</v>
      </c>
      <c r="AW188" s="68">
        <v>0</v>
      </c>
      <c r="AX188" s="66">
        <v>0</v>
      </c>
      <c r="AY188" s="35" t="e">
        <f t="shared" si="412"/>
        <v>#DIV/0!</v>
      </c>
      <c r="AZ188" s="6" t="e">
        <f t="shared" si="413"/>
        <v>#DIV/0!</v>
      </c>
      <c r="BA188" s="68">
        <v>0</v>
      </c>
      <c r="BB188" s="66">
        <v>0</v>
      </c>
      <c r="BC188" s="35" t="e">
        <f t="shared" si="414"/>
        <v>#DIV/0!</v>
      </c>
      <c r="BD188" s="11" t="e">
        <f t="shared" si="415"/>
        <v>#DIV/0!</v>
      </c>
    </row>
    <row r="189" spans="1:56" ht="15.75" thickBot="1" x14ac:dyDescent="0.3">
      <c r="A189" s="19" t="s">
        <v>5</v>
      </c>
      <c r="B189" s="8">
        <v>103570</v>
      </c>
      <c r="C189" s="35">
        <f>B189/F181</f>
        <v>143.05248618784532</v>
      </c>
      <c r="D189" s="8">
        <v>7050</v>
      </c>
      <c r="E189" s="68">
        <v>0</v>
      </c>
      <c r="F189" s="70">
        <v>0</v>
      </c>
      <c r="G189" s="35" t="e">
        <f t="shared" si="390"/>
        <v>#DIV/0!</v>
      </c>
      <c r="H189" s="11" t="e">
        <f t="shared" si="391"/>
        <v>#DIV/0!</v>
      </c>
      <c r="I189" s="35">
        <v>0</v>
      </c>
      <c r="J189" s="70">
        <v>0</v>
      </c>
      <c r="K189" s="35" t="e">
        <f t="shared" si="392"/>
        <v>#DIV/0!</v>
      </c>
      <c r="L189" s="6" t="e">
        <f t="shared" si="393"/>
        <v>#DIV/0!</v>
      </c>
      <c r="M189" s="68">
        <v>49220</v>
      </c>
      <c r="N189" s="26">
        <v>625</v>
      </c>
      <c r="O189" s="35">
        <f t="shared" si="394"/>
        <v>78.751999999999995</v>
      </c>
      <c r="P189" s="11">
        <f t="shared" si="395"/>
        <v>0.55051122912040162</v>
      </c>
      <c r="Q189" s="35">
        <v>0</v>
      </c>
      <c r="R189" s="66">
        <v>0</v>
      </c>
      <c r="S189" s="35" t="e">
        <f t="shared" si="396"/>
        <v>#DIV/0!</v>
      </c>
      <c r="T189" s="6" t="e">
        <f t="shared" si="397"/>
        <v>#DIV/0!</v>
      </c>
      <c r="U189" s="68">
        <v>0</v>
      </c>
      <c r="V189" s="66">
        <v>0</v>
      </c>
      <c r="W189" s="20" t="e">
        <f t="shared" si="398"/>
        <v>#DIV/0!</v>
      </c>
      <c r="X189" s="6" t="e">
        <f t="shared" si="399"/>
        <v>#DIV/0!</v>
      </c>
      <c r="Y189" s="68">
        <v>74510</v>
      </c>
      <c r="Z189" s="69">
        <v>650</v>
      </c>
      <c r="AA189" s="35">
        <f t="shared" si="400"/>
        <v>114.63076923076923</v>
      </c>
      <c r="AB189" s="11">
        <f t="shared" si="401"/>
        <v>0.80131965745946621</v>
      </c>
      <c r="AC189" s="20">
        <v>34780</v>
      </c>
      <c r="AD189" s="33">
        <v>1248</v>
      </c>
      <c r="AE189" s="35">
        <f t="shared" si="402"/>
        <v>27.868589743589745</v>
      </c>
      <c r="AF189" s="6">
        <f t="shared" si="403"/>
        <v>0.19481373925228321</v>
      </c>
      <c r="AG189" s="68">
        <v>0</v>
      </c>
      <c r="AH189" s="66">
        <v>0</v>
      </c>
      <c r="AI189" s="35" t="e">
        <f t="shared" si="404"/>
        <v>#DIV/0!</v>
      </c>
      <c r="AJ189" s="6" t="e">
        <f t="shared" si="405"/>
        <v>#DIV/0!</v>
      </c>
      <c r="AK189" s="68">
        <v>0</v>
      </c>
      <c r="AL189" s="66">
        <v>0</v>
      </c>
      <c r="AM189" s="35" t="e">
        <f t="shared" si="406"/>
        <v>#DIV/0!</v>
      </c>
      <c r="AN189" s="6" t="e">
        <f t="shared" si="407"/>
        <v>#DIV/0!</v>
      </c>
      <c r="AO189" s="68">
        <v>2700</v>
      </c>
      <c r="AP189" s="65">
        <v>119</v>
      </c>
      <c r="AQ189" s="35">
        <f t="shared" si="408"/>
        <v>22.689075630252102</v>
      </c>
      <c r="AR189" s="6">
        <f t="shared" si="409"/>
        <v>0.15860665015257816</v>
      </c>
      <c r="AS189" s="68">
        <v>12500</v>
      </c>
      <c r="AT189" s="65">
        <v>390</v>
      </c>
      <c r="AU189" s="35">
        <f t="shared" si="410"/>
        <v>32.051282051282051</v>
      </c>
      <c r="AV189" s="6">
        <f t="shared" si="411"/>
        <v>0.22405260408543209</v>
      </c>
      <c r="AW189" s="68">
        <v>0</v>
      </c>
      <c r="AX189" s="66">
        <v>0</v>
      </c>
      <c r="AY189" s="35" t="e">
        <f t="shared" si="412"/>
        <v>#DIV/0!</v>
      </c>
      <c r="AZ189" s="6" t="e">
        <f t="shared" si="413"/>
        <v>#DIV/0!</v>
      </c>
      <c r="BA189" s="68">
        <v>0</v>
      </c>
      <c r="BB189" s="66">
        <v>0</v>
      </c>
      <c r="BC189" s="35" t="e">
        <f t="shared" si="414"/>
        <v>#DIV/0!</v>
      </c>
      <c r="BD189" s="11" t="e">
        <f t="shared" si="415"/>
        <v>#DIV/0!</v>
      </c>
    </row>
    <row r="190" spans="1:56" x14ac:dyDescent="0.25">
      <c r="A190" s="19" t="s">
        <v>6</v>
      </c>
      <c r="B190" s="8">
        <v>118610</v>
      </c>
      <c r="C190" s="35">
        <f>B190/F181</f>
        <v>163.82596685082873</v>
      </c>
      <c r="D190" s="8">
        <v>10950</v>
      </c>
      <c r="E190" s="68">
        <v>0</v>
      </c>
      <c r="F190" s="70">
        <v>0</v>
      </c>
      <c r="G190" s="35" t="e">
        <f t="shared" si="390"/>
        <v>#DIV/0!</v>
      </c>
      <c r="H190" s="11" t="e">
        <f t="shared" si="391"/>
        <v>#DIV/0!</v>
      </c>
      <c r="I190" s="35">
        <v>0</v>
      </c>
      <c r="J190" s="70">
        <v>0</v>
      </c>
      <c r="K190" s="35" t="e">
        <f t="shared" si="392"/>
        <v>#DIV/0!</v>
      </c>
      <c r="L190" s="6" t="e">
        <f t="shared" si="393"/>
        <v>#DIV/0!</v>
      </c>
      <c r="M190" s="68">
        <v>58930</v>
      </c>
      <c r="N190" s="26">
        <v>625</v>
      </c>
      <c r="O190" s="35">
        <f t="shared" si="394"/>
        <v>94.287999999999997</v>
      </c>
      <c r="P190" s="11">
        <f t="shared" si="395"/>
        <v>0.57553757693280494</v>
      </c>
      <c r="Q190" s="35">
        <v>0</v>
      </c>
      <c r="R190" s="66">
        <v>0</v>
      </c>
      <c r="S190" s="35" t="e">
        <f t="shared" si="396"/>
        <v>#DIV/0!</v>
      </c>
      <c r="T190" s="6" t="e">
        <f t="shared" si="397"/>
        <v>#DIV/0!</v>
      </c>
      <c r="U190" s="68">
        <v>0</v>
      </c>
      <c r="V190" s="66">
        <v>0</v>
      </c>
      <c r="W190" s="20" t="e">
        <f t="shared" si="398"/>
        <v>#DIV/0!</v>
      </c>
      <c r="X190" s="6" t="e">
        <f t="shared" si="399"/>
        <v>#DIV/0!</v>
      </c>
      <c r="Y190" s="68">
        <v>81600</v>
      </c>
      <c r="Z190" s="69">
        <v>650</v>
      </c>
      <c r="AA190" s="35">
        <f t="shared" si="400"/>
        <v>125.53846153846153</v>
      </c>
      <c r="AB190" s="11">
        <f t="shared" si="401"/>
        <v>0.76629159559772486</v>
      </c>
      <c r="AC190" s="20">
        <v>50740</v>
      </c>
      <c r="AD190" s="33">
        <v>1248</v>
      </c>
      <c r="AE190" s="35">
        <f t="shared" si="402"/>
        <v>40.657051282051285</v>
      </c>
      <c r="AF190" s="6">
        <f t="shared" si="403"/>
        <v>0.24817220409919172</v>
      </c>
      <c r="AG190" s="68">
        <v>0</v>
      </c>
      <c r="AH190" s="66">
        <v>0</v>
      </c>
      <c r="AI190" s="35" t="e">
        <f t="shared" si="404"/>
        <v>#DIV/0!</v>
      </c>
      <c r="AJ190" s="6" t="e">
        <f t="shared" si="405"/>
        <v>#DIV/0!</v>
      </c>
      <c r="AK190" s="68">
        <v>0</v>
      </c>
      <c r="AL190" s="66">
        <v>0</v>
      </c>
      <c r="AM190" s="35" t="e">
        <f t="shared" si="406"/>
        <v>#DIV/0!</v>
      </c>
      <c r="AN190" s="6" t="e">
        <f t="shared" si="407"/>
        <v>#DIV/0!</v>
      </c>
      <c r="AO190" s="68">
        <v>2910</v>
      </c>
      <c r="AP190" s="65">
        <v>119</v>
      </c>
      <c r="AQ190" s="35">
        <f t="shared" si="408"/>
        <v>24.45378151260504</v>
      </c>
      <c r="AR190" s="6">
        <f t="shared" si="409"/>
        <v>0.14926682248651926</v>
      </c>
      <c r="AS190" s="68">
        <v>14290</v>
      </c>
      <c r="AT190" s="65">
        <v>390</v>
      </c>
      <c r="AU190" s="35">
        <f t="shared" si="410"/>
        <v>36.641025641025642</v>
      </c>
      <c r="AV190" s="6">
        <f t="shared" si="411"/>
        <v>0.22365822918896017</v>
      </c>
      <c r="AW190" s="68">
        <v>0</v>
      </c>
      <c r="AX190" s="66">
        <v>0</v>
      </c>
      <c r="AY190" s="35" t="e">
        <f t="shared" si="412"/>
        <v>#DIV/0!</v>
      </c>
      <c r="AZ190" s="6" t="e">
        <f t="shared" si="413"/>
        <v>#DIV/0!</v>
      </c>
      <c r="BA190" s="68">
        <v>0</v>
      </c>
      <c r="BB190" s="66">
        <v>0</v>
      </c>
      <c r="BC190" s="35" t="e">
        <f t="shared" si="414"/>
        <v>#DIV/0!</v>
      </c>
      <c r="BD190" s="11" t="e">
        <f t="shared" si="415"/>
        <v>#DIV/0!</v>
      </c>
    </row>
    <row r="191" spans="1:56" ht="15.75" thickBot="1" x14ac:dyDescent="0.3">
      <c r="A191" s="21"/>
      <c r="B191" s="22"/>
      <c r="C191" s="23">
        <f>AVERAGE(Table1109[MA $/Sq Ft])</f>
        <v>101.24704025256513</v>
      </c>
      <c r="D191" s="22">
        <f>AVERAGE(Table1109[Basic Allowance])</f>
        <v>4442.8571428571431</v>
      </c>
      <c r="E191" s="16"/>
      <c r="F191" s="22"/>
      <c r="G191" s="15"/>
      <c r="H191" s="24" t="e">
        <f>AVERAGE(Table1109[Bsmt % Base])</f>
        <v>#DIV/0!</v>
      </c>
      <c r="I191" s="15"/>
      <c r="J191" s="15"/>
      <c r="K191" s="15"/>
      <c r="L191" s="25" t="e">
        <f>AVERAGE(Table1109[[#Headers],[#Data],[UnfBsmt % Base]])</f>
        <v>#DIV/0!</v>
      </c>
      <c r="M191" s="44"/>
      <c r="N191" s="15"/>
      <c r="O191" s="23">
        <f>AVERAGE(Table1109[LowerVal/SqFt])</f>
        <v>59.291428571428575</v>
      </c>
      <c r="P191" s="24">
        <f>AVERAGE(Table1109[Lower % Base])</f>
        <v>0.58886232636964075</v>
      </c>
      <c r="Q191" s="13"/>
      <c r="R191" s="13"/>
      <c r="S191" s="13"/>
      <c r="T191" s="25" t="e">
        <f>AVERAGE(Table1109[Unf Lower % Base])</f>
        <v>#DIV/0!</v>
      </c>
      <c r="U191" s="12"/>
      <c r="V191" s="13"/>
      <c r="W191" s="13"/>
      <c r="X191" s="25" t="e">
        <f>AVERAGE(Table1109[1/2 Story % Base])</f>
        <v>#DIV/0!</v>
      </c>
      <c r="Y191" s="12"/>
      <c r="Z191" s="13"/>
      <c r="AA191" s="13"/>
      <c r="AB191" s="24">
        <f>AVERAGE(Table1109[2nd Story % Base])</f>
        <v>0.7922834830044454</v>
      </c>
      <c r="AC191" s="13"/>
      <c r="AD191" s="13"/>
      <c r="AE191" s="23">
        <f>AVERAGE(Table1109[AttGarVal/SqFt])</f>
        <v>24.515796703296701</v>
      </c>
      <c r="AF191" s="25">
        <f>AVERAGE(Table1109[Att Gar % Base])</f>
        <v>0.2469124721260216</v>
      </c>
      <c r="AG191" s="12"/>
      <c r="AH191" s="13"/>
      <c r="AI191" s="13"/>
      <c r="AJ191" s="25" t="e">
        <f>AVERAGE(Table1109[Porch % Base])</f>
        <v>#DIV/0!</v>
      </c>
      <c r="AK191" s="12"/>
      <c r="AL191" s="13"/>
      <c r="AM191" s="13"/>
      <c r="AN191" s="25" t="e">
        <f>AVERAGE(Table1109[Cov Porch % Base])</f>
        <v>#DIV/0!</v>
      </c>
      <c r="AO191" s="12"/>
      <c r="AP191" s="13"/>
      <c r="AQ191" s="13"/>
      <c r="AR191" s="25">
        <f>AVERAGE(Table1109[Deck % Base])</f>
        <v>0.17224036985059718</v>
      </c>
      <c r="AS191" s="12"/>
      <c r="AT191" s="13"/>
      <c r="AU191" s="23">
        <f>AVERAGE(Table1109[CovDeckVal/SqFt])</f>
        <v>23.728937728937726</v>
      </c>
      <c r="AV191" s="25">
        <f>AVERAGE(Table1109[CovDeck % Base])</f>
        <v>0.23601458507018558</v>
      </c>
      <c r="AW191" s="12"/>
      <c r="AX191" s="13"/>
      <c r="AY191" s="13"/>
      <c r="AZ191" s="25" t="e">
        <f>AVERAGE(Table1109[CarP % Base])</f>
        <v>#DIV/0!</v>
      </c>
      <c r="BA191" s="12"/>
      <c r="BB191" s="13"/>
      <c r="BC191" s="13"/>
      <c r="BD191" s="24" t="e">
        <f>AVERAGE(Table1109[EFP % Base])</f>
        <v>#DIV/0!</v>
      </c>
    </row>
    <row r="193" spans="1:56" ht="15.75" thickBot="1" x14ac:dyDescent="0.3">
      <c r="A193" s="82"/>
      <c r="B193" t="s">
        <v>79</v>
      </c>
      <c r="C193" s="78" t="s">
        <v>104</v>
      </c>
      <c r="E193" t="s">
        <v>33</v>
      </c>
      <c r="F193" s="79">
        <v>1380</v>
      </c>
      <c r="H193" t="s">
        <v>80</v>
      </c>
      <c r="I193" t="s">
        <v>105</v>
      </c>
    </row>
    <row r="194" spans="1:56" x14ac:dyDescent="0.25">
      <c r="A194" s="112"/>
      <c r="B194" s="113"/>
      <c r="C194" s="113"/>
      <c r="D194" s="114"/>
      <c r="E194" s="115" t="s">
        <v>27</v>
      </c>
      <c r="F194" s="116"/>
      <c r="G194" s="116"/>
      <c r="H194" s="117"/>
      <c r="I194" s="118" t="s">
        <v>28</v>
      </c>
      <c r="J194" s="119"/>
      <c r="K194" s="119"/>
      <c r="L194" s="120"/>
      <c r="M194" s="121" t="s">
        <v>7</v>
      </c>
      <c r="N194" s="122"/>
      <c r="O194" s="122"/>
      <c r="P194" s="123"/>
      <c r="Q194" s="124" t="s">
        <v>29</v>
      </c>
      <c r="R194" s="125"/>
      <c r="S194" s="125"/>
      <c r="T194" s="126"/>
      <c r="U194" s="127" t="s">
        <v>8</v>
      </c>
      <c r="V194" s="128"/>
      <c r="W194" s="128"/>
      <c r="X194" s="129"/>
      <c r="Y194" s="130" t="s">
        <v>0</v>
      </c>
      <c r="Z194" s="131"/>
      <c r="AA194" s="131"/>
      <c r="AB194" s="132"/>
      <c r="AC194" s="133" t="s">
        <v>34</v>
      </c>
      <c r="AD194" s="134"/>
      <c r="AE194" s="134"/>
      <c r="AF194" s="135"/>
      <c r="AG194" s="115" t="s">
        <v>9</v>
      </c>
      <c r="AH194" s="116"/>
      <c r="AI194" s="116"/>
      <c r="AJ194" s="117"/>
      <c r="AK194" s="136" t="s">
        <v>35</v>
      </c>
      <c r="AL194" s="137"/>
      <c r="AM194" s="137"/>
      <c r="AN194" s="138"/>
      <c r="AO194" s="139" t="s">
        <v>10</v>
      </c>
      <c r="AP194" s="140"/>
      <c r="AQ194" s="140"/>
      <c r="AR194" s="141"/>
      <c r="AS194" s="124" t="s">
        <v>36</v>
      </c>
      <c r="AT194" s="125"/>
      <c r="AU194" s="125"/>
      <c r="AV194" s="126"/>
      <c r="AW194" s="142" t="s">
        <v>11</v>
      </c>
      <c r="AX194" s="143"/>
      <c r="AY194" s="143"/>
      <c r="AZ194" s="144"/>
      <c r="BA194" s="148" t="s">
        <v>17</v>
      </c>
      <c r="BB194" s="149"/>
      <c r="BC194" s="149"/>
      <c r="BD194" s="150"/>
    </row>
    <row r="195" spans="1:56" s="1" customFormat="1" ht="15.75" thickBot="1" x14ac:dyDescent="0.3">
      <c r="A195" s="41" t="s">
        <v>13</v>
      </c>
      <c r="B195" s="42" t="s">
        <v>15</v>
      </c>
      <c r="C195" s="42" t="s">
        <v>32</v>
      </c>
      <c r="D195" s="43" t="s">
        <v>18</v>
      </c>
      <c r="E195" s="30" t="s">
        <v>30</v>
      </c>
      <c r="F195" s="31" t="s">
        <v>61</v>
      </c>
      <c r="G195" s="31" t="s">
        <v>38</v>
      </c>
      <c r="H195" s="32" t="s">
        <v>62</v>
      </c>
      <c r="I195" s="37" t="s">
        <v>31</v>
      </c>
      <c r="J195" s="38" t="s">
        <v>39</v>
      </c>
      <c r="K195" s="38" t="s">
        <v>40</v>
      </c>
      <c r="L195" s="39" t="s">
        <v>63</v>
      </c>
      <c r="M195" s="40" t="s">
        <v>19</v>
      </c>
      <c r="N195" s="7" t="s">
        <v>41</v>
      </c>
      <c r="O195" s="7" t="s">
        <v>37</v>
      </c>
      <c r="P195" s="7" t="s">
        <v>64</v>
      </c>
      <c r="Q195" s="27" t="s">
        <v>20</v>
      </c>
      <c r="R195" s="28" t="s">
        <v>60</v>
      </c>
      <c r="S195" s="28" t="s">
        <v>59</v>
      </c>
      <c r="T195" s="29" t="s">
        <v>65</v>
      </c>
      <c r="U195" s="48" t="s">
        <v>21</v>
      </c>
      <c r="V195" s="48" t="s">
        <v>42</v>
      </c>
      <c r="W195" s="48" t="s">
        <v>43</v>
      </c>
      <c r="X195" s="49" t="s">
        <v>66</v>
      </c>
      <c r="Y195" s="50" t="s">
        <v>22</v>
      </c>
      <c r="Z195" s="51" t="s">
        <v>44</v>
      </c>
      <c r="AA195" s="51" t="s">
        <v>45</v>
      </c>
      <c r="AB195" s="52" t="s">
        <v>67</v>
      </c>
      <c r="AC195" s="45" t="s">
        <v>23</v>
      </c>
      <c r="AD195" s="46" t="s">
        <v>46</v>
      </c>
      <c r="AE195" s="46" t="s">
        <v>47</v>
      </c>
      <c r="AF195" s="47" t="s">
        <v>68</v>
      </c>
      <c r="AG195" s="30" t="s">
        <v>24</v>
      </c>
      <c r="AH195" s="31" t="s">
        <v>48</v>
      </c>
      <c r="AI195" s="31" t="s">
        <v>49</v>
      </c>
      <c r="AJ195" s="32" t="s">
        <v>69</v>
      </c>
      <c r="AK195" s="53" t="s">
        <v>25</v>
      </c>
      <c r="AL195" s="54" t="s">
        <v>50</v>
      </c>
      <c r="AM195" s="54" t="s">
        <v>51</v>
      </c>
      <c r="AN195" s="55" t="s">
        <v>70</v>
      </c>
      <c r="AO195" s="56" t="s">
        <v>26</v>
      </c>
      <c r="AP195" s="57" t="s">
        <v>52</v>
      </c>
      <c r="AQ195" s="57" t="s">
        <v>53</v>
      </c>
      <c r="AR195" s="58" t="s">
        <v>71</v>
      </c>
      <c r="AS195" s="59" t="s">
        <v>55</v>
      </c>
      <c r="AT195" s="60" t="s">
        <v>54</v>
      </c>
      <c r="AU195" s="60" t="s">
        <v>56</v>
      </c>
      <c r="AV195" s="61" t="s">
        <v>76</v>
      </c>
      <c r="AW195" s="62" t="s">
        <v>72</v>
      </c>
      <c r="AX195" s="63" t="s">
        <v>73</v>
      </c>
      <c r="AY195" s="63" t="s">
        <v>74</v>
      </c>
      <c r="AZ195" s="64" t="s">
        <v>75</v>
      </c>
      <c r="BA195" s="71" t="s">
        <v>77</v>
      </c>
      <c r="BB195" s="72" t="s">
        <v>57</v>
      </c>
      <c r="BC195" s="72" t="s">
        <v>58</v>
      </c>
      <c r="BD195" s="73" t="s">
        <v>78</v>
      </c>
    </row>
    <row r="196" spans="1:56" ht="15.75" thickBot="1" x14ac:dyDescent="0.3">
      <c r="A196" s="17" t="s">
        <v>1</v>
      </c>
      <c r="B196" s="14">
        <v>68520</v>
      </c>
      <c r="C196" s="34">
        <f>B196/F193</f>
        <v>49.652173913043477</v>
      </c>
      <c r="D196" s="14">
        <v>1525</v>
      </c>
      <c r="E196" s="67">
        <v>0</v>
      </c>
      <c r="F196" s="69">
        <v>0</v>
      </c>
      <c r="G196" s="34" t="e">
        <f t="shared" ref="G196:G202" si="416">E196/F196</f>
        <v>#DIV/0!</v>
      </c>
      <c r="H196" s="10" t="e">
        <f t="shared" ref="H196:H202" si="417">G196/C196</f>
        <v>#DIV/0!</v>
      </c>
      <c r="I196" s="34">
        <v>0</v>
      </c>
      <c r="J196" s="69">
        <v>0</v>
      </c>
      <c r="K196" s="34" t="e">
        <f t="shared" ref="K196:K202" si="418">I196/J196</f>
        <v>#DIV/0!</v>
      </c>
      <c r="L196" s="9" t="e">
        <f t="shared" ref="L196:L202" si="419">K196/C196</f>
        <v>#DIV/0!</v>
      </c>
      <c r="M196" s="67">
        <v>11370</v>
      </c>
      <c r="N196" s="26">
        <v>312</v>
      </c>
      <c r="O196" s="34">
        <f t="shared" ref="O196:O202" si="420">M196/N196</f>
        <v>36.442307692307693</v>
      </c>
      <c r="P196" s="10">
        <f t="shared" ref="P196:P202" si="421">O196/C196</f>
        <v>0.73395190623737039</v>
      </c>
      <c r="Q196" s="35">
        <v>0</v>
      </c>
      <c r="R196" s="66">
        <v>0</v>
      </c>
      <c r="S196" s="35" t="e">
        <f t="shared" ref="S196:S202" si="422">Q196/R196</f>
        <v>#DIV/0!</v>
      </c>
      <c r="T196" s="6" t="e">
        <f t="shared" ref="T196:T202" si="423">S196/C196</f>
        <v>#DIV/0!</v>
      </c>
      <c r="U196" s="67">
        <v>0</v>
      </c>
      <c r="V196" s="65">
        <v>0</v>
      </c>
      <c r="W196" s="18" t="e">
        <f t="shared" ref="W196:W202" si="424">U196/V196</f>
        <v>#DIV/0!</v>
      </c>
      <c r="X196" s="9" t="e">
        <f t="shared" ref="X196:X202" si="425">W196/C196</f>
        <v>#DIV/0!</v>
      </c>
      <c r="Y196" s="67">
        <v>0</v>
      </c>
      <c r="Z196" s="69">
        <v>0</v>
      </c>
      <c r="AA196" s="34" t="e">
        <f t="shared" ref="AA196:AA202" si="426">Y196/Z196</f>
        <v>#DIV/0!</v>
      </c>
      <c r="AB196" s="10" t="e">
        <f t="shared" ref="AB196:AB202" si="427">AA196/C196</f>
        <v>#DIV/0!</v>
      </c>
      <c r="AC196" s="18">
        <v>9050</v>
      </c>
      <c r="AD196" s="33">
        <v>624</v>
      </c>
      <c r="AE196" s="34">
        <f t="shared" ref="AE196:AE202" si="428">AC196/AD196</f>
        <v>14.503205128205128</v>
      </c>
      <c r="AF196" s="9">
        <f t="shared" ref="AF196:AF202" si="429">AE196/C196</f>
        <v>0.29209607526157438</v>
      </c>
      <c r="AG196" s="67">
        <v>0</v>
      </c>
      <c r="AH196" s="65">
        <v>0</v>
      </c>
      <c r="AI196" s="34" t="e">
        <f t="shared" ref="AI196:AI202" si="430">AG196/AH196</f>
        <v>#DIV/0!</v>
      </c>
      <c r="AJ196" s="9" t="e">
        <f t="shared" ref="AJ196:AJ202" si="431">AI196/C196</f>
        <v>#DIV/0!</v>
      </c>
      <c r="AK196" s="67">
        <v>0</v>
      </c>
      <c r="AL196" s="65">
        <v>0</v>
      </c>
      <c r="AM196" s="34" t="e">
        <f t="shared" ref="AM196:AM202" si="432">AK196/AL196</f>
        <v>#DIV/0!</v>
      </c>
      <c r="AN196" s="9" t="e">
        <f t="shared" ref="AN196:AN202" si="433">AM196/C196</f>
        <v>#DIV/0!</v>
      </c>
      <c r="AO196" s="67">
        <v>1150</v>
      </c>
      <c r="AP196" s="65">
        <v>120</v>
      </c>
      <c r="AQ196" s="34">
        <f t="shared" ref="AQ196:AQ202" si="434">AO196/AP196</f>
        <v>9.5833333333333339</v>
      </c>
      <c r="AR196" s="9">
        <f t="shared" ref="AR196:AR202" si="435">AQ196/C196</f>
        <v>0.1930093403385873</v>
      </c>
      <c r="AS196" s="67">
        <v>0</v>
      </c>
      <c r="AT196" s="65">
        <v>0</v>
      </c>
      <c r="AU196" s="34" t="e">
        <f t="shared" ref="AU196:AU202" si="436">AS196/AT196</f>
        <v>#DIV/0!</v>
      </c>
      <c r="AV196" s="9" t="e">
        <f t="shared" ref="AV196:AV202" si="437">AU196/C196</f>
        <v>#DIV/0!</v>
      </c>
      <c r="AW196" s="67">
        <v>0</v>
      </c>
      <c r="AX196" s="65">
        <v>0</v>
      </c>
      <c r="AY196" s="34" t="e">
        <f t="shared" ref="AY196:AY202" si="438">AW196/AX196</f>
        <v>#DIV/0!</v>
      </c>
      <c r="AZ196" s="9" t="e">
        <f t="shared" ref="AZ196:AZ202" si="439">AY196/C196</f>
        <v>#DIV/0!</v>
      </c>
      <c r="BA196" s="67">
        <v>0</v>
      </c>
      <c r="BB196" s="65">
        <v>0</v>
      </c>
      <c r="BC196" s="34" t="e">
        <f t="shared" ref="BC196:BC202" si="440">BA196/BB196</f>
        <v>#DIV/0!</v>
      </c>
      <c r="BD196" s="10" t="e">
        <f t="shared" ref="BD196:BD202" si="441">BC196/C196</f>
        <v>#DIV/0!</v>
      </c>
    </row>
    <row r="197" spans="1:56" ht="15.75" thickBot="1" x14ac:dyDescent="0.3">
      <c r="A197" s="19" t="s">
        <v>16</v>
      </c>
      <c r="B197" s="8">
        <v>80620</v>
      </c>
      <c r="C197" s="35">
        <f>B197/F193</f>
        <v>58.420289855072461</v>
      </c>
      <c r="D197" s="8">
        <v>1525</v>
      </c>
      <c r="E197" s="68">
        <v>0</v>
      </c>
      <c r="F197" s="70">
        <v>0</v>
      </c>
      <c r="G197" s="35" t="e">
        <f t="shared" si="416"/>
        <v>#DIV/0!</v>
      </c>
      <c r="H197" s="11" t="e">
        <f t="shared" si="417"/>
        <v>#DIV/0!</v>
      </c>
      <c r="I197" s="35">
        <v>0</v>
      </c>
      <c r="J197" s="70">
        <v>0</v>
      </c>
      <c r="K197" s="35" t="e">
        <f t="shared" si="418"/>
        <v>#DIV/0!</v>
      </c>
      <c r="L197" s="6" t="e">
        <f t="shared" si="419"/>
        <v>#DIV/0!</v>
      </c>
      <c r="M197" s="68">
        <v>14470</v>
      </c>
      <c r="N197" s="26">
        <v>312</v>
      </c>
      <c r="O197" s="35">
        <f t="shared" si="420"/>
        <v>46.378205128205131</v>
      </c>
      <c r="P197" s="11">
        <f t="shared" si="421"/>
        <v>0.7938715340724769</v>
      </c>
      <c r="Q197" s="35">
        <v>0</v>
      </c>
      <c r="R197" s="66">
        <v>0</v>
      </c>
      <c r="S197" s="35" t="e">
        <f t="shared" si="422"/>
        <v>#DIV/0!</v>
      </c>
      <c r="T197" s="6" t="e">
        <f t="shared" si="423"/>
        <v>#DIV/0!</v>
      </c>
      <c r="U197" s="68">
        <v>0</v>
      </c>
      <c r="V197" s="66">
        <v>0</v>
      </c>
      <c r="W197" s="20" t="e">
        <f t="shared" si="424"/>
        <v>#DIV/0!</v>
      </c>
      <c r="X197" s="6" t="e">
        <f t="shared" si="425"/>
        <v>#DIV/0!</v>
      </c>
      <c r="Y197" s="68">
        <v>0</v>
      </c>
      <c r="Z197" s="70">
        <v>0</v>
      </c>
      <c r="AA197" s="35" t="e">
        <f t="shared" si="426"/>
        <v>#DIV/0!</v>
      </c>
      <c r="AB197" s="11" t="e">
        <f t="shared" si="427"/>
        <v>#DIV/0!</v>
      </c>
      <c r="AC197" s="20">
        <v>12130</v>
      </c>
      <c r="AD197" s="33">
        <v>624</v>
      </c>
      <c r="AE197" s="35">
        <f t="shared" si="428"/>
        <v>19.439102564102566</v>
      </c>
      <c r="AF197" s="6">
        <f t="shared" si="429"/>
        <v>0.33274573974772442</v>
      </c>
      <c r="AG197" s="68">
        <v>0</v>
      </c>
      <c r="AH197" s="66">
        <v>0</v>
      </c>
      <c r="AI197" s="35" t="e">
        <f t="shared" si="430"/>
        <v>#DIV/0!</v>
      </c>
      <c r="AJ197" s="6" t="e">
        <f t="shared" si="431"/>
        <v>#DIV/0!</v>
      </c>
      <c r="AK197" s="68">
        <v>0</v>
      </c>
      <c r="AL197" s="66">
        <v>0</v>
      </c>
      <c r="AM197" s="35" t="e">
        <f t="shared" si="432"/>
        <v>#DIV/0!</v>
      </c>
      <c r="AN197" s="6" t="e">
        <f t="shared" si="433"/>
        <v>#DIV/0!</v>
      </c>
      <c r="AO197" s="68">
        <v>1620</v>
      </c>
      <c r="AP197" s="65">
        <v>120</v>
      </c>
      <c r="AQ197" s="35">
        <f t="shared" si="434"/>
        <v>13.5</v>
      </c>
      <c r="AR197" s="6">
        <f t="shared" si="435"/>
        <v>0.23108409823865048</v>
      </c>
      <c r="AS197" s="68">
        <v>0</v>
      </c>
      <c r="AT197" s="66">
        <v>0</v>
      </c>
      <c r="AU197" s="35" t="e">
        <f t="shared" si="436"/>
        <v>#DIV/0!</v>
      </c>
      <c r="AV197" s="6" t="e">
        <f t="shared" si="437"/>
        <v>#DIV/0!</v>
      </c>
      <c r="AW197" s="68">
        <v>0</v>
      </c>
      <c r="AX197" s="66">
        <v>0</v>
      </c>
      <c r="AY197" s="35" t="e">
        <f t="shared" si="438"/>
        <v>#DIV/0!</v>
      </c>
      <c r="AZ197" s="6" t="e">
        <f t="shared" si="439"/>
        <v>#DIV/0!</v>
      </c>
      <c r="BA197" s="68">
        <v>0</v>
      </c>
      <c r="BB197" s="66">
        <v>0</v>
      </c>
      <c r="BC197" s="35" t="e">
        <f t="shared" si="440"/>
        <v>#DIV/0!</v>
      </c>
      <c r="BD197" s="11" t="e">
        <f t="shared" si="441"/>
        <v>#DIV/0!</v>
      </c>
    </row>
    <row r="198" spans="1:56" ht="15.75" thickBot="1" x14ac:dyDescent="0.3">
      <c r="A198" s="19" t="s">
        <v>2</v>
      </c>
      <c r="B198" s="8">
        <v>94240</v>
      </c>
      <c r="C198" s="35">
        <f>B198/F193</f>
        <v>68.289855072463766</v>
      </c>
      <c r="D198" s="8">
        <v>2100</v>
      </c>
      <c r="E198" s="68">
        <v>0</v>
      </c>
      <c r="F198" s="70">
        <v>0</v>
      </c>
      <c r="G198" s="35" t="e">
        <f t="shared" si="416"/>
        <v>#DIV/0!</v>
      </c>
      <c r="H198" s="11" t="e">
        <f t="shared" si="417"/>
        <v>#DIV/0!</v>
      </c>
      <c r="I198" s="35">
        <v>0</v>
      </c>
      <c r="J198" s="70">
        <v>0</v>
      </c>
      <c r="K198" s="35" t="e">
        <f t="shared" si="418"/>
        <v>#DIV/0!</v>
      </c>
      <c r="L198" s="6" t="e">
        <f t="shared" si="419"/>
        <v>#DIV/0!</v>
      </c>
      <c r="M198" s="68">
        <v>16600</v>
      </c>
      <c r="N198" s="26">
        <v>312</v>
      </c>
      <c r="O198" s="35">
        <f t="shared" si="420"/>
        <v>53.205128205128204</v>
      </c>
      <c r="P198" s="11">
        <f t="shared" si="421"/>
        <v>0.77910735274911846</v>
      </c>
      <c r="Q198" s="35">
        <v>0</v>
      </c>
      <c r="R198" s="66">
        <v>0</v>
      </c>
      <c r="S198" s="35" t="e">
        <f t="shared" si="422"/>
        <v>#DIV/0!</v>
      </c>
      <c r="T198" s="6" t="e">
        <f t="shared" si="423"/>
        <v>#DIV/0!</v>
      </c>
      <c r="U198" s="68">
        <v>0</v>
      </c>
      <c r="V198" s="66">
        <v>0</v>
      </c>
      <c r="W198" s="20" t="e">
        <f t="shared" si="424"/>
        <v>#DIV/0!</v>
      </c>
      <c r="X198" s="6" t="e">
        <f t="shared" si="425"/>
        <v>#DIV/0!</v>
      </c>
      <c r="Y198" s="68">
        <v>0</v>
      </c>
      <c r="Z198" s="70">
        <v>0</v>
      </c>
      <c r="AA198" s="35" t="e">
        <f t="shared" si="426"/>
        <v>#DIV/0!</v>
      </c>
      <c r="AB198" s="11" t="e">
        <f t="shared" si="427"/>
        <v>#DIV/0!</v>
      </c>
      <c r="AC198" s="20">
        <v>15450</v>
      </c>
      <c r="AD198" s="33">
        <v>624</v>
      </c>
      <c r="AE198" s="35">
        <f t="shared" si="428"/>
        <v>24.759615384615383</v>
      </c>
      <c r="AF198" s="6">
        <f t="shared" si="429"/>
        <v>0.36256652409559881</v>
      </c>
      <c r="AG198" s="68">
        <v>0</v>
      </c>
      <c r="AH198" s="66">
        <v>0</v>
      </c>
      <c r="AI198" s="35" t="e">
        <f t="shared" si="430"/>
        <v>#DIV/0!</v>
      </c>
      <c r="AJ198" s="6" t="e">
        <f t="shared" si="431"/>
        <v>#DIV/0!</v>
      </c>
      <c r="AK198" s="68">
        <v>0</v>
      </c>
      <c r="AL198" s="66">
        <v>0</v>
      </c>
      <c r="AM198" s="35" t="e">
        <f t="shared" si="432"/>
        <v>#DIV/0!</v>
      </c>
      <c r="AN198" s="6" t="e">
        <f t="shared" si="433"/>
        <v>#DIV/0!</v>
      </c>
      <c r="AO198" s="68">
        <v>1700</v>
      </c>
      <c r="AP198" s="65">
        <v>120</v>
      </c>
      <c r="AQ198" s="35">
        <f t="shared" si="434"/>
        <v>14.166666666666666</v>
      </c>
      <c r="AR198" s="6">
        <f t="shared" si="435"/>
        <v>0.2074490662139219</v>
      </c>
      <c r="AS198" s="68">
        <v>0</v>
      </c>
      <c r="AT198" s="66">
        <v>0</v>
      </c>
      <c r="AU198" s="35" t="e">
        <f t="shared" si="436"/>
        <v>#DIV/0!</v>
      </c>
      <c r="AV198" s="6" t="e">
        <f t="shared" si="437"/>
        <v>#DIV/0!</v>
      </c>
      <c r="AW198" s="68">
        <v>0</v>
      </c>
      <c r="AX198" s="66">
        <v>0</v>
      </c>
      <c r="AY198" s="35" t="e">
        <f t="shared" si="438"/>
        <v>#DIV/0!</v>
      </c>
      <c r="AZ198" s="6" t="e">
        <f t="shared" si="439"/>
        <v>#DIV/0!</v>
      </c>
      <c r="BA198" s="68">
        <v>0</v>
      </c>
      <c r="BB198" s="66">
        <v>0</v>
      </c>
      <c r="BC198" s="35" t="e">
        <f t="shared" si="440"/>
        <v>#DIV/0!</v>
      </c>
      <c r="BD198" s="11" t="e">
        <f t="shared" si="441"/>
        <v>#DIV/0!</v>
      </c>
    </row>
    <row r="199" spans="1:56" ht="15.75" thickBot="1" x14ac:dyDescent="0.3">
      <c r="A199" s="19" t="s">
        <v>3</v>
      </c>
      <c r="B199" s="8">
        <v>113970</v>
      </c>
      <c r="C199" s="35">
        <f>B199/F193</f>
        <v>82.586956521739125</v>
      </c>
      <c r="D199" s="8">
        <v>2700</v>
      </c>
      <c r="E199" s="68">
        <v>0</v>
      </c>
      <c r="F199" s="70">
        <v>0</v>
      </c>
      <c r="G199" s="35" t="e">
        <f t="shared" si="416"/>
        <v>#DIV/0!</v>
      </c>
      <c r="H199" s="11" t="e">
        <f t="shared" si="417"/>
        <v>#DIV/0!</v>
      </c>
      <c r="I199" s="35">
        <v>0</v>
      </c>
      <c r="J199" s="70">
        <v>0</v>
      </c>
      <c r="K199" s="35" t="e">
        <f t="shared" si="418"/>
        <v>#DIV/0!</v>
      </c>
      <c r="L199" s="6" t="e">
        <f t="shared" si="419"/>
        <v>#DIV/0!</v>
      </c>
      <c r="M199" s="68">
        <v>17520</v>
      </c>
      <c r="N199" s="26">
        <v>312</v>
      </c>
      <c r="O199" s="35">
        <f t="shared" si="420"/>
        <v>56.153846153846153</v>
      </c>
      <c r="P199" s="11">
        <f t="shared" si="421"/>
        <v>0.67993601555065097</v>
      </c>
      <c r="Q199" s="35">
        <v>0</v>
      </c>
      <c r="R199" s="66">
        <v>0</v>
      </c>
      <c r="S199" s="35" t="e">
        <f t="shared" si="422"/>
        <v>#DIV/0!</v>
      </c>
      <c r="T199" s="6" t="e">
        <f t="shared" si="423"/>
        <v>#DIV/0!</v>
      </c>
      <c r="U199" s="68">
        <v>0</v>
      </c>
      <c r="V199" s="66">
        <v>0</v>
      </c>
      <c r="W199" s="20" t="e">
        <f t="shared" si="424"/>
        <v>#DIV/0!</v>
      </c>
      <c r="X199" s="6" t="e">
        <f t="shared" si="425"/>
        <v>#DIV/0!</v>
      </c>
      <c r="Y199" s="68">
        <v>0</v>
      </c>
      <c r="Z199" s="70">
        <v>0</v>
      </c>
      <c r="AA199" s="35" t="e">
        <f t="shared" si="426"/>
        <v>#DIV/0!</v>
      </c>
      <c r="AB199" s="11" t="e">
        <f t="shared" si="427"/>
        <v>#DIV/0!</v>
      </c>
      <c r="AC199" s="20">
        <v>16470</v>
      </c>
      <c r="AD199" s="33">
        <v>624</v>
      </c>
      <c r="AE199" s="35">
        <f t="shared" si="428"/>
        <v>26.39423076923077</v>
      </c>
      <c r="AF199" s="6">
        <f t="shared" si="429"/>
        <v>0.3195932127887906</v>
      </c>
      <c r="AG199" s="68">
        <v>0</v>
      </c>
      <c r="AH199" s="66">
        <v>0</v>
      </c>
      <c r="AI199" s="35" t="e">
        <f t="shared" si="430"/>
        <v>#DIV/0!</v>
      </c>
      <c r="AJ199" s="6" t="e">
        <f t="shared" si="431"/>
        <v>#DIV/0!</v>
      </c>
      <c r="AK199" s="68">
        <v>0</v>
      </c>
      <c r="AL199" s="66">
        <v>0</v>
      </c>
      <c r="AM199" s="35" t="e">
        <f t="shared" si="432"/>
        <v>#DIV/0!</v>
      </c>
      <c r="AN199" s="6" t="e">
        <f t="shared" si="433"/>
        <v>#DIV/0!</v>
      </c>
      <c r="AO199" s="68">
        <v>1770</v>
      </c>
      <c r="AP199" s="65">
        <v>120</v>
      </c>
      <c r="AQ199" s="35">
        <f t="shared" si="434"/>
        <v>14.75</v>
      </c>
      <c r="AR199" s="6">
        <f t="shared" si="435"/>
        <v>0.17859963148196895</v>
      </c>
      <c r="AS199" s="68">
        <v>0</v>
      </c>
      <c r="AT199" s="66">
        <v>0</v>
      </c>
      <c r="AU199" s="35" t="e">
        <f t="shared" si="436"/>
        <v>#DIV/0!</v>
      </c>
      <c r="AV199" s="6" t="e">
        <f t="shared" si="437"/>
        <v>#DIV/0!</v>
      </c>
      <c r="AW199" s="68">
        <v>0</v>
      </c>
      <c r="AX199" s="66">
        <v>0</v>
      </c>
      <c r="AY199" s="35" t="e">
        <f t="shared" si="438"/>
        <v>#DIV/0!</v>
      </c>
      <c r="AZ199" s="6" t="e">
        <f t="shared" si="439"/>
        <v>#DIV/0!</v>
      </c>
      <c r="BA199" s="68">
        <v>0</v>
      </c>
      <c r="BB199" s="66">
        <v>0</v>
      </c>
      <c r="BC199" s="35" t="e">
        <f t="shared" si="440"/>
        <v>#DIV/0!</v>
      </c>
      <c r="BD199" s="11" t="e">
        <f t="shared" si="441"/>
        <v>#DIV/0!</v>
      </c>
    </row>
    <row r="200" spans="1:56" ht="15.75" thickBot="1" x14ac:dyDescent="0.3">
      <c r="A200" s="19" t="s">
        <v>4</v>
      </c>
      <c r="B200" s="8">
        <v>141730</v>
      </c>
      <c r="C200" s="35">
        <f>B200/F193</f>
        <v>102.70289855072464</v>
      </c>
      <c r="D200" s="8">
        <v>5250</v>
      </c>
      <c r="E200" s="68">
        <v>0</v>
      </c>
      <c r="F200" s="70">
        <v>0</v>
      </c>
      <c r="G200" s="35" t="e">
        <f t="shared" si="416"/>
        <v>#DIV/0!</v>
      </c>
      <c r="H200" s="11" t="e">
        <f t="shared" si="417"/>
        <v>#DIV/0!</v>
      </c>
      <c r="I200" s="35">
        <v>0</v>
      </c>
      <c r="J200" s="70">
        <v>0</v>
      </c>
      <c r="K200" s="35" t="e">
        <f t="shared" si="418"/>
        <v>#DIV/0!</v>
      </c>
      <c r="L200" s="6" t="e">
        <f t="shared" si="419"/>
        <v>#DIV/0!</v>
      </c>
      <c r="M200" s="68">
        <v>23260</v>
      </c>
      <c r="N200" s="26">
        <v>312</v>
      </c>
      <c r="O200" s="35">
        <f t="shared" si="420"/>
        <v>74.551282051282058</v>
      </c>
      <c r="P200" s="11">
        <f t="shared" si="421"/>
        <v>0.72589267784357048</v>
      </c>
      <c r="Q200" s="35">
        <v>0</v>
      </c>
      <c r="R200" s="66">
        <v>0</v>
      </c>
      <c r="S200" s="35" t="e">
        <f t="shared" si="422"/>
        <v>#DIV/0!</v>
      </c>
      <c r="T200" s="6" t="e">
        <f t="shared" si="423"/>
        <v>#DIV/0!</v>
      </c>
      <c r="U200" s="68">
        <v>0</v>
      </c>
      <c r="V200" s="66">
        <v>0</v>
      </c>
      <c r="W200" s="20" t="e">
        <f t="shared" si="424"/>
        <v>#DIV/0!</v>
      </c>
      <c r="X200" s="6" t="e">
        <f t="shared" si="425"/>
        <v>#DIV/0!</v>
      </c>
      <c r="Y200" s="68">
        <v>0</v>
      </c>
      <c r="Z200" s="70">
        <v>0</v>
      </c>
      <c r="AA200" s="35" t="e">
        <f t="shared" si="426"/>
        <v>#DIV/0!</v>
      </c>
      <c r="AB200" s="11" t="e">
        <f t="shared" si="427"/>
        <v>#DIV/0!</v>
      </c>
      <c r="AC200" s="20">
        <v>18740</v>
      </c>
      <c r="AD200" s="33">
        <v>624</v>
      </c>
      <c r="AE200" s="35">
        <f t="shared" si="428"/>
        <v>30.032051282051281</v>
      </c>
      <c r="AF200" s="6">
        <f t="shared" si="429"/>
        <v>0.29241678380886732</v>
      </c>
      <c r="AG200" s="68">
        <v>0</v>
      </c>
      <c r="AH200" s="66">
        <v>0</v>
      </c>
      <c r="AI200" s="35" t="e">
        <f t="shared" si="430"/>
        <v>#DIV/0!</v>
      </c>
      <c r="AJ200" s="6" t="e">
        <f t="shared" si="431"/>
        <v>#DIV/0!</v>
      </c>
      <c r="AK200" s="68">
        <v>0</v>
      </c>
      <c r="AL200" s="66">
        <v>0</v>
      </c>
      <c r="AM200" s="35" t="e">
        <f t="shared" si="432"/>
        <v>#DIV/0!</v>
      </c>
      <c r="AN200" s="6" t="e">
        <f t="shared" si="433"/>
        <v>#DIV/0!</v>
      </c>
      <c r="AO200" s="68">
        <v>2300</v>
      </c>
      <c r="AP200" s="65">
        <v>120</v>
      </c>
      <c r="AQ200" s="35">
        <f t="shared" si="434"/>
        <v>19.166666666666668</v>
      </c>
      <c r="AR200" s="6">
        <f t="shared" si="435"/>
        <v>0.18662245113949058</v>
      </c>
      <c r="AS200" s="68">
        <v>0</v>
      </c>
      <c r="AT200" s="66">
        <v>0</v>
      </c>
      <c r="AU200" s="35" t="e">
        <f t="shared" si="436"/>
        <v>#DIV/0!</v>
      </c>
      <c r="AV200" s="6" t="e">
        <f t="shared" si="437"/>
        <v>#DIV/0!</v>
      </c>
      <c r="AW200" s="68">
        <v>0</v>
      </c>
      <c r="AX200" s="66">
        <v>0</v>
      </c>
      <c r="AY200" s="35" t="e">
        <f t="shared" si="438"/>
        <v>#DIV/0!</v>
      </c>
      <c r="AZ200" s="6" t="e">
        <f t="shared" si="439"/>
        <v>#DIV/0!</v>
      </c>
      <c r="BA200" s="68">
        <v>0</v>
      </c>
      <c r="BB200" s="66">
        <v>0</v>
      </c>
      <c r="BC200" s="35" t="e">
        <f t="shared" si="440"/>
        <v>#DIV/0!</v>
      </c>
      <c r="BD200" s="11" t="e">
        <f t="shared" si="441"/>
        <v>#DIV/0!</v>
      </c>
    </row>
    <row r="201" spans="1:56" ht="15.75" thickBot="1" x14ac:dyDescent="0.3">
      <c r="A201" s="19" t="s">
        <v>5</v>
      </c>
      <c r="B201" s="8">
        <v>187220</v>
      </c>
      <c r="C201" s="35">
        <f>B201/F193</f>
        <v>135.66666666666666</v>
      </c>
      <c r="D201" s="8">
        <v>7050</v>
      </c>
      <c r="E201" s="68">
        <v>0</v>
      </c>
      <c r="F201" s="70">
        <v>0</v>
      </c>
      <c r="G201" s="35" t="e">
        <f t="shared" si="416"/>
        <v>#DIV/0!</v>
      </c>
      <c r="H201" s="11" t="e">
        <f t="shared" si="417"/>
        <v>#DIV/0!</v>
      </c>
      <c r="I201" s="35">
        <v>0</v>
      </c>
      <c r="J201" s="70">
        <v>0</v>
      </c>
      <c r="K201" s="35" t="e">
        <f t="shared" si="418"/>
        <v>#DIV/0!</v>
      </c>
      <c r="L201" s="6" t="e">
        <f t="shared" si="419"/>
        <v>#DIV/0!</v>
      </c>
      <c r="M201" s="68">
        <v>25340</v>
      </c>
      <c r="N201" s="26">
        <v>312</v>
      </c>
      <c r="O201" s="35">
        <f t="shared" si="420"/>
        <v>81.217948717948715</v>
      </c>
      <c r="P201" s="11">
        <f t="shared" si="421"/>
        <v>0.59865809865809871</v>
      </c>
      <c r="Q201" s="35">
        <v>0</v>
      </c>
      <c r="R201" s="66">
        <v>0</v>
      </c>
      <c r="S201" s="35" t="e">
        <f t="shared" si="422"/>
        <v>#DIV/0!</v>
      </c>
      <c r="T201" s="6" t="e">
        <f t="shared" si="423"/>
        <v>#DIV/0!</v>
      </c>
      <c r="U201" s="68">
        <v>0</v>
      </c>
      <c r="V201" s="66">
        <v>0</v>
      </c>
      <c r="W201" s="20" t="e">
        <f t="shared" si="424"/>
        <v>#DIV/0!</v>
      </c>
      <c r="X201" s="6" t="e">
        <f t="shared" si="425"/>
        <v>#DIV/0!</v>
      </c>
      <c r="Y201" s="68">
        <v>0</v>
      </c>
      <c r="Z201" s="70">
        <v>0</v>
      </c>
      <c r="AA201" s="35" t="e">
        <f t="shared" si="426"/>
        <v>#DIV/0!</v>
      </c>
      <c r="AB201" s="11" t="e">
        <f t="shared" si="427"/>
        <v>#DIV/0!</v>
      </c>
      <c r="AC201" s="20">
        <v>20680</v>
      </c>
      <c r="AD201" s="33">
        <v>624</v>
      </c>
      <c r="AE201" s="35">
        <f t="shared" si="428"/>
        <v>33.141025641025642</v>
      </c>
      <c r="AF201" s="6">
        <f t="shared" si="429"/>
        <v>0.2442827442827443</v>
      </c>
      <c r="AG201" s="68">
        <v>0</v>
      </c>
      <c r="AH201" s="66">
        <v>0</v>
      </c>
      <c r="AI201" s="35" t="e">
        <f t="shared" si="430"/>
        <v>#DIV/0!</v>
      </c>
      <c r="AJ201" s="6" t="e">
        <f t="shared" si="431"/>
        <v>#DIV/0!</v>
      </c>
      <c r="AK201" s="68">
        <v>0</v>
      </c>
      <c r="AL201" s="66">
        <v>0</v>
      </c>
      <c r="AM201" s="35" t="e">
        <f t="shared" si="432"/>
        <v>#DIV/0!</v>
      </c>
      <c r="AN201" s="6" t="e">
        <f t="shared" si="433"/>
        <v>#DIV/0!</v>
      </c>
      <c r="AO201" s="68">
        <v>2720</v>
      </c>
      <c r="AP201" s="65">
        <v>120</v>
      </c>
      <c r="AQ201" s="35">
        <f t="shared" si="434"/>
        <v>22.666666666666668</v>
      </c>
      <c r="AR201" s="6">
        <f t="shared" si="435"/>
        <v>0.1670761670761671</v>
      </c>
      <c r="AS201" s="68">
        <v>0</v>
      </c>
      <c r="AT201" s="66">
        <v>0</v>
      </c>
      <c r="AU201" s="35" t="e">
        <f t="shared" si="436"/>
        <v>#DIV/0!</v>
      </c>
      <c r="AV201" s="6" t="e">
        <f t="shared" si="437"/>
        <v>#DIV/0!</v>
      </c>
      <c r="AW201" s="68">
        <v>0</v>
      </c>
      <c r="AX201" s="66">
        <v>0</v>
      </c>
      <c r="AY201" s="35" t="e">
        <f t="shared" si="438"/>
        <v>#DIV/0!</v>
      </c>
      <c r="AZ201" s="6" t="e">
        <f t="shared" si="439"/>
        <v>#DIV/0!</v>
      </c>
      <c r="BA201" s="68">
        <v>0</v>
      </c>
      <c r="BB201" s="66">
        <v>0</v>
      </c>
      <c r="BC201" s="35" t="e">
        <f t="shared" si="440"/>
        <v>#DIV/0!</v>
      </c>
      <c r="BD201" s="11" t="e">
        <f t="shared" si="441"/>
        <v>#DIV/0!</v>
      </c>
    </row>
    <row r="202" spans="1:56" x14ac:dyDescent="0.25">
      <c r="A202" s="19" t="s">
        <v>6</v>
      </c>
      <c r="B202" s="8">
        <v>226090</v>
      </c>
      <c r="C202" s="35">
        <f>B202/F193</f>
        <v>163.83333333333334</v>
      </c>
      <c r="D202" s="8">
        <v>10950</v>
      </c>
      <c r="E202" s="68">
        <v>0</v>
      </c>
      <c r="F202" s="70">
        <v>0</v>
      </c>
      <c r="G202" s="35" t="e">
        <f t="shared" si="416"/>
        <v>#DIV/0!</v>
      </c>
      <c r="H202" s="11" t="e">
        <f t="shared" si="417"/>
        <v>#DIV/0!</v>
      </c>
      <c r="I202" s="35">
        <v>0</v>
      </c>
      <c r="J202" s="70">
        <v>0</v>
      </c>
      <c r="K202" s="35" t="e">
        <f t="shared" si="418"/>
        <v>#DIV/0!</v>
      </c>
      <c r="L202" s="6" t="e">
        <f t="shared" si="419"/>
        <v>#DIV/0!</v>
      </c>
      <c r="M202" s="68">
        <v>30460</v>
      </c>
      <c r="N202" s="26">
        <v>312</v>
      </c>
      <c r="O202" s="35">
        <f t="shared" si="420"/>
        <v>97.628205128205124</v>
      </c>
      <c r="P202" s="11">
        <f t="shared" si="421"/>
        <v>0.59589952265435475</v>
      </c>
      <c r="Q202" s="35">
        <v>0</v>
      </c>
      <c r="R202" s="66">
        <v>0</v>
      </c>
      <c r="S202" s="35" t="e">
        <f t="shared" si="422"/>
        <v>#DIV/0!</v>
      </c>
      <c r="T202" s="6" t="e">
        <f t="shared" si="423"/>
        <v>#DIV/0!</v>
      </c>
      <c r="U202" s="68">
        <v>0</v>
      </c>
      <c r="V202" s="66">
        <v>0</v>
      </c>
      <c r="W202" s="20" t="e">
        <f t="shared" si="424"/>
        <v>#DIV/0!</v>
      </c>
      <c r="X202" s="6" t="e">
        <f t="shared" si="425"/>
        <v>#DIV/0!</v>
      </c>
      <c r="Y202" s="68">
        <v>0</v>
      </c>
      <c r="Z202" s="70">
        <v>0</v>
      </c>
      <c r="AA202" s="35" t="e">
        <f t="shared" si="426"/>
        <v>#DIV/0!</v>
      </c>
      <c r="AB202" s="11" t="e">
        <f t="shared" si="427"/>
        <v>#DIV/0!</v>
      </c>
      <c r="AC202" s="20">
        <v>29750</v>
      </c>
      <c r="AD202" s="33">
        <v>624</v>
      </c>
      <c r="AE202" s="35">
        <f t="shared" si="428"/>
        <v>47.676282051282051</v>
      </c>
      <c r="AF202" s="6">
        <f t="shared" si="429"/>
        <v>0.29100477345645198</v>
      </c>
      <c r="AG202" s="68">
        <v>0</v>
      </c>
      <c r="AH202" s="66">
        <v>0</v>
      </c>
      <c r="AI202" s="35" t="e">
        <f t="shared" si="430"/>
        <v>#DIV/0!</v>
      </c>
      <c r="AJ202" s="6" t="e">
        <f t="shared" si="431"/>
        <v>#DIV/0!</v>
      </c>
      <c r="AK202" s="68">
        <v>0</v>
      </c>
      <c r="AL202" s="66">
        <v>0</v>
      </c>
      <c r="AM202" s="35" t="e">
        <f t="shared" si="432"/>
        <v>#DIV/0!</v>
      </c>
      <c r="AN202" s="6" t="e">
        <f t="shared" si="433"/>
        <v>#DIV/0!</v>
      </c>
      <c r="AO202" s="68">
        <v>2930</v>
      </c>
      <c r="AP202" s="65">
        <v>120</v>
      </c>
      <c r="AQ202" s="35">
        <f t="shared" si="434"/>
        <v>24.416666666666668</v>
      </c>
      <c r="AR202" s="6">
        <f t="shared" si="435"/>
        <v>0.14903357070193285</v>
      </c>
      <c r="AS202" s="68">
        <v>0</v>
      </c>
      <c r="AT202" s="66">
        <v>0</v>
      </c>
      <c r="AU202" s="35" t="e">
        <f t="shared" si="436"/>
        <v>#DIV/0!</v>
      </c>
      <c r="AV202" s="6" t="e">
        <f t="shared" si="437"/>
        <v>#DIV/0!</v>
      </c>
      <c r="AW202" s="68">
        <v>0</v>
      </c>
      <c r="AX202" s="66">
        <v>0</v>
      </c>
      <c r="AY202" s="35" t="e">
        <f t="shared" si="438"/>
        <v>#DIV/0!</v>
      </c>
      <c r="AZ202" s="6" t="e">
        <f t="shared" si="439"/>
        <v>#DIV/0!</v>
      </c>
      <c r="BA202" s="68">
        <v>0</v>
      </c>
      <c r="BB202" s="66">
        <v>0</v>
      </c>
      <c r="BC202" s="35" t="e">
        <f t="shared" si="440"/>
        <v>#DIV/0!</v>
      </c>
      <c r="BD202" s="11" t="e">
        <f t="shared" si="441"/>
        <v>#DIV/0!</v>
      </c>
    </row>
    <row r="203" spans="1:56" ht="15.75" thickBot="1" x14ac:dyDescent="0.3">
      <c r="A203" s="21"/>
      <c r="B203" s="22"/>
      <c r="C203" s="23">
        <f>AVERAGE(Table11012[MA $/Sq Ft])</f>
        <v>94.450310559006212</v>
      </c>
      <c r="D203" s="22">
        <f>AVERAGE(Table11012[Basic Allowance])</f>
        <v>4442.8571428571431</v>
      </c>
      <c r="E203" s="16"/>
      <c r="F203" s="22"/>
      <c r="G203" s="15"/>
      <c r="H203" s="24" t="e">
        <f>AVERAGE(Table11012[Bsmt % Base])</f>
        <v>#DIV/0!</v>
      </c>
      <c r="I203" s="15"/>
      <c r="J203" s="15"/>
      <c r="K203" s="15"/>
      <c r="L203" s="25" t="e">
        <f>AVERAGE(Table11012[[#Headers],[#Data],[UnfBsmt % Base]])</f>
        <v>#DIV/0!</v>
      </c>
      <c r="M203" s="44"/>
      <c r="N203" s="15"/>
      <c r="O203" s="23">
        <f>AVERAGE(Table11012[LowerVal/SqFt])</f>
        <v>63.653846153846153</v>
      </c>
      <c r="P203" s="24">
        <f>AVERAGE(Table11012[Lower % Base])</f>
        <v>0.70104530110937724</v>
      </c>
      <c r="Q203" s="13"/>
      <c r="R203" s="13"/>
      <c r="S203" s="13"/>
      <c r="T203" s="25" t="e">
        <f>AVERAGE(Table11012[Unf Lower % Base])</f>
        <v>#DIV/0!</v>
      </c>
      <c r="U203" s="12"/>
      <c r="V203" s="13"/>
      <c r="W203" s="13"/>
      <c r="X203" s="25" t="e">
        <f>AVERAGE(Table11012[1/2 Story % Base])</f>
        <v>#DIV/0!</v>
      </c>
      <c r="Y203" s="12"/>
      <c r="Z203" s="13"/>
      <c r="AA203" s="13"/>
      <c r="AB203" s="24" t="e">
        <f>AVERAGE(Table11012[2nd Story % Base])</f>
        <v>#DIV/0!</v>
      </c>
      <c r="AC203" s="13"/>
      <c r="AD203" s="13"/>
      <c r="AE203" s="23">
        <f>AVERAGE(Table11012[AttGarVal/SqFt])</f>
        <v>27.992216117216117</v>
      </c>
      <c r="AF203" s="25">
        <f>AVERAGE(Table11012[Att Gar % Base])</f>
        <v>0.3049579790631074</v>
      </c>
      <c r="AG203" s="12"/>
      <c r="AH203" s="13"/>
      <c r="AI203" s="13"/>
      <c r="AJ203" s="25" t="e">
        <f>AVERAGE(Table11012[Porch % Base])</f>
        <v>#DIV/0!</v>
      </c>
      <c r="AK203" s="12"/>
      <c r="AL203" s="13"/>
      <c r="AM203" s="13"/>
      <c r="AN203" s="25" t="e">
        <f>AVERAGE(Table11012[Cov Porch % Base])</f>
        <v>#DIV/0!</v>
      </c>
      <c r="AO203" s="12"/>
      <c r="AP203" s="13"/>
      <c r="AQ203" s="13"/>
      <c r="AR203" s="25">
        <f>AVERAGE(Table11012[Deck % Base])</f>
        <v>0.18755347502724559</v>
      </c>
      <c r="AS203" s="12"/>
      <c r="AT203" s="13"/>
      <c r="AU203" s="23" t="e">
        <f>AVERAGE(Table11012[CovDeckVal/SqFt])</f>
        <v>#DIV/0!</v>
      </c>
      <c r="AV203" s="25" t="e">
        <f>AVERAGE(Table11012[CovDeck % Base])</f>
        <v>#DIV/0!</v>
      </c>
      <c r="AW203" s="12"/>
      <c r="AX203" s="13"/>
      <c r="AY203" s="13"/>
      <c r="AZ203" s="25" t="e">
        <f>AVERAGE(Table11012[CarP % Base])</f>
        <v>#DIV/0!</v>
      </c>
      <c r="BA203" s="12"/>
      <c r="BB203" s="13"/>
      <c r="BC203" s="13"/>
      <c r="BD203" s="24" t="e">
        <f>AVERAGE(Table11012[EFP % Base])</f>
        <v>#DIV/0!</v>
      </c>
    </row>
    <row r="205" spans="1:56" ht="15.75" thickBot="1" x14ac:dyDescent="0.3">
      <c r="A205" s="82"/>
      <c r="B205" t="s">
        <v>79</v>
      </c>
      <c r="C205" s="78" t="s">
        <v>102</v>
      </c>
      <c r="E205" t="s">
        <v>33</v>
      </c>
      <c r="F205" s="79">
        <v>1999</v>
      </c>
      <c r="H205" t="s">
        <v>80</v>
      </c>
      <c r="I205" t="s">
        <v>105</v>
      </c>
    </row>
    <row r="206" spans="1:56" x14ac:dyDescent="0.25">
      <c r="A206" s="112"/>
      <c r="B206" s="113"/>
      <c r="C206" s="113"/>
      <c r="D206" s="114"/>
      <c r="E206" s="115" t="s">
        <v>27</v>
      </c>
      <c r="F206" s="116"/>
      <c r="G206" s="116"/>
      <c r="H206" s="117"/>
      <c r="I206" s="118" t="s">
        <v>28</v>
      </c>
      <c r="J206" s="119"/>
      <c r="K206" s="119"/>
      <c r="L206" s="120"/>
      <c r="M206" s="121" t="s">
        <v>7</v>
      </c>
      <c r="N206" s="122"/>
      <c r="O206" s="122"/>
      <c r="P206" s="123"/>
      <c r="Q206" s="124" t="s">
        <v>29</v>
      </c>
      <c r="R206" s="125"/>
      <c r="S206" s="125"/>
      <c r="T206" s="126"/>
      <c r="U206" s="127" t="s">
        <v>8</v>
      </c>
      <c r="V206" s="128"/>
      <c r="W206" s="128"/>
      <c r="X206" s="129"/>
      <c r="Y206" s="130" t="s">
        <v>0</v>
      </c>
      <c r="Z206" s="131"/>
      <c r="AA206" s="131"/>
      <c r="AB206" s="132"/>
      <c r="AC206" s="133" t="s">
        <v>34</v>
      </c>
      <c r="AD206" s="134"/>
      <c r="AE206" s="134"/>
      <c r="AF206" s="135"/>
      <c r="AG206" s="115" t="s">
        <v>9</v>
      </c>
      <c r="AH206" s="116"/>
      <c r="AI206" s="116"/>
      <c r="AJ206" s="117"/>
      <c r="AK206" s="136" t="s">
        <v>35</v>
      </c>
      <c r="AL206" s="137"/>
      <c r="AM206" s="137"/>
      <c r="AN206" s="138"/>
      <c r="AO206" s="139" t="s">
        <v>10</v>
      </c>
      <c r="AP206" s="140"/>
      <c r="AQ206" s="140"/>
      <c r="AR206" s="141"/>
      <c r="AS206" s="124" t="s">
        <v>36</v>
      </c>
      <c r="AT206" s="125"/>
      <c r="AU206" s="125"/>
      <c r="AV206" s="126"/>
      <c r="AW206" s="142" t="s">
        <v>11</v>
      </c>
      <c r="AX206" s="143"/>
      <c r="AY206" s="143"/>
      <c r="AZ206" s="144"/>
      <c r="BA206" s="148" t="s">
        <v>17</v>
      </c>
      <c r="BB206" s="149"/>
      <c r="BC206" s="149"/>
      <c r="BD206" s="150"/>
    </row>
    <row r="207" spans="1:56" s="1" customFormat="1" ht="15.75" thickBot="1" x14ac:dyDescent="0.3">
      <c r="A207" s="41" t="s">
        <v>13</v>
      </c>
      <c r="B207" s="42" t="s">
        <v>15</v>
      </c>
      <c r="C207" s="42" t="s">
        <v>32</v>
      </c>
      <c r="D207" s="43" t="s">
        <v>18</v>
      </c>
      <c r="E207" s="30" t="s">
        <v>30</v>
      </c>
      <c r="F207" s="31" t="s">
        <v>61</v>
      </c>
      <c r="G207" s="31" t="s">
        <v>38</v>
      </c>
      <c r="H207" s="32" t="s">
        <v>62</v>
      </c>
      <c r="I207" s="37" t="s">
        <v>31</v>
      </c>
      <c r="J207" s="38" t="s">
        <v>39</v>
      </c>
      <c r="K207" s="38" t="s">
        <v>40</v>
      </c>
      <c r="L207" s="39" t="s">
        <v>63</v>
      </c>
      <c r="M207" s="40" t="s">
        <v>19</v>
      </c>
      <c r="N207" s="7" t="s">
        <v>41</v>
      </c>
      <c r="O207" s="7" t="s">
        <v>37</v>
      </c>
      <c r="P207" s="7" t="s">
        <v>64</v>
      </c>
      <c r="Q207" s="27" t="s">
        <v>20</v>
      </c>
      <c r="R207" s="28" t="s">
        <v>60</v>
      </c>
      <c r="S207" s="28" t="s">
        <v>59</v>
      </c>
      <c r="T207" s="29" t="s">
        <v>65</v>
      </c>
      <c r="U207" s="48" t="s">
        <v>21</v>
      </c>
      <c r="V207" s="48" t="s">
        <v>42</v>
      </c>
      <c r="W207" s="48" t="s">
        <v>43</v>
      </c>
      <c r="X207" s="49" t="s">
        <v>66</v>
      </c>
      <c r="Y207" s="50" t="s">
        <v>22</v>
      </c>
      <c r="Z207" s="51" t="s">
        <v>44</v>
      </c>
      <c r="AA207" s="51" t="s">
        <v>45</v>
      </c>
      <c r="AB207" s="52" t="s">
        <v>67</v>
      </c>
      <c r="AC207" s="45" t="s">
        <v>23</v>
      </c>
      <c r="AD207" s="46" t="s">
        <v>46</v>
      </c>
      <c r="AE207" s="46" t="s">
        <v>47</v>
      </c>
      <c r="AF207" s="47" t="s">
        <v>68</v>
      </c>
      <c r="AG207" s="30" t="s">
        <v>24</v>
      </c>
      <c r="AH207" s="31" t="s">
        <v>48</v>
      </c>
      <c r="AI207" s="31" t="s">
        <v>49</v>
      </c>
      <c r="AJ207" s="32" t="s">
        <v>69</v>
      </c>
      <c r="AK207" s="53" t="s">
        <v>25</v>
      </c>
      <c r="AL207" s="54" t="s">
        <v>50</v>
      </c>
      <c r="AM207" s="54" t="s">
        <v>51</v>
      </c>
      <c r="AN207" s="55" t="s">
        <v>70</v>
      </c>
      <c r="AO207" s="56" t="s">
        <v>26</v>
      </c>
      <c r="AP207" s="57" t="s">
        <v>52</v>
      </c>
      <c r="AQ207" s="57" t="s">
        <v>53</v>
      </c>
      <c r="AR207" s="58" t="s">
        <v>71</v>
      </c>
      <c r="AS207" s="59" t="s">
        <v>55</v>
      </c>
      <c r="AT207" s="60" t="s">
        <v>54</v>
      </c>
      <c r="AU207" s="60" t="s">
        <v>56</v>
      </c>
      <c r="AV207" s="61" t="s">
        <v>76</v>
      </c>
      <c r="AW207" s="62" t="s">
        <v>72</v>
      </c>
      <c r="AX207" s="63" t="s">
        <v>73</v>
      </c>
      <c r="AY207" s="63" t="s">
        <v>74</v>
      </c>
      <c r="AZ207" s="64" t="s">
        <v>75</v>
      </c>
      <c r="BA207" s="71" t="s">
        <v>77</v>
      </c>
      <c r="BB207" s="72" t="s">
        <v>57</v>
      </c>
      <c r="BC207" s="72" t="s">
        <v>58</v>
      </c>
      <c r="BD207" s="73" t="s">
        <v>78</v>
      </c>
    </row>
    <row r="208" spans="1:56" ht="15.75" thickBot="1" x14ac:dyDescent="0.3">
      <c r="A208" s="17" t="s">
        <v>1</v>
      </c>
      <c r="B208" s="14">
        <v>93950</v>
      </c>
      <c r="C208" s="34">
        <f>B208/F205</f>
        <v>46.998499249624814</v>
      </c>
      <c r="D208" s="14">
        <v>1525</v>
      </c>
      <c r="E208" s="67">
        <v>0</v>
      </c>
      <c r="F208" s="69">
        <v>0</v>
      </c>
      <c r="G208" s="34" t="e">
        <f t="shared" ref="G208:G214" si="442">E208/F208</f>
        <v>#DIV/0!</v>
      </c>
      <c r="H208" s="10" t="e">
        <f t="shared" ref="H208:H214" si="443">G208/C208</f>
        <v>#DIV/0!</v>
      </c>
      <c r="I208" s="34">
        <v>0</v>
      </c>
      <c r="J208" s="69">
        <v>0</v>
      </c>
      <c r="K208" s="34" t="e">
        <f t="shared" ref="K208:K214" si="444">I208/J208</f>
        <v>#DIV/0!</v>
      </c>
      <c r="L208" s="9" t="e">
        <f t="shared" ref="L208:L214" si="445">K208/C208</f>
        <v>#DIV/0!</v>
      </c>
      <c r="M208" s="67">
        <v>0</v>
      </c>
      <c r="N208" s="26">
        <v>0</v>
      </c>
      <c r="O208" s="34" t="e">
        <f t="shared" ref="O208:O214" si="446">M208/N208</f>
        <v>#DIV/0!</v>
      </c>
      <c r="P208" s="10" t="e">
        <f t="shared" ref="P208:P214" si="447">O208/C208</f>
        <v>#DIV/0!</v>
      </c>
      <c r="Q208" s="35">
        <v>0</v>
      </c>
      <c r="R208" s="66">
        <v>0</v>
      </c>
      <c r="S208" s="35" t="e">
        <f t="shared" ref="S208:S214" si="448">Q208/R208</f>
        <v>#DIV/0!</v>
      </c>
      <c r="T208" s="6" t="e">
        <f t="shared" ref="T208:T214" si="449">S208/C208</f>
        <v>#DIV/0!</v>
      </c>
      <c r="U208" s="67">
        <v>0</v>
      </c>
      <c r="V208" s="65">
        <v>0</v>
      </c>
      <c r="W208" s="18" t="e">
        <f t="shared" ref="W208:W214" si="450">U208/V208</f>
        <v>#DIV/0!</v>
      </c>
      <c r="X208" s="9" t="e">
        <f t="shared" ref="X208:X214" si="451">W208/C208</f>
        <v>#DIV/0!</v>
      </c>
      <c r="Y208" s="67">
        <v>0</v>
      </c>
      <c r="Z208" s="69">
        <v>0</v>
      </c>
      <c r="AA208" s="34" t="e">
        <f t="shared" ref="AA208:AA214" si="452">Y208/Z208</f>
        <v>#DIV/0!</v>
      </c>
      <c r="AB208" s="10" t="e">
        <f t="shared" ref="AB208:AB214" si="453">AA208/C208</f>
        <v>#DIV/0!</v>
      </c>
      <c r="AC208" s="18">
        <v>10940</v>
      </c>
      <c r="AD208" s="33">
        <v>783</v>
      </c>
      <c r="AE208" s="34">
        <f t="shared" ref="AE208:AE214" si="454">AC208/AD208</f>
        <v>13.971902937420179</v>
      </c>
      <c r="AF208" s="9">
        <f t="shared" ref="AF208:AF214" si="455">AE208/C208</f>
        <v>0.29728402311764701</v>
      </c>
      <c r="AG208" s="67">
        <v>0</v>
      </c>
      <c r="AH208" s="65">
        <v>0</v>
      </c>
      <c r="AI208" s="34" t="e">
        <f t="shared" ref="AI208:AI214" si="456">AG208/AH208</f>
        <v>#DIV/0!</v>
      </c>
      <c r="AJ208" s="9" t="e">
        <f t="shared" ref="AJ208:AJ214" si="457">AI208/C208</f>
        <v>#DIV/0!</v>
      </c>
      <c r="AK208" s="67">
        <v>2330</v>
      </c>
      <c r="AL208" s="65">
        <v>276</v>
      </c>
      <c r="AM208" s="34">
        <f t="shared" ref="AM208:AM214" si="458">AK208/AL208</f>
        <v>8.4420289855072461</v>
      </c>
      <c r="AN208" s="9">
        <f t="shared" ref="AN208:AN214" si="459">AM208/C208</f>
        <v>0.17962337351813715</v>
      </c>
      <c r="AO208" s="67">
        <v>0</v>
      </c>
      <c r="AP208" s="65">
        <v>0</v>
      </c>
      <c r="AQ208" s="34" t="e">
        <f t="shared" ref="AQ208:AQ214" si="460">AO208/AP208</f>
        <v>#DIV/0!</v>
      </c>
      <c r="AR208" s="9" t="e">
        <f t="shared" ref="AR208:AR214" si="461">AQ208/C208</f>
        <v>#DIV/0!</v>
      </c>
      <c r="AS208" s="67">
        <v>0</v>
      </c>
      <c r="AT208" s="65">
        <v>0</v>
      </c>
      <c r="AU208" s="34" t="e">
        <f t="shared" ref="AU208:AU214" si="462">AS208/AT208</f>
        <v>#DIV/0!</v>
      </c>
      <c r="AV208" s="9" t="e">
        <f t="shared" ref="AV208:AV214" si="463">AU208/C208</f>
        <v>#DIV/0!</v>
      </c>
      <c r="AW208" s="67">
        <v>0</v>
      </c>
      <c r="AX208" s="65">
        <v>0</v>
      </c>
      <c r="AY208" s="34" t="e">
        <f t="shared" ref="AY208:AY214" si="464">AW208/AX208</f>
        <v>#DIV/0!</v>
      </c>
      <c r="AZ208" s="9" t="e">
        <f t="shared" ref="AZ208:AZ214" si="465">AY208/C208</f>
        <v>#DIV/0!</v>
      </c>
      <c r="BA208" s="67">
        <v>0</v>
      </c>
      <c r="BB208" s="65">
        <v>0</v>
      </c>
      <c r="BC208" s="34" t="e">
        <f t="shared" ref="BC208:BC214" si="466">BA208/BB208</f>
        <v>#DIV/0!</v>
      </c>
      <c r="BD208" s="10" t="e">
        <f t="shared" ref="BD208:BD214" si="467">BC208/C208</f>
        <v>#DIV/0!</v>
      </c>
    </row>
    <row r="209" spans="1:56" ht="15.75" thickBot="1" x14ac:dyDescent="0.3">
      <c r="A209" s="19" t="s">
        <v>16</v>
      </c>
      <c r="B209" s="8">
        <v>110480</v>
      </c>
      <c r="C209" s="35">
        <f>B209/F205</f>
        <v>55.267633816908457</v>
      </c>
      <c r="D209" s="8">
        <v>1525</v>
      </c>
      <c r="E209" s="68">
        <v>0</v>
      </c>
      <c r="F209" s="70">
        <v>0</v>
      </c>
      <c r="G209" s="35" t="e">
        <f t="shared" si="442"/>
        <v>#DIV/0!</v>
      </c>
      <c r="H209" s="11" t="e">
        <f t="shared" si="443"/>
        <v>#DIV/0!</v>
      </c>
      <c r="I209" s="35">
        <v>0</v>
      </c>
      <c r="J209" s="70">
        <v>0</v>
      </c>
      <c r="K209" s="35" t="e">
        <f t="shared" si="444"/>
        <v>#DIV/0!</v>
      </c>
      <c r="L209" s="6" t="e">
        <f t="shared" si="445"/>
        <v>#DIV/0!</v>
      </c>
      <c r="M209" s="68">
        <v>0</v>
      </c>
      <c r="N209" s="5">
        <v>0</v>
      </c>
      <c r="O209" s="35" t="e">
        <f t="shared" si="446"/>
        <v>#DIV/0!</v>
      </c>
      <c r="P209" s="11" t="e">
        <f t="shared" si="447"/>
        <v>#DIV/0!</v>
      </c>
      <c r="Q209" s="35">
        <v>0</v>
      </c>
      <c r="R209" s="66">
        <v>0</v>
      </c>
      <c r="S209" s="35" t="e">
        <f t="shared" si="448"/>
        <v>#DIV/0!</v>
      </c>
      <c r="T209" s="6" t="e">
        <f t="shared" si="449"/>
        <v>#DIV/0!</v>
      </c>
      <c r="U209" s="68">
        <v>0</v>
      </c>
      <c r="V209" s="66">
        <v>0</v>
      </c>
      <c r="W209" s="20" t="e">
        <f t="shared" si="450"/>
        <v>#DIV/0!</v>
      </c>
      <c r="X209" s="6" t="e">
        <f t="shared" si="451"/>
        <v>#DIV/0!</v>
      </c>
      <c r="Y209" s="68">
        <v>0</v>
      </c>
      <c r="Z209" s="70">
        <v>0</v>
      </c>
      <c r="AA209" s="35" t="e">
        <f t="shared" si="452"/>
        <v>#DIV/0!</v>
      </c>
      <c r="AB209" s="11" t="e">
        <f t="shared" si="453"/>
        <v>#DIV/0!</v>
      </c>
      <c r="AC209" s="20">
        <v>14080</v>
      </c>
      <c r="AD209" s="33">
        <v>783</v>
      </c>
      <c r="AE209" s="35">
        <f t="shared" si="454"/>
        <v>17.98212005108557</v>
      </c>
      <c r="AF209" s="6">
        <f t="shared" si="455"/>
        <v>0.32536439158327346</v>
      </c>
      <c r="AG209" s="68">
        <v>0</v>
      </c>
      <c r="AH209" s="66">
        <v>0</v>
      </c>
      <c r="AI209" s="35" t="e">
        <f t="shared" si="456"/>
        <v>#DIV/0!</v>
      </c>
      <c r="AJ209" s="6" t="e">
        <f t="shared" si="457"/>
        <v>#DIV/0!</v>
      </c>
      <c r="AK209" s="68">
        <v>3210</v>
      </c>
      <c r="AL209" s="65">
        <v>276</v>
      </c>
      <c r="AM209" s="35">
        <f t="shared" si="458"/>
        <v>11.630434782608695</v>
      </c>
      <c r="AN209" s="6">
        <f t="shared" si="459"/>
        <v>0.21043844252746904</v>
      </c>
      <c r="AO209" s="68">
        <v>0</v>
      </c>
      <c r="AP209" s="66">
        <v>0</v>
      </c>
      <c r="AQ209" s="35" t="e">
        <f t="shared" si="460"/>
        <v>#DIV/0!</v>
      </c>
      <c r="AR209" s="6" t="e">
        <f t="shared" si="461"/>
        <v>#DIV/0!</v>
      </c>
      <c r="AS209" s="68">
        <v>0</v>
      </c>
      <c r="AT209" s="66">
        <v>0</v>
      </c>
      <c r="AU209" s="35" t="e">
        <f t="shared" si="462"/>
        <v>#DIV/0!</v>
      </c>
      <c r="AV209" s="6" t="e">
        <f t="shared" si="463"/>
        <v>#DIV/0!</v>
      </c>
      <c r="AW209" s="68">
        <v>0</v>
      </c>
      <c r="AX209" s="66">
        <v>0</v>
      </c>
      <c r="AY209" s="35" t="e">
        <f t="shared" si="464"/>
        <v>#DIV/0!</v>
      </c>
      <c r="AZ209" s="6" t="e">
        <f t="shared" si="465"/>
        <v>#DIV/0!</v>
      </c>
      <c r="BA209" s="68">
        <v>0</v>
      </c>
      <c r="BB209" s="66">
        <v>0</v>
      </c>
      <c r="BC209" s="35" t="e">
        <f t="shared" si="466"/>
        <v>#DIV/0!</v>
      </c>
      <c r="BD209" s="11" t="e">
        <f t="shared" si="467"/>
        <v>#DIV/0!</v>
      </c>
    </row>
    <row r="210" spans="1:56" ht="15.75" thickBot="1" x14ac:dyDescent="0.3">
      <c r="A210" s="19" t="s">
        <v>2</v>
      </c>
      <c r="B210" s="8">
        <v>128730</v>
      </c>
      <c r="C210" s="35">
        <f>B210/F205</f>
        <v>64.397198599299657</v>
      </c>
      <c r="D210" s="8">
        <v>2100</v>
      </c>
      <c r="E210" s="68">
        <v>0</v>
      </c>
      <c r="F210" s="70">
        <v>0</v>
      </c>
      <c r="G210" s="35" t="e">
        <f t="shared" si="442"/>
        <v>#DIV/0!</v>
      </c>
      <c r="H210" s="11" t="e">
        <f t="shared" si="443"/>
        <v>#DIV/0!</v>
      </c>
      <c r="I210" s="35">
        <v>0</v>
      </c>
      <c r="J210" s="70">
        <v>0</v>
      </c>
      <c r="K210" s="35" t="e">
        <f t="shared" si="444"/>
        <v>#DIV/0!</v>
      </c>
      <c r="L210" s="6" t="e">
        <f t="shared" si="445"/>
        <v>#DIV/0!</v>
      </c>
      <c r="M210" s="68">
        <v>0</v>
      </c>
      <c r="N210" s="5">
        <v>0</v>
      </c>
      <c r="O210" s="35" t="e">
        <f t="shared" si="446"/>
        <v>#DIV/0!</v>
      </c>
      <c r="P210" s="11" t="e">
        <f t="shared" si="447"/>
        <v>#DIV/0!</v>
      </c>
      <c r="Q210" s="35">
        <v>0</v>
      </c>
      <c r="R210" s="66">
        <v>0</v>
      </c>
      <c r="S210" s="35" t="e">
        <f t="shared" si="448"/>
        <v>#DIV/0!</v>
      </c>
      <c r="T210" s="6" t="e">
        <f t="shared" si="449"/>
        <v>#DIV/0!</v>
      </c>
      <c r="U210" s="68">
        <v>0</v>
      </c>
      <c r="V210" s="66">
        <v>0</v>
      </c>
      <c r="W210" s="20" t="e">
        <f t="shared" si="450"/>
        <v>#DIV/0!</v>
      </c>
      <c r="X210" s="6" t="e">
        <f t="shared" si="451"/>
        <v>#DIV/0!</v>
      </c>
      <c r="Y210" s="68">
        <v>0</v>
      </c>
      <c r="Z210" s="70">
        <v>0</v>
      </c>
      <c r="AA210" s="35" t="e">
        <f t="shared" si="452"/>
        <v>#DIV/0!</v>
      </c>
      <c r="AB210" s="11" t="e">
        <f t="shared" si="453"/>
        <v>#DIV/0!</v>
      </c>
      <c r="AC210" s="20">
        <v>18450</v>
      </c>
      <c r="AD210" s="33">
        <v>783</v>
      </c>
      <c r="AE210" s="35">
        <f t="shared" si="454"/>
        <v>23.563218390804597</v>
      </c>
      <c r="AF210" s="6">
        <f t="shared" si="455"/>
        <v>0.36590440117469419</v>
      </c>
      <c r="AG210" s="68">
        <v>0</v>
      </c>
      <c r="AH210" s="66">
        <v>0</v>
      </c>
      <c r="AI210" s="35" t="e">
        <f t="shared" si="456"/>
        <v>#DIV/0!</v>
      </c>
      <c r="AJ210" s="6" t="e">
        <f t="shared" si="457"/>
        <v>#DIV/0!</v>
      </c>
      <c r="AK210" s="68">
        <v>3760</v>
      </c>
      <c r="AL210" s="65">
        <v>276</v>
      </c>
      <c r="AM210" s="35">
        <f t="shared" si="458"/>
        <v>13.623188405797102</v>
      </c>
      <c r="AN210" s="6">
        <f t="shared" si="459"/>
        <v>0.21154939503758566</v>
      </c>
      <c r="AO210" s="68">
        <v>0</v>
      </c>
      <c r="AP210" s="66">
        <v>0</v>
      </c>
      <c r="AQ210" s="35" t="e">
        <f t="shared" si="460"/>
        <v>#DIV/0!</v>
      </c>
      <c r="AR210" s="6" t="e">
        <f t="shared" si="461"/>
        <v>#DIV/0!</v>
      </c>
      <c r="AS210" s="68">
        <v>0</v>
      </c>
      <c r="AT210" s="66">
        <v>0</v>
      </c>
      <c r="AU210" s="35" t="e">
        <f t="shared" si="462"/>
        <v>#DIV/0!</v>
      </c>
      <c r="AV210" s="6" t="e">
        <f t="shared" si="463"/>
        <v>#DIV/0!</v>
      </c>
      <c r="AW210" s="68">
        <v>0</v>
      </c>
      <c r="AX210" s="66">
        <v>0</v>
      </c>
      <c r="AY210" s="35" t="e">
        <f t="shared" si="464"/>
        <v>#DIV/0!</v>
      </c>
      <c r="AZ210" s="6" t="e">
        <f t="shared" si="465"/>
        <v>#DIV/0!</v>
      </c>
      <c r="BA210" s="68">
        <v>0</v>
      </c>
      <c r="BB210" s="66">
        <v>0</v>
      </c>
      <c r="BC210" s="35" t="e">
        <f t="shared" si="466"/>
        <v>#DIV/0!</v>
      </c>
      <c r="BD210" s="11" t="e">
        <f t="shared" si="467"/>
        <v>#DIV/0!</v>
      </c>
    </row>
    <row r="211" spans="1:56" ht="15.75" thickBot="1" x14ac:dyDescent="0.3">
      <c r="A211" s="19" t="s">
        <v>3</v>
      </c>
      <c r="B211" s="8">
        <v>157890</v>
      </c>
      <c r="C211" s="35">
        <f>B211/F205</f>
        <v>78.984492246123068</v>
      </c>
      <c r="D211" s="8">
        <v>2700</v>
      </c>
      <c r="E211" s="68">
        <v>0</v>
      </c>
      <c r="F211" s="70">
        <v>0</v>
      </c>
      <c r="G211" s="35" t="e">
        <f t="shared" si="442"/>
        <v>#DIV/0!</v>
      </c>
      <c r="H211" s="11" t="e">
        <f t="shared" si="443"/>
        <v>#DIV/0!</v>
      </c>
      <c r="I211" s="35">
        <v>0</v>
      </c>
      <c r="J211" s="70">
        <v>0</v>
      </c>
      <c r="K211" s="35" t="e">
        <f t="shared" si="444"/>
        <v>#DIV/0!</v>
      </c>
      <c r="L211" s="6" t="e">
        <f t="shared" si="445"/>
        <v>#DIV/0!</v>
      </c>
      <c r="M211" s="68">
        <v>0</v>
      </c>
      <c r="N211" s="5">
        <v>0</v>
      </c>
      <c r="O211" s="35" t="e">
        <f t="shared" si="446"/>
        <v>#DIV/0!</v>
      </c>
      <c r="P211" s="11" t="e">
        <f t="shared" si="447"/>
        <v>#DIV/0!</v>
      </c>
      <c r="Q211" s="35">
        <v>0</v>
      </c>
      <c r="R211" s="66">
        <v>0</v>
      </c>
      <c r="S211" s="35" t="e">
        <f t="shared" si="448"/>
        <v>#DIV/0!</v>
      </c>
      <c r="T211" s="6" t="e">
        <f t="shared" si="449"/>
        <v>#DIV/0!</v>
      </c>
      <c r="U211" s="68">
        <v>0</v>
      </c>
      <c r="V211" s="66">
        <v>0</v>
      </c>
      <c r="W211" s="20" t="e">
        <f t="shared" si="450"/>
        <v>#DIV/0!</v>
      </c>
      <c r="X211" s="6" t="e">
        <f t="shared" si="451"/>
        <v>#DIV/0!</v>
      </c>
      <c r="Y211" s="68">
        <v>0</v>
      </c>
      <c r="Z211" s="70">
        <v>0</v>
      </c>
      <c r="AA211" s="35" t="e">
        <f t="shared" si="452"/>
        <v>#DIV/0!</v>
      </c>
      <c r="AB211" s="11" t="e">
        <f t="shared" si="453"/>
        <v>#DIV/0!</v>
      </c>
      <c r="AC211" s="20">
        <v>19640</v>
      </c>
      <c r="AD211" s="33">
        <v>783</v>
      </c>
      <c r="AE211" s="35">
        <f t="shared" si="454"/>
        <v>25.08301404853129</v>
      </c>
      <c r="AF211" s="6">
        <f t="shared" si="455"/>
        <v>0.31756884592446666</v>
      </c>
      <c r="AG211" s="68">
        <v>0</v>
      </c>
      <c r="AH211" s="66">
        <v>0</v>
      </c>
      <c r="AI211" s="35" t="e">
        <f t="shared" si="456"/>
        <v>#DIV/0!</v>
      </c>
      <c r="AJ211" s="6" t="e">
        <f t="shared" si="457"/>
        <v>#DIV/0!</v>
      </c>
      <c r="AK211" s="68">
        <v>4910</v>
      </c>
      <c r="AL211" s="65">
        <v>276</v>
      </c>
      <c r="AM211" s="35">
        <f t="shared" si="458"/>
        <v>17.789855072463769</v>
      </c>
      <c r="AN211" s="6">
        <f t="shared" si="459"/>
        <v>0.22523225213664622</v>
      </c>
      <c r="AO211" s="68">
        <v>0</v>
      </c>
      <c r="AP211" s="66">
        <v>0</v>
      </c>
      <c r="AQ211" s="35" t="e">
        <f t="shared" si="460"/>
        <v>#DIV/0!</v>
      </c>
      <c r="AR211" s="6" t="e">
        <f t="shared" si="461"/>
        <v>#DIV/0!</v>
      </c>
      <c r="AS211" s="68">
        <v>0</v>
      </c>
      <c r="AT211" s="66">
        <v>0</v>
      </c>
      <c r="AU211" s="35" t="e">
        <f t="shared" si="462"/>
        <v>#DIV/0!</v>
      </c>
      <c r="AV211" s="6" t="e">
        <f t="shared" si="463"/>
        <v>#DIV/0!</v>
      </c>
      <c r="AW211" s="68">
        <v>0</v>
      </c>
      <c r="AX211" s="66">
        <v>0</v>
      </c>
      <c r="AY211" s="35" t="e">
        <f t="shared" si="464"/>
        <v>#DIV/0!</v>
      </c>
      <c r="AZ211" s="6" t="e">
        <f t="shared" si="465"/>
        <v>#DIV/0!</v>
      </c>
      <c r="BA211" s="68">
        <v>0</v>
      </c>
      <c r="BB211" s="66">
        <v>0</v>
      </c>
      <c r="BC211" s="35" t="e">
        <f t="shared" si="466"/>
        <v>#DIV/0!</v>
      </c>
      <c r="BD211" s="11" t="e">
        <f t="shared" si="467"/>
        <v>#DIV/0!</v>
      </c>
    </row>
    <row r="212" spans="1:56" ht="15.75" thickBot="1" x14ac:dyDescent="0.3">
      <c r="A212" s="19" t="s">
        <v>4</v>
      </c>
      <c r="B212" s="8">
        <v>195110</v>
      </c>
      <c r="C212" s="35">
        <f>B212/F205</f>
        <v>97.603801900950472</v>
      </c>
      <c r="D212" s="8">
        <v>5250</v>
      </c>
      <c r="E212" s="68">
        <v>0</v>
      </c>
      <c r="F212" s="70">
        <v>0</v>
      </c>
      <c r="G212" s="35" t="e">
        <f t="shared" si="442"/>
        <v>#DIV/0!</v>
      </c>
      <c r="H212" s="11" t="e">
        <f t="shared" si="443"/>
        <v>#DIV/0!</v>
      </c>
      <c r="I212" s="35">
        <v>0</v>
      </c>
      <c r="J212" s="70">
        <v>0</v>
      </c>
      <c r="K212" s="35" t="e">
        <f t="shared" si="444"/>
        <v>#DIV/0!</v>
      </c>
      <c r="L212" s="6" t="e">
        <f t="shared" si="445"/>
        <v>#DIV/0!</v>
      </c>
      <c r="M212" s="68">
        <v>0</v>
      </c>
      <c r="N212" s="5">
        <v>0</v>
      </c>
      <c r="O212" s="35" t="e">
        <f t="shared" si="446"/>
        <v>#DIV/0!</v>
      </c>
      <c r="P212" s="11" t="e">
        <f t="shared" si="447"/>
        <v>#DIV/0!</v>
      </c>
      <c r="Q212" s="35">
        <v>0</v>
      </c>
      <c r="R212" s="66">
        <v>0</v>
      </c>
      <c r="S212" s="35" t="e">
        <f t="shared" si="448"/>
        <v>#DIV/0!</v>
      </c>
      <c r="T212" s="6" t="e">
        <f t="shared" si="449"/>
        <v>#DIV/0!</v>
      </c>
      <c r="U212" s="68">
        <v>0</v>
      </c>
      <c r="V212" s="66">
        <v>0</v>
      </c>
      <c r="W212" s="20" t="e">
        <f t="shared" si="450"/>
        <v>#DIV/0!</v>
      </c>
      <c r="X212" s="6" t="e">
        <f t="shared" si="451"/>
        <v>#DIV/0!</v>
      </c>
      <c r="Y212" s="68">
        <v>0</v>
      </c>
      <c r="Z212" s="70">
        <v>0</v>
      </c>
      <c r="AA212" s="35" t="e">
        <f t="shared" si="452"/>
        <v>#DIV/0!</v>
      </c>
      <c r="AB212" s="11" t="e">
        <f t="shared" si="453"/>
        <v>#DIV/0!</v>
      </c>
      <c r="AC212" s="20">
        <v>22310</v>
      </c>
      <c r="AD212" s="33">
        <v>783</v>
      </c>
      <c r="AE212" s="35">
        <f t="shared" si="454"/>
        <v>28.492975734355046</v>
      </c>
      <c r="AF212" s="6">
        <f t="shared" si="455"/>
        <v>0.29192485517388006</v>
      </c>
      <c r="AG212" s="68">
        <v>0</v>
      </c>
      <c r="AH212" s="66">
        <v>0</v>
      </c>
      <c r="AI212" s="35" t="e">
        <f t="shared" si="456"/>
        <v>#DIV/0!</v>
      </c>
      <c r="AJ212" s="6" t="e">
        <f t="shared" si="457"/>
        <v>#DIV/0!</v>
      </c>
      <c r="AK212" s="68">
        <v>5380</v>
      </c>
      <c r="AL212" s="65">
        <v>276</v>
      </c>
      <c r="AM212" s="35">
        <f t="shared" si="458"/>
        <v>19.492753623188406</v>
      </c>
      <c r="AN212" s="6">
        <f t="shared" si="459"/>
        <v>0.19971305670008521</v>
      </c>
      <c r="AO212" s="68">
        <v>0</v>
      </c>
      <c r="AP212" s="66">
        <v>0</v>
      </c>
      <c r="AQ212" s="35" t="e">
        <f t="shared" si="460"/>
        <v>#DIV/0!</v>
      </c>
      <c r="AR212" s="6" t="e">
        <f t="shared" si="461"/>
        <v>#DIV/0!</v>
      </c>
      <c r="AS212" s="68">
        <v>0</v>
      </c>
      <c r="AT212" s="66">
        <v>0</v>
      </c>
      <c r="AU212" s="35" t="e">
        <f t="shared" si="462"/>
        <v>#DIV/0!</v>
      </c>
      <c r="AV212" s="6" t="e">
        <f t="shared" si="463"/>
        <v>#DIV/0!</v>
      </c>
      <c r="AW212" s="68">
        <v>0</v>
      </c>
      <c r="AX212" s="66">
        <v>0</v>
      </c>
      <c r="AY212" s="35" t="e">
        <f t="shared" si="464"/>
        <v>#DIV/0!</v>
      </c>
      <c r="AZ212" s="6" t="e">
        <f t="shared" si="465"/>
        <v>#DIV/0!</v>
      </c>
      <c r="BA212" s="68">
        <v>0</v>
      </c>
      <c r="BB212" s="66">
        <v>0</v>
      </c>
      <c r="BC212" s="35" t="e">
        <f t="shared" si="466"/>
        <v>#DIV/0!</v>
      </c>
      <c r="BD212" s="11" t="e">
        <f t="shared" si="467"/>
        <v>#DIV/0!</v>
      </c>
    </row>
    <row r="213" spans="1:56" ht="15.75" thickBot="1" x14ac:dyDescent="0.3">
      <c r="A213" s="19" t="s">
        <v>5</v>
      </c>
      <c r="B213" s="8">
        <v>260640</v>
      </c>
      <c r="C213" s="35">
        <f>B213/F205</f>
        <v>130.38519259629814</v>
      </c>
      <c r="D213" s="8">
        <v>7050</v>
      </c>
      <c r="E213" s="68">
        <v>0</v>
      </c>
      <c r="F213" s="70">
        <v>0</v>
      </c>
      <c r="G213" s="35" t="e">
        <f t="shared" si="442"/>
        <v>#DIV/0!</v>
      </c>
      <c r="H213" s="11" t="e">
        <f t="shared" si="443"/>
        <v>#DIV/0!</v>
      </c>
      <c r="I213" s="35">
        <v>0</v>
      </c>
      <c r="J213" s="70">
        <v>0</v>
      </c>
      <c r="K213" s="35" t="e">
        <f t="shared" si="444"/>
        <v>#DIV/0!</v>
      </c>
      <c r="L213" s="6" t="e">
        <f t="shared" si="445"/>
        <v>#DIV/0!</v>
      </c>
      <c r="M213" s="68">
        <v>0</v>
      </c>
      <c r="N213" s="5">
        <v>0</v>
      </c>
      <c r="O213" s="35" t="e">
        <f t="shared" si="446"/>
        <v>#DIV/0!</v>
      </c>
      <c r="P213" s="11" t="e">
        <f t="shared" si="447"/>
        <v>#DIV/0!</v>
      </c>
      <c r="Q213" s="35">
        <v>0</v>
      </c>
      <c r="R213" s="66">
        <v>0</v>
      </c>
      <c r="S213" s="35" t="e">
        <f t="shared" si="448"/>
        <v>#DIV/0!</v>
      </c>
      <c r="T213" s="6" t="e">
        <f t="shared" si="449"/>
        <v>#DIV/0!</v>
      </c>
      <c r="U213" s="68">
        <v>0</v>
      </c>
      <c r="V213" s="66">
        <v>0</v>
      </c>
      <c r="W213" s="20" t="e">
        <f t="shared" si="450"/>
        <v>#DIV/0!</v>
      </c>
      <c r="X213" s="6" t="e">
        <f t="shared" si="451"/>
        <v>#DIV/0!</v>
      </c>
      <c r="Y213" s="68">
        <v>0</v>
      </c>
      <c r="Z213" s="70">
        <v>0</v>
      </c>
      <c r="AA213" s="35" t="e">
        <f t="shared" si="452"/>
        <v>#DIV/0!</v>
      </c>
      <c r="AB213" s="11" t="e">
        <f t="shared" si="453"/>
        <v>#DIV/0!</v>
      </c>
      <c r="AC213" s="20">
        <v>23240</v>
      </c>
      <c r="AD213" s="33">
        <v>783</v>
      </c>
      <c r="AE213" s="35">
        <f t="shared" si="454"/>
        <v>29.680715197956577</v>
      </c>
      <c r="AF213" s="6">
        <f t="shared" si="455"/>
        <v>0.22763869582840393</v>
      </c>
      <c r="AG213" s="68">
        <v>0</v>
      </c>
      <c r="AH213" s="66">
        <v>0</v>
      </c>
      <c r="AI213" s="35" t="e">
        <f t="shared" si="456"/>
        <v>#DIV/0!</v>
      </c>
      <c r="AJ213" s="6" t="e">
        <f t="shared" si="457"/>
        <v>#DIV/0!</v>
      </c>
      <c r="AK213" s="68">
        <v>6600</v>
      </c>
      <c r="AL213" s="65">
        <v>276</v>
      </c>
      <c r="AM213" s="35">
        <f t="shared" si="458"/>
        <v>23.913043478260871</v>
      </c>
      <c r="AN213" s="6">
        <f t="shared" si="459"/>
        <v>0.18340306136066409</v>
      </c>
      <c r="AO213" s="68">
        <v>0</v>
      </c>
      <c r="AP213" s="66">
        <v>0</v>
      </c>
      <c r="AQ213" s="35" t="e">
        <f t="shared" si="460"/>
        <v>#DIV/0!</v>
      </c>
      <c r="AR213" s="6" t="e">
        <f t="shared" si="461"/>
        <v>#DIV/0!</v>
      </c>
      <c r="AS213" s="68">
        <v>0</v>
      </c>
      <c r="AT213" s="66">
        <v>0</v>
      </c>
      <c r="AU213" s="35" t="e">
        <f t="shared" si="462"/>
        <v>#DIV/0!</v>
      </c>
      <c r="AV213" s="6" t="e">
        <f t="shared" si="463"/>
        <v>#DIV/0!</v>
      </c>
      <c r="AW213" s="68">
        <v>0</v>
      </c>
      <c r="AX213" s="66">
        <v>0</v>
      </c>
      <c r="AY213" s="35" t="e">
        <f t="shared" si="464"/>
        <v>#DIV/0!</v>
      </c>
      <c r="AZ213" s="6" t="e">
        <f t="shared" si="465"/>
        <v>#DIV/0!</v>
      </c>
      <c r="BA213" s="68">
        <v>0</v>
      </c>
      <c r="BB213" s="66">
        <v>0</v>
      </c>
      <c r="BC213" s="35" t="e">
        <f t="shared" si="466"/>
        <v>#DIV/0!</v>
      </c>
      <c r="BD213" s="11" t="e">
        <f t="shared" si="467"/>
        <v>#DIV/0!</v>
      </c>
    </row>
    <row r="214" spans="1:56" x14ac:dyDescent="0.25">
      <c r="A214" s="19" t="s">
        <v>6</v>
      </c>
      <c r="B214" s="8">
        <v>315000</v>
      </c>
      <c r="C214" s="35">
        <f>B214/F205</f>
        <v>157.57878939469734</v>
      </c>
      <c r="D214" s="8">
        <v>10950</v>
      </c>
      <c r="E214" s="68">
        <v>0</v>
      </c>
      <c r="F214" s="70">
        <v>0</v>
      </c>
      <c r="G214" s="35" t="e">
        <f t="shared" si="442"/>
        <v>#DIV/0!</v>
      </c>
      <c r="H214" s="11" t="e">
        <f t="shared" si="443"/>
        <v>#DIV/0!</v>
      </c>
      <c r="I214" s="35">
        <v>0</v>
      </c>
      <c r="J214" s="70">
        <v>0</v>
      </c>
      <c r="K214" s="35" t="e">
        <f t="shared" si="444"/>
        <v>#DIV/0!</v>
      </c>
      <c r="L214" s="6" t="e">
        <f t="shared" si="445"/>
        <v>#DIV/0!</v>
      </c>
      <c r="M214" s="68">
        <v>0</v>
      </c>
      <c r="N214" s="5">
        <v>0</v>
      </c>
      <c r="O214" s="35" t="e">
        <f t="shared" si="446"/>
        <v>#DIV/0!</v>
      </c>
      <c r="P214" s="11" t="e">
        <f t="shared" si="447"/>
        <v>#DIV/0!</v>
      </c>
      <c r="Q214" s="35">
        <v>0</v>
      </c>
      <c r="R214" s="66">
        <v>0</v>
      </c>
      <c r="S214" s="35" t="e">
        <f t="shared" si="448"/>
        <v>#DIV/0!</v>
      </c>
      <c r="T214" s="6" t="e">
        <f t="shared" si="449"/>
        <v>#DIV/0!</v>
      </c>
      <c r="U214" s="68">
        <v>0</v>
      </c>
      <c r="V214" s="66">
        <v>0</v>
      </c>
      <c r="W214" s="20" t="e">
        <f t="shared" si="450"/>
        <v>#DIV/0!</v>
      </c>
      <c r="X214" s="6" t="e">
        <f t="shared" si="451"/>
        <v>#DIV/0!</v>
      </c>
      <c r="Y214" s="68">
        <v>0</v>
      </c>
      <c r="Z214" s="70">
        <v>0</v>
      </c>
      <c r="AA214" s="35" t="e">
        <f t="shared" si="452"/>
        <v>#DIV/0!</v>
      </c>
      <c r="AB214" s="11" t="e">
        <f t="shared" si="453"/>
        <v>#DIV/0!</v>
      </c>
      <c r="AC214" s="20">
        <v>33880</v>
      </c>
      <c r="AD214" s="33">
        <v>783</v>
      </c>
      <c r="AE214" s="35">
        <f t="shared" si="454"/>
        <v>43.26947637292465</v>
      </c>
      <c r="AF214" s="6">
        <f t="shared" si="455"/>
        <v>0.27458947069675044</v>
      </c>
      <c r="AG214" s="68">
        <v>0</v>
      </c>
      <c r="AH214" s="66">
        <v>0</v>
      </c>
      <c r="AI214" s="35" t="e">
        <f t="shared" si="456"/>
        <v>#DIV/0!</v>
      </c>
      <c r="AJ214" s="6" t="e">
        <f t="shared" si="457"/>
        <v>#DIV/0!</v>
      </c>
      <c r="AK214" s="68">
        <v>8000</v>
      </c>
      <c r="AL214" s="65">
        <v>276</v>
      </c>
      <c r="AM214" s="35">
        <f t="shared" si="458"/>
        <v>28.985507246376812</v>
      </c>
      <c r="AN214" s="6">
        <f t="shared" si="459"/>
        <v>0.18394294916034049</v>
      </c>
      <c r="AO214" s="68">
        <v>0</v>
      </c>
      <c r="AP214" s="66">
        <v>0</v>
      </c>
      <c r="AQ214" s="35" t="e">
        <f t="shared" si="460"/>
        <v>#DIV/0!</v>
      </c>
      <c r="AR214" s="6" t="e">
        <f t="shared" si="461"/>
        <v>#DIV/0!</v>
      </c>
      <c r="AS214" s="68">
        <v>0</v>
      </c>
      <c r="AT214" s="66">
        <v>0</v>
      </c>
      <c r="AU214" s="35" t="e">
        <f t="shared" si="462"/>
        <v>#DIV/0!</v>
      </c>
      <c r="AV214" s="6" t="e">
        <f t="shared" si="463"/>
        <v>#DIV/0!</v>
      </c>
      <c r="AW214" s="68">
        <v>0</v>
      </c>
      <c r="AX214" s="66">
        <v>0</v>
      </c>
      <c r="AY214" s="35" t="e">
        <f t="shared" si="464"/>
        <v>#DIV/0!</v>
      </c>
      <c r="AZ214" s="6" t="e">
        <f t="shared" si="465"/>
        <v>#DIV/0!</v>
      </c>
      <c r="BA214" s="68">
        <v>0</v>
      </c>
      <c r="BB214" s="66">
        <v>0</v>
      </c>
      <c r="BC214" s="35" t="e">
        <f t="shared" si="466"/>
        <v>#DIV/0!</v>
      </c>
      <c r="BD214" s="11" t="e">
        <f t="shared" si="467"/>
        <v>#DIV/0!</v>
      </c>
    </row>
    <row r="215" spans="1:56" ht="15.75" thickBot="1" x14ac:dyDescent="0.3">
      <c r="A215" s="21"/>
      <c r="B215" s="22"/>
      <c r="C215" s="23">
        <f>AVERAGE(Table11013[MA $/Sq Ft])</f>
        <v>90.173658257700268</v>
      </c>
      <c r="D215" s="22">
        <f>AVERAGE(Table11013[Basic Allowance])</f>
        <v>4442.8571428571431</v>
      </c>
      <c r="E215" s="16"/>
      <c r="F215" s="22"/>
      <c r="G215" s="15"/>
      <c r="H215" s="24" t="e">
        <f>AVERAGE(Table11013[Bsmt % Base])</f>
        <v>#DIV/0!</v>
      </c>
      <c r="I215" s="15"/>
      <c r="J215" s="15"/>
      <c r="K215" s="15"/>
      <c r="L215" s="25" t="e">
        <f>AVERAGE(Table11013[[#Headers],[#Data],[UnfBsmt % Base]])</f>
        <v>#DIV/0!</v>
      </c>
      <c r="M215" s="44"/>
      <c r="N215" s="15"/>
      <c r="O215" s="23" t="e">
        <f>AVERAGE(Table11013[LowerVal/SqFt])</f>
        <v>#DIV/0!</v>
      </c>
      <c r="P215" s="24" t="e">
        <f>AVERAGE(Table11013[Lower % Base])</f>
        <v>#DIV/0!</v>
      </c>
      <c r="Q215" s="13"/>
      <c r="R215" s="13"/>
      <c r="S215" s="13"/>
      <c r="T215" s="25" t="e">
        <f>AVERAGE(Table11013[Unf Lower % Base])</f>
        <v>#DIV/0!</v>
      </c>
      <c r="U215" s="12"/>
      <c r="V215" s="13"/>
      <c r="W215" s="13"/>
      <c r="X215" s="25" t="e">
        <f>AVERAGE(Table11013[1/2 Story % Base])</f>
        <v>#DIV/0!</v>
      </c>
      <c r="Y215" s="12"/>
      <c r="Z215" s="13"/>
      <c r="AA215" s="13"/>
      <c r="AB215" s="24" t="e">
        <f>AVERAGE(Table11013[2nd Story % Base])</f>
        <v>#DIV/0!</v>
      </c>
      <c r="AC215" s="13"/>
      <c r="AD215" s="13"/>
      <c r="AE215" s="23">
        <f>AVERAGE(Table11013[AttGarVal/SqFt])</f>
        <v>26.006203247582558</v>
      </c>
      <c r="AF215" s="25">
        <f>AVERAGE(Table11013[Att Gar % Base])</f>
        <v>0.30003924049987368</v>
      </c>
      <c r="AG215" s="12"/>
      <c r="AH215" s="13"/>
      <c r="AI215" s="13"/>
      <c r="AJ215" s="25" t="e">
        <f>AVERAGE(Table11013[Porch % Base])</f>
        <v>#DIV/0!</v>
      </c>
      <c r="AK215" s="12"/>
      <c r="AL215" s="13"/>
      <c r="AM215" s="13"/>
      <c r="AN215" s="25">
        <f>AVERAGE(Table11013[Cov Porch % Base])</f>
        <v>0.19912893292013253</v>
      </c>
      <c r="AO215" s="12"/>
      <c r="AP215" s="13"/>
      <c r="AQ215" s="13"/>
      <c r="AR215" s="25" t="e">
        <f>AVERAGE(Table11013[Deck % Base])</f>
        <v>#DIV/0!</v>
      </c>
      <c r="AS215" s="12"/>
      <c r="AT215" s="13"/>
      <c r="AU215" s="23" t="e">
        <f>AVERAGE(Table11013[CovDeckVal/SqFt])</f>
        <v>#DIV/0!</v>
      </c>
      <c r="AV215" s="25" t="e">
        <f>AVERAGE(Table11013[CovDeck % Base])</f>
        <v>#DIV/0!</v>
      </c>
      <c r="AW215" s="12"/>
      <c r="AX215" s="13"/>
      <c r="AY215" s="13"/>
      <c r="AZ215" s="25" t="e">
        <f>AVERAGE(Table11013[CarP % Base])</f>
        <v>#DIV/0!</v>
      </c>
      <c r="BA215" s="12"/>
      <c r="BB215" s="13"/>
      <c r="BC215" s="13"/>
      <c r="BD215" s="24" t="e">
        <f>AVERAGE(Table11013[EFP % Base])</f>
        <v>#DIV/0!</v>
      </c>
    </row>
    <row r="217" spans="1:56" ht="15.75" thickBot="1" x14ac:dyDescent="0.3">
      <c r="A217" s="82"/>
      <c r="B217" t="s">
        <v>79</v>
      </c>
      <c r="C217" s="78" t="s">
        <v>106</v>
      </c>
      <c r="E217" t="s">
        <v>33</v>
      </c>
      <c r="F217" s="79">
        <v>1624</v>
      </c>
      <c r="H217" t="s">
        <v>80</v>
      </c>
      <c r="I217" t="s">
        <v>194</v>
      </c>
    </row>
    <row r="218" spans="1:56" x14ac:dyDescent="0.25">
      <c r="A218" s="112"/>
      <c r="B218" s="113"/>
      <c r="C218" s="113"/>
      <c r="D218" s="114"/>
      <c r="E218" s="115" t="s">
        <v>27</v>
      </c>
      <c r="F218" s="116"/>
      <c r="G218" s="116"/>
      <c r="H218" s="117"/>
      <c r="I218" s="118" t="s">
        <v>28</v>
      </c>
      <c r="J218" s="119"/>
      <c r="K218" s="119"/>
      <c r="L218" s="120"/>
      <c r="M218" s="121" t="s">
        <v>7</v>
      </c>
      <c r="N218" s="122"/>
      <c r="O218" s="122"/>
      <c r="P218" s="123"/>
      <c r="Q218" s="124" t="s">
        <v>29</v>
      </c>
      <c r="R218" s="125"/>
      <c r="S218" s="125"/>
      <c r="T218" s="126"/>
      <c r="U218" s="127" t="s">
        <v>8</v>
      </c>
      <c r="V218" s="128"/>
      <c r="W218" s="128"/>
      <c r="X218" s="129"/>
      <c r="Y218" s="130" t="s">
        <v>0</v>
      </c>
      <c r="Z218" s="131"/>
      <c r="AA218" s="131"/>
      <c r="AB218" s="132"/>
      <c r="AC218" s="133" t="s">
        <v>34</v>
      </c>
      <c r="AD218" s="134"/>
      <c r="AE218" s="134"/>
      <c r="AF218" s="135"/>
      <c r="AG218" s="115" t="s">
        <v>9</v>
      </c>
      <c r="AH218" s="116"/>
      <c r="AI218" s="116"/>
      <c r="AJ218" s="117"/>
      <c r="AK218" s="136" t="s">
        <v>35</v>
      </c>
      <c r="AL218" s="137"/>
      <c r="AM218" s="137"/>
      <c r="AN218" s="138"/>
      <c r="AO218" s="139" t="s">
        <v>10</v>
      </c>
      <c r="AP218" s="140"/>
      <c r="AQ218" s="140"/>
      <c r="AR218" s="141"/>
      <c r="AS218" s="124" t="s">
        <v>36</v>
      </c>
      <c r="AT218" s="125"/>
      <c r="AU218" s="125"/>
      <c r="AV218" s="126"/>
      <c r="AW218" s="142" t="s">
        <v>11</v>
      </c>
      <c r="AX218" s="143"/>
      <c r="AY218" s="143"/>
      <c r="AZ218" s="144"/>
      <c r="BA218" s="148" t="s">
        <v>17</v>
      </c>
      <c r="BB218" s="149"/>
      <c r="BC218" s="149"/>
      <c r="BD218" s="150"/>
    </row>
    <row r="219" spans="1:56" s="1" customFormat="1" ht="15.75" thickBot="1" x14ac:dyDescent="0.3">
      <c r="A219" s="41" t="s">
        <v>13</v>
      </c>
      <c r="B219" s="42" t="s">
        <v>15</v>
      </c>
      <c r="C219" s="42" t="s">
        <v>32</v>
      </c>
      <c r="D219" s="43" t="s">
        <v>18</v>
      </c>
      <c r="E219" s="30" t="s">
        <v>30</v>
      </c>
      <c r="F219" s="31" t="s">
        <v>61</v>
      </c>
      <c r="G219" s="31" t="s">
        <v>38</v>
      </c>
      <c r="H219" s="32" t="s">
        <v>62</v>
      </c>
      <c r="I219" s="37" t="s">
        <v>31</v>
      </c>
      <c r="J219" s="38" t="s">
        <v>39</v>
      </c>
      <c r="K219" s="38" t="s">
        <v>40</v>
      </c>
      <c r="L219" s="39" t="s">
        <v>63</v>
      </c>
      <c r="M219" s="40" t="s">
        <v>19</v>
      </c>
      <c r="N219" s="7" t="s">
        <v>41</v>
      </c>
      <c r="O219" s="7" t="s">
        <v>37</v>
      </c>
      <c r="P219" s="7" t="s">
        <v>64</v>
      </c>
      <c r="Q219" s="27" t="s">
        <v>20</v>
      </c>
      <c r="R219" s="28" t="s">
        <v>60</v>
      </c>
      <c r="S219" s="28" t="s">
        <v>59</v>
      </c>
      <c r="T219" s="29" t="s">
        <v>65</v>
      </c>
      <c r="U219" s="48" t="s">
        <v>21</v>
      </c>
      <c r="V219" s="48" t="s">
        <v>42</v>
      </c>
      <c r="W219" s="48" t="s">
        <v>43</v>
      </c>
      <c r="X219" s="49" t="s">
        <v>66</v>
      </c>
      <c r="Y219" s="50" t="s">
        <v>22</v>
      </c>
      <c r="Z219" s="51" t="s">
        <v>44</v>
      </c>
      <c r="AA219" s="51" t="s">
        <v>45</v>
      </c>
      <c r="AB219" s="52" t="s">
        <v>67</v>
      </c>
      <c r="AC219" s="45" t="s">
        <v>23</v>
      </c>
      <c r="AD219" s="46" t="s">
        <v>46</v>
      </c>
      <c r="AE219" s="46" t="s">
        <v>47</v>
      </c>
      <c r="AF219" s="47" t="s">
        <v>68</v>
      </c>
      <c r="AG219" s="30" t="s">
        <v>24</v>
      </c>
      <c r="AH219" s="31" t="s">
        <v>48</v>
      </c>
      <c r="AI219" s="31" t="s">
        <v>49</v>
      </c>
      <c r="AJ219" s="32" t="s">
        <v>69</v>
      </c>
      <c r="AK219" s="53" t="s">
        <v>25</v>
      </c>
      <c r="AL219" s="54" t="s">
        <v>50</v>
      </c>
      <c r="AM219" s="54" t="s">
        <v>51</v>
      </c>
      <c r="AN219" s="55" t="s">
        <v>70</v>
      </c>
      <c r="AO219" s="56" t="s">
        <v>26</v>
      </c>
      <c r="AP219" s="57" t="s">
        <v>52</v>
      </c>
      <c r="AQ219" s="57" t="s">
        <v>53</v>
      </c>
      <c r="AR219" s="58" t="s">
        <v>71</v>
      </c>
      <c r="AS219" s="59" t="s">
        <v>55</v>
      </c>
      <c r="AT219" s="60" t="s">
        <v>54</v>
      </c>
      <c r="AU219" s="60" t="s">
        <v>56</v>
      </c>
      <c r="AV219" s="61" t="s">
        <v>76</v>
      </c>
      <c r="AW219" s="62" t="s">
        <v>72</v>
      </c>
      <c r="AX219" s="63" t="s">
        <v>73</v>
      </c>
      <c r="AY219" s="63" t="s">
        <v>74</v>
      </c>
      <c r="AZ219" s="64" t="s">
        <v>75</v>
      </c>
      <c r="BA219" s="71" t="s">
        <v>77</v>
      </c>
      <c r="BB219" s="72" t="s">
        <v>57</v>
      </c>
      <c r="BC219" s="72" t="s">
        <v>58</v>
      </c>
      <c r="BD219" s="73" t="s">
        <v>78</v>
      </c>
    </row>
    <row r="220" spans="1:56" ht="15.75" thickBot="1" x14ac:dyDescent="0.3">
      <c r="A220" s="17" t="s">
        <v>1</v>
      </c>
      <c r="B220" s="14">
        <v>78860</v>
      </c>
      <c r="C220" s="34">
        <f>B220/F217</f>
        <v>48.559113300492612</v>
      </c>
      <c r="D220" s="14">
        <v>1525</v>
      </c>
      <c r="E220" s="67">
        <v>0</v>
      </c>
      <c r="F220" s="69">
        <v>0</v>
      </c>
      <c r="G220" s="34" t="e">
        <f t="shared" ref="G220:G226" si="468">E220/F220</f>
        <v>#DIV/0!</v>
      </c>
      <c r="H220" s="10" t="e">
        <f t="shared" ref="H220:H226" si="469">G220/C220</f>
        <v>#DIV/0!</v>
      </c>
      <c r="I220" s="34">
        <v>0</v>
      </c>
      <c r="J220" s="69">
        <v>0</v>
      </c>
      <c r="K220" s="34" t="e">
        <f t="shared" ref="K220:K226" si="470">I220/J220</f>
        <v>#DIV/0!</v>
      </c>
      <c r="L220" s="9" t="e">
        <f t="shared" ref="L220:L226" si="471">K220/C220</f>
        <v>#DIV/0!</v>
      </c>
      <c r="M220" s="67">
        <v>0</v>
      </c>
      <c r="N220" s="26">
        <v>0</v>
      </c>
      <c r="O220" s="34" t="e">
        <f t="shared" ref="O220:O226" si="472">M220/N220</f>
        <v>#DIV/0!</v>
      </c>
      <c r="P220" s="10" t="e">
        <f t="shared" ref="P220:P226" si="473">O220/C220</f>
        <v>#DIV/0!</v>
      </c>
      <c r="Q220" s="35">
        <v>0</v>
      </c>
      <c r="R220" s="66">
        <v>0</v>
      </c>
      <c r="S220" s="35" t="e">
        <f t="shared" ref="S220:S226" si="474">Q220/R220</f>
        <v>#DIV/0!</v>
      </c>
      <c r="T220" s="6" t="e">
        <f t="shared" ref="T220:T226" si="475">S220/C220</f>
        <v>#DIV/0!</v>
      </c>
      <c r="U220" s="67">
        <v>0</v>
      </c>
      <c r="V220" s="65">
        <v>0</v>
      </c>
      <c r="W220" s="18" t="e">
        <f t="shared" ref="W220:W226" si="476">U220/V220</f>
        <v>#DIV/0!</v>
      </c>
      <c r="X220" s="9" t="e">
        <f t="shared" ref="X220:X226" si="477">W220/C220</f>
        <v>#DIV/0!</v>
      </c>
      <c r="Y220" s="67">
        <v>55750</v>
      </c>
      <c r="Z220" s="69">
        <v>1624</v>
      </c>
      <c r="AA220" s="34">
        <f t="shared" ref="AA220:AA226" si="478">Y220/Z220</f>
        <v>34.328817733990149</v>
      </c>
      <c r="AB220" s="10">
        <f t="shared" ref="AB220:AB226" si="479">AA220/C220</f>
        <v>0.70694902358610201</v>
      </c>
      <c r="AC220" s="18">
        <v>10950</v>
      </c>
      <c r="AD220" s="33">
        <v>784</v>
      </c>
      <c r="AE220" s="34">
        <f t="shared" ref="AE220:AE226" si="480">AC220/AD220</f>
        <v>13.966836734693878</v>
      </c>
      <c r="AF220" s="9">
        <f t="shared" ref="AF220:AF226" si="481">AE220/C220</f>
        <v>0.28762544835332055</v>
      </c>
      <c r="AG220" s="67">
        <v>0</v>
      </c>
      <c r="AH220" s="65">
        <v>0</v>
      </c>
      <c r="AI220" s="34" t="e">
        <f t="shared" ref="AI220:AI226" si="482">AG220/AH220</f>
        <v>#DIV/0!</v>
      </c>
      <c r="AJ220" s="9" t="e">
        <f t="shared" ref="AJ220:AJ226" si="483">AI220/C220</f>
        <v>#DIV/0!</v>
      </c>
      <c r="AK220" s="67">
        <v>5350</v>
      </c>
      <c r="AL220" s="65">
        <v>448</v>
      </c>
      <c r="AM220" s="34">
        <f t="shared" ref="AM220:AM226" si="484">AK220/AL220</f>
        <v>11.941964285714286</v>
      </c>
      <c r="AN220" s="9">
        <f t="shared" ref="AN220:AN226" si="485">AM220/C220</f>
        <v>0.24592632513314736</v>
      </c>
      <c r="AO220" s="67">
        <v>2920</v>
      </c>
      <c r="AP220" s="65">
        <v>416</v>
      </c>
      <c r="AQ220" s="34">
        <f t="shared" ref="AQ220:AQ226" si="486">AO220/AP220</f>
        <v>7.0192307692307692</v>
      </c>
      <c r="AR220" s="9">
        <f t="shared" ref="AR220:AR226" si="487">AQ220/C220</f>
        <v>0.14455022532628417</v>
      </c>
      <c r="AS220" s="67">
        <v>0</v>
      </c>
      <c r="AT220" s="65">
        <v>0</v>
      </c>
      <c r="AU220" s="34" t="e">
        <f t="shared" ref="AU220:AU226" si="488">AS220/AT220</f>
        <v>#DIV/0!</v>
      </c>
      <c r="AV220" s="9" t="e">
        <f t="shared" ref="AV220:AV226" si="489">AU220/C220</f>
        <v>#DIV/0!</v>
      </c>
      <c r="AW220" s="67">
        <v>0</v>
      </c>
      <c r="AX220" s="65">
        <v>0</v>
      </c>
      <c r="AY220" s="34" t="e">
        <f t="shared" ref="AY220:AY226" si="490">AW220/AX220</f>
        <v>#DIV/0!</v>
      </c>
      <c r="AZ220" s="9" t="e">
        <f t="shared" ref="AZ220:AZ226" si="491">AY220/C220</f>
        <v>#DIV/0!</v>
      </c>
      <c r="BA220" s="67">
        <v>0</v>
      </c>
      <c r="BB220" s="65">
        <v>0</v>
      </c>
      <c r="BC220" s="34" t="e">
        <f t="shared" ref="BC220:BC226" si="492">BA220/BB220</f>
        <v>#DIV/0!</v>
      </c>
      <c r="BD220" s="10" t="e">
        <f t="shared" ref="BD220:BD226" si="493">BC220/C220</f>
        <v>#DIV/0!</v>
      </c>
    </row>
    <row r="221" spans="1:56" ht="15.75" thickBot="1" x14ac:dyDescent="0.3">
      <c r="A221" s="19" t="s">
        <v>16</v>
      </c>
      <c r="B221" s="8">
        <v>92780</v>
      </c>
      <c r="C221" s="35">
        <f>B221/F217</f>
        <v>57.130541871921181</v>
      </c>
      <c r="D221" s="8">
        <v>1525</v>
      </c>
      <c r="E221" s="68">
        <v>0</v>
      </c>
      <c r="F221" s="70">
        <v>0</v>
      </c>
      <c r="G221" s="35" t="e">
        <f t="shared" si="468"/>
        <v>#DIV/0!</v>
      </c>
      <c r="H221" s="11" t="e">
        <f t="shared" si="469"/>
        <v>#DIV/0!</v>
      </c>
      <c r="I221" s="35">
        <v>0</v>
      </c>
      <c r="J221" s="70">
        <v>0</v>
      </c>
      <c r="K221" s="35" t="e">
        <f t="shared" si="470"/>
        <v>#DIV/0!</v>
      </c>
      <c r="L221" s="6" t="e">
        <f t="shared" si="471"/>
        <v>#DIV/0!</v>
      </c>
      <c r="M221" s="68">
        <v>0</v>
      </c>
      <c r="N221" s="5">
        <v>0</v>
      </c>
      <c r="O221" s="35" t="e">
        <f t="shared" si="472"/>
        <v>#DIV/0!</v>
      </c>
      <c r="P221" s="11" t="e">
        <f t="shared" si="473"/>
        <v>#DIV/0!</v>
      </c>
      <c r="Q221" s="35">
        <v>0</v>
      </c>
      <c r="R221" s="66">
        <v>0</v>
      </c>
      <c r="S221" s="35" t="e">
        <f t="shared" si="474"/>
        <v>#DIV/0!</v>
      </c>
      <c r="T221" s="6" t="e">
        <f t="shared" si="475"/>
        <v>#DIV/0!</v>
      </c>
      <c r="U221" s="68">
        <v>0</v>
      </c>
      <c r="V221" s="66">
        <v>0</v>
      </c>
      <c r="W221" s="20" t="e">
        <f t="shared" si="476"/>
        <v>#DIV/0!</v>
      </c>
      <c r="X221" s="6" t="e">
        <f t="shared" si="477"/>
        <v>#DIV/0!</v>
      </c>
      <c r="Y221" s="68">
        <v>75900</v>
      </c>
      <c r="Z221" s="69">
        <v>1624</v>
      </c>
      <c r="AA221" s="35">
        <f t="shared" si="478"/>
        <v>46.736453201970441</v>
      </c>
      <c r="AB221" s="11">
        <f t="shared" si="479"/>
        <v>0.81806423798232375</v>
      </c>
      <c r="AC221" s="20">
        <v>14090</v>
      </c>
      <c r="AD221" s="33">
        <v>784</v>
      </c>
      <c r="AE221" s="35">
        <f t="shared" si="480"/>
        <v>17.971938775510203</v>
      </c>
      <c r="AF221" s="6">
        <f t="shared" si="481"/>
        <v>0.31457672527946295</v>
      </c>
      <c r="AG221" s="68">
        <v>0</v>
      </c>
      <c r="AH221" s="66">
        <v>0</v>
      </c>
      <c r="AI221" s="35" t="e">
        <f t="shared" si="482"/>
        <v>#DIV/0!</v>
      </c>
      <c r="AJ221" s="6" t="e">
        <f t="shared" si="483"/>
        <v>#DIV/0!</v>
      </c>
      <c r="AK221" s="68">
        <v>7420</v>
      </c>
      <c r="AL221" s="65">
        <v>448</v>
      </c>
      <c r="AM221" s="35">
        <f t="shared" si="484"/>
        <v>16.5625</v>
      </c>
      <c r="AN221" s="6">
        <f t="shared" si="485"/>
        <v>0.28990622979090319</v>
      </c>
      <c r="AO221" s="68">
        <v>4000</v>
      </c>
      <c r="AP221" s="65">
        <v>416</v>
      </c>
      <c r="AQ221" s="35">
        <f t="shared" si="486"/>
        <v>9.615384615384615</v>
      </c>
      <c r="AR221" s="6">
        <f t="shared" si="487"/>
        <v>0.16830550350705556</v>
      </c>
      <c r="AS221" s="68">
        <v>0</v>
      </c>
      <c r="AT221" s="66">
        <v>0</v>
      </c>
      <c r="AU221" s="35" t="e">
        <f t="shared" si="488"/>
        <v>#DIV/0!</v>
      </c>
      <c r="AV221" s="6" t="e">
        <f t="shared" si="489"/>
        <v>#DIV/0!</v>
      </c>
      <c r="AW221" s="68">
        <v>0</v>
      </c>
      <c r="AX221" s="66">
        <v>0</v>
      </c>
      <c r="AY221" s="35" t="e">
        <f t="shared" si="490"/>
        <v>#DIV/0!</v>
      </c>
      <c r="AZ221" s="6" t="e">
        <f t="shared" si="491"/>
        <v>#DIV/0!</v>
      </c>
      <c r="BA221" s="68">
        <v>0</v>
      </c>
      <c r="BB221" s="66">
        <v>0</v>
      </c>
      <c r="BC221" s="35" t="e">
        <f t="shared" si="492"/>
        <v>#DIV/0!</v>
      </c>
      <c r="BD221" s="11" t="e">
        <f t="shared" si="493"/>
        <v>#DIV/0!</v>
      </c>
    </row>
    <row r="222" spans="1:56" ht="15.75" thickBot="1" x14ac:dyDescent="0.3">
      <c r="A222" s="19" t="s">
        <v>2</v>
      </c>
      <c r="B222" s="8">
        <v>108320</v>
      </c>
      <c r="C222" s="35">
        <f>B222/F217</f>
        <v>66.699507389162562</v>
      </c>
      <c r="D222" s="8">
        <v>2100</v>
      </c>
      <c r="E222" s="68">
        <v>0</v>
      </c>
      <c r="F222" s="70">
        <v>0</v>
      </c>
      <c r="G222" s="35" t="e">
        <f t="shared" si="468"/>
        <v>#DIV/0!</v>
      </c>
      <c r="H222" s="11" t="e">
        <f t="shared" si="469"/>
        <v>#DIV/0!</v>
      </c>
      <c r="I222" s="35">
        <v>0</v>
      </c>
      <c r="J222" s="70">
        <v>0</v>
      </c>
      <c r="K222" s="35" t="e">
        <f t="shared" si="470"/>
        <v>#DIV/0!</v>
      </c>
      <c r="L222" s="6" t="e">
        <f t="shared" si="471"/>
        <v>#DIV/0!</v>
      </c>
      <c r="M222" s="68">
        <v>0</v>
      </c>
      <c r="N222" s="5">
        <v>0</v>
      </c>
      <c r="O222" s="35" t="e">
        <f t="shared" si="472"/>
        <v>#DIV/0!</v>
      </c>
      <c r="P222" s="11" t="e">
        <f t="shared" si="473"/>
        <v>#DIV/0!</v>
      </c>
      <c r="Q222" s="35">
        <v>0</v>
      </c>
      <c r="R222" s="66">
        <v>0</v>
      </c>
      <c r="S222" s="35" t="e">
        <f t="shared" si="474"/>
        <v>#DIV/0!</v>
      </c>
      <c r="T222" s="6" t="e">
        <f t="shared" si="475"/>
        <v>#DIV/0!</v>
      </c>
      <c r="U222" s="68">
        <v>0</v>
      </c>
      <c r="V222" s="66">
        <v>0</v>
      </c>
      <c r="W222" s="20" t="e">
        <f t="shared" si="476"/>
        <v>#DIV/0!</v>
      </c>
      <c r="X222" s="6" t="e">
        <f t="shared" si="477"/>
        <v>#DIV/0!</v>
      </c>
      <c r="Y222" s="68">
        <v>86940</v>
      </c>
      <c r="Z222" s="69">
        <v>1624</v>
      </c>
      <c r="AA222" s="35">
        <f t="shared" si="478"/>
        <v>53.53448275862069</v>
      </c>
      <c r="AB222" s="11">
        <f t="shared" si="479"/>
        <v>0.80262186115214185</v>
      </c>
      <c r="AC222" s="20">
        <v>18460</v>
      </c>
      <c r="AD222" s="33">
        <v>784</v>
      </c>
      <c r="AE222" s="35">
        <f t="shared" si="480"/>
        <v>23.545918367346939</v>
      </c>
      <c r="AF222" s="6">
        <f t="shared" si="481"/>
        <v>0.35301487655623548</v>
      </c>
      <c r="AG222" s="68">
        <v>0</v>
      </c>
      <c r="AH222" s="66">
        <v>0</v>
      </c>
      <c r="AI222" s="35" t="e">
        <f t="shared" si="482"/>
        <v>#DIV/0!</v>
      </c>
      <c r="AJ222" s="6" t="e">
        <f t="shared" si="483"/>
        <v>#DIV/0!</v>
      </c>
      <c r="AK222" s="68">
        <v>8390</v>
      </c>
      <c r="AL222" s="65">
        <v>448</v>
      </c>
      <c r="AM222" s="35">
        <f t="shared" si="484"/>
        <v>18.727678571428573</v>
      </c>
      <c r="AN222" s="6">
        <f t="shared" si="485"/>
        <v>0.28077686484490399</v>
      </c>
      <c r="AO222" s="68">
        <v>4200</v>
      </c>
      <c r="AP222" s="65">
        <v>416</v>
      </c>
      <c r="AQ222" s="35">
        <f t="shared" si="486"/>
        <v>10.096153846153847</v>
      </c>
      <c r="AR222" s="6">
        <f t="shared" si="487"/>
        <v>0.15136774230201114</v>
      </c>
      <c r="AS222" s="68">
        <v>0</v>
      </c>
      <c r="AT222" s="66">
        <v>0</v>
      </c>
      <c r="AU222" s="35" t="e">
        <f t="shared" si="488"/>
        <v>#DIV/0!</v>
      </c>
      <c r="AV222" s="6" t="e">
        <f t="shared" si="489"/>
        <v>#DIV/0!</v>
      </c>
      <c r="AW222" s="68">
        <v>0</v>
      </c>
      <c r="AX222" s="66">
        <v>0</v>
      </c>
      <c r="AY222" s="35" t="e">
        <f t="shared" si="490"/>
        <v>#DIV/0!</v>
      </c>
      <c r="AZ222" s="6" t="e">
        <f t="shared" si="491"/>
        <v>#DIV/0!</v>
      </c>
      <c r="BA222" s="68">
        <v>0</v>
      </c>
      <c r="BB222" s="66">
        <v>0</v>
      </c>
      <c r="BC222" s="35" t="e">
        <f t="shared" si="492"/>
        <v>#DIV/0!</v>
      </c>
      <c r="BD222" s="11" t="e">
        <f t="shared" si="493"/>
        <v>#DIV/0!</v>
      </c>
    </row>
    <row r="223" spans="1:56" ht="15.75" thickBot="1" x14ac:dyDescent="0.3">
      <c r="A223" s="19" t="s">
        <v>3</v>
      </c>
      <c r="B223" s="8">
        <v>131100</v>
      </c>
      <c r="C223" s="35">
        <f>B223/F217</f>
        <v>80.72660098522168</v>
      </c>
      <c r="D223" s="8">
        <v>2700</v>
      </c>
      <c r="E223" s="68">
        <v>0</v>
      </c>
      <c r="F223" s="70">
        <v>0</v>
      </c>
      <c r="G223" s="35" t="e">
        <f t="shared" si="468"/>
        <v>#DIV/0!</v>
      </c>
      <c r="H223" s="11" t="e">
        <f t="shared" si="469"/>
        <v>#DIV/0!</v>
      </c>
      <c r="I223" s="35">
        <v>0</v>
      </c>
      <c r="J223" s="70">
        <v>0</v>
      </c>
      <c r="K223" s="35" t="e">
        <f t="shared" si="470"/>
        <v>#DIV/0!</v>
      </c>
      <c r="L223" s="6" t="e">
        <f t="shared" si="471"/>
        <v>#DIV/0!</v>
      </c>
      <c r="M223" s="68">
        <v>0</v>
      </c>
      <c r="N223" s="5">
        <v>0</v>
      </c>
      <c r="O223" s="35" t="e">
        <f t="shared" si="472"/>
        <v>#DIV/0!</v>
      </c>
      <c r="P223" s="11" t="e">
        <f t="shared" si="473"/>
        <v>#DIV/0!</v>
      </c>
      <c r="Q223" s="35">
        <v>0</v>
      </c>
      <c r="R223" s="66">
        <v>0</v>
      </c>
      <c r="S223" s="35" t="e">
        <f t="shared" si="474"/>
        <v>#DIV/0!</v>
      </c>
      <c r="T223" s="6" t="e">
        <f t="shared" si="475"/>
        <v>#DIV/0!</v>
      </c>
      <c r="U223" s="68">
        <v>0</v>
      </c>
      <c r="V223" s="66">
        <v>0</v>
      </c>
      <c r="W223" s="20" t="e">
        <f t="shared" si="476"/>
        <v>#DIV/0!</v>
      </c>
      <c r="X223" s="6" t="e">
        <f t="shared" si="477"/>
        <v>#DIV/0!</v>
      </c>
      <c r="Y223" s="68">
        <v>98470</v>
      </c>
      <c r="Z223" s="69">
        <v>1624</v>
      </c>
      <c r="AA223" s="35">
        <f t="shared" si="478"/>
        <v>60.634236453201972</v>
      </c>
      <c r="AB223" s="11">
        <f t="shared" si="479"/>
        <v>0.75110602593440123</v>
      </c>
      <c r="AC223" s="20">
        <v>19660</v>
      </c>
      <c r="AD223" s="33">
        <v>784</v>
      </c>
      <c r="AE223" s="35">
        <f t="shared" si="480"/>
        <v>25.076530612244898</v>
      </c>
      <c r="AF223" s="6">
        <f t="shared" si="481"/>
        <v>0.31063528386182848</v>
      </c>
      <c r="AG223" s="68">
        <v>0</v>
      </c>
      <c r="AH223" s="66">
        <v>0</v>
      </c>
      <c r="AI223" s="35" t="e">
        <f t="shared" si="482"/>
        <v>#DIV/0!</v>
      </c>
      <c r="AJ223" s="6" t="e">
        <f t="shared" si="483"/>
        <v>#DIV/0!</v>
      </c>
      <c r="AK223" s="68">
        <v>10340</v>
      </c>
      <c r="AL223" s="65">
        <v>448</v>
      </c>
      <c r="AM223" s="35">
        <f t="shared" si="484"/>
        <v>23.080357142857142</v>
      </c>
      <c r="AN223" s="6">
        <f t="shared" si="485"/>
        <v>0.28590770404271548</v>
      </c>
      <c r="AO223" s="68">
        <v>4420</v>
      </c>
      <c r="AP223" s="65">
        <v>416</v>
      </c>
      <c r="AQ223" s="35">
        <f t="shared" si="486"/>
        <v>10.625</v>
      </c>
      <c r="AR223" s="6">
        <f t="shared" si="487"/>
        <v>0.13161708619374524</v>
      </c>
      <c r="AS223" s="68">
        <v>0</v>
      </c>
      <c r="AT223" s="66">
        <v>0</v>
      </c>
      <c r="AU223" s="35" t="e">
        <f t="shared" si="488"/>
        <v>#DIV/0!</v>
      </c>
      <c r="AV223" s="6" t="e">
        <f t="shared" si="489"/>
        <v>#DIV/0!</v>
      </c>
      <c r="AW223" s="68">
        <v>0</v>
      </c>
      <c r="AX223" s="66">
        <v>0</v>
      </c>
      <c r="AY223" s="35" t="e">
        <f t="shared" si="490"/>
        <v>#DIV/0!</v>
      </c>
      <c r="AZ223" s="6" t="e">
        <f t="shared" si="491"/>
        <v>#DIV/0!</v>
      </c>
      <c r="BA223" s="68">
        <v>0</v>
      </c>
      <c r="BB223" s="66">
        <v>0</v>
      </c>
      <c r="BC223" s="35" t="e">
        <f t="shared" si="492"/>
        <v>#DIV/0!</v>
      </c>
      <c r="BD223" s="11" t="e">
        <f t="shared" si="493"/>
        <v>#DIV/0!</v>
      </c>
    </row>
    <row r="224" spans="1:56" ht="15.75" thickBot="1" x14ac:dyDescent="0.3">
      <c r="A224" s="19" t="s">
        <v>4</v>
      </c>
      <c r="B224" s="8">
        <v>162600</v>
      </c>
      <c r="C224" s="35">
        <f>B224/F217</f>
        <v>100.1231527093596</v>
      </c>
      <c r="D224" s="8">
        <v>5250</v>
      </c>
      <c r="E224" s="68">
        <v>0</v>
      </c>
      <c r="F224" s="70">
        <v>0</v>
      </c>
      <c r="G224" s="35" t="e">
        <f t="shared" si="468"/>
        <v>#DIV/0!</v>
      </c>
      <c r="H224" s="11" t="e">
        <f t="shared" si="469"/>
        <v>#DIV/0!</v>
      </c>
      <c r="I224" s="35">
        <v>0</v>
      </c>
      <c r="J224" s="70">
        <v>0</v>
      </c>
      <c r="K224" s="35" t="e">
        <f t="shared" si="470"/>
        <v>#DIV/0!</v>
      </c>
      <c r="L224" s="6" t="e">
        <f t="shared" si="471"/>
        <v>#DIV/0!</v>
      </c>
      <c r="M224" s="68">
        <v>0</v>
      </c>
      <c r="N224" s="5">
        <v>0</v>
      </c>
      <c r="O224" s="35" t="e">
        <f t="shared" si="472"/>
        <v>#DIV/0!</v>
      </c>
      <c r="P224" s="11" t="e">
        <f t="shared" si="473"/>
        <v>#DIV/0!</v>
      </c>
      <c r="Q224" s="35">
        <v>0</v>
      </c>
      <c r="R224" s="66">
        <v>0</v>
      </c>
      <c r="S224" s="35" t="e">
        <f t="shared" si="474"/>
        <v>#DIV/0!</v>
      </c>
      <c r="T224" s="6" t="e">
        <f t="shared" si="475"/>
        <v>#DIV/0!</v>
      </c>
      <c r="U224" s="68">
        <v>0</v>
      </c>
      <c r="V224" s="66">
        <v>0</v>
      </c>
      <c r="W224" s="20" t="e">
        <f t="shared" si="476"/>
        <v>#DIV/0!</v>
      </c>
      <c r="X224" s="6" t="e">
        <f t="shared" si="477"/>
        <v>#DIV/0!</v>
      </c>
      <c r="Y224" s="68">
        <v>125770</v>
      </c>
      <c r="Z224" s="69">
        <v>1624</v>
      </c>
      <c r="AA224" s="35">
        <f t="shared" si="478"/>
        <v>77.444581280788171</v>
      </c>
      <c r="AB224" s="11">
        <f t="shared" si="479"/>
        <v>0.77349323493234934</v>
      </c>
      <c r="AC224" s="20">
        <v>22330</v>
      </c>
      <c r="AD224" s="33">
        <v>784</v>
      </c>
      <c r="AE224" s="35">
        <f t="shared" si="480"/>
        <v>28.482142857142858</v>
      </c>
      <c r="AF224" s="6">
        <f t="shared" si="481"/>
        <v>0.28447109471094711</v>
      </c>
      <c r="AG224" s="68">
        <v>0</v>
      </c>
      <c r="AH224" s="66">
        <v>0</v>
      </c>
      <c r="AI224" s="35" t="e">
        <f t="shared" si="482"/>
        <v>#DIV/0!</v>
      </c>
      <c r="AJ224" s="6" t="e">
        <f t="shared" si="483"/>
        <v>#DIV/0!</v>
      </c>
      <c r="AK224" s="68">
        <v>12150</v>
      </c>
      <c r="AL224" s="65">
        <v>448</v>
      </c>
      <c r="AM224" s="35">
        <f t="shared" si="484"/>
        <v>27.120535714285715</v>
      </c>
      <c r="AN224" s="6">
        <f t="shared" si="485"/>
        <v>0.27087177121771222</v>
      </c>
      <c r="AO224" s="68">
        <v>5850</v>
      </c>
      <c r="AP224" s="65">
        <v>416</v>
      </c>
      <c r="AQ224" s="35">
        <f t="shared" si="486"/>
        <v>14.0625</v>
      </c>
      <c r="AR224" s="6">
        <f t="shared" si="487"/>
        <v>0.1404520295202952</v>
      </c>
      <c r="AS224" s="68">
        <v>0</v>
      </c>
      <c r="AT224" s="66">
        <v>0</v>
      </c>
      <c r="AU224" s="35" t="e">
        <f t="shared" si="488"/>
        <v>#DIV/0!</v>
      </c>
      <c r="AV224" s="6" t="e">
        <f t="shared" si="489"/>
        <v>#DIV/0!</v>
      </c>
      <c r="AW224" s="68">
        <v>0</v>
      </c>
      <c r="AX224" s="66">
        <v>0</v>
      </c>
      <c r="AY224" s="35" t="e">
        <f t="shared" si="490"/>
        <v>#DIV/0!</v>
      </c>
      <c r="AZ224" s="6" t="e">
        <f t="shared" si="491"/>
        <v>#DIV/0!</v>
      </c>
      <c r="BA224" s="68">
        <v>0</v>
      </c>
      <c r="BB224" s="66">
        <v>0</v>
      </c>
      <c r="BC224" s="35" t="e">
        <f t="shared" si="492"/>
        <v>#DIV/0!</v>
      </c>
      <c r="BD224" s="11" t="e">
        <f t="shared" si="493"/>
        <v>#DIV/0!</v>
      </c>
    </row>
    <row r="225" spans="1:56" ht="15.75" thickBot="1" x14ac:dyDescent="0.3">
      <c r="A225" s="19" t="s">
        <v>5</v>
      </c>
      <c r="B225" s="8">
        <v>214600</v>
      </c>
      <c r="C225" s="35">
        <f>B225/F217</f>
        <v>132.14285714285714</v>
      </c>
      <c r="D225" s="8">
        <v>7050</v>
      </c>
      <c r="E225" s="68">
        <v>0</v>
      </c>
      <c r="F225" s="70">
        <v>0</v>
      </c>
      <c r="G225" s="35" t="e">
        <f t="shared" si="468"/>
        <v>#DIV/0!</v>
      </c>
      <c r="H225" s="11" t="e">
        <f t="shared" si="469"/>
        <v>#DIV/0!</v>
      </c>
      <c r="I225" s="35">
        <v>0</v>
      </c>
      <c r="J225" s="70">
        <v>0</v>
      </c>
      <c r="K225" s="35" t="e">
        <f t="shared" si="470"/>
        <v>#DIV/0!</v>
      </c>
      <c r="L225" s="6" t="e">
        <f t="shared" si="471"/>
        <v>#DIV/0!</v>
      </c>
      <c r="M225" s="68">
        <v>0</v>
      </c>
      <c r="N225" s="5">
        <v>0</v>
      </c>
      <c r="O225" s="35" t="e">
        <f t="shared" si="472"/>
        <v>#DIV/0!</v>
      </c>
      <c r="P225" s="11" t="e">
        <f t="shared" si="473"/>
        <v>#DIV/0!</v>
      </c>
      <c r="Q225" s="35">
        <v>0</v>
      </c>
      <c r="R225" s="66">
        <v>0</v>
      </c>
      <c r="S225" s="35" t="e">
        <f t="shared" si="474"/>
        <v>#DIV/0!</v>
      </c>
      <c r="T225" s="6" t="e">
        <f t="shared" si="475"/>
        <v>#DIV/0!</v>
      </c>
      <c r="U225" s="68">
        <v>0</v>
      </c>
      <c r="V225" s="66">
        <v>0</v>
      </c>
      <c r="W225" s="20" t="e">
        <f t="shared" si="476"/>
        <v>#DIV/0!</v>
      </c>
      <c r="X225" s="6" t="e">
        <f t="shared" si="477"/>
        <v>#DIV/0!</v>
      </c>
      <c r="Y225" s="68">
        <v>170740</v>
      </c>
      <c r="Z225" s="69">
        <v>1624</v>
      </c>
      <c r="AA225" s="35">
        <f t="shared" si="478"/>
        <v>105.13546798029557</v>
      </c>
      <c r="AB225" s="11">
        <f t="shared" si="479"/>
        <v>0.79561975768872328</v>
      </c>
      <c r="AC225" s="20">
        <v>23250</v>
      </c>
      <c r="AD225" s="33">
        <v>784</v>
      </c>
      <c r="AE225" s="35">
        <f t="shared" si="480"/>
        <v>29.655612244897959</v>
      </c>
      <c r="AF225" s="6">
        <f t="shared" si="481"/>
        <v>0.22442084942084942</v>
      </c>
      <c r="AG225" s="68">
        <v>0</v>
      </c>
      <c r="AH225" s="66">
        <v>0</v>
      </c>
      <c r="AI225" s="35" t="e">
        <f t="shared" si="482"/>
        <v>#DIV/0!</v>
      </c>
      <c r="AJ225" s="6" t="e">
        <f t="shared" si="483"/>
        <v>#DIV/0!</v>
      </c>
      <c r="AK225" s="68">
        <v>14360</v>
      </c>
      <c r="AL225" s="65">
        <v>448</v>
      </c>
      <c r="AM225" s="35">
        <f t="shared" si="484"/>
        <v>32.053571428571431</v>
      </c>
      <c r="AN225" s="6">
        <f t="shared" si="485"/>
        <v>0.24256756756756759</v>
      </c>
      <c r="AO225" s="68">
        <v>7120</v>
      </c>
      <c r="AP225" s="65">
        <v>416</v>
      </c>
      <c r="AQ225" s="35">
        <f t="shared" si="486"/>
        <v>17.115384615384617</v>
      </c>
      <c r="AR225" s="6">
        <f t="shared" si="487"/>
        <v>0.12952182952182953</v>
      </c>
      <c r="AS225" s="68">
        <v>0</v>
      </c>
      <c r="AT225" s="66">
        <v>0</v>
      </c>
      <c r="AU225" s="35" t="e">
        <f t="shared" si="488"/>
        <v>#DIV/0!</v>
      </c>
      <c r="AV225" s="6" t="e">
        <f t="shared" si="489"/>
        <v>#DIV/0!</v>
      </c>
      <c r="AW225" s="68">
        <v>0</v>
      </c>
      <c r="AX225" s="66">
        <v>0</v>
      </c>
      <c r="AY225" s="35" t="e">
        <f t="shared" si="490"/>
        <v>#DIV/0!</v>
      </c>
      <c r="AZ225" s="6" t="e">
        <f t="shared" si="491"/>
        <v>#DIV/0!</v>
      </c>
      <c r="BA225" s="68">
        <v>0</v>
      </c>
      <c r="BB225" s="66">
        <v>0</v>
      </c>
      <c r="BC225" s="35" t="e">
        <f t="shared" si="492"/>
        <v>#DIV/0!</v>
      </c>
      <c r="BD225" s="11" t="e">
        <f t="shared" si="493"/>
        <v>#DIV/0!</v>
      </c>
    </row>
    <row r="226" spans="1:56" x14ac:dyDescent="0.25">
      <c r="A226" s="19" t="s">
        <v>6</v>
      </c>
      <c r="B226" s="8">
        <v>262270</v>
      </c>
      <c r="C226" s="35">
        <f>B226/F217</f>
        <v>161.4963054187192</v>
      </c>
      <c r="D226" s="8">
        <v>10950</v>
      </c>
      <c r="E226" s="68">
        <v>0</v>
      </c>
      <c r="F226" s="70">
        <v>0</v>
      </c>
      <c r="G226" s="35" t="e">
        <f t="shared" si="468"/>
        <v>#DIV/0!</v>
      </c>
      <c r="H226" s="11" t="e">
        <f t="shared" si="469"/>
        <v>#DIV/0!</v>
      </c>
      <c r="I226" s="35">
        <v>0</v>
      </c>
      <c r="J226" s="70">
        <v>0</v>
      </c>
      <c r="K226" s="35" t="e">
        <f t="shared" si="470"/>
        <v>#DIV/0!</v>
      </c>
      <c r="L226" s="6" t="e">
        <f t="shared" si="471"/>
        <v>#DIV/0!</v>
      </c>
      <c r="M226" s="68">
        <v>0</v>
      </c>
      <c r="N226" s="5">
        <v>0</v>
      </c>
      <c r="O226" s="35" t="e">
        <f t="shared" si="472"/>
        <v>#DIV/0!</v>
      </c>
      <c r="P226" s="11" t="e">
        <f t="shared" si="473"/>
        <v>#DIV/0!</v>
      </c>
      <c r="Q226" s="35">
        <v>0</v>
      </c>
      <c r="R226" s="66">
        <v>0</v>
      </c>
      <c r="S226" s="35" t="e">
        <f t="shared" si="474"/>
        <v>#DIV/0!</v>
      </c>
      <c r="T226" s="6" t="e">
        <f t="shared" si="475"/>
        <v>#DIV/0!</v>
      </c>
      <c r="U226" s="68">
        <v>0</v>
      </c>
      <c r="V226" s="66">
        <v>0</v>
      </c>
      <c r="W226" s="20" t="e">
        <f t="shared" si="476"/>
        <v>#DIV/0!</v>
      </c>
      <c r="X226" s="6" t="e">
        <f t="shared" si="477"/>
        <v>#DIV/0!</v>
      </c>
      <c r="Y226" s="68">
        <v>200940</v>
      </c>
      <c r="Z226" s="69">
        <v>1624</v>
      </c>
      <c r="AA226" s="35">
        <f t="shared" si="478"/>
        <v>123.73152709359606</v>
      </c>
      <c r="AB226" s="11">
        <f t="shared" si="479"/>
        <v>0.76615701376444123</v>
      </c>
      <c r="AC226" s="20">
        <v>33900</v>
      </c>
      <c r="AD226" s="33">
        <v>784</v>
      </c>
      <c r="AE226" s="35">
        <f t="shared" si="480"/>
        <v>43.239795918367349</v>
      </c>
      <c r="AF226" s="6">
        <f t="shared" si="481"/>
        <v>0.26774479952502606</v>
      </c>
      <c r="AG226" s="68">
        <v>0</v>
      </c>
      <c r="AH226" s="66">
        <v>0</v>
      </c>
      <c r="AI226" s="35" t="e">
        <f t="shared" si="482"/>
        <v>#DIV/0!</v>
      </c>
      <c r="AJ226" s="6" t="e">
        <f t="shared" si="483"/>
        <v>#DIV/0!</v>
      </c>
      <c r="AK226" s="68">
        <v>16420</v>
      </c>
      <c r="AL226" s="65">
        <v>448</v>
      </c>
      <c r="AM226" s="35">
        <f t="shared" si="484"/>
        <v>36.651785714285715</v>
      </c>
      <c r="AN226" s="6">
        <f t="shared" si="485"/>
        <v>0.22695123346169979</v>
      </c>
      <c r="AO226" s="68">
        <v>7590</v>
      </c>
      <c r="AP226" s="65">
        <v>416</v>
      </c>
      <c r="AQ226" s="35">
        <f t="shared" si="486"/>
        <v>18.245192307692307</v>
      </c>
      <c r="AR226" s="6">
        <f t="shared" si="487"/>
        <v>0.1129759114946136</v>
      </c>
      <c r="AS226" s="68">
        <v>0</v>
      </c>
      <c r="AT226" s="66">
        <v>0</v>
      </c>
      <c r="AU226" s="35" t="e">
        <f t="shared" si="488"/>
        <v>#DIV/0!</v>
      </c>
      <c r="AV226" s="6" t="e">
        <f t="shared" si="489"/>
        <v>#DIV/0!</v>
      </c>
      <c r="AW226" s="68">
        <v>0</v>
      </c>
      <c r="AX226" s="66">
        <v>0</v>
      </c>
      <c r="AY226" s="35" t="e">
        <f t="shared" si="490"/>
        <v>#DIV/0!</v>
      </c>
      <c r="AZ226" s="6" t="e">
        <f t="shared" si="491"/>
        <v>#DIV/0!</v>
      </c>
      <c r="BA226" s="68">
        <v>0</v>
      </c>
      <c r="BB226" s="66">
        <v>0</v>
      </c>
      <c r="BC226" s="35" t="e">
        <f t="shared" si="492"/>
        <v>#DIV/0!</v>
      </c>
      <c r="BD226" s="11" t="e">
        <f t="shared" si="493"/>
        <v>#DIV/0!</v>
      </c>
    </row>
    <row r="227" spans="1:56" ht="15.75" thickBot="1" x14ac:dyDescent="0.3">
      <c r="A227" s="21"/>
      <c r="B227" s="22"/>
      <c r="C227" s="23">
        <f>AVERAGE(Table11014[MA $/Sq Ft])</f>
        <v>92.411154116819148</v>
      </c>
      <c r="D227" s="22">
        <f>AVERAGE(Table11014[Basic Allowance])</f>
        <v>4442.8571428571431</v>
      </c>
      <c r="E227" s="16"/>
      <c r="F227" s="22"/>
      <c r="G227" s="15"/>
      <c r="H227" s="24" t="e">
        <f>AVERAGE(Table11014[Bsmt % Base])</f>
        <v>#DIV/0!</v>
      </c>
      <c r="I227" s="15"/>
      <c r="J227" s="15"/>
      <c r="K227" s="15"/>
      <c r="L227" s="25" t="e">
        <f>AVERAGE(Table11014[[#Headers],[#Data],[UnfBsmt % Base]])</f>
        <v>#DIV/0!</v>
      </c>
      <c r="M227" s="44"/>
      <c r="N227" s="15"/>
      <c r="O227" s="23" t="e">
        <f>AVERAGE(Table11014[LowerVal/SqFt])</f>
        <v>#DIV/0!</v>
      </c>
      <c r="P227" s="24" t="e">
        <f>AVERAGE(Table11014[Lower % Base])</f>
        <v>#DIV/0!</v>
      </c>
      <c r="Q227" s="13"/>
      <c r="R227" s="13"/>
      <c r="S227" s="13"/>
      <c r="T227" s="25" t="e">
        <f>AVERAGE(Table11014[Unf Lower % Base])</f>
        <v>#DIV/0!</v>
      </c>
      <c r="U227" s="12"/>
      <c r="V227" s="13"/>
      <c r="W227" s="13"/>
      <c r="X227" s="25" t="e">
        <f>AVERAGE(Table11014[1/2 Story % Base])</f>
        <v>#DIV/0!</v>
      </c>
      <c r="Y227" s="12"/>
      <c r="Z227" s="13"/>
      <c r="AA227" s="13"/>
      <c r="AB227" s="24">
        <f>AVERAGE(Table11014[2nd Story % Base])</f>
        <v>0.77343016500578332</v>
      </c>
      <c r="AC227" s="13"/>
      <c r="AD227" s="13"/>
      <c r="AE227" s="23">
        <f>AVERAGE(Table11014[AttGarVal/SqFt])</f>
        <v>25.99125364431487</v>
      </c>
      <c r="AF227" s="25">
        <f>AVERAGE(Table11014[Att Gar % Base])</f>
        <v>0.29178415395823859</v>
      </c>
      <c r="AG227" s="12"/>
      <c r="AH227" s="13"/>
      <c r="AI227" s="13"/>
      <c r="AJ227" s="25" t="e">
        <f>AVERAGE(Table11014[Porch % Base])</f>
        <v>#DIV/0!</v>
      </c>
      <c r="AK227" s="12"/>
      <c r="AL227" s="13"/>
      <c r="AM227" s="13"/>
      <c r="AN227" s="25">
        <f>AVERAGE(Table11014[Cov Porch % Base])</f>
        <v>0.26327252800837853</v>
      </c>
      <c r="AO227" s="12"/>
      <c r="AP227" s="13"/>
      <c r="AQ227" s="13"/>
      <c r="AR227" s="25">
        <f>AVERAGE(Table11014[Deck % Base])</f>
        <v>0.13982718969511923</v>
      </c>
      <c r="AS227" s="12"/>
      <c r="AT227" s="13"/>
      <c r="AU227" s="23" t="e">
        <f>AVERAGE(Table11014[CovDeckVal/SqFt])</f>
        <v>#DIV/0!</v>
      </c>
      <c r="AV227" s="25" t="e">
        <f>AVERAGE(Table11014[CovDeck % Base])</f>
        <v>#DIV/0!</v>
      </c>
      <c r="AW227" s="12"/>
      <c r="AX227" s="13"/>
      <c r="AY227" s="13"/>
      <c r="AZ227" s="25" t="e">
        <f>AVERAGE(Table11014[CarP % Base])</f>
        <v>#DIV/0!</v>
      </c>
      <c r="BA227" s="12"/>
      <c r="BB227" s="13"/>
      <c r="BC227" s="13"/>
      <c r="BD227" s="24" t="e">
        <f>AVERAGE(Table11014[EFP % Base])</f>
        <v>#DIV/0!</v>
      </c>
    </row>
    <row r="229" spans="1:56" ht="15.75" thickBot="1" x14ac:dyDescent="0.3">
      <c r="A229" s="82"/>
      <c r="B229" t="s">
        <v>79</v>
      </c>
      <c r="C229" s="78" t="s">
        <v>107</v>
      </c>
      <c r="E229" t="s">
        <v>33</v>
      </c>
      <c r="F229" s="79">
        <v>1220</v>
      </c>
      <c r="H229" t="s">
        <v>80</v>
      </c>
      <c r="I229" t="s">
        <v>194</v>
      </c>
    </row>
    <row r="230" spans="1:56" x14ac:dyDescent="0.25">
      <c r="A230" s="112"/>
      <c r="B230" s="113"/>
      <c r="C230" s="113"/>
      <c r="D230" s="114"/>
      <c r="E230" s="115" t="s">
        <v>27</v>
      </c>
      <c r="F230" s="116"/>
      <c r="G230" s="116"/>
      <c r="H230" s="117"/>
      <c r="I230" s="118" t="s">
        <v>28</v>
      </c>
      <c r="J230" s="119"/>
      <c r="K230" s="119"/>
      <c r="L230" s="120"/>
      <c r="M230" s="121" t="s">
        <v>7</v>
      </c>
      <c r="N230" s="122"/>
      <c r="O230" s="122"/>
      <c r="P230" s="123"/>
      <c r="Q230" s="124" t="s">
        <v>29</v>
      </c>
      <c r="R230" s="125"/>
      <c r="S230" s="125"/>
      <c r="T230" s="126"/>
      <c r="U230" s="127" t="s">
        <v>8</v>
      </c>
      <c r="V230" s="128"/>
      <c r="W230" s="128"/>
      <c r="X230" s="129"/>
      <c r="Y230" s="130" t="s">
        <v>0</v>
      </c>
      <c r="Z230" s="131"/>
      <c r="AA230" s="131"/>
      <c r="AB230" s="132"/>
      <c r="AC230" s="133" t="s">
        <v>34</v>
      </c>
      <c r="AD230" s="134"/>
      <c r="AE230" s="134"/>
      <c r="AF230" s="135"/>
      <c r="AG230" s="115" t="s">
        <v>9</v>
      </c>
      <c r="AH230" s="116"/>
      <c r="AI230" s="116"/>
      <c r="AJ230" s="117"/>
      <c r="AK230" s="136" t="s">
        <v>35</v>
      </c>
      <c r="AL230" s="137"/>
      <c r="AM230" s="137"/>
      <c r="AN230" s="138"/>
      <c r="AO230" s="139" t="s">
        <v>10</v>
      </c>
      <c r="AP230" s="140"/>
      <c r="AQ230" s="140"/>
      <c r="AR230" s="141"/>
      <c r="AS230" s="124" t="s">
        <v>36</v>
      </c>
      <c r="AT230" s="125"/>
      <c r="AU230" s="125"/>
      <c r="AV230" s="126"/>
      <c r="AW230" s="142" t="s">
        <v>11</v>
      </c>
      <c r="AX230" s="143"/>
      <c r="AY230" s="143"/>
      <c r="AZ230" s="144"/>
      <c r="BA230" s="148" t="s">
        <v>17</v>
      </c>
      <c r="BB230" s="149"/>
      <c r="BC230" s="149"/>
      <c r="BD230" s="150"/>
    </row>
    <row r="231" spans="1:56" s="1" customFormat="1" ht="15.75" thickBot="1" x14ac:dyDescent="0.3">
      <c r="A231" s="41" t="s">
        <v>13</v>
      </c>
      <c r="B231" s="42" t="s">
        <v>15</v>
      </c>
      <c r="C231" s="42" t="s">
        <v>32</v>
      </c>
      <c r="D231" s="43" t="s">
        <v>18</v>
      </c>
      <c r="E231" s="30" t="s">
        <v>30</v>
      </c>
      <c r="F231" s="31" t="s">
        <v>61</v>
      </c>
      <c r="G231" s="31" t="s">
        <v>38</v>
      </c>
      <c r="H231" s="32" t="s">
        <v>62</v>
      </c>
      <c r="I231" s="37" t="s">
        <v>31</v>
      </c>
      <c r="J231" s="38" t="s">
        <v>39</v>
      </c>
      <c r="K231" s="38" t="s">
        <v>40</v>
      </c>
      <c r="L231" s="39" t="s">
        <v>63</v>
      </c>
      <c r="M231" s="40" t="s">
        <v>19</v>
      </c>
      <c r="N231" s="7" t="s">
        <v>41</v>
      </c>
      <c r="O231" s="7" t="s">
        <v>37</v>
      </c>
      <c r="P231" s="7" t="s">
        <v>64</v>
      </c>
      <c r="Q231" s="27" t="s">
        <v>20</v>
      </c>
      <c r="R231" s="28" t="s">
        <v>60</v>
      </c>
      <c r="S231" s="28" t="s">
        <v>59</v>
      </c>
      <c r="T231" s="29" t="s">
        <v>65</v>
      </c>
      <c r="U231" s="48" t="s">
        <v>21</v>
      </c>
      <c r="V231" s="48" t="s">
        <v>42</v>
      </c>
      <c r="W231" s="48" t="s">
        <v>43</v>
      </c>
      <c r="X231" s="49" t="s">
        <v>66</v>
      </c>
      <c r="Y231" s="50" t="s">
        <v>22</v>
      </c>
      <c r="Z231" s="51" t="s">
        <v>44</v>
      </c>
      <c r="AA231" s="51" t="s">
        <v>45</v>
      </c>
      <c r="AB231" s="52" t="s">
        <v>67</v>
      </c>
      <c r="AC231" s="45" t="s">
        <v>23</v>
      </c>
      <c r="AD231" s="46" t="s">
        <v>46</v>
      </c>
      <c r="AE231" s="46" t="s">
        <v>47</v>
      </c>
      <c r="AF231" s="47" t="s">
        <v>68</v>
      </c>
      <c r="AG231" s="30" t="s">
        <v>24</v>
      </c>
      <c r="AH231" s="31" t="s">
        <v>48</v>
      </c>
      <c r="AI231" s="31" t="s">
        <v>49</v>
      </c>
      <c r="AJ231" s="32" t="s">
        <v>69</v>
      </c>
      <c r="AK231" s="53" t="s">
        <v>25</v>
      </c>
      <c r="AL231" s="54" t="s">
        <v>50</v>
      </c>
      <c r="AM231" s="54" t="s">
        <v>51</v>
      </c>
      <c r="AN231" s="55" t="s">
        <v>70</v>
      </c>
      <c r="AO231" s="56" t="s">
        <v>26</v>
      </c>
      <c r="AP231" s="57" t="s">
        <v>52</v>
      </c>
      <c r="AQ231" s="57" t="s">
        <v>53</v>
      </c>
      <c r="AR231" s="58" t="s">
        <v>71</v>
      </c>
      <c r="AS231" s="59" t="s">
        <v>55</v>
      </c>
      <c r="AT231" s="60" t="s">
        <v>54</v>
      </c>
      <c r="AU231" s="60" t="s">
        <v>56</v>
      </c>
      <c r="AV231" s="61" t="s">
        <v>76</v>
      </c>
      <c r="AW231" s="62" t="s">
        <v>72</v>
      </c>
      <c r="AX231" s="63" t="s">
        <v>73</v>
      </c>
      <c r="AY231" s="63" t="s">
        <v>74</v>
      </c>
      <c r="AZ231" s="64" t="s">
        <v>75</v>
      </c>
      <c r="BA231" s="71" t="s">
        <v>77</v>
      </c>
      <c r="BB231" s="72" t="s">
        <v>57</v>
      </c>
      <c r="BC231" s="72" t="s">
        <v>58</v>
      </c>
      <c r="BD231" s="73" t="s">
        <v>78</v>
      </c>
    </row>
    <row r="232" spans="1:56" ht="15.75" thickBot="1" x14ac:dyDescent="0.3">
      <c r="A232" s="17" t="s">
        <v>1</v>
      </c>
      <c r="B232" s="14">
        <v>61760</v>
      </c>
      <c r="C232" s="34">
        <f>B232/F229</f>
        <v>50.622950819672134</v>
      </c>
      <c r="D232" s="14">
        <v>1525</v>
      </c>
      <c r="E232" s="67">
        <v>0</v>
      </c>
      <c r="F232" s="69">
        <v>0</v>
      </c>
      <c r="G232" s="34" t="e">
        <f t="shared" ref="G232:G238" si="494">E232/F232</f>
        <v>#DIV/0!</v>
      </c>
      <c r="H232" s="10" t="e">
        <f t="shared" ref="H232:H238" si="495">G232/C232</f>
        <v>#DIV/0!</v>
      </c>
      <c r="I232" s="34">
        <v>0</v>
      </c>
      <c r="J232" s="69">
        <v>0</v>
      </c>
      <c r="K232" s="34" t="e">
        <f t="shared" ref="K232:K238" si="496">I232/J232</f>
        <v>#DIV/0!</v>
      </c>
      <c r="L232" s="9" t="e">
        <f t="shared" ref="L232:L238" si="497">K232/C232</f>
        <v>#DIV/0!</v>
      </c>
      <c r="M232" s="67">
        <v>0</v>
      </c>
      <c r="N232" s="26">
        <v>0</v>
      </c>
      <c r="O232" s="34" t="e">
        <f t="shared" ref="O232:O238" si="498">M232/N232</f>
        <v>#DIV/0!</v>
      </c>
      <c r="P232" s="10" t="e">
        <f t="shared" ref="P232:P238" si="499">O232/C232</f>
        <v>#DIV/0!</v>
      </c>
      <c r="Q232" s="35">
        <v>0</v>
      </c>
      <c r="R232" s="66">
        <v>0</v>
      </c>
      <c r="S232" s="35" t="e">
        <f t="shared" ref="S232:S238" si="500">Q232/R232</f>
        <v>#DIV/0!</v>
      </c>
      <c r="T232" s="6" t="e">
        <f t="shared" ref="T232:T238" si="501">S232/C232</f>
        <v>#DIV/0!</v>
      </c>
      <c r="U232" s="67">
        <v>0</v>
      </c>
      <c r="V232" s="65">
        <v>0</v>
      </c>
      <c r="W232" s="18" t="e">
        <f t="shared" ref="W232:W238" si="502">U232/V232</f>
        <v>#DIV/0!</v>
      </c>
      <c r="X232" s="9" t="e">
        <f t="shared" ref="X232:X238" si="503">W232/C232</f>
        <v>#DIV/0!</v>
      </c>
      <c r="Y232" s="67">
        <v>38830</v>
      </c>
      <c r="Z232" s="69">
        <v>1064</v>
      </c>
      <c r="AA232" s="34">
        <f t="shared" ref="AA232:AA238" si="504">Y232/Z232</f>
        <v>36.494360902255636</v>
      </c>
      <c r="AB232" s="10">
        <f t="shared" ref="AB232:AB238" si="505">AA232/C232</f>
        <v>0.72090544528419487</v>
      </c>
      <c r="AC232" s="18">
        <v>7300</v>
      </c>
      <c r="AD232" s="33">
        <v>484</v>
      </c>
      <c r="AE232" s="34">
        <f t="shared" ref="AE232:AE238" si="506">AC232/AD232</f>
        <v>15.082644628099173</v>
      </c>
      <c r="AF232" s="9">
        <f t="shared" ref="AF232:AF238" si="507">AE232/C232</f>
        <v>0.29794084271828025</v>
      </c>
      <c r="AG232" s="67">
        <v>0</v>
      </c>
      <c r="AH232" s="65">
        <v>0</v>
      </c>
      <c r="AI232" s="34" t="e">
        <f t="shared" ref="AI232:AI238" si="508">AG232/AH232</f>
        <v>#DIV/0!</v>
      </c>
      <c r="AJ232" s="9" t="e">
        <f t="shared" ref="AJ232:AJ238" si="509">AI232/C232</f>
        <v>#DIV/0!</v>
      </c>
      <c r="AK232" s="67">
        <v>4180</v>
      </c>
      <c r="AL232" s="65">
        <v>447</v>
      </c>
      <c r="AM232" s="34">
        <f t="shared" ref="AM232:AM238" si="510">AK232/AL232</f>
        <v>9.3512304250559293</v>
      </c>
      <c r="AN232" s="9">
        <f t="shared" ref="AN232:AN238" si="511">AM232/C232</f>
        <v>0.18472313987319031</v>
      </c>
      <c r="AO232" s="67">
        <v>0</v>
      </c>
      <c r="AP232" s="65">
        <v>0</v>
      </c>
      <c r="AQ232" s="34" t="e">
        <f t="shared" ref="AQ232:AQ238" si="512">AO232/AP232</f>
        <v>#DIV/0!</v>
      </c>
      <c r="AR232" s="9" t="e">
        <f t="shared" ref="AR232:AR238" si="513">AQ232/C232</f>
        <v>#DIV/0!</v>
      </c>
      <c r="AS232" s="67">
        <v>0</v>
      </c>
      <c r="AT232" s="65">
        <v>0</v>
      </c>
      <c r="AU232" s="34" t="e">
        <f t="shared" ref="AU232:AU238" si="514">AS232/AT232</f>
        <v>#DIV/0!</v>
      </c>
      <c r="AV232" s="9" t="e">
        <f t="shared" ref="AV232:AV238" si="515">AU232/C232</f>
        <v>#DIV/0!</v>
      </c>
      <c r="AW232" s="67">
        <v>0</v>
      </c>
      <c r="AX232" s="65">
        <v>0</v>
      </c>
      <c r="AY232" s="34" t="e">
        <f t="shared" ref="AY232:AY238" si="516">AW232/AX232</f>
        <v>#DIV/0!</v>
      </c>
      <c r="AZ232" s="9" t="e">
        <f t="shared" ref="AZ232:AZ238" si="517">AY232/C232</f>
        <v>#DIV/0!</v>
      </c>
      <c r="BA232" s="67">
        <v>0</v>
      </c>
      <c r="BB232" s="65">
        <v>0</v>
      </c>
      <c r="BC232" s="34" t="e">
        <f t="shared" ref="BC232:BC238" si="518">BA232/BB232</f>
        <v>#DIV/0!</v>
      </c>
      <c r="BD232" s="10" t="e">
        <f t="shared" ref="BD232:BD238" si="519">BC232/C232</f>
        <v>#DIV/0!</v>
      </c>
    </row>
    <row r="233" spans="1:56" ht="15.75" thickBot="1" x14ac:dyDescent="0.3">
      <c r="A233" s="19" t="s">
        <v>16</v>
      </c>
      <c r="B233" s="8">
        <v>72660</v>
      </c>
      <c r="C233" s="35">
        <f>B233/F229</f>
        <v>59.557377049180324</v>
      </c>
      <c r="D233" s="8">
        <v>1525</v>
      </c>
      <c r="E233" s="68">
        <v>0</v>
      </c>
      <c r="F233" s="70">
        <v>0</v>
      </c>
      <c r="G233" s="35" t="e">
        <f t="shared" si="494"/>
        <v>#DIV/0!</v>
      </c>
      <c r="H233" s="11" t="e">
        <f t="shared" si="495"/>
        <v>#DIV/0!</v>
      </c>
      <c r="I233" s="35">
        <v>0</v>
      </c>
      <c r="J233" s="70">
        <v>0</v>
      </c>
      <c r="K233" s="35" t="e">
        <f t="shared" si="496"/>
        <v>#DIV/0!</v>
      </c>
      <c r="L233" s="6" t="e">
        <f t="shared" si="497"/>
        <v>#DIV/0!</v>
      </c>
      <c r="M233" s="68">
        <v>0</v>
      </c>
      <c r="N233" s="5">
        <v>0</v>
      </c>
      <c r="O233" s="35" t="e">
        <f t="shared" si="498"/>
        <v>#DIV/0!</v>
      </c>
      <c r="P233" s="11" t="e">
        <f t="shared" si="499"/>
        <v>#DIV/0!</v>
      </c>
      <c r="Q233" s="35">
        <v>0</v>
      </c>
      <c r="R233" s="66">
        <v>0</v>
      </c>
      <c r="S233" s="35" t="e">
        <f t="shared" si="500"/>
        <v>#DIV/0!</v>
      </c>
      <c r="T233" s="6" t="e">
        <f t="shared" si="501"/>
        <v>#DIV/0!</v>
      </c>
      <c r="U233" s="68">
        <v>0</v>
      </c>
      <c r="V233" s="66">
        <v>0</v>
      </c>
      <c r="W233" s="20" t="e">
        <f t="shared" si="502"/>
        <v>#DIV/0!</v>
      </c>
      <c r="X233" s="6" t="e">
        <f t="shared" si="503"/>
        <v>#DIV/0!</v>
      </c>
      <c r="Y233" s="68">
        <v>53300</v>
      </c>
      <c r="Z233" s="69">
        <v>1064</v>
      </c>
      <c r="AA233" s="35">
        <f t="shared" si="504"/>
        <v>50.093984962406012</v>
      </c>
      <c r="AB233" s="11">
        <f t="shared" si="505"/>
        <v>0.84110461951741455</v>
      </c>
      <c r="AC233" s="20">
        <v>10060</v>
      </c>
      <c r="AD233" s="33">
        <v>484</v>
      </c>
      <c r="AE233" s="35">
        <f t="shared" si="506"/>
        <v>20.785123966942148</v>
      </c>
      <c r="AF233" s="6">
        <f t="shared" si="507"/>
        <v>0.34899327332327856</v>
      </c>
      <c r="AG233" s="68">
        <v>0</v>
      </c>
      <c r="AH233" s="66">
        <v>0</v>
      </c>
      <c r="AI233" s="35" t="e">
        <f t="shared" si="508"/>
        <v>#DIV/0!</v>
      </c>
      <c r="AJ233" s="6" t="e">
        <f t="shared" si="509"/>
        <v>#DIV/0!</v>
      </c>
      <c r="AK233" s="68">
        <v>5960</v>
      </c>
      <c r="AL233" s="65">
        <v>447</v>
      </c>
      <c r="AM233" s="35">
        <f t="shared" si="510"/>
        <v>13.333333333333334</v>
      </c>
      <c r="AN233" s="6">
        <f t="shared" si="511"/>
        <v>0.22387374988531061</v>
      </c>
      <c r="AO233" s="68">
        <v>0</v>
      </c>
      <c r="AP233" s="66">
        <v>0</v>
      </c>
      <c r="AQ233" s="35" t="e">
        <f t="shared" si="512"/>
        <v>#DIV/0!</v>
      </c>
      <c r="AR233" s="6" t="e">
        <f t="shared" si="513"/>
        <v>#DIV/0!</v>
      </c>
      <c r="AS233" s="68">
        <v>0</v>
      </c>
      <c r="AT233" s="66">
        <v>0</v>
      </c>
      <c r="AU233" s="35" t="e">
        <f t="shared" si="514"/>
        <v>#DIV/0!</v>
      </c>
      <c r="AV233" s="6" t="e">
        <f t="shared" si="515"/>
        <v>#DIV/0!</v>
      </c>
      <c r="AW233" s="68">
        <v>0</v>
      </c>
      <c r="AX233" s="66">
        <v>0</v>
      </c>
      <c r="AY233" s="35" t="e">
        <f t="shared" si="516"/>
        <v>#DIV/0!</v>
      </c>
      <c r="AZ233" s="6" t="e">
        <f t="shared" si="517"/>
        <v>#DIV/0!</v>
      </c>
      <c r="BA233" s="68">
        <v>0</v>
      </c>
      <c r="BB233" s="66">
        <v>0</v>
      </c>
      <c r="BC233" s="35" t="e">
        <f t="shared" si="518"/>
        <v>#DIV/0!</v>
      </c>
      <c r="BD233" s="11" t="e">
        <f t="shared" si="519"/>
        <v>#DIV/0!</v>
      </c>
    </row>
    <row r="234" spans="1:56" ht="15.75" thickBot="1" x14ac:dyDescent="0.3">
      <c r="A234" s="19" t="s">
        <v>2</v>
      </c>
      <c r="B234" s="8">
        <v>84970</v>
      </c>
      <c r="C234" s="35">
        <f>B234/F229</f>
        <v>69.647540983606561</v>
      </c>
      <c r="D234" s="8">
        <v>2100</v>
      </c>
      <c r="E234" s="68">
        <v>0</v>
      </c>
      <c r="F234" s="70">
        <v>0</v>
      </c>
      <c r="G234" s="35" t="e">
        <f t="shared" si="494"/>
        <v>#DIV/0!</v>
      </c>
      <c r="H234" s="11" t="e">
        <f t="shared" si="495"/>
        <v>#DIV/0!</v>
      </c>
      <c r="I234" s="35">
        <v>0</v>
      </c>
      <c r="J234" s="70">
        <v>0</v>
      </c>
      <c r="K234" s="35" t="e">
        <f t="shared" si="496"/>
        <v>#DIV/0!</v>
      </c>
      <c r="L234" s="6" t="e">
        <f t="shared" si="497"/>
        <v>#DIV/0!</v>
      </c>
      <c r="M234" s="68">
        <v>0</v>
      </c>
      <c r="N234" s="5">
        <v>0</v>
      </c>
      <c r="O234" s="35" t="e">
        <f t="shared" si="498"/>
        <v>#DIV/0!</v>
      </c>
      <c r="P234" s="11" t="e">
        <f t="shared" si="499"/>
        <v>#DIV/0!</v>
      </c>
      <c r="Q234" s="35">
        <v>0</v>
      </c>
      <c r="R234" s="66">
        <v>0</v>
      </c>
      <c r="S234" s="35" t="e">
        <f t="shared" si="500"/>
        <v>#DIV/0!</v>
      </c>
      <c r="T234" s="6" t="e">
        <f t="shared" si="501"/>
        <v>#DIV/0!</v>
      </c>
      <c r="U234" s="68">
        <v>0</v>
      </c>
      <c r="V234" s="66">
        <v>0</v>
      </c>
      <c r="W234" s="20" t="e">
        <f t="shared" si="502"/>
        <v>#DIV/0!</v>
      </c>
      <c r="X234" s="6" t="e">
        <f t="shared" si="503"/>
        <v>#DIV/0!</v>
      </c>
      <c r="Y234" s="68">
        <v>61130</v>
      </c>
      <c r="Z234" s="69">
        <v>1064</v>
      </c>
      <c r="AA234" s="35">
        <f t="shared" si="504"/>
        <v>57.453007518796994</v>
      </c>
      <c r="AB234" s="11">
        <f t="shared" si="505"/>
        <v>0.82491078231060766</v>
      </c>
      <c r="AC234" s="20">
        <v>12340</v>
      </c>
      <c r="AD234" s="33">
        <v>484</v>
      </c>
      <c r="AE234" s="35">
        <f t="shared" si="506"/>
        <v>25.495867768595041</v>
      </c>
      <c r="AF234" s="6">
        <f t="shared" si="507"/>
        <v>0.36606989146388075</v>
      </c>
      <c r="AG234" s="68">
        <v>0</v>
      </c>
      <c r="AH234" s="66">
        <v>0</v>
      </c>
      <c r="AI234" s="35" t="e">
        <f t="shared" si="508"/>
        <v>#DIV/0!</v>
      </c>
      <c r="AJ234" s="6" t="e">
        <f t="shared" si="509"/>
        <v>#DIV/0!</v>
      </c>
      <c r="AK234" s="68">
        <v>6590</v>
      </c>
      <c r="AL234" s="65">
        <v>447</v>
      </c>
      <c r="AM234" s="35">
        <f t="shared" si="510"/>
        <v>14.742729306487696</v>
      </c>
      <c r="AN234" s="6">
        <f t="shared" si="511"/>
        <v>0.21167623577633268</v>
      </c>
      <c r="AO234" s="68">
        <v>0</v>
      </c>
      <c r="AP234" s="66">
        <v>0</v>
      </c>
      <c r="AQ234" s="35" t="e">
        <f t="shared" si="512"/>
        <v>#DIV/0!</v>
      </c>
      <c r="AR234" s="6" t="e">
        <f t="shared" si="513"/>
        <v>#DIV/0!</v>
      </c>
      <c r="AS234" s="68">
        <v>0</v>
      </c>
      <c r="AT234" s="66">
        <v>0</v>
      </c>
      <c r="AU234" s="35" t="e">
        <f t="shared" si="514"/>
        <v>#DIV/0!</v>
      </c>
      <c r="AV234" s="6" t="e">
        <f t="shared" si="515"/>
        <v>#DIV/0!</v>
      </c>
      <c r="AW234" s="68">
        <v>0</v>
      </c>
      <c r="AX234" s="66">
        <v>0</v>
      </c>
      <c r="AY234" s="35" t="e">
        <f t="shared" si="516"/>
        <v>#DIV/0!</v>
      </c>
      <c r="AZ234" s="6" t="e">
        <f t="shared" si="517"/>
        <v>#DIV/0!</v>
      </c>
      <c r="BA234" s="68">
        <v>0</v>
      </c>
      <c r="BB234" s="66">
        <v>0</v>
      </c>
      <c r="BC234" s="35" t="e">
        <f t="shared" si="518"/>
        <v>#DIV/0!</v>
      </c>
      <c r="BD234" s="11" t="e">
        <f t="shared" si="519"/>
        <v>#DIV/0!</v>
      </c>
    </row>
    <row r="235" spans="1:56" ht="15.75" thickBot="1" x14ac:dyDescent="0.3">
      <c r="A235" s="19" t="s">
        <v>3</v>
      </c>
      <c r="B235" s="8">
        <v>102600</v>
      </c>
      <c r="C235" s="35">
        <f>B235/F229</f>
        <v>84.098360655737707</v>
      </c>
      <c r="D235" s="8">
        <v>2700</v>
      </c>
      <c r="E235" s="68">
        <v>0</v>
      </c>
      <c r="F235" s="70">
        <v>0</v>
      </c>
      <c r="G235" s="35" t="e">
        <f t="shared" si="494"/>
        <v>#DIV/0!</v>
      </c>
      <c r="H235" s="11" t="e">
        <f t="shared" si="495"/>
        <v>#DIV/0!</v>
      </c>
      <c r="I235" s="35">
        <v>0</v>
      </c>
      <c r="J235" s="70">
        <v>0</v>
      </c>
      <c r="K235" s="35" t="e">
        <f t="shared" si="496"/>
        <v>#DIV/0!</v>
      </c>
      <c r="L235" s="6" t="e">
        <f t="shared" si="497"/>
        <v>#DIV/0!</v>
      </c>
      <c r="M235" s="68">
        <v>0</v>
      </c>
      <c r="N235" s="5">
        <v>0</v>
      </c>
      <c r="O235" s="35" t="e">
        <f t="shared" si="498"/>
        <v>#DIV/0!</v>
      </c>
      <c r="P235" s="11" t="e">
        <f t="shared" si="499"/>
        <v>#DIV/0!</v>
      </c>
      <c r="Q235" s="35">
        <v>0</v>
      </c>
      <c r="R235" s="66">
        <v>0</v>
      </c>
      <c r="S235" s="35" t="e">
        <f t="shared" si="500"/>
        <v>#DIV/0!</v>
      </c>
      <c r="T235" s="6" t="e">
        <f t="shared" si="501"/>
        <v>#DIV/0!</v>
      </c>
      <c r="U235" s="68">
        <v>0</v>
      </c>
      <c r="V235" s="66">
        <v>0</v>
      </c>
      <c r="W235" s="20" t="e">
        <f t="shared" si="502"/>
        <v>#DIV/0!</v>
      </c>
      <c r="X235" s="6" t="e">
        <f t="shared" si="503"/>
        <v>#DIV/0!</v>
      </c>
      <c r="Y235" s="68">
        <v>69180</v>
      </c>
      <c r="Z235" s="69">
        <v>1064</v>
      </c>
      <c r="AA235" s="35">
        <f t="shared" si="504"/>
        <v>65.018796992481199</v>
      </c>
      <c r="AB235" s="11">
        <f t="shared" si="505"/>
        <v>0.77312799542716437</v>
      </c>
      <c r="AC235" s="20">
        <v>13070</v>
      </c>
      <c r="AD235" s="33">
        <v>484</v>
      </c>
      <c r="AE235" s="35">
        <f t="shared" si="506"/>
        <v>27.004132231404959</v>
      </c>
      <c r="AF235" s="6">
        <f t="shared" si="507"/>
        <v>0.32110176727401607</v>
      </c>
      <c r="AG235" s="68">
        <v>0</v>
      </c>
      <c r="AH235" s="66">
        <v>0</v>
      </c>
      <c r="AI235" s="35" t="e">
        <f t="shared" si="508"/>
        <v>#DIV/0!</v>
      </c>
      <c r="AJ235" s="6" t="e">
        <f t="shared" si="509"/>
        <v>#DIV/0!</v>
      </c>
      <c r="AK235" s="68">
        <v>7680</v>
      </c>
      <c r="AL235" s="65">
        <v>447</v>
      </c>
      <c r="AM235" s="35">
        <f t="shared" si="510"/>
        <v>17.181208053691275</v>
      </c>
      <c r="AN235" s="6">
        <f t="shared" si="511"/>
        <v>0.20429896516085141</v>
      </c>
      <c r="AO235" s="68">
        <v>0</v>
      </c>
      <c r="AP235" s="66">
        <v>0</v>
      </c>
      <c r="AQ235" s="35" t="e">
        <f t="shared" si="512"/>
        <v>#DIV/0!</v>
      </c>
      <c r="AR235" s="6" t="e">
        <f t="shared" si="513"/>
        <v>#DIV/0!</v>
      </c>
      <c r="AS235" s="68">
        <v>0</v>
      </c>
      <c r="AT235" s="66">
        <v>0</v>
      </c>
      <c r="AU235" s="35" t="e">
        <f t="shared" si="514"/>
        <v>#DIV/0!</v>
      </c>
      <c r="AV235" s="6" t="e">
        <f t="shared" si="515"/>
        <v>#DIV/0!</v>
      </c>
      <c r="AW235" s="68">
        <v>0</v>
      </c>
      <c r="AX235" s="66">
        <v>0</v>
      </c>
      <c r="AY235" s="35" t="e">
        <f t="shared" si="516"/>
        <v>#DIV/0!</v>
      </c>
      <c r="AZ235" s="6" t="e">
        <f t="shared" si="517"/>
        <v>#DIV/0!</v>
      </c>
      <c r="BA235" s="68">
        <v>0</v>
      </c>
      <c r="BB235" s="66">
        <v>0</v>
      </c>
      <c r="BC235" s="35" t="e">
        <f t="shared" si="518"/>
        <v>#DIV/0!</v>
      </c>
      <c r="BD235" s="11" t="e">
        <f t="shared" si="519"/>
        <v>#DIV/0!</v>
      </c>
    </row>
    <row r="236" spans="1:56" ht="15.75" thickBot="1" x14ac:dyDescent="0.3">
      <c r="A236" s="19" t="s">
        <v>4</v>
      </c>
      <c r="B236" s="8">
        <v>128000</v>
      </c>
      <c r="C236" s="35">
        <f>B236/F229</f>
        <v>104.91803278688525</v>
      </c>
      <c r="D236" s="8">
        <v>5250</v>
      </c>
      <c r="E236" s="68">
        <v>0</v>
      </c>
      <c r="F236" s="70">
        <v>0</v>
      </c>
      <c r="G236" s="35" t="e">
        <f t="shared" si="494"/>
        <v>#DIV/0!</v>
      </c>
      <c r="H236" s="11" t="e">
        <f t="shared" si="495"/>
        <v>#DIV/0!</v>
      </c>
      <c r="I236" s="35">
        <v>0</v>
      </c>
      <c r="J236" s="70">
        <v>0</v>
      </c>
      <c r="K236" s="35" t="e">
        <f t="shared" si="496"/>
        <v>#DIV/0!</v>
      </c>
      <c r="L236" s="6" t="e">
        <f t="shared" si="497"/>
        <v>#DIV/0!</v>
      </c>
      <c r="M236" s="68">
        <v>0</v>
      </c>
      <c r="N236" s="5">
        <v>0</v>
      </c>
      <c r="O236" s="35" t="e">
        <f t="shared" si="498"/>
        <v>#DIV/0!</v>
      </c>
      <c r="P236" s="11" t="e">
        <f t="shared" si="499"/>
        <v>#DIV/0!</v>
      </c>
      <c r="Q236" s="35">
        <v>0</v>
      </c>
      <c r="R236" s="66">
        <v>0</v>
      </c>
      <c r="S236" s="35" t="e">
        <f t="shared" si="500"/>
        <v>#DIV/0!</v>
      </c>
      <c r="T236" s="6" t="e">
        <f t="shared" si="501"/>
        <v>#DIV/0!</v>
      </c>
      <c r="U236" s="68">
        <v>0</v>
      </c>
      <c r="V236" s="66">
        <v>0</v>
      </c>
      <c r="W236" s="20" t="e">
        <f t="shared" si="502"/>
        <v>#DIV/0!</v>
      </c>
      <c r="X236" s="6" t="e">
        <f t="shared" si="503"/>
        <v>#DIV/0!</v>
      </c>
      <c r="Y236" s="68">
        <v>88960</v>
      </c>
      <c r="Z236" s="69">
        <v>1064</v>
      </c>
      <c r="AA236" s="35">
        <f t="shared" si="504"/>
        <v>83.609022556390983</v>
      </c>
      <c r="AB236" s="11">
        <f t="shared" si="505"/>
        <v>0.79689849624060149</v>
      </c>
      <c r="AC236" s="20">
        <v>14900</v>
      </c>
      <c r="AD236" s="33">
        <v>484</v>
      </c>
      <c r="AE236" s="35">
        <f t="shared" si="506"/>
        <v>30.785123966942148</v>
      </c>
      <c r="AF236" s="6">
        <f t="shared" si="507"/>
        <v>0.29342071280991733</v>
      </c>
      <c r="AG236" s="68">
        <v>0</v>
      </c>
      <c r="AH236" s="66">
        <v>0</v>
      </c>
      <c r="AI236" s="35" t="e">
        <f t="shared" si="508"/>
        <v>#DIV/0!</v>
      </c>
      <c r="AJ236" s="6" t="e">
        <f t="shared" si="509"/>
        <v>#DIV/0!</v>
      </c>
      <c r="AK236" s="68">
        <v>9100</v>
      </c>
      <c r="AL236" s="65">
        <v>447</v>
      </c>
      <c r="AM236" s="35">
        <f t="shared" si="510"/>
        <v>20.3579418344519</v>
      </c>
      <c r="AN236" s="6">
        <f t="shared" si="511"/>
        <v>0.19403663310961966</v>
      </c>
      <c r="AO236" s="68">
        <v>0</v>
      </c>
      <c r="AP236" s="66">
        <v>0</v>
      </c>
      <c r="AQ236" s="35" t="e">
        <f t="shared" si="512"/>
        <v>#DIV/0!</v>
      </c>
      <c r="AR236" s="6" t="e">
        <f t="shared" si="513"/>
        <v>#DIV/0!</v>
      </c>
      <c r="AS236" s="68">
        <v>0</v>
      </c>
      <c r="AT236" s="66">
        <v>0</v>
      </c>
      <c r="AU236" s="35" t="e">
        <f t="shared" si="514"/>
        <v>#DIV/0!</v>
      </c>
      <c r="AV236" s="6" t="e">
        <f t="shared" si="515"/>
        <v>#DIV/0!</v>
      </c>
      <c r="AW236" s="68">
        <v>0</v>
      </c>
      <c r="AX236" s="66">
        <v>0</v>
      </c>
      <c r="AY236" s="35" t="e">
        <f t="shared" si="516"/>
        <v>#DIV/0!</v>
      </c>
      <c r="AZ236" s="6" t="e">
        <f t="shared" si="517"/>
        <v>#DIV/0!</v>
      </c>
      <c r="BA236" s="68">
        <v>0</v>
      </c>
      <c r="BB236" s="66">
        <v>0</v>
      </c>
      <c r="BC236" s="35" t="e">
        <f t="shared" si="518"/>
        <v>#DIV/0!</v>
      </c>
      <c r="BD236" s="11" t="e">
        <f t="shared" si="519"/>
        <v>#DIV/0!</v>
      </c>
    </row>
    <row r="237" spans="1:56" ht="15.75" thickBot="1" x14ac:dyDescent="0.3">
      <c r="A237" s="19" t="s">
        <v>5</v>
      </c>
      <c r="B237" s="8">
        <v>168230</v>
      </c>
      <c r="C237" s="35">
        <f>B237/F229</f>
        <v>137.89344262295083</v>
      </c>
      <c r="D237" s="8">
        <v>7050</v>
      </c>
      <c r="E237" s="68">
        <v>0</v>
      </c>
      <c r="F237" s="70">
        <v>0</v>
      </c>
      <c r="G237" s="35" t="e">
        <f t="shared" si="494"/>
        <v>#DIV/0!</v>
      </c>
      <c r="H237" s="11" t="e">
        <f t="shared" si="495"/>
        <v>#DIV/0!</v>
      </c>
      <c r="I237" s="35">
        <v>0</v>
      </c>
      <c r="J237" s="70">
        <v>0</v>
      </c>
      <c r="K237" s="35" t="e">
        <f t="shared" si="496"/>
        <v>#DIV/0!</v>
      </c>
      <c r="L237" s="6" t="e">
        <f t="shared" si="497"/>
        <v>#DIV/0!</v>
      </c>
      <c r="M237" s="68">
        <v>0</v>
      </c>
      <c r="N237" s="5">
        <v>0</v>
      </c>
      <c r="O237" s="35" t="e">
        <f t="shared" si="498"/>
        <v>#DIV/0!</v>
      </c>
      <c r="P237" s="11" t="e">
        <f t="shared" si="499"/>
        <v>#DIV/0!</v>
      </c>
      <c r="Q237" s="35">
        <v>0</v>
      </c>
      <c r="R237" s="66">
        <v>0</v>
      </c>
      <c r="S237" s="35" t="e">
        <f t="shared" si="500"/>
        <v>#DIV/0!</v>
      </c>
      <c r="T237" s="6" t="e">
        <f t="shared" si="501"/>
        <v>#DIV/0!</v>
      </c>
      <c r="U237" s="68">
        <v>0</v>
      </c>
      <c r="V237" s="66">
        <v>0</v>
      </c>
      <c r="W237" s="20" t="e">
        <f t="shared" si="502"/>
        <v>#DIV/0!</v>
      </c>
      <c r="X237" s="6" t="e">
        <f t="shared" si="503"/>
        <v>#DIV/0!</v>
      </c>
      <c r="Y237" s="68">
        <v>120380</v>
      </c>
      <c r="Z237" s="69">
        <v>1064</v>
      </c>
      <c r="AA237" s="35">
        <f t="shared" si="504"/>
        <v>113.1390977443609</v>
      </c>
      <c r="AB237" s="11">
        <f t="shared" si="505"/>
        <v>0.8204820736379973</v>
      </c>
      <c r="AC237" s="20">
        <v>16920</v>
      </c>
      <c r="AD237" s="33">
        <v>484</v>
      </c>
      <c r="AE237" s="35">
        <f t="shared" si="506"/>
        <v>34.958677685950413</v>
      </c>
      <c r="AF237" s="6">
        <f t="shared" si="507"/>
        <v>0.25351950767912679</v>
      </c>
      <c r="AG237" s="68">
        <v>0</v>
      </c>
      <c r="AH237" s="66">
        <v>0</v>
      </c>
      <c r="AI237" s="35" t="e">
        <f t="shared" si="508"/>
        <v>#DIV/0!</v>
      </c>
      <c r="AJ237" s="6" t="e">
        <f t="shared" si="509"/>
        <v>#DIV/0!</v>
      </c>
      <c r="AK237" s="68">
        <v>10450</v>
      </c>
      <c r="AL237" s="65">
        <v>447</v>
      </c>
      <c r="AM237" s="35">
        <f t="shared" si="510"/>
        <v>23.378076062639821</v>
      </c>
      <c r="AN237" s="6">
        <f t="shared" si="511"/>
        <v>0.16953725730500255</v>
      </c>
      <c r="AO237" s="68">
        <v>0</v>
      </c>
      <c r="AP237" s="66">
        <v>0</v>
      </c>
      <c r="AQ237" s="35" t="e">
        <f t="shared" si="512"/>
        <v>#DIV/0!</v>
      </c>
      <c r="AR237" s="6" t="e">
        <f t="shared" si="513"/>
        <v>#DIV/0!</v>
      </c>
      <c r="AS237" s="68">
        <v>0</v>
      </c>
      <c r="AT237" s="66">
        <v>0</v>
      </c>
      <c r="AU237" s="35" t="e">
        <f t="shared" si="514"/>
        <v>#DIV/0!</v>
      </c>
      <c r="AV237" s="6" t="e">
        <f t="shared" si="515"/>
        <v>#DIV/0!</v>
      </c>
      <c r="AW237" s="68">
        <v>0</v>
      </c>
      <c r="AX237" s="66">
        <v>0</v>
      </c>
      <c r="AY237" s="35" t="e">
        <f t="shared" si="516"/>
        <v>#DIV/0!</v>
      </c>
      <c r="AZ237" s="6" t="e">
        <f t="shared" si="517"/>
        <v>#DIV/0!</v>
      </c>
      <c r="BA237" s="68">
        <v>0</v>
      </c>
      <c r="BB237" s="66">
        <v>0</v>
      </c>
      <c r="BC237" s="35" t="e">
        <f t="shared" si="518"/>
        <v>#DIV/0!</v>
      </c>
      <c r="BD237" s="11" t="e">
        <f t="shared" si="519"/>
        <v>#DIV/0!</v>
      </c>
    </row>
    <row r="238" spans="1:56" x14ac:dyDescent="0.25">
      <c r="A238" s="19" t="s">
        <v>6</v>
      </c>
      <c r="B238" s="8">
        <v>199870</v>
      </c>
      <c r="C238" s="35">
        <f>B238/F229</f>
        <v>163.82786885245901</v>
      </c>
      <c r="D238" s="8">
        <v>10950</v>
      </c>
      <c r="E238" s="68">
        <v>0</v>
      </c>
      <c r="F238" s="70">
        <v>0</v>
      </c>
      <c r="G238" s="35" t="e">
        <f t="shared" si="494"/>
        <v>#DIV/0!</v>
      </c>
      <c r="H238" s="11" t="e">
        <f t="shared" si="495"/>
        <v>#DIV/0!</v>
      </c>
      <c r="I238" s="35">
        <v>0</v>
      </c>
      <c r="J238" s="70">
        <v>0</v>
      </c>
      <c r="K238" s="35" t="e">
        <f t="shared" si="496"/>
        <v>#DIV/0!</v>
      </c>
      <c r="L238" s="6" t="e">
        <f t="shared" si="497"/>
        <v>#DIV/0!</v>
      </c>
      <c r="M238" s="68">
        <v>0</v>
      </c>
      <c r="N238" s="5">
        <v>0</v>
      </c>
      <c r="O238" s="35" t="e">
        <f t="shared" si="498"/>
        <v>#DIV/0!</v>
      </c>
      <c r="P238" s="11" t="e">
        <f t="shared" si="499"/>
        <v>#DIV/0!</v>
      </c>
      <c r="Q238" s="35">
        <v>0</v>
      </c>
      <c r="R238" s="66">
        <v>0</v>
      </c>
      <c r="S238" s="35" t="e">
        <f t="shared" si="500"/>
        <v>#DIV/0!</v>
      </c>
      <c r="T238" s="6" t="e">
        <f t="shared" si="501"/>
        <v>#DIV/0!</v>
      </c>
      <c r="U238" s="68">
        <v>0</v>
      </c>
      <c r="V238" s="66">
        <v>0</v>
      </c>
      <c r="W238" s="20" t="e">
        <f t="shared" si="502"/>
        <v>#DIV/0!</v>
      </c>
      <c r="X238" s="6" t="e">
        <f t="shared" si="503"/>
        <v>#DIV/0!</v>
      </c>
      <c r="Y238" s="68">
        <v>133560</v>
      </c>
      <c r="Z238" s="69">
        <v>1064</v>
      </c>
      <c r="AA238" s="35">
        <f t="shared" si="504"/>
        <v>125.52631578947368</v>
      </c>
      <c r="AB238" s="11">
        <f t="shared" si="505"/>
        <v>0.76620856188101216</v>
      </c>
      <c r="AC238" s="20">
        <v>24180</v>
      </c>
      <c r="AD238" s="33">
        <v>484</v>
      </c>
      <c r="AE238" s="35">
        <f t="shared" si="506"/>
        <v>49.958677685950413</v>
      </c>
      <c r="AF238" s="6">
        <f t="shared" si="507"/>
        <v>0.30494614888107024</v>
      </c>
      <c r="AG238" s="68">
        <v>0</v>
      </c>
      <c r="AH238" s="66">
        <v>0</v>
      </c>
      <c r="AI238" s="35" t="e">
        <f t="shared" si="508"/>
        <v>#DIV/0!</v>
      </c>
      <c r="AJ238" s="6" t="e">
        <f t="shared" si="509"/>
        <v>#DIV/0!</v>
      </c>
      <c r="AK238" s="68">
        <v>11850</v>
      </c>
      <c r="AL238" s="65">
        <v>447</v>
      </c>
      <c r="AM238" s="35">
        <f t="shared" si="510"/>
        <v>26.51006711409396</v>
      </c>
      <c r="AN238" s="6">
        <f t="shared" si="511"/>
        <v>0.16181659017958991</v>
      </c>
      <c r="AO238" s="68">
        <v>0</v>
      </c>
      <c r="AP238" s="66">
        <v>0</v>
      </c>
      <c r="AQ238" s="35" t="e">
        <f t="shared" si="512"/>
        <v>#DIV/0!</v>
      </c>
      <c r="AR238" s="6" t="e">
        <f t="shared" si="513"/>
        <v>#DIV/0!</v>
      </c>
      <c r="AS238" s="68">
        <v>0</v>
      </c>
      <c r="AT238" s="66">
        <v>0</v>
      </c>
      <c r="AU238" s="35" t="e">
        <f t="shared" si="514"/>
        <v>#DIV/0!</v>
      </c>
      <c r="AV238" s="6" t="e">
        <f t="shared" si="515"/>
        <v>#DIV/0!</v>
      </c>
      <c r="AW238" s="68">
        <v>0</v>
      </c>
      <c r="AX238" s="66">
        <v>0</v>
      </c>
      <c r="AY238" s="35" t="e">
        <f t="shared" si="516"/>
        <v>#DIV/0!</v>
      </c>
      <c r="AZ238" s="6" t="e">
        <f t="shared" si="517"/>
        <v>#DIV/0!</v>
      </c>
      <c r="BA238" s="68">
        <v>0</v>
      </c>
      <c r="BB238" s="66">
        <v>0</v>
      </c>
      <c r="BC238" s="35" t="e">
        <f t="shared" si="518"/>
        <v>#DIV/0!</v>
      </c>
      <c r="BD238" s="11" t="e">
        <f t="shared" si="519"/>
        <v>#DIV/0!</v>
      </c>
    </row>
    <row r="239" spans="1:56" ht="15.75" thickBot="1" x14ac:dyDescent="0.3">
      <c r="A239" s="21"/>
      <c r="B239" s="22"/>
      <c r="C239" s="23">
        <f>AVERAGE(Table11015[MA $/Sq Ft])</f>
        <v>95.795081967213108</v>
      </c>
      <c r="D239" s="22">
        <f>AVERAGE(Table11015[Basic Allowance])</f>
        <v>4442.8571428571431</v>
      </c>
      <c r="E239" s="16"/>
      <c r="F239" s="22"/>
      <c r="G239" s="15"/>
      <c r="H239" s="24" t="e">
        <f>AVERAGE(Table11015[Bsmt % Base])</f>
        <v>#DIV/0!</v>
      </c>
      <c r="I239" s="15"/>
      <c r="J239" s="15"/>
      <c r="K239" s="15"/>
      <c r="L239" s="25" t="e">
        <f>AVERAGE(Table11015[[#Headers],[#Data],[UnfBsmt % Base]])</f>
        <v>#DIV/0!</v>
      </c>
      <c r="M239" s="44"/>
      <c r="N239" s="15"/>
      <c r="O239" s="23" t="e">
        <f>AVERAGE(Table11015[LowerVal/SqFt])</f>
        <v>#DIV/0!</v>
      </c>
      <c r="P239" s="24" t="e">
        <f>AVERAGE(Table11015[Lower % Base])</f>
        <v>#DIV/0!</v>
      </c>
      <c r="Q239" s="13"/>
      <c r="R239" s="13"/>
      <c r="S239" s="13"/>
      <c r="T239" s="25" t="e">
        <f>AVERAGE(Table11015[Unf Lower % Base])</f>
        <v>#DIV/0!</v>
      </c>
      <c r="U239" s="12"/>
      <c r="V239" s="13"/>
      <c r="W239" s="13"/>
      <c r="X239" s="25" t="e">
        <f>AVERAGE(Table11015[1/2 Story % Base])</f>
        <v>#DIV/0!</v>
      </c>
      <c r="Y239" s="12"/>
      <c r="Z239" s="13"/>
      <c r="AA239" s="13"/>
      <c r="AB239" s="24">
        <f>AVERAGE(Table11015[2nd Story % Base])</f>
        <v>0.79194828204271317</v>
      </c>
      <c r="AC239" s="13"/>
      <c r="AD239" s="13"/>
      <c r="AE239" s="23">
        <f>AVERAGE(Table11015[AttGarVal/SqFt])</f>
        <v>29.152892561983471</v>
      </c>
      <c r="AF239" s="25">
        <f>AVERAGE(Table11015[Att Gar % Base])</f>
        <v>0.31228459202136716</v>
      </c>
      <c r="AG239" s="12"/>
      <c r="AH239" s="13"/>
      <c r="AI239" s="13"/>
      <c r="AJ239" s="25" t="e">
        <f>AVERAGE(Table11015[Porch % Base])</f>
        <v>#DIV/0!</v>
      </c>
      <c r="AK239" s="12"/>
      <c r="AL239" s="13"/>
      <c r="AM239" s="13"/>
      <c r="AN239" s="25">
        <f>AVERAGE(Table11015[Cov Porch % Base])</f>
        <v>0.19285179589855672</v>
      </c>
      <c r="AO239" s="12"/>
      <c r="AP239" s="13"/>
      <c r="AQ239" s="13"/>
      <c r="AR239" s="25" t="e">
        <f>AVERAGE(Table11015[Deck % Base])</f>
        <v>#DIV/0!</v>
      </c>
      <c r="AS239" s="12"/>
      <c r="AT239" s="13"/>
      <c r="AU239" s="23" t="e">
        <f>AVERAGE(Table11015[CovDeckVal/SqFt])</f>
        <v>#DIV/0!</v>
      </c>
      <c r="AV239" s="25" t="e">
        <f>AVERAGE(Table11015[CovDeck % Base])</f>
        <v>#DIV/0!</v>
      </c>
      <c r="AW239" s="12"/>
      <c r="AX239" s="13"/>
      <c r="AY239" s="13"/>
      <c r="AZ239" s="25" t="e">
        <f>AVERAGE(Table11015[CarP % Base])</f>
        <v>#DIV/0!</v>
      </c>
      <c r="BA239" s="12"/>
      <c r="BB239" s="13"/>
      <c r="BC239" s="13"/>
      <c r="BD239" s="24" t="e">
        <f>AVERAGE(Table11015[EFP % Base])</f>
        <v>#DIV/0!</v>
      </c>
    </row>
    <row r="241" spans="1:56" ht="15.75" thickBot="1" x14ac:dyDescent="0.3">
      <c r="A241" s="82"/>
      <c r="B241" t="s">
        <v>79</v>
      </c>
      <c r="C241" s="78" t="s">
        <v>108</v>
      </c>
      <c r="E241" t="s">
        <v>33</v>
      </c>
      <c r="F241" s="79">
        <v>1304</v>
      </c>
      <c r="H241" t="s">
        <v>80</v>
      </c>
      <c r="I241" t="s">
        <v>105</v>
      </c>
    </row>
    <row r="242" spans="1:56" x14ac:dyDescent="0.25">
      <c r="A242" s="112"/>
      <c r="B242" s="113"/>
      <c r="C242" s="113"/>
      <c r="D242" s="114"/>
      <c r="E242" s="115" t="s">
        <v>27</v>
      </c>
      <c r="F242" s="116"/>
      <c r="G242" s="116"/>
      <c r="H242" s="117"/>
      <c r="I242" s="118" t="s">
        <v>28</v>
      </c>
      <c r="J242" s="119"/>
      <c r="K242" s="119"/>
      <c r="L242" s="120"/>
      <c r="M242" s="121" t="s">
        <v>7</v>
      </c>
      <c r="N242" s="122"/>
      <c r="O242" s="122"/>
      <c r="P242" s="123"/>
      <c r="Q242" s="124" t="s">
        <v>29</v>
      </c>
      <c r="R242" s="125"/>
      <c r="S242" s="125"/>
      <c r="T242" s="126"/>
      <c r="U242" s="127" t="s">
        <v>8</v>
      </c>
      <c r="V242" s="128"/>
      <c r="W242" s="128"/>
      <c r="X242" s="129"/>
      <c r="Y242" s="130" t="s">
        <v>0</v>
      </c>
      <c r="Z242" s="131"/>
      <c r="AA242" s="131"/>
      <c r="AB242" s="132"/>
      <c r="AC242" s="133" t="s">
        <v>34</v>
      </c>
      <c r="AD242" s="134"/>
      <c r="AE242" s="134"/>
      <c r="AF242" s="135"/>
      <c r="AG242" s="115" t="s">
        <v>9</v>
      </c>
      <c r="AH242" s="116"/>
      <c r="AI242" s="116"/>
      <c r="AJ242" s="117"/>
      <c r="AK242" s="136" t="s">
        <v>35</v>
      </c>
      <c r="AL242" s="137"/>
      <c r="AM242" s="137"/>
      <c r="AN242" s="138"/>
      <c r="AO242" s="139" t="s">
        <v>10</v>
      </c>
      <c r="AP242" s="140"/>
      <c r="AQ242" s="140"/>
      <c r="AR242" s="141"/>
      <c r="AS242" s="124" t="s">
        <v>36</v>
      </c>
      <c r="AT242" s="125"/>
      <c r="AU242" s="125"/>
      <c r="AV242" s="126"/>
      <c r="AW242" s="142" t="s">
        <v>11</v>
      </c>
      <c r="AX242" s="143"/>
      <c r="AY242" s="143"/>
      <c r="AZ242" s="144"/>
      <c r="BA242" s="148" t="s">
        <v>17</v>
      </c>
      <c r="BB242" s="149"/>
      <c r="BC242" s="149"/>
      <c r="BD242" s="150"/>
    </row>
    <row r="243" spans="1:56" s="1" customFormat="1" ht="15.75" thickBot="1" x14ac:dyDescent="0.3">
      <c r="A243" s="41" t="s">
        <v>13</v>
      </c>
      <c r="B243" s="42" t="s">
        <v>15</v>
      </c>
      <c r="C243" s="42" t="s">
        <v>32</v>
      </c>
      <c r="D243" s="43" t="s">
        <v>18</v>
      </c>
      <c r="E243" s="30" t="s">
        <v>30</v>
      </c>
      <c r="F243" s="31" t="s">
        <v>61</v>
      </c>
      <c r="G243" s="31" t="s">
        <v>38</v>
      </c>
      <c r="H243" s="32" t="s">
        <v>62</v>
      </c>
      <c r="I243" s="37" t="s">
        <v>31</v>
      </c>
      <c r="J243" s="38" t="s">
        <v>39</v>
      </c>
      <c r="K243" s="38" t="s">
        <v>40</v>
      </c>
      <c r="L243" s="39" t="s">
        <v>63</v>
      </c>
      <c r="M243" s="40" t="s">
        <v>19</v>
      </c>
      <c r="N243" s="7" t="s">
        <v>41</v>
      </c>
      <c r="O243" s="7" t="s">
        <v>37</v>
      </c>
      <c r="P243" s="7" t="s">
        <v>64</v>
      </c>
      <c r="Q243" s="27" t="s">
        <v>20</v>
      </c>
      <c r="R243" s="28" t="s">
        <v>60</v>
      </c>
      <c r="S243" s="28" t="s">
        <v>59</v>
      </c>
      <c r="T243" s="29" t="s">
        <v>65</v>
      </c>
      <c r="U243" s="48" t="s">
        <v>21</v>
      </c>
      <c r="V243" s="48" t="s">
        <v>42</v>
      </c>
      <c r="W243" s="48" t="s">
        <v>43</v>
      </c>
      <c r="X243" s="49" t="s">
        <v>66</v>
      </c>
      <c r="Y243" s="50" t="s">
        <v>22</v>
      </c>
      <c r="Z243" s="51" t="s">
        <v>44</v>
      </c>
      <c r="AA243" s="51" t="s">
        <v>45</v>
      </c>
      <c r="AB243" s="52" t="s">
        <v>67</v>
      </c>
      <c r="AC243" s="45" t="s">
        <v>23</v>
      </c>
      <c r="AD243" s="46" t="s">
        <v>46</v>
      </c>
      <c r="AE243" s="46" t="s">
        <v>47</v>
      </c>
      <c r="AF243" s="47" t="s">
        <v>68</v>
      </c>
      <c r="AG243" s="30" t="s">
        <v>24</v>
      </c>
      <c r="AH243" s="31" t="s">
        <v>48</v>
      </c>
      <c r="AI243" s="31" t="s">
        <v>49</v>
      </c>
      <c r="AJ243" s="32" t="s">
        <v>69</v>
      </c>
      <c r="AK243" s="53" t="s">
        <v>25</v>
      </c>
      <c r="AL243" s="54" t="s">
        <v>50</v>
      </c>
      <c r="AM243" s="54" t="s">
        <v>51</v>
      </c>
      <c r="AN243" s="55" t="s">
        <v>70</v>
      </c>
      <c r="AO243" s="56" t="s">
        <v>26</v>
      </c>
      <c r="AP243" s="57" t="s">
        <v>52</v>
      </c>
      <c r="AQ243" s="57" t="s">
        <v>53</v>
      </c>
      <c r="AR243" s="58" t="s">
        <v>71</v>
      </c>
      <c r="AS243" s="59" t="s">
        <v>55</v>
      </c>
      <c r="AT243" s="60" t="s">
        <v>54</v>
      </c>
      <c r="AU243" s="60" t="s">
        <v>56</v>
      </c>
      <c r="AV243" s="61" t="s">
        <v>76</v>
      </c>
      <c r="AW243" s="62" t="s">
        <v>72</v>
      </c>
      <c r="AX243" s="63" t="s">
        <v>73</v>
      </c>
      <c r="AY243" s="63" t="s">
        <v>74</v>
      </c>
      <c r="AZ243" s="64" t="s">
        <v>75</v>
      </c>
      <c r="BA243" s="71" t="s">
        <v>77</v>
      </c>
      <c r="BB243" s="72" t="s">
        <v>57</v>
      </c>
      <c r="BC243" s="72" t="s">
        <v>58</v>
      </c>
      <c r="BD243" s="73" t="s">
        <v>78</v>
      </c>
    </row>
    <row r="244" spans="1:56" ht="15.75" thickBot="1" x14ac:dyDescent="0.3">
      <c r="A244" s="17" t="s">
        <v>1</v>
      </c>
      <c r="B244" s="14">
        <v>65350</v>
      </c>
      <c r="C244" s="34">
        <f>B244/F241</f>
        <v>50.115030674846629</v>
      </c>
      <c r="D244" s="14">
        <v>1525</v>
      </c>
      <c r="E244" s="67">
        <v>0</v>
      </c>
      <c r="F244" s="69">
        <v>0</v>
      </c>
      <c r="G244" s="34" t="e">
        <f t="shared" ref="G244:G250" si="520">E244/F244</f>
        <v>#DIV/0!</v>
      </c>
      <c r="H244" s="10" t="e">
        <f t="shared" ref="H244:H250" si="521">G244/C244</f>
        <v>#DIV/0!</v>
      </c>
      <c r="I244" s="34">
        <v>0</v>
      </c>
      <c r="J244" s="69">
        <v>0</v>
      </c>
      <c r="K244" s="34" t="e">
        <f t="shared" ref="K244:K250" si="522">I244/J244</f>
        <v>#DIV/0!</v>
      </c>
      <c r="L244" s="9" t="e">
        <f t="shared" ref="L244:L250" si="523">K244/C244</f>
        <v>#DIV/0!</v>
      </c>
      <c r="M244" s="67">
        <v>21370</v>
      </c>
      <c r="N244" s="26">
        <v>676</v>
      </c>
      <c r="O244" s="34">
        <f t="shared" ref="O244:O250" si="524">M244/N244</f>
        <v>31.61242603550296</v>
      </c>
      <c r="P244" s="10">
        <f t="shared" ref="P244:P250" si="525">O244/C244</f>
        <v>0.63079729992801614</v>
      </c>
      <c r="Q244" s="35">
        <v>0</v>
      </c>
      <c r="R244" s="66">
        <v>0</v>
      </c>
      <c r="S244" s="35" t="e">
        <f t="shared" ref="S244:S250" si="526">Q244/R244</f>
        <v>#DIV/0!</v>
      </c>
      <c r="T244" s="6" t="e">
        <f t="shared" ref="T244:T250" si="527">S244/C244</f>
        <v>#DIV/0!</v>
      </c>
      <c r="U244" s="67">
        <v>0</v>
      </c>
      <c r="V244" s="65">
        <v>0</v>
      </c>
      <c r="W244" s="18" t="e">
        <f t="shared" ref="W244:W250" si="528">U244/V244</f>
        <v>#DIV/0!</v>
      </c>
      <c r="X244" s="9" t="e">
        <f t="shared" ref="X244:X250" si="529">W244/C244</f>
        <v>#DIV/0!</v>
      </c>
      <c r="Y244" s="67">
        <v>0</v>
      </c>
      <c r="Z244" s="69">
        <v>0</v>
      </c>
      <c r="AA244" s="34" t="e">
        <f t="shared" ref="AA244:AA250" si="530">Y244/Z244</f>
        <v>#DIV/0!</v>
      </c>
      <c r="AB244" s="10" t="e">
        <f t="shared" ref="AB244:AB250" si="531">AA244/C244</f>
        <v>#DIV/0!</v>
      </c>
      <c r="AC244" s="18">
        <v>9640</v>
      </c>
      <c r="AD244" s="33">
        <v>672</v>
      </c>
      <c r="AE244" s="34">
        <f t="shared" ref="AE244:AE250" si="532">AC244/AD244</f>
        <v>14.345238095238095</v>
      </c>
      <c r="AF244" s="9">
        <f t="shared" ref="AF244:AF250" si="533">AE244/C244</f>
        <v>0.28624621998761246</v>
      </c>
      <c r="AG244" s="67">
        <v>0</v>
      </c>
      <c r="AH244" s="65">
        <v>0</v>
      </c>
      <c r="AI244" s="34" t="e">
        <f t="shared" ref="AI244:AI250" si="534">AG244/AH244</f>
        <v>#DIV/0!</v>
      </c>
      <c r="AJ244" s="9" t="e">
        <f t="shared" ref="AJ244:AJ250" si="535">AI244/C244</f>
        <v>#DIV/0!</v>
      </c>
      <c r="AK244" s="67">
        <v>4860</v>
      </c>
      <c r="AL244" s="65">
        <v>576</v>
      </c>
      <c r="AM244" s="34">
        <f t="shared" ref="AM244:AM250" si="536">AK244/AL244</f>
        <v>8.4375</v>
      </c>
      <c r="AN244" s="9">
        <f t="shared" ref="AN244:AN250" si="537">AM244/C244</f>
        <v>0.16836266258607496</v>
      </c>
      <c r="AO244" s="67">
        <v>0</v>
      </c>
      <c r="AP244" s="65">
        <v>0</v>
      </c>
      <c r="AQ244" s="34" t="e">
        <f t="shared" ref="AQ244:AQ250" si="538">AO244/AP244</f>
        <v>#DIV/0!</v>
      </c>
      <c r="AR244" s="9" t="e">
        <f t="shared" ref="AR244:AR250" si="539">AQ244/C244</f>
        <v>#DIV/0!</v>
      </c>
      <c r="AS244" s="67">
        <v>0</v>
      </c>
      <c r="AT244" s="65">
        <v>0</v>
      </c>
      <c r="AU244" s="34" t="e">
        <f t="shared" ref="AU244:AU250" si="540">AS244/AT244</f>
        <v>#DIV/0!</v>
      </c>
      <c r="AV244" s="9" t="e">
        <f t="shared" ref="AV244:AV250" si="541">AU244/C244</f>
        <v>#DIV/0!</v>
      </c>
      <c r="AW244" s="67">
        <v>0</v>
      </c>
      <c r="AX244" s="65">
        <v>0</v>
      </c>
      <c r="AY244" s="34" t="e">
        <f t="shared" ref="AY244:AY250" si="542">AW244/AX244</f>
        <v>#DIV/0!</v>
      </c>
      <c r="AZ244" s="9" t="e">
        <f t="shared" ref="AZ244:AZ250" si="543">AY244/C244</f>
        <v>#DIV/0!</v>
      </c>
      <c r="BA244" s="67">
        <v>0</v>
      </c>
      <c r="BB244" s="65">
        <v>0</v>
      </c>
      <c r="BC244" s="34" t="e">
        <f t="shared" ref="BC244:BC250" si="544">BA244/BB244</f>
        <v>#DIV/0!</v>
      </c>
      <c r="BD244" s="10" t="e">
        <f t="shared" ref="BD244:BD250" si="545">BC244/C244</f>
        <v>#DIV/0!</v>
      </c>
    </row>
    <row r="245" spans="1:56" ht="15.75" thickBot="1" x14ac:dyDescent="0.3">
      <c r="A245" s="19" t="s">
        <v>16</v>
      </c>
      <c r="B245" s="8">
        <v>76880</v>
      </c>
      <c r="C245" s="35">
        <f>B245/F241</f>
        <v>58.95705521472393</v>
      </c>
      <c r="D245" s="8">
        <v>1525</v>
      </c>
      <c r="E245" s="68">
        <v>0</v>
      </c>
      <c r="F245" s="70">
        <v>0</v>
      </c>
      <c r="G245" s="35" t="e">
        <f t="shared" si="520"/>
        <v>#DIV/0!</v>
      </c>
      <c r="H245" s="11" t="e">
        <f t="shared" si="521"/>
        <v>#DIV/0!</v>
      </c>
      <c r="I245" s="35">
        <v>0</v>
      </c>
      <c r="J245" s="70">
        <v>0</v>
      </c>
      <c r="K245" s="35" t="e">
        <f t="shared" si="522"/>
        <v>#DIV/0!</v>
      </c>
      <c r="L245" s="6" t="e">
        <f t="shared" si="523"/>
        <v>#DIV/0!</v>
      </c>
      <c r="M245" s="68">
        <v>26630</v>
      </c>
      <c r="N245" s="26">
        <v>676</v>
      </c>
      <c r="O245" s="35">
        <f t="shared" si="524"/>
        <v>39.393491124260358</v>
      </c>
      <c r="P245" s="11">
        <f t="shared" si="525"/>
        <v>0.66817263821586248</v>
      </c>
      <c r="Q245" s="35">
        <v>0</v>
      </c>
      <c r="R245" s="66">
        <v>0</v>
      </c>
      <c r="S245" s="35" t="e">
        <f t="shared" si="526"/>
        <v>#DIV/0!</v>
      </c>
      <c r="T245" s="6" t="e">
        <f t="shared" si="527"/>
        <v>#DIV/0!</v>
      </c>
      <c r="U245" s="68">
        <v>0</v>
      </c>
      <c r="V245" s="66">
        <v>0</v>
      </c>
      <c r="W245" s="20" t="e">
        <f t="shared" si="528"/>
        <v>#DIV/0!</v>
      </c>
      <c r="X245" s="6" t="e">
        <f t="shared" si="529"/>
        <v>#DIV/0!</v>
      </c>
      <c r="Y245" s="68">
        <v>0</v>
      </c>
      <c r="Z245" s="70">
        <v>0</v>
      </c>
      <c r="AA245" s="35" t="e">
        <f t="shared" si="530"/>
        <v>#DIV/0!</v>
      </c>
      <c r="AB245" s="11" t="e">
        <f t="shared" si="531"/>
        <v>#DIV/0!</v>
      </c>
      <c r="AC245" s="20">
        <v>12770</v>
      </c>
      <c r="AD245" s="33">
        <v>672</v>
      </c>
      <c r="AE245" s="35">
        <f t="shared" si="532"/>
        <v>19.00297619047619</v>
      </c>
      <c r="AF245" s="6">
        <f t="shared" si="533"/>
        <v>0.32231895099350871</v>
      </c>
      <c r="AG245" s="68">
        <v>0</v>
      </c>
      <c r="AH245" s="66">
        <v>0</v>
      </c>
      <c r="AI245" s="35" t="e">
        <f t="shared" si="534"/>
        <v>#DIV/0!</v>
      </c>
      <c r="AJ245" s="6" t="e">
        <f t="shared" si="535"/>
        <v>#DIV/0!</v>
      </c>
      <c r="AK245" s="68">
        <v>6700</v>
      </c>
      <c r="AL245" s="65">
        <v>576</v>
      </c>
      <c r="AM245" s="35">
        <f t="shared" si="536"/>
        <v>11.631944444444445</v>
      </c>
      <c r="AN245" s="6">
        <f t="shared" si="537"/>
        <v>0.19729520753844373</v>
      </c>
      <c r="AO245" s="68">
        <v>0</v>
      </c>
      <c r="AP245" s="66">
        <v>0</v>
      </c>
      <c r="AQ245" s="35" t="e">
        <f t="shared" si="538"/>
        <v>#DIV/0!</v>
      </c>
      <c r="AR245" s="6" t="e">
        <f t="shared" si="539"/>
        <v>#DIV/0!</v>
      </c>
      <c r="AS245" s="68">
        <v>0</v>
      </c>
      <c r="AT245" s="66">
        <v>0</v>
      </c>
      <c r="AU245" s="35" t="e">
        <f t="shared" si="540"/>
        <v>#DIV/0!</v>
      </c>
      <c r="AV245" s="6" t="e">
        <f t="shared" si="541"/>
        <v>#DIV/0!</v>
      </c>
      <c r="AW245" s="68">
        <v>0</v>
      </c>
      <c r="AX245" s="66">
        <v>0</v>
      </c>
      <c r="AY245" s="35" t="e">
        <f t="shared" si="542"/>
        <v>#DIV/0!</v>
      </c>
      <c r="AZ245" s="6" t="e">
        <f t="shared" si="543"/>
        <v>#DIV/0!</v>
      </c>
      <c r="BA245" s="68">
        <v>0</v>
      </c>
      <c r="BB245" s="66">
        <v>0</v>
      </c>
      <c r="BC245" s="35" t="e">
        <f t="shared" si="544"/>
        <v>#DIV/0!</v>
      </c>
      <c r="BD245" s="11" t="e">
        <f t="shared" si="545"/>
        <v>#DIV/0!</v>
      </c>
    </row>
    <row r="246" spans="1:56" ht="15.75" thickBot="1" x14ac:dyDescent="0.3">
      <c r="A246" s="19" t="s">
        <v>2</v>
      </c>
      <c r="B246" s="8">
        <v>89890</v>
      </c>
      <c r="C246" s="35">
        <f>B246/F241</f>
        <v>68.934049079754601</v>
      </c>
      <c r="D246" s="8">
        <v>2100</v>
      </c>
      <c r="E246" s="68">
        <v>0</v>
      </c>
      <c r="F246" s="70">
        <v>0</v>
      </c>
      <c r="G246" s="35" t="e">
        <f t="shared" si="520"/>
        <v>#DIV/0!</v>
      </c>
      <c r="H246" s="11" t="e">
        <f t="shared" si="521"/>
        <v>#DIV/0!</v>
      </c>
      <c r="I246" s="35">
        <v>0</v>
      </c>
      <c r="J246" s="70">
        <v>0</v>
      </c>
      <c r="K246" s="35" t="e">
        <f t="shared" si="522"/>
        <v>#DIV/0!</v>
      </c>
      <c r="L246" s="6" t="e">
        <f t="shared" si="523"/>
        <v>#DIV/0!</v>
      </c>
      <c r="M246" s="68">
        <v>30420</v>
      </c>
      <c r="N246" s="26">
        <v>676</v>
      </c>
      <c r="O246" s="35">
        <f t="shared" si="524"/>
        <v>45</v>
      </c>
      <c r="P246" s="11">
        <f t="shared" si="525"/>
        <v>0.65279786405606854</v>
      </c>
      <c r="Q246" s="35">
        <v>0</v>
      </c>
      <c r="R246" s="66">
        <v>0</v>
      </c>
      <c r="S246" s="35" t="e">
        <f t="shared" si="526"/>
        <v>#DIV/0!</v>
      </c>
      <c r="T246" s="6" t="e">
        <f t="shared" si="527"/>
        <v>#DIV/0!</v>
      </c>
      <c r="U246" s="68">
        <v>0</v>
      </c>
      <c r="V246" s="66">
        <v>0</v>
      </c>
      <c r="W246" s="20" t="e">
        <f t="shared" si="528"/>
        <v>#DIV/0!</v>
      </c>
      <c r="X246" s="6" t="e">
        <f t="shared" si="529"/>
        <v>#DIV/0!</v>
      </c>
      <c r="Y246" s="68">
        <v>0</v>
      </c>
      <c r="Z246" s="70">
        <v>0</v>
      </c>
      <c r="AA246" s="35" t="e">
        <f t="shared" si="530"/>
        <v>#DIV/0!</v>
      </c>
      <c r="AB246" s="11" t="e">
        <f t="shared" si="531"/>
        <v>#DIV/0!</v>
      </c>
      <c r="AC246" s="20">
        <v>16400</v>
      </c>
      <c r="AD246" s="33">
        <v>672</v>
      </c>
      <c r="AE246" s="35">
        <f t="shared" si="532"/>
        <v>24.404761904761905</v>
      </c>
      <c r="AF246" s="6">
        <f t="shared" si="533"/>
        <v>0.35403058764945516</v>
      </c>
      <c r="AG246" s="68">
        <v>0</v>
      </c>
      <c r="AH246" s="66">
        <v>0</v>
      </c>
      <c r="AI246" s="35" t="e">
        <f t="shared" si="534"/>
        <v>#DIV/0!</v>
      </c>
      <c r="AJ246" s="6" t="e">
        <f t="shared" si="535"/>
        <v>#DIV/0!</v>
      </c>
      <c r="AK246" s="68">
        <v>7830</v>
      </c>
      <c r="AL246" s="65">
        <v>576</v>
      </c>
      <c r="AM246" s="35">
        <f t="shared" si="536"/>
        <v>13.59375</v>
      </c>
      <c r="AN246" s="6">
        <f t="shared" si="537"/>
        <v>0.19719935476693737</v>
      </c>
      <c r="AO246" s="68">
        <v>0</v>
      </c>
      <c r="AP246" s="66">
        <v>0</v>
      </c>
      <c r="AQ246" s="35" t="e">
        <f t="shared" si="538"/>
        <v>#DIV/0!</v>
      </c>
      <c r="AR246" s="6" t="e">
        <f t="shared" si="539"/>
        <v>#DIV/0!</v>
      </c>
      <c r="AS246" s="68">
        <v>0</v>
      </c>
      <c r="AT246" s="66">
        <v>0</v>
      </c>
      <c r="AU246" s="35" t="e">
        <f t="shared" si="540"/>
        <v>#DIV/0!</v>
      </c>
      <c r="AV246" s="6" t="e">
        <f t="shared" si="541"/>
        <v>#DIV/0!</v>
      </c>
      <c r="AW246" s="68">
        <v>0</v>
      </c>
      <c r="AX246" s="66">
        <v>0</v>
      </c>
      <c r="AY246" s="35" t="e">
        <f t="shared" si="542"/>
        <v>#DIV/0!</v>
      </c>
      <c r="AZ246" s="6" t="e">
        <f t="shared" si="543"/>
        <v>#DIV/0!</v>
      </c>
      <c r="BA246" s="68">
        <v>0</v>
      </c>
      <c r="BB246" s="66">
        <v>0</v>
      </c>
      <c r="BC246" s="35" t="e">
        <f t="shared" si="544"/>
        <v>#DIV/0!</v>
      </c>
      <c r="BD246" s="11" t="e">
        <f t="shared" si="545"/>
        <v>#DIV/0!</v>
      </c>
    </row>
    <row r="247" spans="1:56" ht="15.75" thickBot="1" x14ac:dyDescent="0.3">
      <c r="A247" s="19" t="s">
        <v>3</v>
      </c>
      <c r="B247" s="8">
        <v>108630</v>
      </c>
      <c r="C247" s="35">
        <f>B247/F241</f>
        <v>83.305214723926383</v>
      </c>
      <c r="D247" s="8">
        <v>2700</v>
      </c>
      <c r="E247" s="68">
        <v>0</v>
      </c>
      <c r="F247" s="70">
        <v>0</v>
      </c>
      <c r="G247" s="35" t="e">
        <f t="shared" si="520"/>
        <v>#DIV/0!</v>
      </c>
      <c r="H247" s="11" t="e">
        <f t="shared" si="521"/>
        <v>#DIV/0!</v>
      </c>
      <c r="I247" s="35">
        <v>0</v>
      </c>
      <c r="J247" s="70">
        <v>0</v>
      </c>
      <c r="K247" s="35" t="e">
        <f t="shared" si="522"/>
        <v>#DIV/0!</v>
      </c>
      <c r="L247" s="6" t="e">
        <f t="shared" si="523"/>
        <v>#DIV/0!</v>
      </c>
      <c r="M247" s="68">
        <v>34920</v>
      </c>
      <c r="N247" s="26">
        <v>676</v>
      </c>
      <c r="O247" s="35">
        <f t="shared" si="524"/>
        <v>51.65680473372781</v>
      </c>
      <c r="P247" s="11">
        <f t="shared" si="525"/>
        <v>0.62009088992710171</v>
      </c>
      <c r="Q247" s="35">
        <v>0</v>
      </c>
      <c r="R247" s="66">
        <v>0</v>
      </c>
      <c r="S247" s="35" t="e">
        <f t="shared" si="526"/>
        <v>#DIV/0!</v>
      </c>
      <c r="T247" s="6" t="e">
        <f t="shared" si="527"/>
        <v>#DIV/0!</v>
      </c>
      <c r="U247" s="68">
        <v>0</v>
      </c>
      <c r="V247" s="66">
        <v>0</v>
      </c>
      <c r="W247" s="20" t="e">
        <f t="shared" si="528"/>
        <v>#DIV/0!</v>
      </c>
      <c r="X247" s="6" t="e">
        <f t="shared" si="529"/>
        <v>#DIV/0!</v>
      </c>
      <c r="Y247" s="68">
        <v>0</v>
      </c>
      <c r="Z247" s="70">
        <v>0</v>
      </c>
      <c r="AA247" s="35" t="e">
        <f t="shared" si="530"/>
        <v>#DIV/0!</v>
      </c>
      <c r="AB247" s="11" t="e">
        <f t="shared" si="531"/>
        <v>#DIV/0!</v>
      </c>
      <c r="AC247" s="20">
        <v>17470</v>
      </c>
      <c r="AD247" s="33">
        <v>672</v>
      </c>
      <c r="AE247" s="35">
        <f t="shared" si="532"/>
        <v>25.99702380952381</v>
      </c>
      <c r="AF247" s="6">
        <f t="shared" si="533"/>
        <v>0.31206958526759687</v>
      </c>
      <c r="AG247" s="68">
        <v>0</v>
      </c>
      <c r="AH247" s="66">
        <v>0</v>
      </c>
      <c r="AI247" s="35" t="e">
        <f t="shared" si="534"/>
        <v>#DIV/0!</v>
      </c>
      <c r="AJ247" s="6" t="e">
        <f t="shared" si="535"/>
        <v>#DIV/0!</v>
      </c>
      <c r="AK247" s="68">
        <v>10250</v>
      </c>
      <c r="AL247" s="65">
        <v>576</v>
      </c>
      <c r="AM247" s="35">
        <f t="shared" si="536"/>
        <v>17.795138888888889</v>
      </c>
      <c r="AN247" s="6">
        <f t="shared" si="537"/>
        <v>0.21361374492415641</v>
      </c>
      <c r="AO247" s="68">
        <v>0</v>
      </c>
      <c r="AP247" s="66">
        <v>0</v>
      </c>
      <c r="AQ247" s="35" t="e">
        <f t="shared" si="538"/>
        <v>#DIV/0!</v>
      </c>
      <c r="AR247" s="6" t="e">
        <f t="shared" si="539"/>
        <v>#DIV/0!</v>
      </c>
      <c r="AS247" s="68">
        <v>0</v>
      </c>
      <c r="AT247" s="66">
        <v>0</v>
      </c>
      <c r="AU247" s="35" t="e">
        <f t="shared" si="540"/>
        <v>#DIV/0!</v>
      </c>
      <c r="AV247" s="6" t="e">
        <f t="shared" si="541"/>
        <v>#DIV/0!</v>
      </c>
      <c r="AW247" s="68">
        <v>0</v>
      </c>
      <c r="AX247" s="66">
        <v>0</v>
      </c>
      <c r="AY247" s="35" t="e">
        <f t="shared" si="542"/>
        <v>#DIV/0!</v>
      </c>
      <c r="AZ247" s="6" t="e">
        <f t="shared" si="543"/>
        <v>#DIV/0!</v>
      </c>
      <c r="BA247" s="68">
        <v>0</v>
      </c>
      <c r="BB247" s="66">
        <v>0</v>
      </c>
      <c r="BC247" s="35" t="e">
        <f t="shared" si="544"/>
        <v>#DIV/0!</v>
      </c>
      <c r="BD247" s="11" t="e">
        <f t="shared" si="545"/>
        <v>#DIV/0!</v>
      </c>
    </row>
    <row r="248" spans="1:56" ht="15.75" thickBot="1" x14ac:dyDescent="0.3">
      <c r="A248" s="19" t="s">
        <v>4</v>
      </c>
      <c r="B248" s="8">
        <v>135300</v>
      </c>
      <c r="C248" s="35">
        <f>B248/F241</f>
        <v>103.75766871165644</v>
      </c>
      <c r="D248" s="8">
        <v>5250</v>
      </c>
      <c r="E248" s="68">
        <v>0</v>
      </c>
      <c r="F248" s="70">
        <v>0</v>
      </c>
      <c r="G248" s="35" t="e">
        <f t="shared" si="520"/>
        <v>#DIV/0!</v>
      </c>
      <c r="H248" s="11" t="e">
        <f t="shared" si="521"/>
        <v>#DIV/0!</v>
      </c>
      <c r="I248" s="35">
        <v>0</v>
      </c>
      <c r="J248" s="70">
        <v>0</v>
      </c>
      <c r="K248" s="35" t="e">
        <f t="shared" si="522"/>
        <v>#DIV/0!</v>
      </c>
      <c r="L248" s="6" t="e">
        <f t="shared" si="523"/>
        <v>#DIV/0!</v>
      </c>
      <c r="M248" s="68">
        <v>47920</v>
      </c>
      <c r="N248" s="26">
        <v>676</v>
      </c>
      <c r="O248" s="35">
        <f t="shared" si="524"/>
        <v>70.887573964497037</v>
      </c>
      <c r="P248" s="11">
        <f t="shared" si="525"/>
        <v>0.68320322579234394</v>
      </c>
      <c r="Q248" s="35">
        <v>0</v>
      </c>
      <c r="R248" s="66">
        <v>0</v>
      </c>
      <c r="S248" s="35" t="e">
        <f t="shared" si="526"/>
        <v>#DIV/0!</v>
      </c>
      <c r="T248" s="6" t="e">
        <f t="shared" si="527"/>
        <v>#DIV/0!</v>
      </c>
      <c r="U248" s="68">
        <v>0</v>
      </c>
      <c r="V248" s="66">
        <v>0</v>
      </c>
      <c r="W248" s="20" t="e">
        <f t="shared" si="528"/>
        <v>#DIV/0!</v>
      </c>
      <c r="X248" s="6" t="e">
        <f t="shared" si="529"/>
        <v>#DIV/0!</v>
      </c>
      <c r="Y248" s="68">
        <v>0</v>
      </c>
      <c r="Z248" s="70">
        <v>0</v>
      </c>
      <c r="AA248" s="35" t="e">
        <f t="shared" si="530"/>
        <v>#DIV/0!</v>
      </c>
      <c r="AB248" s="11" t="e">
        <f t="shared" si="531"/>
        <v>#DIV/0!</v>
      </c>
      <c r="AC248" s="20">
        <v>19870</v>
      </c>
      <c r="AD248" s="33">
        <v>672</v>
      </c>
      <c r="AE248" s="35">
        <f t="shared" si="532"/>
        <v>29.56845238095238</v>
      </c>
      <c r="AF248" s="6">
        <f t="shared" si="533"/>
        <v>0.28497606729314046</v>
      </c>
      <c r="AG248" s="68">
        <v>0</v>
      </c>
      <c r="AH248" s="66">
        <v>0</v>
      </c>
      <c r="AI248" s="35" t="e">
        <f t="shared" si="534"/>
        <v>#DIV/0!</v>
      </c>
      <c r="AJ248" s="6" t="e">
        <f t="shared" si="535"/>
        <v>#DIV/0!</v>
      </c>
      <c r="AK248" s="68">
        <v>11230</v>
      </c>
      <c r="AL248" s="65">
        <v>576</v>
      </c>
      <c r="AM248" s="35">
        <f t="shared" si="536"/>
        <v>19.496527777777779</v>
      </c>
      <c r="AN248" s="6">
        <f t="shared" si="537"/>
        <v>0.18790445101420714</v>
      </c>
      <c r="AO248" s="68">
        <v>0</v>
      </c>
      <c r="AP248" s="66">
        <v>0</v>
      </c>
      <c r="AQ248" s="35" t="e">
        <f t="shared" si="538"/>
        <v>#DIV/0!</v>
      </c>
      <c r="AR248" s="6" t="e">
        <f t="shared" si="539"/>
        <v>#DIV/0!</v>
      </c>
      <c r="AS248" s="68">
        <v>0</v>
      </c>
      <c r="AT248" s="66">
        <v>0</v>
      </c>
      <c r="AU248" s="35" t="e">
        <f t="shared" si="540"/>
        <v>#DIV/0!</v>
      </c>
      <c r="AV248" s="6" t="e">
        <f t="shared" si="541"/>
        <v>#DIV/0!</v>
      </c>
      <c r="AW248" s="68">
        <v>0</v>
      </c>
      <c r="AX248" s="66">
        <v>0</v>
      </c>
      <c r="AY248" s="35" t="e">
        <f t="shared" si="542"/>
        <v>#DIV/0!</v>
      </c>
      <c r="AZ248" s="6" t="e">
        <f t="shared" si="543"/>
        <v>#DIV/0!</v>
      </c>
      <c r="BA248" s="68">
        <v>0</v>
      </c>
      <c r="BB248" s="66">
        <v>0</v>
      </c>
      <c r="BC248" s="35" t="e">
        <f t="shared" si="544"/>
        <v>#DIV/0!</v>
      </c>
      <c r="BD248" s="11" t="e">
        <f t="shared" si="545"/>
        <v>#DIV/0!</v>
      </c>
    </row>
    <row r="249" spans="1:56" ht="15.75" thickBot="1" x14ac:dyDescent="0.3">
      <c r="A249" s="19" t="s">
        <v>5</v>
      </c>
      <c r="B249" s="8">
        <v>178290</v>
      </c>
      <c r="C249" s="35">
        <f>B249/F241</f>
        <v>136.72546012269939</v>
      </c>
      <c r="D249" s="8">
        <v>7050</v>
      </c>
      <c r="E249" s="68">
        <v>0</v>
      </c>
      <c r="F249" s="70">
        <v>0</v>
      </c>
      <c r="G249" s="35" t="e">
        <f t="shared" si="520"/>
        <v>#DIV/0!</v>
      </c>
      <c r="H249" s="11" t="e">
        <f t="shared" si="521"/>
        <v>#DIV/0!</v>
      </c>
      <c r="I249" s="35">
        <v>0</v>
      </c>
      <c r="J249" s="70">
        <v>0</v>
      </c>
      <c r="K249" s="35" t="e">
        <f t="shared" si="522"/>
        <v>#DIV/0!</v>
      </c>
      <c r="L249" s="6" t="e">
        <f t="shared" si="523"/>
        <v>#DIV/0!</v>
      </c>
      <c r="M249" s="68">
        <v>53000</v>
      </c>
      <c r="N249" s="26">
        <v>676</v>
      </c>
      <c r="O249" s="35">
        <f t="shared" si="524"/>
        <v>78.402366863905328</v>
      </c>
      <c r="P249" s="11">
        <f t="shared" si="525"/>
        <v>0.57342916815599609</v>
      </c>
      <c r="Q249" s="35">
        <v>0</v>
      </c>
      <c r="R249" s="66">
        <v>0</v>
      </c>
      <c r="S249" s="35" t="e">
        <f t="shared" si="526"/>
        <v>#DIV/0!</v>
      </c>
      <c r="T249" s="6" t="e">
        <f t="shared" si="527"/>
        <v>#DIV/0!</v>
      </c>
      <c r="U249" s="68">
        <v>0</v>
      </c>
      <c r="V249" s="66">
        <v>0</v>
      </c>
      <c r="W249" s="20" t="e">
        <f t="shared" si="528"/>
        <v>#DIV/0!</v>
      </c>
      <c r="X249" s="6" t="e">
        <f t="shared" si="529"/>
        <v>#DIV/0!</v>
      </c>
      <c r="Y249" s="68">
        <v>0</v>
      </c>
      <c r="Z249" s="70">
        <v>0</v>
      </c>
      <c r="AA249" s="35" t="e">
        <f t="shared" si="530"/>
        <v>#DIV/0!</v>
      </c>
      <c r="AB249" s="11" t="e">
        <f t="shared" si="531"/>
        <v>#DIV/0!</v>
      </c>
      <c r="AC249" s="20">
        <v>21570</v>
      </c>
      <c r="AD249" s="33">
        <v>672</v>
      </c>
      <c r="AE249" s="35">
        <f t="shared" si="532"/>
        <v>32.098214285714285</v>
      </c>
      <c r="AF249" s="6">
        <f t="shared" si="533"/>
        <v>0.23476398804515916</v>
      </c>
      <c r="AG249" s="68">
        <v>0</v>
      </c>
      <c r="AH249" s="66">
        <v>0</v>
      </c>
      <c r="AI249" s="35" t="e">
        <f t="shared" si="534"/>
        <v>#DIV/0!</v>
      </c>
      <c r="AJ249" s="6" t="e">
        <f t="shared" si="535"/>
        <v>#DIV/0!</v>
      </c>
      <c r="AK249" s="68">
        <v>13760</v>
      </c>
      <c r="AL249" s="65">
        <v>576</v>
      </c>
      <c r="AM249" s="35">
        <f t="shared" si="536"/>
        <v>23.888888888888889</v>
      </c>
      <c r="AN249" s="6">
        <f t="shared" si="537"/>
        <v>0.17472158343772007</v>
      </c>
      <c r="AO249" s="68">
        <v>0</v>
      </c>
      <c r="AP249" s="66">
        <v>0</v>
      </c>
      <c r="AQ249" s="35" t="e">
        <f t="shared" si="538"/>
        <v>#DIV/0!</v>
      </c>
      <c r="AR249" s="6" t="e">
        <f t="shared" si="539"/>
        <v>#DIV/0!</v>
      </c>
      <c r="AS249" s="68">
        <v>0</v>
      </c>
      <c r="AT249" s="66">
        <v>0</v>
      </c>
      <c r="AU249" s="35" t="e">
        <f t="shared" si="540"/>
        <v>#DIV/0!</v>
      </c>
      <c r="AV249" s="6" t="e">
        <f t="shared" si="541"/>
        <v>#DIV/0!</v>
      </c>
      <c r="AW249" s="68">
        <v>0</v>
      </c>
      <c r="AX249" s="66">
        <v>0</v>
      </c>
      <c r="AY249" s="35" t="e">
        <f t="shared" si="542"/>
        <v>#DIV/0!</v>
      </c>
      <c r="AZ249" s="6" t="e">
        <f t="shared" si="543"/>
        <v>#DIV/0!</v>
      </c>
      <c r="BA249" s="68">
        <v>0</v>
      </c>
      <c r="BB249" s="66">
        <v>0</v>
      </c>
      <c r="BC249" s="35" t="e">
        <f t="shared" si="544"/>
        <v>#DIV/0!</v>
      </c>
      <c r="BD249" s="11" t="e">
        <f t="shared" si="545"/>
        <v>#DIV/0!</v>
      </c>
    </row>
    <row r="250" spans="1:56" x14ac:dyDescent="0.25">
      <c r="A250" s="19" t="s">
        <v>6</v>
      </c>
      <c r="B250" s="8">
        <v>213630</v>
      </c>
      <c r="C250" s="35">
        <f>B250/F241</f>
        <v>163.82668711656441</v>
      </c>
      <c r="D250" s="8">
        <v>10950</v>
      </c>
      <c r="E250" s="68">
        <v>0</v>
      </c>
      <c r="F250" s="70">
        <v>0</v>
      </c>
      <c r="G250" s="35" t="e">
        <f t="shared" si="520"/>
        <v>#DIV/0!</v>
      </c>
      <c r="H250" s="11" t="e">
        <f t="shared" si="521"/>
        <v>#DIV/0!</v>
      </c>
      <c r="I250" s="35">
        <v>0</v>
      </c>
      <c r="J250" s="70">
        <v>0</v>
      </c>
      <c r="K250" s="35" t="e">
        <f t="shared" si="522"/>
        <v>#DIV/0!</v>
      </c>
      <c r="L250" s="6" t="e">
        <f t="shared" si="523"/>
        <v>#DIV/0!</v>
      </c>
      <c r="M250" s="68">
        <v>63690</v>
      </c>
      <c r="N250" s="26">
        <v>676</v>
      </c>
      <c r="O250" s="35">
        <f t="shared" si="524"/>
        <v>94.215976331360949</v>
      </c>
      <c r="P250" s="11">
        <f t="shared" si="525"/>
        <v>0.57509541326637026</v>
      </c>
      <c r="Q250" s="35">
        <v>0</v>
      </c>
      <c r="R250" s="66">
        <v>0</v>
      </c>
      <c r="S250" s="35" t="e">
        <f t="shared" si="526"/>
        <v>#DIV/0!</v>
      </c>
      <c r="T250" s="6" t="e">
        <f t="shared" si="527"/>
        <v>#DIV/0!</v>
      </c>
      <c r="U250" s="68">
        <v>0</v>
      </c>
      <c r="V250" s="66">
        <v>0</v>
      </c>
      <c r="W250" s="20" t="e">
        <f t="shared" si="528"/>
        <v>#DIV/0!</v>
      </c>
      <c r="X250" s="6" t="e">
        <f t="shared" si="529"/>
        <v>#DIV/0!</v>
      </c>
      <c r="Y250" s="68">
        <v>0</v>
      </c>
      <c r="Z250" s="70">
        <v>0</v>
      </c>
      <c r="AA250" s="35" t="e">
        <f t="shared" si="530"/>
        <v>#DIV/0!</v>
      </c>
      <c r="AB250" s="11" t="e">
        <f t="shared" si="531"/>
        <v>#DIV/0!</v>
      </c>
      <c r="AC250" s="20">
        <v>31140</v>
      </c>
      <c r="AD250" s="33">
        <v>672</v>
      </c>
      <c r="AE250" s="35">
        <f t="shared" si="532"/>
        <v>46.339285714285715</v>
      </c>
      <c r="AF250" s="6">
        <f t="shared" si="533"/>
        <v>0.28285553794611512</v>
      </c>
      <c r="AG250" s="68">
        <v>0</v>
      </c>
      <c r="AH250" s="66">
        <v>0</v>
      </c>
      <c r="AI250" s="35" t="e">
        <f t="shared" si="534"/>
        <v>#DIV/0!</v>
      </c>
      <c r="AJ250" s="6" t="e">
        <f t="shared" si="535"/>
        <v>#DIV/0!</v>
      </c>
      <c r="AK250" s="68">
        <v>16710</v>
      </c>
      <c r="AL250" s="65">
        <v>576</v>
      </c>
      <c r="AM250" s="35">
        <f t="shared" si="536"/>
        <v>29.010416666666668</v>
      </c>
      <c r="AN250" s="6">
        <f t="shared" si="537"/>
        <v>0.17707992011109552</v>
      </c>
      <c r="AO250" s="68">
        <v>0</v>
      </c>
      <c r="AP250" s="66">
        <v>0</v>
      </c>
      <c r="AQ250" s="35" t="e">
        <f t="shared" si="538"/>
        <v>#DIV/0!</v>
      </c>
      <c r="AR250" s="6" t="e">
        <f t="shared" si="539"/>
        <v>#DIV/0!</v>
      </c>
      <c r="AS250" s="68">
        <v>0</v>
      </c>
      <c r="AT250" s="66">
        <v>0</v>
      </c>
      <c r="AU250" s="35" t="e">
        <f t="shared" si="540"/>
        <v>#DIV/0!</v>
      </c>
      <c r="AV250" s="6" t="e">
        <f t="shared" si="541"/>
        <v>#DIV/0!</v>
      </c>
      <c r="AW250" s="68">
        <v>0</v>
      </c>
      <c r="AX250" s="66">
        <v>0</v>
      </c>
      <c r="AY250" s="35" t="e">
        <f t="shared" si="542"/>
        <v>#DIV/0!</v>
      </c>
      <c r="AZ250" s="6" t="e">
        <f t="shared" si="543"/>
        <v>#DIV/0!</v>
      </c>
      <c r="BA250" s="68">
        <v>0</v>
      </c>
      <c r="BB250" s="66">
        <v>0</v>
      </c>
      <c r="BC250" s="35" t="e">
        <f t="shared" si="544"/>
        <v>#DIV/0!</v>
      </c>
      <c r="BD250" s="11" t="e">
        <f t="shared" si="545"/>
        <v>#DIV/0!</v>
      </c>
    </row>
    <row r="251" spans="1:56" ht="15.75" thickBot="1" x14ac:dyDescent="0.3">
      <c r="A251" s="21"/>
      <c r="B251" s="22"/>
      <c r="C251" s="23">
        <f>AVERAGE(Table11016[MA $/Sq Ft])</f>
        <v>95.088737949167381</v>
      </c>
      <c r="D251" s="22">
        <f>AVERAGE(Table11016[Basic Allowance])</f>
        <v>4442.8571428571431</v>
      </c>
      <c r="E251" s="16"/>
      <c r="F251" s="22"/>
      <c r="G251" s="15"/>
      <c r="H251" s="24" t="e">
        <f>AVERAGE(Table11016[Bsmt % Base])</f>
        <v>#DIV/0!</v>
      </c>
      <c r="I251" s="15"/>
      <c r="J251" s="15"/>
      <c r="K251" s="15"/>
      <c r="L251" s="25" t="e">
        <f>AVERAGE(Table11016[[#Headers],[#Data],[UnfBsmt % Base]])</f>
        <v>#DIV/0!</v>
      </c>
      <c r="M251" s="44"/>
      <c r="N251" s="15"/>
      <c r="O251" s="23">
        <f>AVERAGE(Table11016[LowerVal/SqFt])</f>
        <v>58.738377007607774</v>
      </c>
      <c r="P251" s="24">
        <f>AVERAGE(Table11016[Lower % Base])</f>
        <v>0.62908378562025125</v>
      </c>
      <c r="Q251" s="13"/>
      <c r="R251" s="13"/>
      <c r="S251" s="13"/>
      <c r="T251" s="25" t="e">
        <f>AVERAGE(Table11016[Unf Lower % Base])</f>
        <v>#DIV/0!</v>
      </c>
      <c r="U251" s="12"/>
      <c r="V251" s="13"/>
      <c r="W251" s="13"/>
      <c r="X251" s="25" t="e">
        <f>AVERAGE(Table11016[1/2 Story % Base])</f>
        <v>#DIV/0!</v>
      </c>
      <c r="Y251" s="12"/>
      <c r="Z251" s="13"/>
      <c r="AA251" s="13"/>
      <c r="AB251" s="24" t="e">
        <f>AVERAGE(Table11016[2nd Story % Base])</f>
        <v>#DIV/0!</v>
      </c>
      <c r="AC251" s="13"/>
      <c r="AD251" s="13"/>
      <c r="AE251" s="23">
        <f>AVERAGE(Table11016[AttGarVal/SqFt])</f>
        <v>27.393707482993197</v>
      </c>
      <c r="AF251" s="25">
        <f>AVERAGE(Table11016[Att Gar % Base])</f>
        <v>0.29675156245465539</v>
      </c>
      <c r="AG251" s="12"/>
      <c r="AH251" s="13"/>
      <c r="AI251" s="13"/>
      <c r="AJ251" s="25" t="e">
        <f>AVERAGE(Table11016[Porch % Base])</f>
        <v>#DIV/0!</v>
      </c>
      <c r="AK251" s="12"/>
      <c r="AL251" s="13"/>
      <c r="AM251" s="13"/>
      <c r="AN251" s="25">
        <f>AVERAGE(Table11016[Cov Porch % Base])</f>
        <v>0.18802527491123361</v>
      </c>
      <c r="AO251" s="12"/>
      <c r="AP251" s="13"/>
      <c r="AQ251" s="13"/>
      <c r="AR251" s="25" t="e">
        <f>AVERAGE(Table11016[Deck % Base])</f>
        <v>#DIV/0!</v>
      </c>
      <c r="AS251" s="12"/>
      <c r="AT251" s="13"/>
      <c r="AU251" s="23" t="e">
        <f>AVERAGE(Table11016[CovDeckVal/SqFt])</f>
        <v>#DIV/0!</v>
      </c>
      <c r="AV251" s="25" t="e">
        <f>AVERAGE(Table11016[CovDeck % Base])</f>
        <v>#DIV/0!</v>
      </c>
      <c r="AW251" s="12"/>
      <c r="AX251" s="13"/>
      <c r="AY251" s="13"/>
      <c r="AZ251" s="25" t="e">
        <f>AVERAGE(Table11016[CarP % Base])</f>
        <v>#DIV/0!</v>
      </c>
      <c r="BA251" s="12"/>
      <c r="BB251" s="13"/>
      <c r="BC251" s="13"/>
      <c r="BD251" s="24" t="e">
        <f>AVERAGE(Table11016[EFP % Base])</f>
        <v>#DIV/0!</v>
      </c>
    </row>
    <row r="253" spans="1:56" ht="15.75" thickBot="1" x14ac:dyDescent="0.3">
      <c r="A253" s="82"/>
      <c r="B253" t="s">
        <v>79</v>
      </c>
      <c r="C253" s="78" t="s">
        <v>109</v>
      </c>
      <c r="E253" t="s">
        <v>33</v>
      </c>
      <c r="F253" s="79">
        <v>1197</v>
      </c>
      <c r="H253" t="s">
        <v>80</v>
      </c>
      <c r="I253" t="s">
        <v>110</v>
      </c>
    </row>
    <row r="254" spans="1:56" x14ac:dyDescent="0.25">
      <c r="A254" s="112"/>
      <c r="B254" s="113"/>
      <c r="C254" s="113"/>
      <c r="D254" s="114"/>
      <c r="E254" s="115" t="s">
        <v>27</v>
      </c>
      <c r="F254" s="116"/>
      <c r="G254" s="116"/>
      <c r="H254" s="117"/>
      <c r="I254" s="118" t="s">
        <v>28</v>
      </c>
      <c r="J254" s="119"/>
      <c r="K254" s="119"/>
      <c r="L254" s="120"/>
      <c r="M254" s="121" t="s">
        <v>7</v>
      </c>
      <c r="N254" s="122"/>
      <c r="O254" s="122"/>
      <c r="P254" s="123"/>
      <c r="Q254" s="124" t="s">
        <v>29</v>
      </c>
      <c r="R254" s="125"/>
      <c r="S254" s="125"/>
      <c r="T254" s="126"/>
      <c r="U254" s="127" t="s">
        <v>8</v>
      </c>
      <c r="V254" s="128"/>
      <c r="W254" s="128"/>
      <c r="X254" s="129"/>
      <c r="Y254" s="130" t="s">
        <v>0</v>
      </c>
      <c r="Z254" s="131"/>
      <c r="AA254" s="131"/>
      <c r="AB254" s="132"/>
      <c r="AC254" s="133" t="s">
        <v>34</v>
      </c>
      <c r="AD254" s="134"/>
      <c r="AE254" s="134"/>
      <c r="AF254" s="135"/>
      <c r="AG254" s="115" t="s">
        <v>9</v>
      </c>
      <c r="AH254" s="116"/>
      <c r="AI254" s="116"/>
      <c r="AJ254" s="117"/>
      <c r="AK254" s="136" t="s">
        <v>35</v>
      </c>
      <c r="AL254" s="137"/>
      <c r="AM254" s="137"/>
      <c r="AN254" s="138"/>
      <c r="AO254" s="139" t="s">
        <v>10</v>
      </c>
      <c r="AP254" s="140"/>
      <c r="AQ254" s="140"/>
      <c r="AR254" s="141"/>
      <c r="AS254" s="124" t="s">
        <v>36</v>
      </c>
      <c r="AT254" s="125"/>
      <c r="AU254" s="125"/>
      <c r="AV254" s="126"/>
      <c r="AW254" s="142" t="s">
        <v>11</v>
      </c>
      <c r="AX254" s="143"/>
      <c r="AY254" s="143"/>
      <c r="AZ254" s="144"/>
      <c r="BA254" s="148" t="s">
        <v>17</v>
      </c>
      <c r="BB254" s="149"/>
      <c r="BC254" s="149"/>
      <c r="BD254" s="150"/>
    </row>
    <row r="255" spans="1:56" s="1" customFormat="1" ht="15.75" thickBot="1" x14ac:dyDescent="0.3">
      <c r="A255" s="41" t="s">
        <v>13</v>
      </c>
      <c r="B255" s="42" t="s">
        <v>15</v>
      </c>
      <c r="C255" s="42" t="s">
        <v>32</v>
      </c>
      <c r="D255" s="43" t="s">
        <v>18</v>
      </c>
      <c r="E255" s="30" t="s">
        <v>30</v>
      </c>
      <c r="F255" s="31" t="s">
        <v>61</v>
      </c>
      <c r="G255" s="31" t="s">
        <v>38</v>
      </c>
      <c r="H255" s="32" t="s">
        <v>62</v>
      </c>
      <c r="I255" s="37" t="s">
        <v>31</v>
      </c>
      <c r="J255" s="38" t="s">
        <v>39</v>
      </c>
      <c r="K255" s="38" t="s">
        <v>40</v>
      </c>
      <c r="L255" s="39" t="s">
        <v>63</v>
      </c>
      <c r="M255" s="40" t="s">
        <v>19</v>
      </c>
      <c r="N255" s="7" t="s">
        <v>41</v>
      </c>
      <c r="O255" s="7" t="s">
        <v>37</v>
      </c>
      <c r="P255" s="7" t="s">
        <v>64</v>
      </c>
      <c r="Q255" s="27" t="s">
        <v>20</v>
      </c>
      <c r="R255" s="28" t="s">
        <v>60</v>
      </c>
      <c r="S255" s="28" t="s">
        <v>59</v>
      </c>
      <c r="T255" s="29" t="s">
        <v>65</v>
      </c>
      <c r="U255" s="48" t="s">
        <v>21</v>
      </c>
      <c r="V255" s="48" t="s">
        <v>42</v>
      </c>
      <c r="W255" s="48" t="s">
        <v>43</v>
      </c>
      <c r="X255" s="49" t="s">
        <v>66</v>
      </c>
      <c r="Y255" s="50" t="s">
        <v>22</v>
      </c>
      <c r="Z255" s="51" t="s">
        <v>44</v>
      </c>
      <c r="AA255" s="51" t="s">
        <v>45</v>
      </c>
      <c r="AB255" s="52" t="s">
        <v>67</v>
      </c>
      <c r="AC255" s="45" t="s">
        <v>23</v>
      </c>
      <c r="AD255" s="46" t="s">
        <v>46</v>
      </c>
      <c r="AE255" s="46" t="s">
        <v>47</v>
      </c>
      <c r="AF255" s="47" t="s">
        <v>68</v>
      </c>
      <c r="AG255" s="30" t="s">
        <v>24</v>
      </c>
      <c r="AH255" s="31" t="s">
        <v>48</v>
      </c>
      <c r="AI255" s="31" t="s">
        <v>49</v>
      </c>
      <c r="AJ255" s="32" t="s">
        <v>69</v>
      </c>
      <c r="AK255" s="53" t="s">
        <v>25</v>
      </c>
      <c r="AL255" s="54" t="s">
        <v>50</v>
      </c>
      <c r="AM255" s="54" t="s">
        <v>51</v>
      </c>
      <c r="AN255" s="55" t="s">
        <v>70</v>
      </c>
      <c r="AO255" s="56" t="s">
        <v>26</v>
      </c>
      <c r="AP255" s="57" t="s">
        <v>52</v>
      </c>
      <c r="AQ255" s="57" t="s">
        <v>53</v>
      </c>
      <c r="AR255" s="58" t="s">
        <v>71</v>
      </c>
      <c r="AS255" s="59" t="s">
        <v>55</v>
      </c>
      <c r="AT255" s="60" t="s">
        <v>54</v>
      </c>
      <c r="AU255" s="60" t="s">
        <v>56</v>
      </c>
      <c r="AV255" s="61" t="s">
        <v>76</v>
      </c>
      <c r="AW255" s="62" t="s">
        <v>72</v>
      </c>
      <c r="AX255" s="63" t="s">
        <v>73</v>
      </c>
      <c r="AY255" s="63" t="s">
        <v>74</v>
      </c>
      <c r="AZ255" s="64" t="s">
        <v>75</v>
      </c>
      <c r="BA255" s="71" t="s">
        <v>77</v>
      </c>
      <c r="BB255" s="72" t="s">
        <v>57</v>
      </c>
      <c r="BC255" s="72" t="s">
        <v>58</v>
      </c>
      <c r="BD255" s="73" t="s">
        <v>78</v>
      </c>
    </row>
    <row r="256" spans="1:56" ht="15.75" thickBot="1" x14ac:dyDescent="0.3">
      <c r="A256" s="17" t="s">
        <v>1</v>
      </c>
      <c r="B256" s="14">
        <v>60760</v>
      </c>
      <c r="C256" s="34">
        <f>B256/F253</f>
        <v>50.760233918128655</v>
      </c>
      <c r="D256" s="14">
        <v>1525</v>
      </c>
      <c r="E256" s="67">
        <v>0</v>
      </c>
      <c r="F256" s="69">
        <v>0</v>
      </c>
      <c r="G256" s="34" t="e">
        <f t="shared" ref="G256:G262" si="546">E256/F256</f>
        <v>#DIV/0!</v>
      </c>
      <c r="H256" s="10" t="e">
        <f t="shared" ref="H256:H262" si="547">G256/C256</f>
        <v>#DIV/0!</v>
      </c>
      <c r="I256" s="34">
        <v>0</v>
      </c>
      <c r="J256" s="69">
        <v>0</v>
      </c>
      <c r="K256" s="34" t="e">
        <f t="shared" ref="K256:K262" si="548">I256/J256</f>
        <v>#DIV/0!</v>
      </c>
      <c r="L256" s="9" t="e">
        <f t="shared" ref="L256:L262" si="549">K256/C256</f>
        <v>#DIV/0!</v>
      </c>
      <c r="M256" s="67">
        <v>32250</v>
      </c>
      <c r="N256" s="26">
        <v>1148</v>
      </c>
      <c r="O256" s="34">
        <f t="shared" ref="O256:O262" si="550">M256/N256</f>
        <v>28.092334494773517</v>
      </c>
      <c r="P256" s="10">
        <f t="shared" ref="P256:P262" si="551">O256/C256</f>
        <v>0.55343193532330315</v>
      </c>
      <c r="Q256" s="35">
        <v>0</v>
      </c>
      <c r="R256" s="66">
        <v>0</v>
      </c>
      <c r="S256" s="35" t="e">
        <f t="shared" ref="S256:S262" si="552">Q256/R256</f>
        <v>#DIV/0!</v>
      </c>
      <c r="T256" s="6" t="e">
        <f t="shared" ref="T256:T262" si="553">S256/C256</f>
        <v>#DIV/0!</v>
      </c>
      <c r="U256" s="67">
        <v>0</v>
      </c>
      <c r="V256" s="65">
        <v>0</v>
      </c>
      <c r="W256" s="18" t="e">
        <f t="shared" ref="W256:W262" si="554">U256/V256</f>
        <v>#DIV/0!</v>
      </c>
      <c r="X256" s="9" t="e">
        <f t="shared" ref="X256:X262" si="555">W256/C256</f>
        <v>#DIV/0!</v>
      </c>
      <c r="Y256" s="67">
        <v>13630</v>
      </c>
      <c r="Z256" s="69">
        <v>308</v>
      </c>
      <c r="AA256" s="34">
        <f t="shared" ref="AA256:AA262" si="556">Y256/Z256</f>
        <v>44.253246753246756</v>
      </c>
      <c r="AB256" s="10">
        <f t="shared" ref="AB256:AB262" si="557">AA256/C256</f>
        <v>0.87180935424022987</v>
      </c>
      <c r="AC256" s="18">
        <v>7300</v>
      </c>
      <c r="AD256" s="33">
        <v>484</v>
      </c>
      <c r="AE256" s="34">
        <f t="shared" ref="AE256:AE262" si="558">AC256/AD256</f>
        <v>15.082644628099173</v>
      </c>
      <c r="AF256" s="9">
        <f t="shared" ref="AF256:AF262" si="559">AE256/C256</f>
        <v>0.29713504970103211</v>
      </c>
      <c r="AG256" s="67">
        <v>0</v>
      </c>
      <c r="AH256" s="65">
        <v>0</v>
      </c>
      <c r="AI256" s="34" t="e">
        <f t="shared" ref="AI256:AI262" si="560">AG256/AH256</f>
        <v>#DIV/0!</v>
      </c>
      <c r="AJ256" s="9" t="e">
        <f t="shared" ref="AJ256:AJ262" si="561">AI256/C256</f>
        <v>#DIV/0!</v>
      </c>
      <c r="AK256" s="67">
        <v>0</v>
      </c>
      <c r="AL256" s="65">
        <v>0</v>
      </c>
      <c r="AM256" s="34" t="e">
        <f t="shared" ref="AM256:AM262" si="562">AK256/AL256</f>
        <v>#DIV/0!</v>
      </c>
      <c r="AN256" s="9" t="e">
        <f t="shared" ref="AN256:AN262" si="563">AM256/C256</f>
        <v>#DIV/0!</v>
      </c>
      <c r="AO256" s="67">
        <v>1420</v>
      </c>
      <c r="AP256" s="65">
        <v>162</v>
      </c>
      <c r="AQ256" s="34">
        <f t="shared" ref="AQ256:AQ262" si="564">AO256/AP256</f>
        <v>8.7654320987654319</v>
      </c>
      <c r="AR256" s="9">
        <f t="shared" ref="AR256:AR262" si="565">AQ256/C256</f>
        <v>0.17268305171530979</v>
      </c>
      <c r="AS256" s="67">
        <v>0</v>
      </c>
      <c r="AT256" s="65">
        <v>0</v>
      </c>
      <c r="AU256" s="34" t="e">
        <f t="shared" ref="AU256:AU262" si="566">AS256/AT256</f>
        <v>#DIV/0!</v>
      </c>
      <c r="AV256" s="9" t="e">
        <f t="shared" ref="AV256:AV262" si="567">AU256/C256</f>
        <v>#DIV/0!</v>
      </c>
      <c r="AW256" s="67">
        <v>0</v>
      </c>
      <c r="AX256" s="65">
        <v>0</v>
      </c>
      <c r="AY256" s="34" t="e">
        <f t="shared" ref="AY256:AY262" si="568">AW256/AX256</f>
        <v>#DIV/0!</v>
      </c>
      <c r="AZ256" s="9" t="e">
        <f t="shared" ref="AZ256:AZ262" si="569">AY256/C256</f>
        <v>#DIV/0!</v>
      </c>
      <c r="BA256" s="67">
        <v>0</v>
      </c>
      <c r="BB256" s="65">
        <v>0</v>
      </c>
      <c r="BC256" s="34" t="e">
        <f t="shared" ref="BC256:BC262" si="570">BA256/BB256</f>
        <v>#DIV/0!</v>
      </c>
      <c r="BD256" s="10" t="e">
        <f t="shared" ref="BD256:BD262" si="571">BC256/C256</f>
        <v>#DIV/0!</v>
      </c>
    </row>
    <row r="257" spans="1:56" ht="15.75" thickBot="1" x14ac:dyDescent="0.3">
      <c r="A257" s="19" t="s">
        <v>16</v>
      </c>
      <c r="B257" s="8">
        <v>71490</v>
      </c>
      <c r="C257" s="35">
        <f>B257/F253</f>
        <v>59.724310776942353</v>
      </c>
      <c r="D257" s="8">
        <v>1525</v>
      </c>
      <c r="E257" s="68">
        <v>0</v>
      </c>
      <c r="F257" s="70">
        <v>0</v>
      </c>
      <c r="G257" s="35" t="e">
        <f t="shared" si="546"/>
        <v>#DIV/0!</v>
      </c>
      <c r="H257" s="11" t="e">
        <f t="shared" si="547"/>
        <v>#DIV/0!</v>
      </c>
      <c r="I257" s="35">
        <v>0</v>
      </c>
      <c r="J257" s="70">
        <v>0</v>
      </c>
      <c r="K257" s="35" t="e">
        <f t="shared" si="548"/>
        <v>#DIV/0!</v>
      </c>
      <c r="L257" s="6" t="e">
        <f t="shared" si="549"/>
        <v>#DIV/0!</v>
      </c>
      <c r="M257" s="68">
        <v>40330</v>
      </c>
      <c r="N257" s="26">
        <v>1148</v>
      </c>
      <c r="O257" s="35">
        <f t="shared" si="550"/>
        <v>35.130662020905923</v>
      </c>
      <c r="P257" s="11">
        <f t="shared" si="551"/>
        <v>0.58821377030388011</v>
      </c>
      <c r="Q257" s="35">
        <v>0</v>
      </c>
      <c r="R257" s="66">
        <v>0</v>
      </c>
      <c r="S257" s="35" t="e">
        <f t="shared" si="552"/>
        <v>#DIV/0!</v>
      </c>
      <c r="T257" s="6" t="e">
        <f t="shared" si="553"/>
        <v>#DIV/0!</v>
      </c>
      <c r="U257" s="68">
        <v>0</v>
      </c>
      <c r="V257" s="66">
        <v>0</v>
      </c>
      <c r="W257" s="20" t="e">
        <f t="shared" si="554"/>
        <v>#DIV/0!</v>
      </c>
      <c r="X257" s="6" t="e">
        <f t="shared" si="555"/>
        <v>#DIV/0!</v>
      </c>
      <c r="Y257" s="68">
        <v>19200</v>
      </c>
      <c r="Z257" s="69">
        <v>308</v>
      </c>
      <c r="AA257" s="35">
        <f t="shared" si="556"/>
        <v>62.337662337662337</v>
      </c>
      <c r="AB257" s="11">
        <f t="shared" si="557"/>
        <v>1.0437569145080685</v>
      </c>
      <c r="AC257" s="20">
        <v>10060</v>
      </c>
      <c r="AD257" s="33">
        <v>484</v>
      </c>
      <c r="AE257" s="35">
        <f t="shared" si="558"/>
        <v>20.785123966942148</v>
      </c>
      <c r="AF257" s="6">
        <f t="shared" si="559"/>
        <v>0.34801781211959371</v>
      </c>
      <c r="AG257" s="68">
        <v>0</v>
      </c>
      <c r="AH257" s="66">
        <v>0</v>
      </c>
      <c r="AI257" s="35" t="e">
        <f t="shared" si="560"/>
        <v>#DIV/0!</v>
      </c>
      <c r="AJ257" s="6" t="e">
        <f t="shared" si="561"/>
        <v>#DIV/0!</v>
      </c>
      <c r="AK257" s="68">
        <v>0</v>
      </c>
      <c r="AL257" s="66">
        <v>0</v>
      </c>
      <c r="AM257" s="35" t="e">
        <f t="shared" si="562"/>
        <v>#DIV/0!</v>
      </c>
      <c r="AN257" s="6" t="e">
        <f t="shared" si="563"/>
        <v>#DIV/0!</v>
      </c>
      <c r="AO257" s="68">
        <v>1980</v>
      </c>
      <c r="AP257" s="65">
        <v>162</v>
      </c>
      <c r="AQ257" s="35">
        <f t="shared" si="564"/>
        <v>12.222222222222221</v>
      </c>
      <c r="AR257" s="6">
        <f t="shared" si="565"/>
        <v>0.20464400615470696</v>
      </c>
      <c r="AS257" s="68">
        <v>0</v>
      </c>
      <c r="AT257" s="66">
        <v>0</v>
      </c>
      <c r="AU257" s="35" t="e">
        <f t="shared" si="566"/>
        <v>#DIV/0!</v>
      </c>
      <c r="AV257" s="6" t="e">
        <f t="shared" si="567"/>
        <v>#DIV/0!</v>
      </c>
      <c r="AW257" s="68">
        <v>0</v>
      </c>
      <c r="AX257" s="66">
        <v>0</v>
      </c>
      <c r="AY257" s="35" t="e">
        <f t="shared" si="568"/>
        <v>#DIV/0!</v>
      </c>
      <c r="AZ257" s="6" t="e">
        <f t="shared" si="569"/>
        <v>#DIV/0!</v>
      </c>
      <c r="BA257" s="68">
        <v>0</v>
      </c>
      <c r="BB257" s="66">
        <v>0</v>
      </c>
      <c r="BC257" s="35" t="e">
        <f t="shared" si="570"/>
        <v>#DIV/0!</v>
      </c>
      <c r="BD257" s="11" t="e">
        <f t="shared" si="571"/>
        <v>#DIV/0!</v>
      </c>
    </row>
    <row r="258" spans="1:56" ht="15.75" thickBot="1" x14ac:dyDescent="0.3">
      <c r="A258" s="19" t="s">
        <v>2</v>
      </c>
      <c r="B258" s="8">
        <v>83610</v>
      </c>
      <c r="C258" s="35">
        <f>B258/F253</f>
        <v>69.849624060150376</v>
      </c>
      <c r="D258" s="8">
        <v>2100</v>
      </c>
      <c r="E258" s="68">
        <v>0</v>
      </c>
      <c r="F258" s="70">
        <v>0</v>
      </c>
      <c r="G258" s="35" t="e">
        <f t="shared" si="546"/>
        <v>#DIV/0!</v>
      </c>
      <c r="H258" s="11" t="e">
        <f t="shared" si="547"/>
        <v>#DIV/0!</v>
      </c>
      <c r="I258" s="35">
        <v>0</v>
      </c>
      <c r="J258" s="70">
        <v>0</v>
      </c>
      <c r="K258" s="35" t="e">
        <f t="shared" si="548"/>
        <v>#DIV/0!</v>
      </c>
      <c r="L258" s="6" t="e">
        <f t="shared" si="549"/>
        <v>#DIV/0!</v>
      </c>
      <c r="M258" s="68">
        <v>46440</v>
      </c>
      <c r="N258" s="26">
        <v>1148</v>
      </c>
      <c r="O258" s="35">
        <f t="shared" si="550"/>
        <v>40.452961672473869</v>
      </c>
      <c r="P258" s="11">
        <f t="shared" si="551"/>
        <v>0.57914358476200478</v>
      </c>
      <c r="Q258" s="35">
        <v>0</v>
      </c>
      <c r="R258" s="66">
        <v>0</v>
      </c>
      <c r="S258" s="35" t="e">
        <f t="shared" si="552"/>
        <v>#DIV/0!</v>
      </c>
      <c r="T258" s="6" t="e">
        <f t="shared" si="553"/>
        <v>#DIV/0!</v>
      </c>
      <c r="U258" s="68">
        <v>0</v>
      </c>
      <c r="V258" s="66">
        <v>0</v>
      </c>
      <c r="W258" s="20" t="e">
        <f t="shared" si="554"/>
        <v>#DIV/0!</v>
      </c>
      <c r="X258" s="6" t="e">
        <f t="shared" si="555"/>
        <v>#DIV/0!</v>
      </c>
      <c r="Y258" s="68">
        <v>22120</v>
      </c>
      <c r="Z258" s="69">
        <v>308</v>
      </c>
      <c r="AA258" s="35">
        <f t="shared" si="556"/>
        <v>71.818181818181813</v>
      </c>
      <c r="AB258" s="11">
        <f t="shared" si="557"/>
        <v>1.0281827967511497</v>
      </c>
      <c r="AC258" s="20">
        <v>12340</v>
      </c>
      <c r="AD258" s="33">
        <v>484</v>
      </c>
      <c r="AE258" s="35">
        <f t="shared" si="558"/>
        <v>25.495867768595041</v>
      </c>
      <c r="AF258" s="6">
        <f t="shared" si="559"/>
        <v>0.36501080874307218</v>
      </c>
      <c r="AG258" s="68">
        <v>0</v>
      </c>
      <c r="AH258" s="66">
        <v>0</v>
      </c>
      <c r="AI258" s="35" t="e">
        <f t="shared" si="560"/>
        <v>#DIV/0!</v>
      </c>
      <c r="AJ258" s="6" t="e">
        <f t="shared" si="561"/>
        <v>#DIV/0!</v>
      </c>
      <c r="AK258" s="68">
        <v>0</v>
      </c>
      <c r="AL258" s="66">
        <v>0</v>
      </c>
      <c r="AM258" s="35" t="e">
        <f t="shared" si="562"/>
        <v>#DIV/0!</v>
      </c>
      <c r="AN258" s="6" t="e">
        <f t="shared" si="563"/>
        <v>#DIV/0!</v>
      </c>
      <c r="AO258" s="68">
        <v>2080</v>
      </c>
      <c r="AP258" s="65">
        <v>162</v>
      </c>
      <c r="AQ258" s="35">
        <f t="shared" si="564"/>
        <v>12.839506172839506</v>
      </c>
      <c r="AR258" s="6">
        <f t="shared" si="565"/>
        <v>0.18381639623117915</v>
      </c>
      <c r="AS258" s="68">
        <v>0</v>
      </c>
      <c r="AT258" s="66">
        <v>0</v>
      </c>
      <c r="AU258" s="35" t="e">
        <f t="shared" si="566"/>
        <v>#DIV/0!</v>
      </c>
      <c r="AV258" s="6" t="e">
        <f t="shared" si="567"/>
        <v>#DIV/0!</v>
      </c>
      <c r="AW258" s="68">
        <v>0</v>
      </c>
      <c r="AX258" s="66">
        <v>0</v>
      </c>
      <c r="AY258" s="35" t="e">
        <f t="shared" si="568"/>
        <v>#DIV/0!</v>
      </c>
      <c r="AZ258" s="6" t="e">
        <f t="shared" si="569"/>
        <v>#DIV/0!</v>
      </c>
      <c r="BA258" s="68">
        <v>0</v>
      </c>
      <c r="BB258" s="66">
        <v>0</v>
      </c>
      <c r="BC258" s="35" t="e">
        <f t="shared" si="570"/>
        <v>#DIV/0!</v>
      </c>
      <c r="BD258" s="11" t="e">
        <f t="shared" si="571"/>
        <v>#DIV/0!</v>
      </c>
    </row>
    <row r="259" spans="1:56" ht="15.75" thickBot="1" x14ac:dyDescent="0.3">
      <c r="A259" s="19" t="s">
        <v>3</v>
      </c>
      <c r="B259" s="8">
        <v>100940</v>
      </c>
      <c r="C259" s="35">
        <f>B259/F253</f>
        <v>84.327485380116954</v>
      </c>
      <c r="D259" s="8">
        <v>2700</v>
      </c>
      <c r="E259" s="68">
        <v>0</v>
      </c>
      <c r="F259" s="70">
        <v>0</v>
      </c>
      <c r="G259" s="35" t="e">
        <f t="shared" si="546"/>
        <v>#DIV/0!</v>
      </c>
      <c r="H259" s="11" t="e">
        <f t="shared" si="547"/>
        <v>#DIV/0!</v>
      </c>
      <c r="I259" s="35">
        <v>0</v>
      </c>
      <c r="J259" s="70">
        <v>0</v>
      </c>
      <c r="K259" s="35" t="e">
        <f t="shared" si="548"/>
        <v>#DIV/0!</v>
      </c>
      <c r="L259" s="6" t="e">
        <f t="shared" si="549"/>
        <v>#DIV/0!</v>
      </c>
      <c r="M259" s="68">
        <v>53640</v>
      </c>
      <c r="N259" s="26">
        <v>1148</v>
      </c>
      <c r="O259" s="35">
        <f t="shared" si="550"/>
        <v>46.724738675958186</v>
      </c>
      <c r="P259" s="11">
        <f t="shared" si="551"/>
        <v>0.55408670690630024</v>
      </c>
      <c r="Q259" s="35">
        <v>0</v>
      </c>
      <c r="R259" s="66">
        <v>0</v>
      </c>
      <c r="S259" s="35" t="e">
        <f t="shared" si="552"/>
        <v>#DIV/0!</v>
      </c>
      <c r="T259" s="6" t="e">
        <f t="shared" si="553"/>
        <v>#DIV/0!</v>
      </c>
      <c r="U259" s="68">
        <v>0</v>
      </c>
      <c r="V259" s="66">
        <v>0</v>
      </c>
      <c r="W259" s="20" t="e">
        <f t="shared" si="554"/>
        <v>#DIV/0!</v>
      </c>
      <c r="X259" s="6" t="e">
        <f t="shared" si="555"/>
        <v>#DIV/0!</v>
      </c>
      <c r="Y259" s="68">
        <v>22060</v>
      </c>
      <c r="Z259" s="69">
        <v>308</v>
      </c>
      <c r="AA259" s="35">
        <f t="shared" si="556"/>
        <v>71.623376623376629</v>
      </c>
      <c r="AB259" s="11">
        <f t="shared" si="557"/>
        <v>0.84934794747554809</v>
      </c>
      <c r="AC259" s="20">
        <v>13070</v>
      </c>
      <c r="AD259" s="33">
        <v>484</v>
      </c>
      <c r="AE259" s="35">
        <f t="shared" si="558"/>
        <v>27.004132231404959</v>
      </c>
      <c r="AF259" s="6">
        <f t="shared" si="559"/>
        <v>0.32022930732109905</v>
      </c>
      <c r="AG259" s="68">
        <v>0</v>
      </c>
      <c r="AH259" s="66">
        <v>0</v>
      </c>
      <c r="AI259" s="35" t="e">
        <f t="shared" si="560"/>
        <v>#DIV/0!</v>
      </c>
      <c r="AJ259" s="6" t="e">
        <f t="shared" si="561"/>
        <v>#DIV/0!</v>
      </c>
      <c r="AK259" s="68">
        <v>0</v>
      </c>
      <c r="AL259" s="66">
        <v>0</v>
      </c>
      <c r="AM259" s="35" t="e">
        <f t="shared" si="562"/>
        <v>#DIV/0!</v>
      </c>
      <c r="AN259" s="6" t="e">
        <f t="shared" si="563"/>
        <v>#DIV/0!</v>
      </c>
      <c r="AO259" s="68">
        <v>2170</v>
      </c>
      <c r="AP259" s="65">
        <v>162</v>
      </c>
      <c r="AQ259" s="35">
        <f t="shared" si="564"/>
        <v>13.395061728395062</v>
      </c>
      <c r="AR259" s="6">
        <f t="shared" si="565"/>
        <v>0.15884573894282633</v>
      </c>
      <c r="AS259" s="68">
        <v>0</v>
      </c>
      <c r="AT259" s="66">
        <v>0</v>
      </c>
      <c r="AU259" s="35" t="e">
        <f t="shared" si="566"/>
        <v>#DIV/0!</v>
      </c>
      <c r="AV259" s="6" t="e">
        <f t="shared" si="567"/>
        <v>#DIV/0!</v>
      </c>
      <c r="AW259" s="68">
        <v>0</v>
      </c>
      <c r="AX259" s="66">
        <v>0</v>
      </c>
      <c r="AY259" s="35" t="e">
        <f t="shared" si="568"/>
        <v>#DIV/0!</v>
      </c>
      <c r="AZ259" s="6" t="e">
        <f t="shared" si="569"/>
        <v>#DIV/0!</v>
      </c>
      <c r="BA259" s="68">
        <v>0</v>
      </c>
      <c r="BB259" s="66">
        <v>0</v>
      </c>
      <c r="BC259" s="35" t="e">
        <f t="shared" si="570"/>
        <v>#DIV/0!</v>
      </c>
      <c r="BD259" s="11" t="e">
        <f t="shared" si="571"/>
        <v>#DIV/0!</v>
      </c>
    </row>
    <row r="260" spans="1:56" ht="15.75" thickBot="1" x14ac:dyDescent="0.3">
      <c r="A260" s="19" t="s">
        <v>4</v>
      </c>
      <c r="B260" s="8">
        <v>125970</v>
      </c>
      <c r="C260" s="35">
        <f>B260/F253</f>
        <v>105.23809523809524</v>
      </c>
      <c r="D260" s="8">
        <v>5250</v>
      </c>
      <c r="E260" s="68">
        <v>0</v>
      </c>
      <c r="F260" s="70">
        <v>0</v>
      </c>
      <c r="G260" s="35" t="e">
        <f t="shared" si="546"/>
        <v>#DIV/0!</v>
      </c>
      <c r="H260" s="11" t="e">
        <f t="shared" si="547"/>
        <v>#DIV/0!</v>
      </c>
      <c r="I260" s="35">
        <v>0</v>
      </c>
      <c r="J260" s="70">
        <v>0</v>
      </c>
      <c r="K260" s="35" t="e">
        <f t="shared" si="548"/>
        <v>#DIV/0!</v>
      </c>
      <c r="L260" s="6" t="e">
        <f t="shared" si="549"/>
        <v>#DIV/0!</v>
      </c>
      <c r="M260" s="68">
        <v>75940</v>
      </c>
      <c r="N260" s="26">
        <v>1148</v>
      </c>
      <c r="O260" s="35">
        <f t="shared" si="550"/>
        <v>66.149825783972119</v>
      </c>
      <c r="P260" s="11">
        <f t="shared" si="551"/>
        <v>0.62857300518706538</v>
      </c>
      <c r="Q260" s="35">
        <v>0</v>
      </c>
      <c r="R260" s="66">
        <v>0</v>
      </c>
      <c r="S260" s="35" t="e">
        <f t="shared" si="552"/>
        <v>#DIV/0!</v>
      </c>
      <c r="T260" s="6" t="e">
        <f t="shared" si="553"/>
        <v>#DIV/0!</v>
      </c>
      <c r="U260" s="68">
        <v>0</v>
      </c>
      <c r="V260" s="66">
        <v>0</v>
      </c>
      <c r="W260" s="20" t="e">
        <f t="shared" si="554"/>
        <v>#DIV/0!</v>
      </c>
      <c r="X260" s="6" t="e">
        <f t="shared" si="555"/>
        <v>#DIV/0!</v>
      </c>
      <c r="Y260" s="68">
        <v>27020</v>
      </c>
      <c r="Z260" s="69">
        <v>308</v>
      </c>
      <c r="AA260" s="35">
        <f t="shared" si="556"/>
        <v>87.727272727272734</v>
      </c>
      <c r="AB260" s="11">
        <f t="shared" si="557"/>
        <v>0.83360756890168664</v>
      </c>
      <c r="AC260" s="20">
        <v>14900</v>
      </c>
      <c r="AD260" s="33">
        <v>484</v>
      </c>
      <c r="AE260" s="35">
        <f t="shared" si="558"/>
        <v>30.785123966942148</v>
      </c>
      <c r="AF260" s="6">
        <f t="shared" si="559"/>
        <v>0.29252832728768557</v>
      </c>
      <c r="AG260" s="68">
        <v>0</v>
      </c>
      <c r="AH260" s="66">
        <v>0</v>
      </c>
      <c r="AI260" s="35" t="e">
        <f t="shared" si="560"/>
        <v>#DIV/0!</v>
      </c>
      <c r="AJ260" s="6" t="e">
        <f t="shared" si="561"/>
        <v>#DIV/0!</v>
      </c>
      <c r="AK260" s="68">
        <v>0</v>
      </c>
      <c r="AL260" s="66">
        <v>0</v>
      </c>
      <c r="AM260" s="35" t="e">
        <f t="shared" si="562"/>
        <v>#DIV/0!</v>
      </c>
      <c r="AN260" s="6" t="e">
        <f t="shared" si="563"/>
        <v>#DIV/0!</v>
      </c>
      <c r="AO260" s="68">
        <v>2840</v>
      </c>
      <c r="AP260" s="65">
        <v>162</v>
      </c>
      <c r="AQ260" s="35">
        <f t="shared" si="564"/>
        <v>17.530864197530864</v>
      </c>
      <c r="AR260" s="6">
        <f t="shared" si="565"/>
        <v>0.16658287246522541</v>
      </c>
      <c r="AS260" s="68">
        <v>0</v>
      </c>
      <c r="AT260" s="66">
        <v>0</v>
      </c>
      <c r="AU260" s="35" t="e">
        <f t="shared" si="566"/>
        <v>#DIV/0!</v>
      </c>
      <c r="AV260" s="6" t="e">
        <f t="shared" si="567"/>
        <v>#DIV/0!</v>
      </c>
      <c r="AW260" s="68">
        <v>0</v>
      </c>
      <c r="AX260" s="66">
        <v>0</v>
      </c>
      <c r="AY260" s="35" t="e">
        <f t="shared" si="568"/>
        <v>#DIV/0!</v>
      </c>
      <c r="AZ260" s="6" t="e">
        <f t="shared" si="569"/>
        <v>#DIV/0!</v>
      </c>
      <c r="BA260" s="68">
        <v>0</v>
      </c>
      <c r="BB260" s="66">
        <v>0</v>
      </c>
      <c r="BC260" s="35" t="e">
        <f t="shared" si="570"/>
        <v>#DIV/0!</v>
      </c>
      <c r="BD260" s="11" t="e">
        <f t="shared" si="571"/>
        <v>#DIV/0!</v>
      </c>
    </row>
    <row r="261" spans="1:56" ht="15.75" thickBot="1" x14ac:dyDescent="0.3">
      <c r="A261" s="19" t="s">
        <v>5</v>
      </c>
      <c r="B261" s="8">
        <v>165480</v>
      </c>
      <c r="C261" s="35">
        <f>B261/F253</f>
        <v>138.24561403508773</v>
      </c>
      <c r="D261" s="8">
        <v>7050</v>
      </c>
      <c r="E261" s="68">
        <v>0</v>
      </c>
      <c r="F261" s="70">
        <v>0</v>
      </c>
      <c r="G261" s="35" t="e">
        <f t="shared" si="546"/>
        <v>#DIV/0!</v>
      </c>
      <c r="H261" s="11" t="e">
        <f t="shared" si="547"/>
        <v>#DIV/0!</v>
      </c>
      <c r="I261" s="35">
        <v>0</v>
      </c>
      <c r="J261" s="70">
        <v>0</v>
      </c>
      <c r="K261" s="35" t="e">
        <f t="shared" si="548"/>
        <v>#DIV/0!</v>
      </c>
      <c r="L261" s="6" t="e">
        <f t="shared" si="549"/>
        <v>#DIV/0!</v>
      </c>
      <c r="M261" s="68">
        <v>85900</v>
      </c>
      <c r="N261" s="26">
        <v>1148</v>
      </c>
      <c r="O261" s="35">
        <f t="shared" si="550"/>
        <v>74.825783972125436</v>
      </c>
      <c r="P261" s="11">
        <f t="shared" si="551"/>
        <v>0.54125249827552657</v>
      </c>
      <c r="Q261" s="35">
        <v>0</v>
      </c>
      <c r="R261" s="66">
        <v>0</v>
      </c>
      <c r="S261" s="35" t="e">
        <f t="shared" si="552"/>
        <v>#DIV/0!</v>
      </c>
      <c r="T261" s="6" t="e">
        <f t="shared" si="553"/>
        <v>#DIV/0!</v>
      </c>
      <c r="U261" s="68">
        <v>0</v>
      </c>
      <c r="V261" s="66">
        <v>0</v>
      </c>
      <c r="W261" s="20" t="e">
        <f t="shared" si="554"/>
        <v>#DIV/0!</v>
      </c>
      <c r="X261" s="6" t="e">
        <f t="shared" si="555"/>
        <v>#DIV/0!</v>
      </c>
      <c r="Y261" s="68">
        <v>35310</v>
      </c>
      <c r="Z261" s="69">
        <v>308</v>
      </c>
      <c r="AA261" s="35">
        <f t="shared" si="556"/>
        <v>114.64285714285714</v>
      </c>
      <c r="AB261" s="11">
        <f t="shared" si="557"/>
        <v>0.82926939811457567</v>
      </c>
      <c r="AC261" s="20">
        <v>16920</v>
      </c>
      <c r="AD261" s="33">
        <v>484</v>
      </c>
      <c r="AE261" s="35">
        <f t="shared" si="558"/>
        <v>34.958677685950413</v>
      </c>
      <c r="AF261" s="6">
        <f t="shared" si="559"/>
        <v>0.25287368376893066</v>
      </c>
      <c r="AG261" s="68">
        <v>0</v>
      </c>
      <c r="AH261" s="66">
        <v>0</v>
      </c>
      <c r="AI261" s="35" t="e">
        <f t="shared" si="560"/>
        <v>#DIV/0!</v>
      </c>
      <c r="AJ261" s="6" t="e">
        <f t="shared" si="561"/>
        <v>#DIV/0!</v>
      </c>
      <c r="AK261" s="68">
        <v>0</v>
      </c>
      <c r="AL261" s="66">
        <v>0</v>
      </c>
      <c r="AM261" s="35" t="e">
        <f t="shared" si="562"/>
        <v>#DIV/0!</v>
      </c>
      <c r="AN261" s="6" t="e">
        <f t="shared" si="563"/>
        <v>#DIV/0!</v>
      </c>
      <c r="AO261" s="68">
        <v>3380</v>
      </c>
      <c r="AP261" s="65">
        <v>162</v>
      </c>
      <c r="AQ261" s="35">
        <f t="shared" si="564"/>
        <v>20.864197530864196</v>
      </c>
      <c r="AR261" s="6">
        <f t="shared" si="565"/>
        <v>0.15092122579432221</v>
      </c>
      <c r="AS261" s="68">
        <v>0</v>
      </c>
      <c r="AT261" s="66">
        <v>0</v>
      </c>
      <c r="AU261" s="35" t="e">
        <f t="shared" si="566"/>
        <v>#DIV/0!</v>
      </c>
      <c r="AV261" s="6" t="e">
        <f t="shared" si="567"/>
        <v>#DIV/0!</v>
      </c>
      <c r="AW261" s="68">
        <v>0</v>
      </c>
      <c r="AX261" s="66">
        <v>0</v>
      </c>
      <c r="AY261" s="35" t="e">
        <f t="shared" si="568"/>
        <v>#DIV/0!</v>
      </c>
      <c r="AZ261" s="6" t="e">
        <f t="shared" si="569"/>
        <v>#DIV/0!</v>
      </c>
      <c r="BA261" s="68">
        <v>0</v>
      </c>
      <c r="BB261" s="66">
        <v>0</v>
      </c>
      <c r="BC261" s="35" t="e">
        <f t="shared" si="570"/>
        <v>#DIV/0!</v>
      </c>
      <c r="BD261" s="11" t="e">
        <f t="shared" si="571"/>
        <v>#DIV/0!</v>
      </c>
    </row>
    <row r="262" spans="1:56" x14ac:dyDescent="0.25">
      <c r="A262" s="19" t="s">
        <v>6</v>
      </c>
      <c r="B262" s="8">
        <v>196110</v>
      </c>
      <c r="C262" s="35">
        <f>B262/F253</f>
        <v>163.8345864661654</v>
      </c>
      <c r="D262" s="8">
        <v>10950</v>
      </c>
      <c r="E262" s="68">
        <v>0</v>
      </c>
      <c r="F262" s="70">
        <v>0</v>
      </c>
      <c r="G262" s="35" t="e">
        <f t="shared" si="546"/>
        <v>#DIV/0!</v>
      </c>
      <c r="H262" s="11" t="e">
        <f t="shared" si="547"/>
        <v>#DIV/0!</v>
      </c>
      <c r="I262" s="35">
        <v>0</v>
      </c>
      <c r="J262" s="70">
        <v>0</v>
      </c>
      <c r="K262" s="35" t="e">
        <f t="shared" si="548"/>
        <v>#DIV/0!</v>
      </c>
      <c r="L262" s="6" t="e">
        <f t="shared" si="549"/>
        <v>#DIV/0!</v>
      </c>
      <c r="M262" s="68">
        <v>107380</v>
      </c>
      <c r="N262" s="26">
        <v>1148</v>
      </c>
      <c r="O262" s="35">
        <f t="shared" si="550"/>
        <v>93.536585365853654</v>
      </c>
      <c r="P262" s="11">
        <f t="shared" si="551"/>
        <v>0.5709208744221449</v>
      </c>
      <c r="Q262" s="35">
        <v>0</v>
      </c>
      <c r="R262" s="66">
        <v>0</v>
      </c>
      <c r="S262" s="35" t="e">
        <f t="shared" si="552"/>
        <v>#DIV/0!</v>
      </c>
      <c r="T262" s="6" t="e">
        <f t="shared" si="553"/>
        <v>#DIV/0!</v>
      </c>
      <c r="U262" s="68">
        <v>0</v>
      </c>
      <c r="V262" s="66">
        <v>0</v>
      </c>
      <c r="W262" s="20" t="e">
        <f t="shared" si="554"/>
        <v>#DIV/0!</v>
      </c>
      <c r="X262" s="6" t="e">
        <f t="shared" si="555"/>
        <v>#DIV/0!</v>
      </c>
      <c r="Y262" s="68">
        <v>38660</v>
      </c>
      <c r="Z262" s="69">
        <v>308</v>
      </c>
      <c r="AA262" s="35">
        <f t="shared" si="556"/>
        <v>125.51948051948052</v>
      </c>
      <c r="AB262" s="11">
        <f t="shared" si="557"/>
        <v>0.76613542492386011</v>
      </c>
      <c r="AC262" s="20">
        <v>24180</v>
      </c>
      <c r="AD262" s="33">
        <v>484</v>
      </c>
      <c r="AE262" s="35">
        <f t="shared" si="558"/>
        <v>49.958677685950413</v>
      </c>
      <c r="AF262" s="6">
        <f t="shared" si="559"/>
        <v>0.30493364535251977</v>
      </c>
      <c r="AG262" s="68">
        <v>0</v>
      </c>
      <c r="AH262" s="66">
        <v>0</v>
      </c>
      <c r="AI262" s="35" t="e">
        <f t="shared" si="560"/>
        <v>#DIV/0!</v>
      </c>
      <c r="AJ262" s="6" t="e">
        <f t="shared" si="561"/>
        <v>#DIV/0!</v>
      </c>
      <c r="AK262" s="68">
        <v>0</v>
      </c>
      <c r="AL262" s="66">
        <v>0</v>
      </c>
      <c r="AM262" s="35" t="e">
        <f t="shared" si="562"/>
        <v>#DIV/0!</v>
      </c>
      <c r="AN262" s="6" t="e">
        <f t="shared" si="563"/>
        <v>#DIV/0!</v>
      </c>
      <c r="AO262" s="68">
        <v>3630</v>
      </c>
      <c r="AP262" s="65">
        <v>162</v>
      </c>
      <c r="AQ262" s="35">
        <f t="shared" si="564"/>
        <v>22.407407407407408</v>
      </c>
      <c r="AR262" s="6">
        <f t="shared" si="565"/>
        <v>0.13676848027467578</v>
      </c>
      <c r="AS262" s="68">
        <v>0</v>
      </c>
      <c r="AT262" s="66">
        <v>0</v>
      </c>
      <c r="AU262" s="35" t="e">
        <f t="shared" si="566"/>
        <v>#DIV/0!</v>
      </c>
      <c r="AV262" s="6" t="e">
        <f t="shared" si="567"/>
        <v>#DIV/0!</v>
      </c>
      <c r="AW262" s="68">
        <v>0</v>
      </c>
      <c r="AX262" s="66">
        <v>0</v>
      </c>
      <c r="AY262" s="35" t="e">
        <f t="shared" si="568"/>
        <v>#DIV/0!</v>
      </c>
      <c r="AZ262" s="6" t="e">
        <f t="shared" si="569"/>
        <v>#DIV/0!</v>
      </c>
      <c r="BA262" s="68">
        <v>0</v>
      </c>
      <c r="BB262" s="66">
        <v>0</v>
      </c>
      <c r="BC262" s="35" t="e">
        <f t="shared" si="570"/>
        <v>#DIV/0!</v>
      </c>
      <c r="BD262" s="11" t="e">
        <f t="shared" si="571"/>
        <v>#DIV/0!</v>
      </c>
    </row>
    <row r="263" spans="1:56" ht="15.75" thickBot="1" x14ac:dyDescent="0.3">
      <c r="A263" s="21"/>
      <c r="B263" s="22"/>
      <c r="C263" s="23">
        <f>AVERAGE(Table11017[MA $/Sq Ft])</f>
        <v>95.997135696383808</v>
      </c>
      <c r="D263" s="22">
        <f>AVERAGE(Table11017[Basic Allowance])</f>
        <v>4442.8571428571431</v>
      </c>
      <c r="E263" s="16"/>
      <c r="F263" s="22"/>
      <c r="G263" s="15"/>
      <c r="H263" s="24" t="e">
        <f>AVERAGE(Table11017[Bsmt % Base])</f>
        <v>#DIV/0!</v>
      </c>
      <c r="I263" s="15"/>
      <c r="J263" s="15"/>
      <c r="K263" s="15"/>
      <c r="L263" s="25" t="e">
        <f>AVERAGE(Table11017[[#Headers],[#Data],[UnfBsmt % Base]])</f>
        <v>#DIV/0!</v>
      </c>
      <c r="M263" s="44"/>
      <c r="N263" s="15"/>
      <c r="O263" s="23">
        <f>AVERAGE(Table11017[LowerVal/SqFt])</f>
        <v>54.987555998008965</v>
      </c>
      <c r="P263" s="24">
        <f>AVERAGE(Table11017[Lower % Base])</f>
        <v>0.57366033931146077</v>
      </c>
      <c r="Q263" s="13"/>
      <c r="R263" s="13"/>
      <c r="S263" s="13"/>
      <c r="T263" s="25" t="e">
        <f>AVERAGE(Table11017[Unf Lower % Base])</f>
        <v>#DIV/0!</v>
      </c>
      <c r="U263" s="12"/>
      <c r="V263" s="13"/>
      <c r="W263" s="13"/>
      <c r="X263" s="25" t="e">
        <f>AVERAGE(Table11017[1/2 Story % Base])</f>
        <v>#DIV/0!</v>
      </c>
      <c r="Y263" s="12"/>
      <c r="Z263" s="13"/>
      <c r="AA263" s="13"/>
      <c r="AB263" s="24">
        <f>AVERAGE(Table11017[2nd Story % Base])</f>
        <v>0.88887277213073124</v>
      </c>
      <c r="AC263" s="13"/>
      <c r="AD263" s="13"/>
      <c r="AE263" s="23">
        <f>AVERAGE(Table11017[AttGarVal/SqFt])</f>
        <v>29.152892561983471</v>
      </c>
      <c r="AF263" s="25">
        <f>AVERAGE(Table11017[Att Gar % Base])</f>
        <v>0.31153266204199043</v>
      </c>
      <c r="AG263" s="12"/>
      <c r="AH263" s="13"/>
      <c r="AI263" s="13"/>
      <c r="AJ263" s="25" t="e">
        <f>AVERAGE(Table11017[Porch % Base])</f>
        <v>#DIV/0!</v>
      </c>
      <c r="AK263" s="12"/>
      <c r="AL263" s="13"/>
      <c r="AM263" s="13"/>
      <c r="AN263" s="25" t="e">
        <f>AVERAGE(Table11017[Cov Porch % Base])</f>
        <v>#DIV/0!</v>
      </c>
      <c r="AO263" s="12"/>
      <c r="AP263" s="13"/>
      <c r="AQ263" s="13"/>
      <c r="AR263" s="25">
        <f>AVERAGE(Table11017[Deck % Base])</f>
        <v>0.16775168165403512</v>
      </c>
      <c r="AS263" s="12"/>
      <c r="AT263" s="13"/>
      <c r="AU263" s="23" t="e">
        <f>AVERAGE(Table11017[CovDeckVal/SqFt])</f>
        <v>#DIV/0!</v>
      </c>
      <c r="AV263" s="25" t="e">
        <f>AVERAGE(Table11017[CovDeck % Base])</f>
        <v>#DIV/0!</v>
      </c>
      <c r="AW263" s="12"/>
      <c r="AX263" s="13"/>
      <c r="AY263" s="13"/>
      <c r="AZ263" s="25" t="e">
        <f>AVERAGE(Table11017[CarP % Base])</f>
        <v>#DIV/0!</v>
      </c>
      <c r="BA263" s="12"/>
      <c r="BB263" s="13"/>
      <c r="BC263" s="13"/>
      <c r="BD263" s="24" t="e">
        <f>AVERAGE(Table11017[EFP % Base])</f>
        <v>#DIV/0!</v>
      </c>
    </row>
    <row r="265" spans="1:56" ht="15.75" thickBot="1" x14ac:dyDescent="0.3">
      <c r="A265" s="82"/>
      <c r="B265" t="s">
        <v>79</v>
      </c>
      <c r="C265" s="78" t="s">
        <v>111</v>
      </c>
      <c r="E265" t="s">
        <v>33</v>
      </c>
      <c r="F265" s="79">
        <v>996</v>
      </c>
      <c r="H265" t="s">
        <v>80</v>
      </c>
      <c r="I265" t="s">
        <v>105</v>
      </c>
    </row>
    <row r="266" spans="1:56" x14ac:dyDescent="0.25">
      <c r="A266" s="112"/>
      <c r="B266" s="113"/>
      <c r="C266" s="113"/>
      <c r="D266" s="114"/>
      <c r="E266" s="115" t="s">
        <v>27</v>
      </c>
      <c r="F266" s="116"/>
      <c r="G266" s="116"/>
      <c r="H266" s="117"/>
      <c r="I266" s="118" t="s">
        <v>28</v>
      </c>
      <c r="J266" s="119"/>
      <c r="K266" s="119"/>
      <c r="L266" s="120"/>
      <c r="M266" s="121" t="s">
        <v>7</v>
      </c>
      <c r="N266" s="122"/>
      <c r="O266" s="122"/>
      <c r="P266" s="123"/>
      <c r="Q266" s="124" t="s">
        <v>29</v>
      </c>
      <c r="R266" s="125"/>
      <c r="S266" s="125"/>
      <c r="T266" s="126"/>
      <c r="U266" s="127" t="s">
        <v>8</v>
      </c>
      <c r="V266" s="128"/>
      <c r="W266" s="128"/>
      <c r="X266" s="129"/>
      <c r="Y266" s="130" t="s">
        <v>0</v>
      </c>
      <c r="Z266" s="131"/>
      <c r="AA266" s="131"/>
      <c r="AB266" s="132"/>
      <c r="AC266" s="133" t="s">
        <v>34</v>
      </c>
      <c r="AD266" s="134"/>
      <c r="AE266" s="134"/>
      <c r="AF266" s="135"/>
      <c r="AG266" s="115" t="s">
        <v>9</v>
      </c>
      <c r="AH266" s="116"/>
      <c r="AI266" s="116"/>
      <c r="AJ266" s="117"/>
      <c r="AK266" s="136" t="s">
        <v>35</v>
      </c>
      <c r="AL266" s="137"/>
      <c r="AM266" s="137"/>
      <c r="AN266" s="138"/>
      <c r="AO266" s="139" t="s">
        <v>10</v>
      </c>
      <c r="AP266" s="140"/>
      <c r="AQ266" s="140"/>
      <c r="AR266" s="141"/>
      <c r="AS266" s="124" t="s">
        <v>36</v>
      </c>
      <c r="AT266" s="125"/>
      <c r="AU266" s="125"/>
      <c r="AV266" s="126"/>
      <c r="AW266" s="142" t="s">
        <v>11</v>
      </c>
      <c r="AX266" s="143"/>
      <c r="AY266" s="143"/>
      <c r="AZ266" s="144"/>
      <c r="BA266" s="148" t="s">
        <v>17</v>
      </c>
      <c r="BB266" s="149"/>
      <c r="BC266" s="149"/>
      <c r="BD266" s="150"/>
    </row>
    <row r="267" spans="1:56" s="1" customFormat="1" ht="15.75" thickBot="1" x14ac:dyDescent="0.3">
      <c r="A267" s="41" t="s">
        <v>13</v>
      </c>
      <c r="B267" s="42" t="s">
        <v>15</v>
      </c>
      <c r="C267" s="42" t="s">
        <v>32</v>
      </c>
      <c r="D267" s="43" t="s">
        <v>18</v>
      </c>
      <c r="E267" s="30" t="s">
        <v>30</v>
      </c>
      <c r="F267" s="31" t="s">
        <v>61</v>
      </c>
      <c r="G267" s="31" t="s">
        <v>38</v>
      </c>
      <c r="H267" s="32" t="s">
        <v>62</v>
      </c>
      <c r="I267" s="37" t="s">
        <v>31</v>
      </c>
      <c r="J267" s="38" t="s">
        <v>39</v>
      </c>
      <c r="K267" s="38" t="s">
        <v>40</v>
      </c>
      <c r="L267" s="39" t="s">
        <v>63</v>
      </c>
      <c r="M267" s="40" t="s">
        <v>19</v>
      </c>
      <c r="N267" s="7" t="s">
        <v>41</v>
      </c>
      <c r="O267" s="7" t="s">
        <v>37</v>
      </c>
      <c r="P267" s="7" t="s">
        <v>64</v>
      </c>
      <c r="Q267" s="27" t="s">
        <v>20</v>
      </c>
      <c r="R267" s="28" t="s">
        <v>60</v>
      </c>
      <c r="S267" s="28" t="s">
        <v>59</v>
      </c>
      <c r="T267" s="29" t="s">
        <v>65</v>
      </c>
      <c r="U267" s="48" t="s">
        <v>21</v>
      </c>
      <c r="V267" s="48" t="s">
        <v>42</v>
      </c>
      <c r="W267" s="48" t="s">
        <v>43</v>
      </c>
      <c r="X267" s="49" t="s">
        <v>66</v>
      </c>
      <c r="Y267" s="50" t="s">
        <v>22</v>
      </c>
      <c r="Z267" s="51" t="s">
        <v>44</v>
      </c>
      <c r="AA267" s="51" t="s">
        <v>45</v>
      </c>
      <c r="AB267" s="52" t="s">
        <v>67</v>
      </c>
      <c r="AC267" s="45" t="s">
        <v>23</v>
      </c>
      <c r="AD267" s="46" t="s">
        <v>46</v>
      </c>
      <c r="AE267" s="46" t="s">
        <v>47</v>
      </c>
      <c r="AF267" s="47" t="s">
        <v>68</v>
      </c>
      <c r="AG267" s="30" t="s">
        <v>24</v>
      </c>
      <c r="AH267" s="31" t="s">
        <v>48</v>
      </c>
      <c r="AI267" s="31" t="s">
        <v>49</v>
      </c>
      <c r="AJ267" s="32" t="s">
        <v>69</v>
      </c>
      <c r="AK267" s="53" t="s">
        <v>25</v>
      </c>
      <c r="AL267" s="54" t="s">
        <v>50</v>
      </c>
      <c r="AM267" s="54" t="s">
        <v>51</v>
      </c>
      <c r="AN267" s="55" t="s">
        <v>70</v>
      </c>
      <c r="AO267" s="56" t="s">
        <v>26</v>
      </c>
      <c r="AP267" s="57" t="s">
        <v>52</v>
      </c>
      <c r="AQ267" s="57" t="s">
        <v>53</v>
      </c>
      <c r="AR267" s="58" t="s">
        <v>71</v>
      </c>
      <c r="AS267" s="59" t="s">
        <v>55</v>
      </c>
      <c r="AT267" s="60" t="s">
        <v>54</v>
      </c>
      <c r="AU267" s="60" t="s">
        <v>56</v>
      </c>
      <c r="AV267" s="61" t="s">
        <v>76</v>
      </c>
      <c r="AW267" s="62" t="s">
        <v>72</v>
      </c>
      <c r="AX267" s="63" t="s">
        <v>73</v>
      </c>
      <c r="AY267" s="63" t="s">
        <v>74</v>
      </c>
      <c r="AZ267" s="64" t="s">
        <v>75</v>
      </c>
      <c r="BA267" s="71" t="s">
        <v>77</v>
      </c>
      <c r="BB267" s="72" t="s">
        <v>57</v>
      </c>
      <c r="BC267" s="72" t="s">
        <v>58</v>
      </c>
      <c r="BD267" s="73" t="s">
        <v>78</v>
      </c>
    </row>
    <row r="268" spans="1:56" ht="15.75" thickBot="1" x14ac:dyDescent="0.3">
      <c r="A268" s="17" t="s">
        <v>1</v>
      </c>
      <c r="B268" s="14">
        <v>52130</v>
      </c>
      <c r="C268" s="34">
        <f>B268/F265</f>
        <v>52.339357429718874</v>
      </c>
      <c r="D268" s="14">
        <v>1525</v>
      </c>
      <c r="E268" s="67">
        <v>0</v>
      </c>
      <c r="F268" s="69">
        <v>0</v>
      </c>
      <c r="G268" s="34" t="e">
        <f t="shared" ref="G268:G274" si="572">E268/F268</f>
        <v>#DIV/0!</v>
      </c>
      <c r="H268" s="10" t="e">
        <f t="shared" ref="H268:H274" si="573">G268/C268</f>
        <v>#DIV/0!</v>
      </c>
      <c r="I268" s="34">
        <v>0</v>
      </c>
      <c r="J268" s="69">
        <v>0</v>
      </c>
      <c r="K268" s="34" t="e">
        <f t="shared" ref="K268:K274" si="574">I268/J268</f>
        <v>#DIV/0!</v>
      </c>
      <c r="L268" s="9" t="e">
        <f t="shared" ref="L268:L274" si="575">K268/C268</f>
        <v>#DIV/0!</v>
      </c>
      <c r="M268" s="67">
        <v>12230</v>
      </c>
      <c r="N268" s="26">
        <v>338</v>
      </c>
      <c r="O268" s="34">
        <f t="shared" ref="O268:O274" si="576">M268/N268</f>
        <v>36.183431952662723</v>
      </c>
      <c r="P268" s="10">
        <f t="shared" ref="P268:P274" si="577">O268/C268</f>
        <v>0.69132357998948923</v>
      </c>
      <c r="Q268" s="35">
        <v>0</v>
      </c>
      <c r="R268" s="66">
        <v>0</v>
      </c>
      <c r="S268" s="35" t="e">
        <f t="shared" ref="S268:S274" si="578">Q268/R268</f>
        <v>#DIV/0!</v>
      </c>
      <c r="T268" s="6" t="e">
        <f t="shared" ref="T268:T274" si="579">S268/C268</f>
        <v>#DIV/0!</v>
      </c>
      <c r="U268" s="67">
        <v>0</v>
      </c>
      <c r="V268" s="65">
        <v>0</v>
      </c>
      <c r="W268" s="18" t="e">
        <f t="shared" ref="W268:W274" si="580">U268/V268</f>
        <v>#DIV/0!</v>
      </c>
      <c r="X268" s="9" t="e">
        <f t="shared" ref="X268:X274" si="581">W268/C268</f>
        <v>#DIV/0!</v>
      </c>
      <c r="Y268" s="67">
        <v>17260</v>
      </c>
      <c r="Z268" s="69">
        <v>390</v>
      </c>
      <c r="AA268" s="34">
        <f t="shared" ref="AA268:AA274" si="582">Y268/Z268</f>
        <v>44.256410256410255</v>
      </c>
      <c r="AB268" s="10">
        <f t="shared" ref="AB268:AB274" si="583">AA268/C268</f>
        <v>0.84556655698033023</v>
      </c>
      <c r="AC268" s="18">
        <v>8720</v>
      </c>
      <c r="AD268" s="33">
        <v>598</v>
      </c>
      <c r="AE268" s="34">
        <f t="shared" ref="AE268:AE274" si="584">AC268/AD268</f>
        <v>14.581939799331103</v>
      </c>
      <c r="AF268" s="9">
        <f t="shared" ref="AF268:AF274" si="585">AE268/C268</f>
        <v>0.27860372223544561</v>
      </c>
      <c r="AG268" s="67">
        <v>0</v>
      </c>
      <c r="AH268" s="65">
        <v>0</v>
      </c>
      <c r="AI268" s="34" t="e">
        <f t="shared" ref="AI268:AI274" si="586">AG268/AH268</f>
        <v>#DIV/0!</v>
      </c>
      <c r="AJ268" s="9" t="e">
        <f t="shared" ref="AJ268:AJ274" si="587">AI268/C268</f>
        <v>#DIV/0!</v>
      </c>
      <c r="AK268" s="67">
        <v>0</v>
      </c>
      <c r="AL268" s="65">
        <v>0</v>
      </c>
      <c r="AM268" s="34" t="e">
        <f t="shared" ref="AM268:AM274" si="588">AK268/AL268</f>
        <v>#DIV/0!</v>
      </c>
      <c r="AN268" s="9" t="e">
        <f t="shared" ref="AN268:AN274" si="589">AM268/C268</f>
        <v>#DIV/0!</v>
      </c>
      <c r="AO268" s="67">
        <v>2420</v>
      </c>
      <c r="AP268" s="65">
        <v>404</v>
      </c>
      <c r="AQ268" s="34">
        <f t="shared" ref="AQ268:AQ274" si="590">AO268/AP268</f>
        <v>5.9900990099009901</v>
      </c>
      <c r="AR268" s="9">
        <f t="shared" ref="AR268:AR274" si="591">AQ268/C268</f>
        <v>0.11444731659047355</v>
      </c>
      <c r="AS268" s="67">
        <v>0</v>
      </c>
      <c r="AT268" s="65">
        <v>0</v>
      </c>
      <c r="AU268" s="34" t="e">
        <f t="shared" ref="AU268:AU274" si="592">AS268/AT268</f>
        <v>#DIV/0!</v>
      </c>
      <c r="AV268" s="9" t="e">
        <f t="shared" ref="AV268:AV274" si="593">AU268/C268</f>
        <v>#DIV/0!</v>
      </c>
      <c r="AW268" s="67">
        <v>0</v>
      </c>
      <c r="AX268" s="65">
        <v>0</v>
      </c>
      <c r="AY268" s="34" t="e">
        <f t="shared" ref="AY268:AY274" si="594">AW268/AX268</f>
        <v>#DIV/0!</v>
      </c>
      <c r="AZ268" s="9" t="e">
        <f t="shared" ref="AZ268:AZ274" si="595">AY268/C268</f>
        <v>#DIV/0!</v>
      </c>
      <c r="BA268" s="67">
        <v>0</v>
      </c>
      <c r="BB268" s="65">
        <v>0</v>
      </c>
      <c r="BC268" s="34" t="e">
        <f t="shared" ref="BC268:BC274" si="596">BA268/BB268</f>
        <v>#DIV/0!</v>
      </c>
      <c r="BD268" s="10" t="e">
        <f t="shared" ref="BD268:BD274" si="597">BC268/C268</f>
        <v>#DIV/0!</v>
      </c>
    </row>
    <row r="269" spans="1:56" ht="15.75" thickBot="1" x14ac:dyDescent="0.3">
      <c r="A269" s="19" t="s">
        <v>16</v>
      </c>
      <c r="B269" s="8">
        <v>61340</v>
      </c>
      <c r="C269" s="35">
        <f>B269/F265</f>
        <v>61.586345381526101</v>
      </c>
      <c r="D269" s="8">
        <v>1525</v>
      </c>
      <c r="E269" s="68">
        <v>0</v>
      </c>
      <c r="F269" s="70">
        <v>0</v>
      </c>
      <c r="G269" s="35" t="e">
        <f t="shared" si="572"/>
        <v>#DIV/0!</v>
      </c>
      <c r="H269" s="11" t="e">
        <f t="shared" si="573"/>
        <v>#DIV/0!</v>
      </c>
      <c r="I269" s="35">
        <v>0</v>
      </c>
      <c r="J269" s="70">
        <v>0</v>
      </c>
      <c r="K269" s="35" t="e">
        <f t="shared" si="574"/>
        <v>#DIV/0!</v>
      </c>
      <c r="L269" s="6" t="e">
        <f t="shared" si="575"/>
        <v>#DIV/0!</v>
      </c>
      <c r="M269" s="68">
        <v>15560</v>
      </c>
      <c r="N269" s="26">
        <v>338</v>
      </c>
      <c r="O269" s="35">
        <f t="shared" si="576"/>
        <v>46.035502958579883</v>
      </c>
      <c r="P269" s="11">
        <f t="shared" si="577"/>
        <v>0.74749528768740736</v>
      </c>
      <c r="Q269" s="35">
        <v>0</v>
      </c>
      <c r="R269" s="66">
        <v>0</v>
      </c>
      <c r="S269" s="35" t="e">
        <f t="shared" si="578"/>
        <v>#DIV/0!</v>
      </c>
      <c r="T269" s="6" t="e">
        <f t="shared" si="579"/>
        <v>#DIV/0!</v>
      </c>
      <c r="U269" s="68">
        <v>0</v>
      </c>
      <c r="V269" s="66">
        <v>0</v>
      </c>
      <c r="W269" s="20" t="e">
        <f t="shared" si="580"/>
        <v>#DIV/0!</v>
      </c>
      <c r="X269" s="6" t="e">
        <f t="shared" si="581"/>
        <v>#DIV/0!</v>
      </c>
      <c r="Y269" s="68">
        <v>24310</v>
      </c>
      <c r="Z269" s="69">
        <v>390</v>
      </c>
      <c r="AA269" s="35">
        <f t="shared" si="582"/>
        <v>62.333333333333336</v>
      </c>
      <c r="AB269" s="11">
        <f t="shared" si="583"/>
        <v>1.0121291164003914</v>
      </c>
      <c r="AC269" s="20">
        <v>11770</v>
      </c>
      <c r="AD269" s="33">
        <v>598</v>
      </c>
      <c r="AE269" s="35">
        <f t="shared" si="584"/>
        <v>19.682274247491637</v>
      </c>
      <c r="AF269" s="6">
        <f t="shared" si="585"/>
        <v>0.31958828090155972</v>
      </c>
      <c r="AG269" s="68">
        <v>0</v>
      </c>
      <c r="AH269" s="66">
        <v>0</v>
      </c>
      <c r="AI269" s="35" t="e">
        <f t="shared" si="586"/>
        <v>#DIV/0!</v>
      </c>
      <c r="AJ269" s="6" t="e">
        <f t="shared" si="587"/>
        <v>#DIV/0!</v>
      </c>
      <c r="AK269" s="68">
        <v>0</v>
      </c>
      <c r="AL269" s="66">
        <v>0</v>
      </c>
      <c r="AM269" s="35" t="e">
        <f t="shared" si="588"/>
        <v>#DIV/0!</v>
      </c>
      <c r="AN269" s="6" t="e">
        <f t="shared" si="589"/>
        <v>#DIV/0!</v>
      </c>
      <c r="AO269" s="68">
        <v>3250</v>
      </c>
      <c r="AP269" s="65">
        <v>404</v>
      </c>
      <c r="AQ269" s="35">
        <f t="shared" si="590"/>
        <v>8.0445544554455441</v>
      </c>
      <c r="AR269" s="6">
        <f t="shared" si="591"/>
        <v>0.13062237100788657</v>
      </c>
      <c r="AS269" s="68">
        <v>0</v>
      </c>
      <c r="AT269" s="66">
        <v>0</v>
      </c>
      <c r="AU269" s="35" t="e">
        <f t="shared" si="592"/>
        <v>#DIV/0!</v>
      </c>
      <c r="AV269" s="6" t="e">
        <f t="shared" si="593"/>
        <v>#DIV/0!</v>
      </c>
      <c r="AW269" s="68">
        <v>0</v>
      </c>
      <c r="AX269" s="66">
        <v>0</v>
      </c>
      <c r="AY269" s="35" t="e">
        <f t="shared" si="594"/>
        <v>#DIV/0!</v>
      </c>
      <c r="AZ269" s="6" t="e">
        <f t="shared" si="595"/>
        <v>#DIV/0!</v>
      </c>
      <c r="BA269" s="68">
        <v>0</v>
      </c>
      <c r="BB269" s="66">
        <v>0</v>
      </c>
      <c r="BC269" s="35" t="e">
        <f t="shared" si="596"/>
        <v>#DIV/0!</v>
      </c>
      <c r="BD269" s="11" t="e">
        <f t="shared" si="597"/>
        <v>#DIV/0!</v>
      </c>
    </row>
    <row r="270" spans="1:56" ht="15.75" thickBot="1" x14ac:dyDescent="0.3">
      <c r="A270" s="19" t="s">
        <v>2</v>
      </c>
      <c r="B270" s="8">
        <v>71810</v>
      </c>
      <c r="C270" s="35">
        <f>B270/F265</f>
        <v>72.098393574297191</v>
      </c>
      <c r="D270" s="8">
        <v>2100</v>
      </c>
      <c r="E270" s="68">
        <v>0</v>
      </c>
      <c r="F270" s="70">
        <v>0</v>
      </c>
      <c r="G270" s="35" t="e">
        <f t="shared" si="572"/>
        <v>#DIV/0!</v>
      </c>
      <c r="H270" s="11" t="e">
        <f t="shared" si="573"/>
        <v>#DIV/0!</v>
      </c>
      <c r="I270" s="35">
        <v>0</v>
      </c>
      <c r="J270" s="70">
        <v>0</v>
      </c>
      <c r="K270" s="35" t="e">
        <f t="shared" si="574"/>
        <v>#DIV/0!</v>
      </c>
      <c r="L270" s="6" t="e">
        <f t="shared" si="575"/>
        <v>#DIV/0!</v>
      </c>
      <c r="M270" s="68">
        <v>17850</v>
      </c>
      <c r="N270" s="26">
        <v>338</v>
      </c>
      <c r="O270" s="35">
        <f t="shared" si="576"/>
        <v>52.810650887573964</v>
      </c>
      <c r="P270" s="11">
        <f t="shared" si="577"/>
        <v>0.73248027132744276</v>
      </c>
      <c r="Q270" s="35">
        <v>0</v>
      </c>
      <c r="R270" s="66">
        <v>0</v>
      </c>
      <c r="S270" s="35" t="e">
        <f t="shared" si="578"/>
        <v>#DIV/0!</v>
      </c>
      <c r="T270" s="6" t="e">
        <f t="shared" si="579"/>
        <v>#DIV/0!</v>
      </c>
      <c r="U270" s="68">
        <v>0</v>
      </c>
      <c r="V270" s="66">
        <v>0</v>
      </c>
      <c r="W270" s="20" t="e">
        <f t="shared" si="580"/>
        <v>#DIV/0!</v>
      </c>
      <c r="X270" s="6" t="e">
        <f t="shared" si="581"/>
        <v>#DIV/0!</v>
      </c>
      <c r="Y270" s="68">
        <v>28010</v>
      </c>
      <c r="Z270" s="69">
        <v>390</v>
      </c>
      <c r="AA270" s="35">
        <f t="shared" si="582"/>
        <v>71.820512820512818</v>
      </c>
      <c r="AB270" s="11">
        <f t="shared" si="583"/>
        <v>0.99614581213244346</v>
      </c>
      <c r="AC270" s="20">
        <v>14930</v>
      </c>
      <c r="AD270" s="33">
        <v>598</v>
      </c>
      <c r="AE270" s="35">
        <f t="shared" si="584"/>
        <v>24.96655518394649</v>
      </c>
      <c r="AF270" s="6">
        <f t="shared" si="585"/>
        <v>0.34628448632795855</v>
      </c>
      <c r="AG270" s="68">
        <v>0</v>
      </c>
      <c r="AH270" s="66">
        <v>0</v>
      </c>
      <c r="AI270" s="35" t="e">
        <f t="shared" si="586"/>
        <v>#DIV/0!</v>
      </c>
      <c r="AJ270" s="6" t="e">
        <f t="shared" si="587"/>
        <v>#DIV/0!</v>
      </c>
      <c r="AK270" s="68">
        <v>0</v>
      </c>
      <c r="AL270" s="66">
        <v>0</v>
      </c>
      <c r="AM270" s="35" t="e">
        <f t="shared" si="588"/>
        <v>#DIV/0!</v>
      </c>
      <c r="AN270" s="6" t="e">
        <f t="shared" si="589"/>
        <v>#DIV/0!</v>
      </c>
      <c r="AO270" s="68">
        <v>3430</v>
      </c>
      <c r="AP270" s="65">
        <v>404</v>
      </c>
      <c r="AQ270" s="35">
        <f t="shared" si="590"/>
        <v>8.490099009900991</v>
      </c>
      <c r="AR270" s="6">
        <f t="shared" si="591"/>
        <v>0.11775711758614937</v>
      </c>
      <c r="AS270" s="68">
        <v>0</v>
      </c>
      <c r="AT270" s="66">
        <v>0</v>
      </c>
      <c r="AU270" s="35" t="e">
        <f t="shared" si="592"/>
        <v>#DIV/0!</v>
      </c>
      <c r="AV270" s="6" t="e">
        <f t="shared" si="593"/>
        <v>#DIV/0!</v>
      </c>
      <c r="AW270" s="68">
        <v>0</v>
      </c>
      <c r="AX270" s="66">
        <v>0</v>
      </c>
      <c r="AY270" s="35" t="e">
        <f t="shared" si="594"/>
        <v>#DIV/0!</v>
      </c>
      <c r="AZ270" s="6" t="e">
        <f t="shared" si="595"/>
        <v>#DIV/0!</v>
      </c>
      <c r="BA270" s="68">
        <v>0</v>
      </c>
      <c r="BB270" s="66">
        <v>0</v>
      </c>
      <c r="BC270" s="35" t="e">
        <f t="shared" si="596"/>
        <v>#DIV/0!</v>
      </c>
      <c r="BD270" s="11" t="e">
        <f t="shared" si="597"/>
        <v>#DIV/0!</v>
      </c>
    </row>
    <row r="271" spans="1:56" ht="15.75" thickBot="1" x14ac:dyDescent="0.3">
      <c r="A271" s="19" t="s">
        <v>3</v>
      </c>
      <c r="B271" s="8">
        <v>86660</v>
      </c>
      <c r="C271" s="35">
        <f>B271/F265</f>
        <v>87.00803212851406</v>
      </c>
      <c r="D271" s="8">
        <v>2700</v>
      </c>
      <c r="E271" s="68">
        <v>0</v>
      </c>
      <c r="F271" s="70">
        <v>0</v>
      </c>
      <c r="G271" s="35" t="e">
        <f t="shared" si="572"/>
        <v>#DIV/0!</v>
      </c>
      <c r="H271" s="11" t="e">
        <f t="shared" si="573"/>
        <v>#DIV/0!</v>
      </c>
      <c r="I271" s="35">
        <v>0</v>
      </c>
      <c r="J271" s="70">
        <v>0</v>
      </c>
      <c r="K271" s="35" t="e">
        <f t="shared" si="574"/>
        <v>#DIV/0!</v>
      </c>
      <c r="L271" s="6" t="e">
        <f t="shared" si="575"/>
        <v>#DIV/0!</v>
      </c>
      <c r="M271" s="68">
        <v>18830</v>
      </c>
      <c r="N271" s="26">
        <v>338</v>
      </c>
      <c r="O271" s="35">
        <f t="shared" si="576"/>
        <v>55.710059171597635</v>
      </c>
      <c r="P271" s="11">
        <f t="shared" si="577"/>
        <v>0.64028639435623402</v>
      </c>
      <c r="Q271" s="35">
        <v>0</v>
      </c>
      <c r="R271" s="66">
        <v>0</v>
      </c>
      <c r="S271" s="35" t="e">
        <f t="shared" si="578"/>
        <v>#DIV/0!</v>
      </c>
      <c r="T271" s="6" t="e">
        <f t="shared" si="579"/>
        <v>#DIV/0!</v>
      </c>
      <c r="U271" s="68">
        <v>0</v>
      </c>
      <c r="V271" s="66">
        <v>0</v>
      </c>
      <c r="W271" s="20" t="e">
        <f t="shared" si="580"/>
        <v>#DIV/0!</v>
      </c>
      <c r="X271" s="6" t="e">
        <f t="shared" si="581"/>
        <v>#DIV/0!</v>
      </c>
      <c r="Y271" s="68">
        <v>27930</v>
      </c>
      <c r="Z271" s="69">
        <v>390</v>
      </c>
      <c r="AA271" s="35">
        <f t="shared" si="582"/>
        <v>71.615384615384613</v>
      </c>
      <c r="AB271" s="11">
        <f t="shared" si="583"/>
        <v>0.82308935006834838</v>
      </c>
      <c r="AC271" s="20">
        <v>15910</v>
      </c>
      <c r="AD271" s="33">
        <v>598</v>
      </c>
      <c r="AE271" s="35">
        <f t="shared" si="584"/>
        <v>26.605351170568561</v>
      </c>
      <c r="AF271" s="6">
        <f t="shared" si="585"/>
        <v>0.30578040348357127</v>
      </c>
      <c r="AG271" s="68">
        <v>0</v>
      </c>
      <c r="AH271" s="66">
        <v>0</v>
      </c>
      <c r="AI271" s="35" t="e">
        <f t="shared" si="586"/>
        <v>#DIV/0!</v>
      </c>
      <c r="AJ271" s="6" t="e">
        <f t="shared" si="587"/>
        <v>#DIV/0!</v>
      </c>
      <c r="AK271" s="68">
        <v>0</v>
      </c>
      <c r="AL271" s="66">
        <v>0</v>
      </c>
      <c r="AM271" s="35" t="e">
        <f t="shared" si="588"/>
        <v>#DIV/0!</v>
      </c>
      <c r="AN271" s="6" t="e">
        <f t="shared" si="589"/>
        <v>#DIV/0!</v>
      </c>
      <c r="AO271" s="68">
        <v>3620</v>
      </c>
      <c r="AP271" s="65">
        <v>404</v>
      </c>
      <c r="AQ271" s="35">
        <f t="shared" si="590"/>
        <v>8.9603960396039604</v>
      </c>
      <c r="AR271" s="6">
        <f t="shared" si="591"/>
        <v>0.10298355014361348</v>
      </c>
      <c r="AS271" s="68">
        <v>0</v>
      </c>
      <c r="AT271" s="66">
        <v>0</v>
      </c>
      <c r="AU271" s="35" t="e">
        <f t="shared" si="592"/>
        <v>#DIV/0!</v>
      </c>
      <c r="AV271" s="6" t="e">
        <f t="shared" si="593"/>
        <v>#DIV/0!</v>
      </c>
      <c r="AW271" s="68">
        <v>0</v>
      </c>
      <c r="AX271" s="66">
        <v>0</v>
      </c>
      <c r="AY271" s="35" t="e">
        <f t="shared" si="594"/>
        <v>#DIV/0!</v>
      </c>
      <c r="AZ271" s="6" t="e">
        <f t="shared" si="595"/>
        <v>#DIV/0!</v>
      </c>
      <c r="BA271" s="68">
        <v>0</v>
      </c>
      <c r="BB271" s="66">
        <v>0</v>
      </c>
      <c r="BC271" s="35" t="e">
        <f t="shared" si="596"/>
        <v>#DIV/0!</v>
      </c>
      <c r="BD271" s="11" t="e">
        <f t="shared" si="597"/>
        <v>#DIV/0!</v>
      </c>
    </row>
    <row r="272" spans="1:56" ht="15.75" thickBot="1" x14ac:dyDescent="0.3">
      <c r="A272" s="19" t="s">
        <v>4</v>
      </c>
      <c r="B272" s="8">
        <v>108070</v>
      </c>
      <c r="C272" s="35">
        <f>B272/F265</f>
        <v>108.50401606425703</v>
      </c>
      <c r="D272" s="8">
        <v>5250</v>
      </c>
      <c r="E272" s="68">
        <v>0</v>
      </c>
      <c r="F272" s="70">
        <v>0</v>
      </c>
      <c r="G272" s="35" t="e">
        <f t="shared" si="572"/>
        <v>#DIV/0!</v>
      </c>
      <c r="H272" s="11" t="e">
        <f t="shared" si="573"/>
        <v>#DIV/0!</v>
      </c>
      <c r="I272" s="35">
        <v>0</v>
      </c>
      <c r="J272" s="70">
        <v>0</v>
      </c>
      <c r="K272" s="35" t="e">
        <f t="shared" si="574"/>
        <v>#DIV/0!</v>
      </c>
      <c r="L272" s="6" t="e">
        <f t="shared" si="575"/>
        <v>#DIV/0!</v>
      </c>
      <c r="M272" s="68">
        <v>25010</v>
      </c>
      <c r="N272" s="26">
        <v>338</v>
      </c>
      <c r="O272" s="35">
        <f t="shared" si="576"/>
        <v>73.994082840236686</v>
      </c>
      <c r="P272" s="11">
        <f t="shared" si="577"/>
        <v>0.68194787183192129</v>
      </c>
      <c r="Q272" s="35">
        <v>0</v>
      </c>
      <c r="R272" s="66">
        <v>0</v>
      </c>
      <c r="S272" s="35" t="e">
        <f t="shared" si="578"/>
        <v>#DIV/0!</v>
      </c>
      <c r="T272" s="6" t="e">
        <f t="shared" si="579"/>
        <v>#DIV/0!</v>
      </c>
      <c r="U272" s="68">
        <v>0</v>
      </c>
      <c r="V272" s="66">
        <v>0</v>
      </c>
      <c r="W272" s="20" t="e">
        <f t="shared" si="580"/>
        <v>#DIV/0!</v>
      </c>
      <c r="X272" s="6" t="e">
        <f t="shared" si="581"/>
        <v>#DIV/0!</v>
      </c>
      <c r="Y272" s="68">
        <v>34220</v>
      </c>
      <c r="Z272" s="69">
        <v>390</v>
      </c>
      <c r="AA272" s="35">
        <f t="shared" si="582"/>
        <v>87.743589743589737</v>
      </c>
      <c r="AB272" s="11">
        <f t="shared" si="583"/>
        <v>0.8086667473361282</v>
      </c>
      <c r="AC272" s="20">
        <v>18100</v>
      </c>
      <c r="AD272" s="33">
        <v>598</v>
      </c>
      <c r="AE272" s="35">
        <f t="shared" si="584"/>
        <v>30.267558528428093</v>
      </c>
      <c r="AF272" s="6">
        <f t="shared" si="585"/>
        <v>0.27895334777749958</v>
      </c>
      <c r="AG272" s="68">
        <v>0</v>
      </c>
      <c r="AH272" s="66">
        <v>0</v>
      </c>
      <c r="AI272" s="35" t="e">
        <f t="shared" si="586"/>
        <v>#DIV/0!</v>
      </c>
      <c r="AJ272" s="6" t="e">
        <f t="shared" si="587"/>
        <v>#DIV/0!</v>
      </c>
      <c r="AK272" s="68">
        <v>0</v>
      </c>
      <c r="AL272" s="66">
        <v>0</v>
      </c>
      <c r="AM272" s="35" t="e">
        <f t="shared" si="588"/>
        <v>#DIV/0!</v>
      </c>
      <c r="AN272" s="6" t="e">
        <f t="shared" si="589"/>
        <v>#DIV/0!</v>
      </c>
      <c r="AO272" s="68">
        <v>4850</v>
      </c>
      <c r="AP272" s="65">
        <v>404</v>
      </c>
      <c r="AQ272" s="35">
        <f t="shared" si="590"/>
        <v>12.004950495049505</v>
      </c>
      <c r="AR272" s="6">
        <f t="shared" si="591"/>
        <v>0.11064060972581943</v>
      </c>
      <c r="AS272" s="68">
        <v>0</v>
      </c>
      <c r="AT272" s="66">
        <v>0</v>
      </c>
      <c r="AU272" s="35" t="e">
        <f t="shared" si="592"/>
        <v>#DIV/0!</v>
      </c>
      <c r="AV272" s="6" t="e">
        <f t="shared" si="593"/>
        <v>#DIV/0!</v>
      </c>
      <c r="AW272" s="68">
        <v>0</v>
      </c>
      <c r="AX272" s="66">
        <v>0</v>
      </c>
      <c r="AY272" s="35" t="e">
        <f t="shared" si="594"/>
        <v>#DIV/0!</v>
      </c>
      <c r="AZ272" s="6" t="e">
        <f t="shared" si="595"/>
        <v>#DIV/0!</v>
      </c>
      <c r="BA272" s="68">
        <v>0</v>
      </c>
      <c r="BB272" s="66">
        <v>0</v>
      </c>
      <c r="BC272" s="35" t="e">
        <f t="shared" si="596"/>
        <v>#DIV/0!</v>
      </c>
      <c r="BD272" s="11" t="e">
        <f t="shared" si="597"/>
        <v>#DIV/0!</v>
      </c>
    </row>
    <row r="273" spans="1:56" ht="15.75" thickBot="1" x14ac:dyDescent="0.3">
      <c r="A273" s="19" t="s">
        <v>5</v>
      </c>
      <c r="B273" s="8">
        <v>142480</v>
      </c>
      <c r="C273" s="35">
        <f>B273/F265</f>
        <v>143.05220883534136</v>
      </c>
      <c r="D273" s="8">
        <v>7050</v>
      </c>
      <c r="E273" s="68">
        <v>0</v>
      </c>
      <c r="F273" s="70">
        <v>0</v>
      </c>
      <c r="G273" s="35" t="e">
        <f t="shared" si="572"/>
        <v>#DIV/0!</v>
      </c>
      <c r="H273" s="11" t="e">
        <f t="shared" si="573"/>
        <v>#DIV/0!</v>
      </c>
      <c r="I273" s="35">
        <v>0</v>
      </c>
      <c r="J273" s="70">
        <v>0</v>
      </c>
      <c r="K273" s="35" t="e">
        <f t="shared" si="574"/>
        <v>#DIV/0!</v>
      </c>
      <c r="L273" s="6" t="e">
        <f t="shared" si="575"/>
        <v>#DIV/0!</v>
      </c>
      <c r="M273" s="68">
        <v>27360</v>
      </c>
      <c r="N273" s="26">
        <v>338</v>
      </c>
      <c r="O273" s="35">
        <f t="shared" si="576"/>
        <v>80.946745562130175</v>
      </c>
      <c r="P273" s="11">
        <f t="shared" si="577"/>
        <v>0.56585456611371177</v>
      </c>
      <c r="Q273" s="35">
        <v>0</v>
      </c>
      <c r="R273" s="66">
        <v>0</v>
      </c>
      <c r="S273" s="35" t="e">
        <f t="shared" si="578"/>
        <v>#DIV/0!</v>
      </c>
      <c r="T273" s="6" t="e">
        <f t="shared" si="579"/>
        <v>#DIV/0!</v>
      </c>
      <c r="U273" s="68">
        <v>0</v>
      </c>
      <c r="V273" s="66">
        <v>0</v>
      </c>
      <c r="W273" s="20" t="e">
        <f t="shared" si="580"/>
        <v>#DIV/0!</v>
      </c>
      <c r="X273" s="6" t="e">
        <f t="shared" si="581"/>
        <v>#DIV/0!</v>
      </c>
      <c r="Y273" s="68">
        <v>44710</v>
      </c>
      <c r="Z273" s="69">
        <v>390</v>
      </c>
      <c r="AA273" s="35">
        <f t="shared" si="582"/>
        <v>114.64102564102564</v>
      </c>
      <c r="AB273" s="11">
        <f t="shared" si="583"/>
        <v>0.80139290804647345</v>
      </c>
      <c r="AC273" s="20">
        <v>20150</v>
      </c>
      <c r="AD273" s="33">
        <v>598</v>
      </c>
      <c r="AE273" s="35">
        <f t="shared" si="584"/>
        <v>33.695652173913047</v>
      </c>
      <c r="AF273" s="6">
        <f t="shared" si="585"/>
        <v>0.23554793350096431</v>
      </c>
      <c r="AG273" s="68">
        <v>0</v>
      </c>
      <c r="AH273" s="66">
        <v>0</v>
      </c>
      <c r="AI273" s="35" t="e">
        <f t="shared" si="586"/>
        <v>#DIV/0!</v>
      </c>
      <c r="AJ273" s="6" t="e">
        <f t="shared" si="587"/>
        <v>#DIV/0!</v>
      </c>
      <c r="AK273" s="68">
        <v>0</v>
      </c>
      <c r="AL273" s="66">
        <v>0</v>
      </c>
      <c r="AM273" s="35" t="e">
        <f t="shared" si="588"/>
        <v>#DIV/0!</v>
      </c>
      <c r="AN273" s="6" t="e">
        <f t="shared" si="589"/>
        <v>#DIV/0!</v>
      </c>
      <c r="AO273" s="68">
        <v>6020</v>
      </c>
      <c r="AP273" s="65">
        <v>404</v>
      </c>
      <c r="AQ273" s="35">
        <f t="shared" si="590"/>
        <v>14.900990099009901</v>
      </c>
      <c r="AR273" s="6">
        <f t="shared" si="591"/>
        <v>0.10416469777241621</v>
      </c>
      <c r="AS273" s="68">
        <v>0</v>
      </c>
      <c r="AT273" s="66">
        <v>0</v>
      </c>
      <c r="AU273" s="35" t="e">
        <f t="shared" si="592"/>
        <v>#DIV/0!</v>
      </c>
      <c r="AV273" s="6" t="e">
        <f t="shared" si="593"/>
        <v>#DIV/0!</v>
      </c>
      <c r="AW273" s="68">
        <v>0</v>
      </c>
      <c r="AX273" s="66">
        <v>0</v>
      </c>
      <c r="AY273" s="35" t="e">
        <f t="shared" si="594"/>
        <v>#DIV/0!</v>
      </c>
      <c r="AZ273" s="6" t="e">
        <f t="shared" si="595"/>
        <v>#DIV/0!</v>
      </c>
      <c r="BA273" s="68">
        <v>0</v>
      </c>
      <c r="BB273" s="66">
        <v>0</v>
      </c>
      <c r="BC273" s="35" t="e">
        <f t="shared" si="596"/>
        <v>#DIV/0!</v>
      </c>
      <c r="BD273" s="11" t="e">
        <f t="shared" si="597"/>
        <v>#DIV/0!</v>
      </c>
    </row>
    <row r="274" spans="1:56" x14ac:dyDescent="0.25">
      <c r="A274" s="19" t="s">
        <v>6</v>
      </c>
      <c r="B274" s="8">
        <v>163180</v>
      </c>
      <c r="C274" s="35">
        <f>B274/F265</f>
        <v>163.83534136546186</v>
      </c>
      <c r="D274" s="8">
        <v>10950</v>
      </c>
      <c r="E274" s="68">
        <v>0</v>
      </c>
      <c r="F274" s="70">
        <v>0</v>
      </c>
      <c r="G274" s="35" t="e">
        <f t="shared" si="572"/>
        <v>#DIV/0!</v>
      </c>
      <c r="H274" s="11" t="e">
        <f t="shared" si="573"/>
        <v>#DIV/0!</v>
      </c>
      <c r="I274" s="35">
        <v>0</v>
      </c>
      <c r="J274" s="70">
        <v>0</v>
      </c>
      <c r="K274" s="35" t="e">
        <f t="shared" si="574"/>
        <v>#DIV/0!</v>
      </c>
      <c r="L274" s="6" t="e">
        <f t="shared" si="575"/>
        <v>#DIV/0!</v>
      </c>
      <c r="M274" s="68">
        <v>32900</v>
      </c>
      <c r="N274" s="26">
        <v>338</v>
      </c>
      <c r="O274" s="35">
        <f t="shared" si="576"/>
        <v>97.337278106508876</v>
      </c>
      <c r="P274" s="11">
        <f t="shared" si="577"/>
        <v>0.59411649095528152</v>
      </c>
      <c r="Q274" s="35">
        <v>0</v>
      </c>
      <c r="R274" s="66">
        <v>0</v>
      </c>
      <c r="S274" s="35" t="e">
        <f t="shared" si="578"/>
        <v>#DIV/0!</v>
      </c>
      <c r="T274" s="6" t="e">
        <f t="shared" si="579"/>
        <v>#DIV/0!</v>
      </c>
      <c r="U274" s="68">
        <v>0</v>
      </c>
      <c r="V274" s="66">
        <v>0</v>
      </c>
      <c r="W274" s="20" t="e">
        <f t="shared" si="580"/>
        <v>#DIV/0!</v>
      </c>
      <c r="X274" s="6" t="e">
        <f t="shared" si="581"/>
        <v>#DIV/0!</v>
      </c>
      <c r="Y274" s="68">
        <v>48960</v>
      </c>
      <c r="Z274" s="69">
        <v>390</v>
      </c>
      <c r="AA274" s="35">
        <f t="shared" si="582"/>
        <v>125.53846153846153</v>
      </c>
      <c r="AB274" s="11">
        <f t="shared" si="583"/>
        <v>0.76624774906427062</v>
      </c>
      <c r="AC274" s="20">
        <v>28920</v>
      </c>
      <c r="AD274" s="33">
        <v>598</v>
      </c>
      <c r="AE274" s="35">
        <f t="shared" si="584"/>
        <v>48.361204013377929</v>
      </c>
      <c r="AF274" s="6">
        <f t="shared" si="585"/>
        <v>0.29518175755193293</v>
      </c>
      <c r="AG274" s="68">
        <v>0</v>
      </c>
      <c r="AH274" s="66">
        <v>0</v>
      </c>
      <c r="AI274" s="35" t="e">
        <f t="shared" si="586"/>
        <v>#DIV/0!</v>
      </c>
      <c r="AJ274" s="6" t="e">
        <f t="shared" si="587"/>
        <v>#DIV/0!</v>
      </c>
      <c r="AK274" s="68">
        <v>0</v>
      </c>
      <c r="AL274" s="66">
        <v>0</v>
      </c>
      <c r="AM274" s="35" t="e">
        <f t="shared" si="588"/>
        <v>#DIV/0!</v>
      </c>
      <c r="AN274" s="6" t="e">
        <f t="shared" si="589"/>
        <v>#DIV/0!</v>
      </c>
      <c r="AO274" s="68">
        <v>6380</v>
      </c>
      <c r="AP274" s="65">
        <v>404</v>
      </c>
      <c r="AQ274" s="35">
        <f t="shared" si="590"/>
        <v>15.792079207920793</v>
      </c>
      <c r="AR274" s="6">
        <f t="shared" si="591"/>
        <v>9.6389942953113789E-2</v>
      </c>
      <c r="AS274" s="68">
        <v>0</v>
      </c>
      <c r="AT274" s="66">
        <v>0</v>
      </c>
      <c r="AU274" s="35" t="e">
        <f t="shared" si="592"/>
        <v>#DIV/0!</v>
      </c>
      <c r="AV274" s="6" t="e">
        <f t="shared" si="593"/>
        <v>#DIV/0!</v>
      </c>
      <c r="AW274" s="68">
        <v>0</v>
      </c>
      <c r="AX274" s="66">
        <v>0</v>
      </c>
      <c r="AY274" s="35" t="e">
        <f t="shared" si="594"/>
        <v>#DIV/0!</v>
      </c>
      <c r="AZ274" s="6" t="e">
        <f t="shared" si="595"/>
        <v>#DIV/0!</v>
      </c>
      <c r="BA274" s="68">
        <v>0</v>
      </c>
      <c r="BB274" s="66">
        <v>0</v>
      </c>
      <c r="BC274" s="35" t="e">
        <f t="shared" si="596"/>
        <v>#DIV/0!</v>
      </c>
      <c r="BD274" s="11" t="e">
        <f t="shared" si="597"/>
        <v>#DIV/0!</v>
      </c>
    </row>
    <row r="275" spans="1:56" ht="15.75" thickBot="1" x14ac:dyDescent="0.3">
      <c r="A275" s="21"/>
      <c r="B275" s="22"/>
      <c r="C275" s="23">
        <f>AVERAGE(Table11018[MA $/Sq Ft])</f>
        <v>98.346242111302359</v>
      </c>
      <c r="D275" s="22">
        <f>AVERAGE(Table11018[Basic Allowance])</f>
        <v>4442.8571428571431</v>
      </c>
      <c r="E275" s="16"/>
      <c r="F275" s="22"/>
      <c r="G275" s="15"/>
      <c r="H275" s="24" t="e">
        <f>AVERAGE(Table11018[Bsmt % Base])</f>
        <v>#DIV/0!</v>
      </c>
      <c r="I275" s="15"/>
      <c r="J275" s="15"/>
      <c r="K275" s="15"/>
      <c r="L275" s="25" t="e">
        <f>AVERAGE(Table11018[[#Headers],[#Data],[UnfBsmt % Base]])</f>
        <v>#DIV/0!</v>
      </c>
      <c r="M275" s="44"/>
      <c r="N275" s="15"/>
      <c r="O275" s="23">
        <f>AVERAGE(Table11018[LowerVal/SqFt])</f>
        <v>63.288250211327131</v>
      </c>
      <c r="P275" s="24">
        <f>AVERAGE(Table11018[Lower % Base])</f>
        <v>0.66478635175164114</v>
      </c>
      <c r="Q275" s="13"/>
      <c r="R275" s="13"/>
      <c r="S275" s="13"/>
      <c r="T275" s="25" t="e">
        <f>AVERAGE(Table11018[Unf Lower % Base])</f>
        <v>#DIV/0!</v>
      </c>
      <c r="U275" s="12"/>
      <c r="V275" s="13"/>
      <c r="W275" s="13"/>
      <c r="X275" s="25" t="e">
        <f>AVERAGE(Table11018[1/2 Story % Base])</f>
        <v>#DIV/0!</v>
      </c>
      <c r="Y275" s="12"/>
      <c r="Z275" s="13"/>
      <c r="AA275" s="13"/>
      <c r="AB275" s="24">
        <f>AVERAGE(Table11018[2nd Story % Base])</f>
        <v>0.8647483200040551</v>
      </c>
      <c r="AC275" s="13"/>
      <c r="AD275" s="13"/>
      <c r="AE275" s="23">
        <f>AVERAGE(Table11018[AttGarVal/SqFt])</f>
        <v>28.308647873865262</v>
      </c>
      <c r="AF275" s="25">
        <f>AVERAGE(Table11018[Att Gar % Base])</f>
        <v>0.29427713311127601</v>
      </c>
      <c r="AG275" s="12"/>
      <c r="AH275" s="13"/>
      <c r="AI275" s="13"/>
      <c r="AJ275" s="25" t="e">
        <f>AVERAGE(Table11018[Porch % Base])</f>
        <v>#DIV/0!</v>
      </c>
      <c r="AK275" s="12"/>
      <c r="AL275" s="13"/>
      <c r="AM275" s="13"/>
      <c r="AN275" s="25" t="e">
        <f>AVERAGE(Table11018[Cov Porch % Base])</f>
        <v>#DIV/0!</v>
      </c>
      <c r="AO275" s="12"/>
      <c r="AP275" s="13"/>
      <c r="AQ275" s="13"/>
      <c r="AR275" s="25">
        <f>AVERAGE(Table11018[Deck % Base])</f>
        <v>0.11100080082563892</v>
      </c>
      <c r="AS275" s="12"/>
      <c r="AT275" s="13"/>
      <c r="AU275" s="23" t="e">
        <f>AVERAGE(Table11018[CovDeckVal/SqFt])</f>
        <v>#DIV/0!</v>
      </c>
      <c r="AV275" s="25" t="e">
        <f>AVERAGE(Table11018[CovDeck % Base])</f>
        <v>#DIV/0!</v>
      </c>
      <c r="AW275" s="12"/>
      <c r="AX275" s="13"/>
      <c r="AY275" s="13"/>
      <c r="AZ275" s="25" t="e">
        <f>AVERAGE(Table11018[CarP % Base])</f>
        <v>#DIV/0!</v>
      </c>
      <c r="BA275" s="12"/>
      <c r="BB275" s="13"/>
      <c r="BC275" s="13"/>
      <c r="BD275" s="24" t="e">
        <f>AVERAGE(Table11018[EFP % Base])</f>
        <v>#DIV/0!</v>
      </c>
    </row>
    <row r="277" spans="1:56" ht="15.75" thickBot="1" x14ac:dyDescent="0.3">
      <c r="A277" s="82"/>
      <c r="B277" t="s">
        <v>79</v>
      </c>
      <c r="C277" s="78" t="s">
        <v>112</v>
      </c>
      <c r="E277" t="s">
        <v>33</v>
      </c>
      <c r="F277" s="79">
        <v>1175</v>
      </c>
      <c r="H277" t="s">
        <v>80</v>
      </c>
      <c r="I277" t="s">
        <v>201</v>
      </c>
    </row>
    <row r="278" spans="1:56" x14ac:dyDescent="0.25">
      <c r="A278" s="112"/>
      <c r="B278" s="113"/>
      <c r="C278" s="113"/>
      <c r="D278" s="114"/>
      <c r="E278" s="115" t="s">
        <v>27</v>
      </c>
      <c r="F278" s="116"/>
      <c r="G278" s="116"/>
      <c r="H278" s="117"/>
      <c r="I278" s="118" t="s">
        <v>28</v>
      </c>
      <c r="J278" s="119"/>
      <c r="K278" s="119"/>
      <c r="L278" s="120"/>
      <c r="M278" s="121" t="s">
        <v>7</v>
      </c>
      <c r="N278" s="122"/>
      <c r="O278" s="122"/>
      <c r="P278" s="123"/>
      <c r="Q278" s="124" t="s">
        <v>29</v>
      </c>
      <c r="R278" s="125"/>
      <c r="S278" s="125"/>
      <c r="T278" s="126"/>
      <c r="U278" s="127" t="s">
        <v>8</v>
      </c>
      <c r="V278" s="128"/>
      <c r="W278" s="128"/>
      <c r="X278" s="129"/>
      <c r="Y278" s="130" t="s">
        <v>0</v>
      </c>
      <c r="Z278" s="131"/>
      <c r="AA278" s="131"/>
      <c r="AB278" s="132"/>
      <c r="AC278" s="133" t="s">
        <v>34</v>
      </c>
      <c r="AD278" s="134"/>
      <c r="AE278" s="134"/>
      <c r="AF278" s="135"/>
      <c r="AG278" s="115" t="s">
        <v>9</v>
      </c>
      <c r="AH278" s="116"/>
      <c r="AI278" s="116"/>
      <c r="AJ278" s="117"/>
      <c r="AK278" s="136" t="s">
        <v>35</v>
      </c>
      <c r="AL278" s="137"/>
      <c r="AM278" s="137"/>
      <c r="AN278" s="138"/>
      <c r="AO278" s="139" t="s">
        <v>10</v>
      </c>
      <c r="AP278" s="140"/>
      <c r="AQ278" s="140"/>
      <c r="AR278" s="141"/>
      <c r="AS278" s="124" t="s">
        <v>36</v>
      </c>
      <c r="AT278" s="125"/>
      <c r="AU278" s="125"/>
      <c r="AV278" s="126"/>
      <c r="AW278" s="142" t="s">
        <v>11</v>
      </c>
      <c r="AX278" s="143"/>
      <c r="AY278" s="143"/>
      <c r="AZ278" s="144"/>
      <c r="BA278" s="148" t="s">
        <v>17</v>
      </c>
      <c r="BB278" s="149"/>
      <c r="BC278" s="149"/>
      <c r="BD278" s="150"/>
    </row>
    <row r="279" spans="1:56" s="1" customFormat="1" ht="15.75" thickBot="1" x14ac:dyDescent="0.3">
      <c r="A279" s="41" t="s">
        <v>13</v>
      </c>
      <c r="B279" s="42" t="s">
        <v>15</v>
      </c>
      <c r="C279" s="42" t="s">
        <v>32</v>
      </c>
      <c r="D279" s="43" t="s">
        <v>18</v>
      </c>
      <c r="E279" s="30" t="s">
        <v>30</v>
      </c>
      <c r="F279" s="31" t="s">
        <v>61</v>
      </c>
      <c r="G279" s="31" t="s">
        <v>38</v>
      </c>
      <c r="H279" s="32" t="s">
        <v>62</v>
      </c>
      <c r="I279" s="37" t="s">
        <v>31</v>
      </c>
      <c r="J279" s="38" t="s">
        <v>39</v>
      </c>
      <c r="K279" s="38" t="s">
        <v>40</v>
      </c>
      <c r="L279" s="39" t="s">
        <v>63</v>
      </c>
      <c r="M279" s="40" t="s">
        <v>19</v>
      </c>
      <c r="N279" s="7" t="s">
        <v>41</v>
      </c>
      <c r="O279" s="7" t="s">
        <v>37</v>
      </c>
      <c r="P279" s="7" t="s">
        <v>64</v>
      </c>
      <c r="Q279" s="27" t="s">
        <v>20</v>
      </c>
      <c r="R279" s="28" t="s">
        <v>60</v>
      </c>
      <c r="S279" s="28" t="s">
        <v>59</v>
      </c>
      <c r="T279" s="29" t="s">
        <v>65</v>
      </c>
      <c r="U279" s="48" t="s">
        <v>21</v>
      </c>
      <c r="V279" s="48" t="s">
        <v>42</v>
      </c>
      <c r="W279" s="48" t="s">
        <v>43</v>
      </c>
      <c r="X279" s="49" t="s">
        <v>66</v>
      </c>
      <c r="Y279" s="50" t="s">
        <v>22</v>
      </c>
      <c r="Z279" s="51" t="s">
        <v>44</v>
      </c>
      <c r="AA279" s="51" t="s">
        <v>45</v>
      </c>
      <c r="AB279" s="52" t="s">
        <v>67</v>
      </c>
      <c r="AC279" s="45" t="s">
        <v>23</v>
      </c>
      <c r="AD279" s="46" t="s">
        <v>46</v>
      </c>
      <c r="AE279" s="46" t="s">
        <v>47</v>
      </c>
      <c r="AF279" s="47" t="s">
        <v>68</v>
      </c>
      <c r="AG279" s="30" t="s">
        <v>24</v>
      </c>
      <c r="AH279" s="31" t="s">
        <v>48</v>
      </c>
      <c r="AI279" s="31" t="s">
        <v>49</v>
      </c>
      <c r="AJ279" s="32" t="s">
        <v>69</v>
      </c>
      <c r="AK279" s="53" t="s">
        <v>25</v>
      </c>
      <c r="AL279" s="54" t="s">
        <v>50</v>
      </c>
      <c r="AM279" s="54" t="s">
        <v>51</v>
      </c>
      <c r="AN279" s="55" t="s">
        <v>70</v>
      </c>
      <c r="AO279" s="56" t="s">
        <v>26</v>
      </c>
      <c r="AP279" s="57" t="s">
        <v>52</v>
      </c>
      <c r="AQ279" s="57" t="s">
        <v>53</v>
      </c>
      <c r="AR279" s="58" t="s">
        <v>71</v>
      </c>
      <c r="AS279" s="59" t="s">
        <v>55</v>
      </c>
      <c r="AT279" s="60" t="s">
        <v>54</v>
      </c>
      <c r="AU279" s="60" t="s">
        <v>56</v>
      </c>
      <c r="AV279" s="61" t="s">
        <v>76</v>
      </c>
      <c r="AW279" s="62" t="s">
        <v>72</v>
      </c>
      <c r="AX279" s="63" t="s">
        <v>73</v>
      </c>
      <c r="AY279" s="63" t="s">
        <v>74</v>
      </c>
      <c r="AZ279" s="64" t="s">
        <v>75</v>
      </c>
      <c r="BA279" s="71" t="s">
        <v>77</v>
      </c>
      <c r="BB279" s="72" t="s">
        <v>57</v>
      </c>
      <c r="BC279" s="72" t="s">
        <v>58</v>
      </c>
      <c r="BD279" s="73" t="s">
        <v>78</v>
      </c>
    </row>
    <row r="280" spans="1:56" ht="15.75" thickBot="1" x14ac:dyDescent="0.3">
      <c r="A280" s="17" t="s">
        <v>1</v>
      </c>
      <c r="B280" s="14">
        <v>59850</v>
      </c>
      <c r="C280" s="34">
        <f>B280/F277</f>
        <v>50.936170212765958</v>
      </c>
      <c r="D280" s="14">
        <v>3050</v>
      </c>
      <c r="E280" s="67">
        <v>27710</v>
      </c>
      <c r="F280" s="69">
        <v>1175</v>
      </c>
      <c r="G280" s="34">
        <f t="shared" ref="G280:G286" si="598">E280/F280</f>
        <v>23.582978723404256</v>
      </c>
      <c r="H280" s="10">
        <f t="shared" ref="H280:H286" si="599">G280/C280</f>
        <v>0.4629908103592314</v>
      </c>
      <c r="I280" s="34">
        <v>0</v>
      </c>
      <c r="J280" s="69">
        <v>0</v>
      </c>
      <c r="K280" s="34" t="e">
        <f t="shared" ref="K280:K286" si="600">I280/J280</f>
        <v>#DIV/0!</v>
      </c>
      <c r="L280" s="9" t="e">
        <f t="shared" ref="L280:L286" si="601">K280/C280</f>
        <v>#DIV/0!</v>
      </c>
      <c r="M280" s="67">
        <v>0</v>
      </c>
      <c r="N280" s="26">
        <v>0</v>
      </c>
      <c r="O280" s="34" t="e">
        <f t="shared" ref="O280:O286" si="602">M280/N280</f>
        <v>#DIV/0!</v>
      </c>
      <c r="P280" s="10" t="e">
        <f t="shared" ref="P280:P286" si="603">O280/C280</f>
        <v>#DIV/0!</v>
      </c>
      <c r="Q280" s="35">
        <v>0</v>
      </c>
      <c r="R280" s="66">
        <v>0</v>
      </c>
      <c r="S280" s="35" t="e">
        <f t="shared" ref="S280:S286" si="604">Q280/R280</f>
        <v>#DIV/0!</v>
      </c>
      <c r="T280" s="6" t="e">
        <f t="shared" ref="T280:T286" si="605">S280/C280</f>
        <v>#DIV/0!</v>
      </c>
      <c r="U280" s="67">
        <v>0</v>
      </c>
      <c r="V280" s="65">
        <v>0</v>
      </c>
      <c r="W280" s="18" t="e">
        <f t="shared" ref="W280:W286" si="606">U280/V280</f>
        <v>#DIV/0!</v>
      </c>
      <c r="X280" s="9" t="e">
        <f t="shared" ref="X280:X286" si="607">W280/C280</f>
        <v>#DIV/0!</v>
      </c>
      <c r="Y280" s="67">
        <v>42190</v>
      </c>
      <c r="Z280" s="69">
        <v>1175</v>
      </c>
      <c r="AA280" s="34">
        <f t="shared" ref="AA280:AA286" si="608">Y280/Z280</f>
        <v>35.906382978723407</v>
      </c>
      <c r="AB280" s="10">
        <f t="shared" ref="AB280:AB286" si="609">AA280/C280</f>
        <v>0.70492898913951552</v>
      </c>
      <c r="AC280" s="18">
        <v>0</v>
      </c>
      <c r="AD280" s="33">
        <v>0</v>
      </c>
      <c r="AE280" s="34" t="e">
        <f t="shared" ref="AE280:AE286" si="610">AC280/AD280</f>
        <v>#DIV/0!</v>
      </c>
      <c r="AF280" s="9" t="e">
        <f t="shared" ref="AF280:AF286" si="611">AE280/C280</f>
        <v>#DIV/0!</v>
      </c>
      <c r="AG280" s="67">
        <v>0</v>
      </c>
      <c r="AH280" s="65">
        <v>0</v>
      </c>
      <c r="AI280" s="34" t="e">
        <f t="shared" ref="AI280:AI286" si="612">AG280/AH280</f>
        <v>#DIV/0!</v>
      </c>
      <c r="AJ280" s="9" t="e">
        <f t="shared" ref="AJ280:AJ286" si="613">AI280/C280</f>
        <v>#DIV/0!</v>
      </c>
      <c r="AK280" s="67">
        <v>2590</v>
      </c>
      <c r="AL280" s="65">
        <v>470</v>
      </c>
      <c r="AM280" s="34">
        <f t="shared" ref="AM280:AM286" si="614">AK280/AL280</f>
        <v>5.5106382978723403</v>
      </c>
      <c r="AN280" s="9">
        <f t="shared" ref="AN280:AN286" si="615">AM280/C280</f>
        <v>0.10818713450292397</v>
      </c>
      <c r="AO280" s="67">
        <v>0</v>
      </c>
      <c r="AP280" s="65">
        <v>0</v>
      </c>
      <c r="AQ280" s="34" t="e">
        <f t="shared" ref="AQ280:AQ286" si="616">AO280/AP280</f>
        <v>#DIV/0!</v>
      </c>
      <c r="AR280" s="9" t="e">
        <f t="shared" ref="AR280:AR286" si="617">AQ280/C280</f>
        <v>#DIV/0!</v>
      </c>
      <c r="AS280" s="67">
        <v>1510</v>
      </c>
      <c r="AT280" s="65">
        <v>120</v>
      </c>
      <c r="AU280" s="34">
        <f t="shared" ref="AU280:AU286" si="618">AS280/AT280</f>
        <v>12.583333333333334</v>
      </c>
      <c r="AV280" s="9">
        <f t="shared" ref="AV280:AV286" si="619">AU280/C280</f>
        <v>0.24704121414647731</v>
      </c>
      <c r="AW280" s="67">
        <v>0</v>
      </c>
      <c r="AX280" s="65">
        <v>0</v>
      </c>
      <c r="AY280" s="34" t="e">
        <f t="shared" ref="AY280:AY286" si="620">AW280/AX280</f>
        <v>#DIV/0!</v>
      </c>
      <c r="AZ280" s="9" t="e">
        <f t="shared" ref="AZ280:AZ286" si="621">AY280/C280</f>
        <v>#DIV/0!</v>
      </c>
      <c r="BA280" s="67">
        <v>0</v>
      </c>
      <c r="BB280" s="65">
        <v>0</v>
      </c>
      <c r="BC280" s="34" t="e">
        <f t="shared" ref="BC280:BC286" si="622">BA280/BB280</f>
        <v>#DIV/0!</v>
      </c>
      <c r="BD280" s="10" t="e">
        <f t="shared" ref="BD280:BD286" si="623">BC280/C280</f>
        <v>#DIV/0!</v>
      </c>
    </row>
    <row r="281" spans="1:56" ht="15.75" thickBot="1" x14ac:dyDescent="0.3">
      <c r="A281" s="19" t="s">
        <v>16</v>
      </c>
      <c r="B281" s="8">
        <v>70420</v>
      </c>
      <c r="C281" s="35">
        <f>B281/F277</f>
        <v>59.931914893617019</v>
      </c>
      <c r="D281" s="8">
        <v>3050</v>
      </c>
      <c r="E281" s="68">
        <v>37580</v>
      </c>
      <c r="F281" s="69">
        <v>1175</v>
      </c>
      <c r="G281" s="35">
        <f t="shared" si="598"/>
        <v>31.982978723404255</v>
      </c>
      <c r="H281" s="11">
        <f t="shared" si="599"/>
        <v>0.5336552115876172</v>
      </c>
      <c r="I281" s="35">
        <v>0</v>
      </c>
      <c r="J281" s="70">
        <v>0</v>
      </c>
      <c r="K281" s="35" t="e">
        <f t="shared" si="600"/>
        <v>#DIV/0!</v>
      </c>
      <c r="L281" s="6" t="e">
        <f t="shared" si="601"/>
        <v>#DIV/0!</v>
      </c>
      <c r="M281" s="68">
        <v>0</v>
      </c>
      <c r="N281" s="5">
        <v>0</v>
      </c>
      <c r="O281" s="35" t="e">
        <f t="shared" si="602"/>
        <v>#DIV/0!</v>
      </c>
      <c r="P281" s="11" t="e">
        <f t="shared" si="603"/>
        <v>#DIV/0!</v>
      </c>
      <c r="Q281" s="35">
        <v>0</v>
      </c>
      <c r="R281" s="66">
        <v>0</v>
      </c>
      <c r="S281" s="35" t="e">
        <f t="shared" si="604"/>
        <v>#DIV/0!</v>
      </c>
      <c r="T281" s="6" t="e">
        <f t="shared" si="605"/>
        <v>#DIV/0!</v>
      </c>
      <c r="U281" s="68">
        <v>0</v>
      </c>
      <c r="V281" s="66">
        <v>0</v>
      </c>
      <c r="W281" s="20" t="e">
        <f t="shared" si="606"/>
        <v>#DIV/0!</v>
      </c>
      <c r="X281" s="6" t="e">
        <f t="shared" si="607"/>
        <v>#DIV/0!</v>
      </c>
      <c r="Y281" s="68">
        <v>57790</v>
      </c>
      <c r="Z281" s="69">
        <v>1175</v>
      </c>
      <c r="AA281" s="35">
        <f t="shared" si="608"/>
        <v>49.182978723404254</v>
      </c>
      <c r="AB281" s="11">
        <f t="shared" si="609"/>
        <v>0.8206475433115592</v>
      </c>
      <c r="AC281" s="20">
        <v>0</v>
      </c>
      <c r="AD281" s="36">
        <v>0</v>
      </c>
      <c r="AE281" s="35" t="e">
        <f t="shared" si="610"/>
        <v>#DIV/0!</v>
      </c>
      <c r="AF281" s="6" t="e">
        <f t="shared" si="611"/>
        <v>#DIV/0!</v>
      </c>
      <c r="AG281" s="68">
        <v>0</v>
      </c>
      <c r="AH281" s="66">
        <v>0</v>
      </c>
      <c r="AI281" s="35" t="e">
        <f t="shared" si="612"/>
        <v>#DIV/0!</v>
      </c>
      <c r="AJ281" s="6" t="e">
        <f t="shared" si="613"/>
        <v>#DIV/0!</v>
      </c>
      <c r="AK281" s="68">
        <v>3820</v>
      </c>
      <c r="AL281" s="65">
        <v>470</v>
      </c>
      <c r="AM281" s="35">
        <f t="shared" si="614"/>
        <v>8.1276595744680851</v>
      </c>
      <c r="AN281" s="6">
        <f t="shared" si="615"/>
        <v>0.1356148821357569</v>
      </c>
      <c r="AO281" s="68">
        <v>0</v>
      </c>
      <c r="AP281" s="66">
        <v>0</v>
      </c>
      <c r="AQ281" s="35" t="e">
        <f t="shared" si="616"/>
        <v>#DIV/0!</v>
      </c>
      <c r="AR281" s="6" t="e">
        <f t="shared" si="617"/>
        <v>#DIV/0!</v>
      </c>
      <c r="AS281" s="68">
        <v>2220</v>
      </c>
      <c r="AT281" s="65">
        <v>120</v>
      </c>
      <c r="AU281" s="35">
        <f t="shared" si="618"/>
        <v>18.5</v>
      </c>
      <c r="AV281" s="6">
        <f t="shared" si="619"/>
        <v>0.30868361261005395</v>
      </c>
      <c r="AW281" s="68">
        <v>0</v>
      </c>
      <c r="AX281" s="66">
        <v>0</v>
      </c>
      <c r="AY281" s="35" t="e">
        <f t="shared" si="620"/>
        <v>#DIV/0!</v>
      </c>
      <c r="AZ281" s="6" t="e">
        <f t="shared" si="621"/>
        <v>#DIV/0!</v>
      </c>
      <c r="BA281" s="68">
        <v>0</v>
      </c>
      <c r="BB281" s="66">
        <v>0</v>
      </c>
      <c r="BC281" s="35" t="e">
        <f t="shared" si="622"/>
        <v>#DIV/0!</v>
      </c>
      <c r="BD281" s="11" t="e">
        <f t="shared" si="623"/>
        <v>#DIV/0!</v>
      </c>
    </row>
    <row r="282" spans="1:56" ht="15.75" thickBot="1" x14ac:dyDescent="0.3">
      <c r="A282" s="19" t="s">
        <v>2</v>
      </c>
      <c r="B282" s="8">
        <v>82370</v>
      </c>
      <c r="C282" s="35">
        <f>B282/F277</f>
        <v>70.102127659574464</v>
      </c>
      <c r="D282" s="8">
        <v>4200</v>
      </c>
      <c r="E282" s="68">
        <v>43230</v>
      </c>
      <c r="F282" s="69">
        <v>1175</v>
      </c>
      <c r="G282" s="35">
        <f t="shared" si="598"/>
        <v>36.791489361702126</v>
      </c>
      <c r="H282" s="11">
        <f t="shared" si="599"/>
        <v>0.52482700012140349</v>
      </c>
      <c r="I282" s="35">
        <v>0</v>
      </c>
      <c r="J282" s="70">
        <v>0</v>
      </c>
      <c r="K282" s="35" t="e">
        <f t="shared" si="600"/>
        <v>#DIV/0!</v>
      </c>
      <c r="L282" s="6" t="e">
        <f t="shared" si="601"/>
        <v>#DIV/0!</v>
      </c>
      <c r="M282" s="68">
        <v>0</v>
      </c>
      <c r="N282" s="5">
        <v>0</v>
      </c>
      <c r="O282" s="35" t="e">
        <f t="shared" si="602"/>
        <v>#DIV/0!</v>
      </c>
      <c r="P282" s="11" t="e">
        <f t="shared" si="603"/>
        <v>#DIV/0!</v>
      </c>
      <c r="Q282" s="35">
        <v>0</v>
      </c>
      <c r="R282" s="66">
        <v>0</v>
      </c>
      <c r="S282" s="35" t="e">
        <f t="shared" si="604"/>
        <v>#DIV/0!</v>
      </c>
      <c r="T282" s="6" t="e">
        <f t="shared" si="605"/>
        <v>#DIV/0!</v>
      </c>
      <c r="U282" s="68">
        <v>0</v>
      </c>
      <c r="V282" s="66">
        <v>0</v>
      </c>
      <c r="W282" s="20" t="e">
        <f t="shared" si="606"/>
        <v>#DIV/0!</v>
      </c>
      <c r="X282" s="6" t="e">
        <f t="shared" si="607"/>
        <v>#DIV/0!</v>
      </c>
      <c r="Y282" s="68">
        <v>66250</v>
      </c>
      <c r="Z282" s="69">
        <v>1175</v>
      </c>
      <c r="AA282" s="35">
        <f t="shared" si="608"/>
        <v>56.382978723404257</v>
      </c>
      <c r="AB282" s="11">
        <f t="shared" si="609"/>
        <v>0.80429768119460976</v>
      </c>
      <c r="AC282" s="20">
        <v>0</v>
      </c>
      <c r="AD282" s="36">
        <v>0</v>
      </c>
      <c r="AE282" s="35" t="e">
        <f t="shared" si="610"/>
        <v>#DIV/0!</v>
      </c>
      <c r="AF282" s="6" t="e">
        <f t="shared" si="611"/>
        <v>#DIV/0!</v>
      </c>
      <c r="AG282" s="68">
        <v>0</v>
      </c>
      <c r="AH282" s="66">
        <v>0</v>
      </c>
      <c r="AI282" s="35" t="e">
        <f t="shared" si="612"/>
        <v>#DIV/0!</v>
      </c>
      <c r="AJ282" s="6" t="e">
        <f t="shared" si="613"/>
        <v>#DIV/0!</v>
      </c>
      <c r="AK282" s="68">
        <v>4120</v>
      </c>
      <c r="AL282" s="65">
        <v>470</v>
      </c>
      <c r="AM282" s="35">
        <f t="shared" si="614"/>
        <v>8.7659574468085104</v>
      </c>
      <c r="AN282" s="6">
        <f t="shared" si="615"/>
        <v>0.12504552628384122</v>
      </c>
      <c r="AO282" s="68">
        <v>0</v>
      </c>
      <c r="AP282" s="66">
        <v>0</v>
      </c>
      <c r="AQ282" s="35" t="e">
        <f t="shared" si="616"/>
        <v>#DIV/0!</v>
      </c>
      <c r="AR282" s="6" t="e">
        <f t="shared" si="617"/>
        <v>#DIV/0!</v>
      </c>
      <c r="AS282" s="68">
        <v>2350</v>
      </c>
      <c r="AT282" s="65">
        <v>120</v>
      </c>
      <c r="AU282" s="35">
        <f t="shared" si="618"/>
        <v>19.583333333333332</v>
      </c>
      <c r="AV282" s="6">
        <f t="shared" si="619"/>
        <v>0.27935433612561206</v>
      </c>
      <c r="AW282" s="68">
        <v>0</v>
      </c>
      <c r="AX282" s="66">
        <v>0</v>
      </c>
      <c r="AY282" s="35" t="e">
        <f t="shared" si="620"/>
        <v>#DIV/0!</v>
      </c>
      <c r="AZ282" s="6" t="e">
        <f t="shared" si="621"/>
        <v>#DIV/0!</v>
      </c>
      <c r="BA282" s="68">
        <v>0</v>
      </c>
      <c r="BB282" s="66">
        <v>0</v>
      </c>
      <c r="BC282" s="35" t="e">
        <f t="shared" si="622"/>
        <v>#DIV/0!</v>
      </c>
      <c r="BD282" s="11" t="e">
        <f t="shared" si="623"/>
        <v>#DIV/0!</v>
      </c>
    </row>
    <row r="283" spans="1:56" ht="15.75" thickBot="1" x14ac:dyDescent="0.3">
      <c r="A283" s="19" t="s">
        <v>3</v>
      </c>
      <c r="B283" s="8">
        <v>99430</v>
      </c>
      <c r="C283" s="35">
        <f>B283/F277</f>
        <v>84.621276595744675</v>
      </c>
      <c r="D283" s="8">
        <v>5400</v>
      </c>
      <c r="E283" s="68">
        <v>49660</v>
      </c>
      <c r="F283" s="69">
        <v>1175</v>
      </c>
      <c r="G283" s="35">
        <f t="shared" si="598"/>
        <v>42.263829787234044</v>
      </c>
      <c r="H283" s="11">
        <f t="shared" si="599"/>
        <v>0.49944684702806003</v>
      </c>
      <c r="I283" s="35">
        <v>0</v>
      </c>
      <c r="J283" s="70">
        <v>0</v>
      </c>
      <c r="K283" s="35" t="e">
        <f t="shared" si="600"/>
        <v>#DIV/0!</v>
      </c>
      <c r="L283" s="6" t="e">
        <f t="shared" si="601"/>
        <v>#DIV/0!</v>
      </c>
      <c r="M283" s="68">
        <v>0</v>
      </c>
      <c r="N283" s="5">
        <v>0</v>
      </c>
      <c r="O283" s="35" t="e">
        <f t="shared" si="602"/>
        <v>#DIV/0!</v>
      </c>
      <c r="P283" s="11" t="e">
        <f t="shared" si="603"/>
        <v>#DIV/0!</v>
      </c>
      <c r="Q283" s="35">
        <v>0</v>
      </c>
      <c r="R283" s="66">
        <v>0</v>
      </c>
      <c r="S283" s="35" t="e">
        <f t="shared" si="604"/>
        <v>#DIV/0!</v>
      </c>
      <c r="T283" s="6" t="e">
        <f t="shared" si="605"/>
        <v>#DIV/0!</v>
      </c>
      <c r="U283" s="68">
        <v>0</v>
      </c>
      <c r="V283" s="66">
        <v>0</v>
      </c>
      <c r="W283" s="20" t="e">
        <f t="shared" si="606"/>
        <v>#DIV/0!</v>
      </c>
      <c r="X283" s="6" t="e">
        <f t="shared" si="607"/>
        <v>#DIV/0!</v>
      </c>
      <c r="Y283" s="68">
        <v>75000</v>
      </c>
      <c r="Z283" s="69">
        <v>1175</v>
      </c>
      <c r="AA283" s="35">
        <f t="shared" si="608"/>
        <v>63.829787234042556</v>
      </c>
      <c r="AB283" s="11">
        <f t="shared" si="609"/>
        <v>0.75429950719098871</v>
      </c>
      <c r="AC283" s="20">
        <v>0</v>
      </c>
      <c r="AD283" s="36">
        <v>0</v>
      </c>
      <c r="AE283" s="35" t="e">
        <f t="shared" si="610"/>
        <v>#DIV/0!</v>
      </c>
      <c r="AF283" s="6" t="e">
        <f t="shared" si="611"/>
        <v>#DIV/0!</v>
      </c>
      <c r="AG283" s="68">
        <v>0</v>
      </c>
      <c r="AH283" s="66">
        <v>0</v>
      </c>
      <c r="AI283" s="35" t="e">
        <f t="shared" si="612"/>
        <v>#DIV/0!</v>
      </c>
      <c r="AJ283" s="6" t="e">
        <f t="shared" si="613"/>
        <v>#DIV/0!</v>
      </c>
      <c r="AK283" s="68">
        <v>4480</v>
      </c>
      <c r="AL283" s="65">
        <v>470</v>
      </c>
      <c r="AM283" s="35">
        <f t="shared" si="614"/>
        <v>9.5319148936170208</v>
      </c>
      <c r="AN283" s="6">
        <f t="shared" si="615"/>
        <v>0.11264205974052097</v>
      </c>
      <c r="AO283" s="68">
        <v>0</v>
      </c>
      <c r="AP283" s="66">
        <v>0</v>
      </c>
      <c r="AQ283" s="35" t="e">
        <f t="shared" si="616"/>
        <v>#DIV/0!</v>
      </c>
      <c r="AR283" s="6" t="e">
        <f t="shared" si="617"/>
        <v>#DIV/0!</v>
      </c>
      <c r="AS283" s="68">
        <v>2470</v>
      </c>
      <c r="AT283" s="65">
        <v>120</v>
      </c>
      <c r="AU283" s="35">
        <f t="shared" si="618"/>
        <v>20.583333333333332</v>
      </c>
      <c r="AV283" s="6">
        <f t="shared" si="619"/>
        <v>0.2432406383050052</v>
      </c>
      <c r="AW283" s="68">
        <v>0</v>
      </c>
      <c r="AX283" s="66">
        <v>0</v>
      </c>
      <c r="AY283" s="35" t="e">
        <f t="shared" si="620"/>
        <v>#DIV/0!</v>
      </c>
      <c r="AZ283" s="6" t="e">
        <f t="shared" si="621"/>
        <v>#DIV/0!</v>
      </c>
      <c r="BA283" s="68">
        <v>0</v>
      </c>
      <c r="BB283" s="66">
        <v>0</v>
      </c>
      <c r="BC283" s="35" t="e">
        <f t="shared" si="622"/>
        <v>#DIV/0!</v>
      </c>
      <c r="BD283" s="11" t="e">
        <f t="shared" si="623"/>
        <v>#DIV/0!</v>
      </c>
    </row>
    <row r="284" spans="1:56" ht="15.75" thickBot="1" x14ac:dyDescent="0.3">
      <c r="A284" s="19" t="s">
        <v>4</v>
      </c>
      <c r="B284" s="8">
        <v>124070</v>
      </c>
      <c r="C284" s="35">
        <f>B284/F277</f>
        <v>105.59148936170213</v>
      </c>
      <c r="D284" s="8">
        <v>1050</v>
      </c>
      <c r="E284" s="68">
        <v>70600</v>
      </c>
      <c r="F284" s="69">
        <v>1175</v>
      </c>
      <c r="G284" s="35">
        <f t="shared" si="598"/>
        <v>60.085106382978722</v>
      </c>
      <c r="H284" s="11">
        <f t="shared" si="599"/>
        <v>0.56903361005883768</v>
      </c>
      <c r="I284" s="35">
        <v>0</v>
      </c>
      <c r="J284" s="70">
        <v>0</v>
      </c>
      <c r="K284" s="35" t="e">
        <f t="shared" si="600"/>
        <v>#DIV/0!</v>
      </c>
      <c r="L284" s="6" t="e">
        <f t="shared" si="601"/>
        <v>#DIV/0!</v>
      </c>
      <c r="M284" s="68">
        <v>0</v>
      </c>
      <c r="N284" s="5">
        <v>0</v>
      </c>
      <c r="O284" s="35" t="e">
        <f t="shared" si="602"/>
        <v>#DIV/0!</v>
      </c>
      <c r="P284" s="11" t="e">
        <f t="shared" si="603"/>
        <v>#DIV/0!</v>
      </c>
      <c r="Q284" s="35">
        <v>0</v>
      </c>
      <c r="R284" s="66">
        <v>0</v>
      </c>
      <c r="S284" s="35" t="e">
        <f t="shared" si="604"/>
        <v>#DIV/0!</v>
      </c>
      <c r="T284" s="6" t="e">
        <f t="shared" si="605"/>
        <v>#DIV/0!</v>
      </c>
      <c r="U284" s="68">
        <v>0</v>
      </c>
      <c r="V284" s="66">
        <v>0</v>
      </c>
      <c r="W284" s="20" t="e">
        <f t="shared" si="606"/>
        <v>#DIV/0!</v>
      </c>
      <c r="X284" s="6" t="e">
        <f t="shared" si="607"/>
        <v>#DIV/0!</v>
      </c>
      <c r="Y284" s="68">
        <v>96260</v>
      </c>
      <c r="Z284" s="69">
        <v>1175</v>
      </c>
      <c r="AA284" s="35">
        <f t="shared" si="608"/>
        <v>81.923404255319156</v>
      </c>
      <c r="AB284" s="11">
        <f t="shared" si="609"/>
        <v>0.77585234142016613</v>
      </c>
      <c r="AC284" s="20">
        <v>0</v>
      </c>
      <c r="AD284" s="36">
        <v>0</v>
      </c>
      <c r="AE284" s="35" t="e">
        <f t="shared" si="610"/>
        <v>#DIV/0!</v>
      </c>
      <c r="AF284" s="6" t="e">
        <f t="shared" si="611"/>
        <v>#DIV/0!</v>
      </c>
      <c r="AG284" s="68">
        <v>0</v>
      </c>
      <c r="AH284" s="66">
        <v>0</v>
      </c>
      <c r="AI284" s="35" t="e">
        <f t="shared" si="612"/>
        <v>#DIV/0!</v>
      </c>
      <c r="AJ284" s="6" t="e">
        <f t="shared" si="613"/>
        <v>#DIV/0!</v>
      </c>
      <c r="AK284" s="68">
        <v>5320</v>
      </c>
      <c r="AL284" s="65">
        <v>470</v>
      </c>
      <c r="AM284" s="35">
        <f t="shared" si="614"/>
        <v>11.319148936170214</v>
      </c>
      <c r="AN284" s="6">
        <f t="shared" si="615"/>
        <v>0.10719754977029097</v>
      </c>
      <c r="AO284" s="68">
        <v>0</v>
      </c>
      <c r="AP284" s="66">
        <v>0</v>
      </c>
      <c r="AQ284" s="35" t="e">
        <f t="shared" si="616"/>
        <v>#DIV/0!</v>
      </c>
      <c r="AR284" s="6" t="e">
        <f t="shared" si="617"/>
        <v>#DIV/0!</v>
      </c>
      <c r="AS284" s="68">
        <v>3130</v>
      </c>
      <c r="AT284" s="65">
        <v>120</v>
      </c>
      <c r="AU284" s="35">
        <f t="shared" si="618"/>
        <v>26.083333333333332</v>
      </c>
      <c r="AV284" s="6">
        <f t="shared" si="619"/>
        <v>0.24702117084441577</v>
      </c>
      <c r="AW284" s="68">
        <v>0</v>
      </c>
      <c r="AX284" s="66">
        <v>0</v>
      </c>
      <c r="AY284" s="35" t="e">
        <f t="shared" si="620"/>
        <v>#DIV/0!</v>
      </c>
      <c r="AZ284" s="6" t="e">
        <f t="shared" si="621"/>
        <v>#DIV/0!</v>
      </c>
      <c r="BA284" s="68">
        <v>0</v>
      </c>
      <c r="BB284" s="66">
        <v>0</v>
      </c>
      <c r="BC284" s="35" t="e">
        <f t="shared" si="622"/>
        <v>#DIV/0!</v>
      </c>
      <c r="BD284" s="11" t="e">
        <f t="shared" si="623"/>
        <v>#DIV/0!</v>
      </c>
    </row>
    <row r="285" spans="1:56" ht="15.75" thickBot="1" x14ac:dyDescent="0.3">
      <c r="A285" s="19" t="s">
        <v>5</v>
      </c>
      <c r="B285" s="8">
        <v>163070</v>
      </c>
      <c r="C285" s="35">
        <f>B285/F277</f>
        <v>138.78297872340426</v>
      </c>
      <c r="D285" s="8">
        <v>14100</v>
      </c>
      <c r="E285" s="68">
        <v>79410</v>
      </c>
      <c r="F285" s="69">
        <v>1175</v>
      </c>
      <c r="G285" s="35">
        <f t="shared" si="598"/>
        <v>67.582978723404253</v>
      </c>
      <c r="H285" s="11">
        <f t="shared" si="599"/>
        <v>0.48696878641074381</v>
      </c>
      <c r="I285" s="35">
        <v>0</v>
      </c>
      <c r="J285" s="70">
        <v>0</v>
      </c>
      <c r="K285" s="35" t="e">
        <f t="shared" si="600"/>
        <v>#DIV/0!</v>
      </c>
      <c r="L285" s="6" t="e">
        <f t="shared" si="601"/>
        <v>#DIV/0!</v>
      </c>
      <c r="M285" s="68">
        <v>0</v>
      </c>
      <c r="N285" s="5">
        <v>0</v>
      </c>
      <c r="O285" s="35" t="e">
        <f t="shared" si="602"/>
        <v>#DIV/0!</v>
      </c>
      <c r="P285" s="11" t="e">
        <f t="shared" si="603"/>
        <v>#DIV/0!</v>
      </c>
      <c r="Q285" s="35">
        <v>0</v>
      </c>
      <c r="R285" s="66">
        <v>0</v>
      </c>
      <c r="S285" s="35" t="e">
        <f t="shared" si="604"/>
        <v>#DIV/0!</v>
      </c>
      <c r="T285" s="6" t="e">
        <f t="shared" si="605"/>
        <v>#DIV/0!</v>
      </c>
      <c r="U285" s="68">
        <v>0</v>
      </c>
      <c r="V285" s="66">
        <v>0</v>
      </c>
      <c r="W285" s="20" t="e">
        <f t="shared" si="606"/>
        <v>#DIV/0!</v>
      </c>
      <c r="X285" s="6" t="e">
        <f t="shared" si="607"/>
        <v>#DIV/0!</v>
      </c>
      <c r="Y285" s="68">
        <v>129900</v>
      </c>
      <c r="Z285" s="69">
        <v>1175</v>
      </c>
      <c r="AA285" s="35">
        <f t="shared" si="608"/>
        <v>110.55319148936171</v>
      </c>
      <c r="AB285" s="11">
        <f t="shared" si="609"/>
        <v>0.79659042129146995</v>
      </c>
      <c r="AC285" s="20">
        <v>0</v>
      </c>
      <c r="AD285" s="36">
        <v>0</v>
      </c>
      <c r="AE285" s="35" t="e">
        <f t="shared" si="610"/>
        <v>#DIV/0!</v>
      </c>
      <c r="AF285" s="6" t="e">
        <f t="shared" si="611"/>
        <v>#DIV/0!</v>
      </c>
      <c r="AG285" s="68">
        <v>0</v>
      </c>
      <c r="AH285" s="66">
        <v>0</v>
      </c>
      <c r="AI285" s="35" t="e">
        <f t="shared" si="612"/>
        <v>#DIV/0!</v>
      </c>
      <c r="AJ285" s="6" t="e">
        <f t="shared" si="613"/>
        <v>#DIV/0!</v>
      </c>
      <c r="AK285" s="68">
        <v>5860</v>
      </c>
      <c r="AL285" s="65">
        <v>470</v>
      </c>
      <c r="AM285" s="35">
        <f t="shared" si="614"/>
        <v>12.468085106382979</v>
      </c>
      <c r="AN285" s="6">
        <f t="shared" si="615"/>
        <v>8.9838719568283557E-2</v>
      </c>
      <c r="AO285" s="68">
        <v>0</v>
      </c>
      <c r="AP285" s="66">
        <v>0</v>
      </c>
      <c r="AQ285" s="35" t="e">
        <f t="shared" si="616"/>
        <v>#DIV/0!</v>
      </c>
      <c r="AR285" s="6" t="e">
        <f t="shared" si="617"/>
        <v>#DIV/0!</v>
      </c>
      <c r="AS285" s="68">
        <v>3410</v>
      </c>
      <c r="AT285" s="65">
        <v>120</v>
      </c>
      <c r="AU285" s="35">
        <f t="shared" si="618"/>
        <v>28.416666666666668</v>
      </c>
      <c r="AV285" s="6">
        <f t="shared" si="619"/>
        <v>0.20475613744608656</v>
      </c>
      <c r="AW285" s="68">
        <v>0</v>
      </c>
      <c r="AX285" s="66">
        <v>0</v>
      </c>
      <c r="AY285" s="35" t="e">
        <f t="shared" si="620"/>
        <v>#DIV/0!</v>
      </c>
      <c r="AZ285" s="6" t="e">
        <f t="shared" si="621"/>
        <v>#DIV/0!</v>
      </c>
      <c r="BA285" s="68">
        <v>0</v>
      </c>
      <c r="BB285" s="66">
        <v>0</v>
      </c>
      <c r="BC285" s="35" t="e">
        <f t="shared" si="622"/>
        <v>#DIV/0!</v>
      </c>
      <c r="BD285" s="11" t="e">
        <f t="shared" si="623"/>
        <v>#DIV/0!</v>
      </c>
    </row>
    <row r="286" spans="1:56" x14ac:dyDescent="0.25">
      <c r="A286" s="19" t="s">
        <v>6</v>
      </c>
      <c r="B286" s="8">
        <v>192500</v>
      </c>
      <c r="C286" s="35">
        <f>B286/F277</f>
        <v>163.82978723404256</v>
      </c>
      <c r="D286" s="8">
        <v>10950</v>
      </c>
      <c r="E286" s="68">
        <v>99330</v>
      </c>
      <c r="F286" s="69">
        <v>1175</v>
      </c>
      <c r="G286" s="35">
        <f t="shared" si="598"/>
        <v>84.536170212765953</v>
      </c>
      <c r="H286" s="11">
        <f t="shared" si="599"/>
        <v>0.51600000000000001</v>
      </c>
      <c r="I286" s="35">
        <v>0</v>
      </c>
      <c r="J286" s="70">
        <v>0</v>
      </c>
      <c r="K286" s="35" t="e">
        <f t="shared" si="600"/>
        <v>#DIV/0!</v>
      </c>
      <c r="L286" s="6" t="e">
        <f t="shared" si="601"/>
        <v>#DIV/0!</v>
      </c>
      <c r="M286" s="68">
        <v>0</v>
      </c>
      <c r="N286" s="5">
        <v>0</v>
      </c>
      <c r="O286" s="35" t="e">
        <f t="shared" si="602"/>
        <v>#DIV/0!</v>
      </c>
      <c r="P286" s="11" t="e">
        <f t="shared" si="603"/>
        <v>#DIV/0!</v>
      </c>
      <c r="Q286" s="35">
        <v>0</v>
      </c>
      <c r="R286" s="66">
        <v>0</v>
      </c>
      <c r="S286" s="35" t="e">
        <f t="shared" si="604"/>
        <v>#DIV/0!</v>
      </c>
      <c r="T286" s="6" t="e">
        <f t="shared" si="605"/>
        <v>#DIV/0!</v>
      </c>
      <c r="U286" s="68">
        <v>0</v>
      </c>
      <c r="V286" s="66">
        <v>0</v>
      </c>
      <c r="W286" s="20" t="e">
        <f t="shared" si="606"/>
        <v>#DIV/0!</v>
      </c>
      <c r="X286" s="6" t="e">
        <f t="shared" si="607"/>
        <v>#DIV/0!</v>
      </c>
      <c r="Y286" s="68">
        <v>147500</v>
      </c>
      <c r="Z286" s="69">
        <v>1175</v>
      </c>
      <c r="AA286" s="35">
        <f t="shared" si="608"/>
        <v>125.53191489361703</v>
      </c>
      <c r="AB286" s="11">
        <f t="shared" si="609"/>
        <v>0.76623376623376627</v>
      </c>
      <c r="AC286" s="20">
        <v>0</v>
      </c>
      <c r="AD286" s="36">
        <v>0</v>
      </c>
      <c r="AE286" s="35" t="e">
        <f t="shared" si="610"/>
        <v>#DIV/0!</v>
      </c>
      <c r="AF286" s="6" t="e">
        <f t="shared" si="611"/>
        <v>#DIV/0!</v>
      </c>
      <c r="AG286" s="68">
        <v>0</v>
      </c>
      <c r="AH286" s="66">
        <v>0</v>
      </c>
      <c r="AI286" s="35" t="e">
        <f t="shared" si="612"/>
        <v>#DIV/0!</v>
      </c>
      <c r="AJ286" s="6" t="e">
        <f t="shared" si="613"/>
        <v>#DIV/0!</v>
      </c>
      <c r="AK286" s="68">
        <v>6530</v>
      </c>
      <c r="AL286" s="65">
        <v>470</v>
      </c>
      <c r="AM286" s="35">
        <f t="shared" si="614"/>
        <v>13.893617021276595</v>
      </c>
      <c r="AN286" s="6">
        <f t="shared" si="615"/>
        <v>8.48051948051948E-2</v>
      </c>
      <c r="AO286" s="68">
        <v>0</v>
      </c>
      <c r="AP286" s="66">
        <v>0</v>
      </c>
      <c r="AQ286" s="35" t="e">
        <f t="shared" si="616"/>
        <v>#DIV/0!</v>
      </c>
      <c r="AR286" s="6" t="e">
        <f t="shared" si="617"/>
        <v>#DIV/0!</v>
      </c>
      <c r="AS286" s="68">
        <v>3620</v>
      </c>
      <c r="AT286" s="65">
        <v>120</v>
      </c>
      <c r="AU286" s="35">
        <f t="shared" si="618"/>
        <v>30.166666666666668</v>
      </c>
      <c r="AV286" s="6">
        <f t="shared" si="619"/>
        <v>0.18413419913419915</v>
      </c>
      <c r="AW286" s="68">
        <v>0</v>
      </c>
      <c r="AX286" s="66">
        <v>0</v>
      </c>
      <c r="AY286" s="35" t="e">
        <f t="shared" si="620"/>
        <v>#DIV/0!</v>
      </c>
      <c r="AZ286" s="6" t="e">
        <f t="shared" si="621"/>
        <v>#DIV/0!</v>
      </c>
      <c r="BA286" s="68">
        <v>0</v>
      </c>
      <c r="BB286" s="66">
        <v>0</v>
      </c>
      <c r="BC286" s="35" t="e">
        <f t="shared" si="622"/>
        <v>#DIV/0!</v>
      </c>
      <c r="BD286" s="11" t="e">
        <f t="shared" si="623"/>
        <v>#DIV/0!</v>
      </c>
    </row>
    <row r="287" spans="1:56" ht="15.75" thickBot="1" x14ac:dyDescent="0.3">
      <c r="A287" s="21"/>
      <c r="B287" s="22"/>
      <c r="C287" s="23">
        <f>AVERAGE(Table11019[MA $/Sq Ft])</f>
        <v>96.256534954407314</v>
      </c>
      <c r="D287" s="22">
        <f>AVERAGE(Table11019[Basic Allowance])</f>
        <v>5971.4285714285716</v>
      </c>
      <c r="E287" s="16"/>
      <c r="F287" s="22"/>
      <c r="G287" s="15"/>
      <c r="H287" s="24">
        <f>AVERAGE(Table11019[Bsmt % Base])</f>
        <v>0.51327460936655622</v>
      </c>
      <c r="I287" s="15"/>
      <c r="J287" s="15"/>
      <c r="K287" s="15"/>
      <c r="L287" s="25" t="e">
        <f>AVERAGE(Table11019[[#Headers],[#Data],[UnfBsmt % Base]])</f>
        <v>#DIV/0!</v>
      </c>
      <c r="M287" s="44"/>
      <c r="N287" s="15"/>
      <c r="O287" s="23" t="e">
        <f>AVERAGE(Table11019[LowerVal/SqFt])</f>
        <v>#DIV/0!</v>
      </c>
      <c r="P287" s="24" t="e">
        <f>AVERAGE(Table11019[Lower % Base])</f>
        <v>#DIV/0!</v>
      </c>
      <c r="Q287" s="13"/>
      <c r="R287" s="13"/>
      <c r="S287" s="13"/>
      <c r="T287" s="25" t="e">
        <f>AVERAGE(Table11019[Unf Lower % Base])</f>
        <v>#DIV/0!</v>
      </c>
      <c r="U287" s="12"/>
      <c r="V287" s="13"/>
      <c r="W287" s="13"/>
      <c r="X287" s="25" t="e">
        <f>AVERAGE(Table11019[1/2 Story % Base])</f>
        <v>#DIV/0!</v>
      </c>
      <c r="Y287" s="12"/>
      <c r="Z287" s="13"/>
      <c r="AA287" s="13"/>
      <c r="AB287" s="24">
        <f>AVERAGE(Table11019[2nd Story % Base])</f>
        <v>0.77469289282601073</v>
      </c>
      <c r="AC287" s="13"/>
      <c r="AD287" s="13"/>
      <c r="AE287" s="23" t="e">
        <f>AVERAGE(Table11019[AttGarVal/SqFt])</f>
        <v>#DIV/0!</v>
      </c>
      <c r="AF287" s="25" t="e">
        <f>AVERAGE(Table11019[Att Gar % Base])</f>
        <v>#DIV/0!</v>
      </c>
      <c r="AG287" s="12"/>
      <c r="AH287" s="13"/>
      <c r="AI287" s="13"/>
      <c r="AJ287" s="25" t="e">
        <f>AVERAGE(Table11019[Porch % Base])</f>
        <v>#DIV/0!</v>
      </c>
      <c r="AK287" s="12"/>
      <c r="AL287" s="13"/>
      <c r="AM287" s="13"/>
      <c r="AN287" s="25">
        <f>AVERAGE(Table11019[Cov Porch % Base])</f>
        <v>0.10904729525811606</v>
      </c>
      <c r="AO287" s="12"/>
      <c r="AP287" s="13"/>
      <c r="AQ287" s="13"/>
      <c r="AR287" s="25" t="e">
        <f>AVERAGE(Table11019[Deck % Base])</f>
        <v>#DIV/0!</v>
      </c>
      <c r="AS287" s="12"/>
      <c r="AT287" s="13"/>
      <c r="AU287" s="23">
        <f>AVERAGE(Table11019[CovDeckVal/SqFt])</f>
        <v>22.273809523809522</v>
      </c>
      <c r="AV287" s="25">
        <f>AVERAGE(Table11019[CovDeck % Base])</f>
        <v>0.24489018694455003</v>
      </c>
      <c r="AW287" s="12"/>
      <c r="AX287" s="13"/>
      <c r="AY287" s="13"/>
      <c r="AZ287" s="25" t="e">
        <f>AVERAGE(Table11019[CarP % Base])</f>
        <v>#DIV/0!</v>
      </c>
      <c r="BA287" s="12"/>
      <c r="BB287" s="13"/>
      <c r="BC287" s="13"/>
      <c r="BD287" s="24" t="e">
        <f>AVERAGE(Table11019[EFP % Base])</f>
        <v>#DIV/0!</v>
      </c>
    </row>
    <row r="289" spans="1:56" ht="15.75" thickBot="1" x14ac:dyDescent="0.3">
      <c r="A289" s="82"/>
      <c r="B289" t="s">
        <v>79</v>
      </c>
      <c r="C289" s="78" t="s">
        <v>113</v>
      </c>
      <c r="E289" t="s">
        <v>33</v>
      </c>
      <c r="F289" s="79">
        <v>624</v>
      </c>
      <c r="H289" t="s">
        <v>80</v>
      </c>
      <c r="I289" t="s">
        <v>195</v>
      </c>
    </row>
    <row r="290" spans="1:56" x14ac:dyDescent="0.25">
      <c r="A290" s="112"/>
      <c r="B290" s="113"/>
      <c r="C290" s="113"/>
      <c r="D290" s="114"/>
      <c r="E290" s="115" t="s">
        <v>27</v>
      </c>
      <c r="F290" s="116"/>
      <c r="G290" s="116"/>
      <c r="H290" s="117"/>
      <c r="I290" s="118" t="s">
        <v>28</v>
      </c>
      <c r="J290" s="119"/>
      <c r="K290" s="119"/>
      <c r="L290" s="120"/>
      <c r="M290" s="121" t="s">
        <v>7</v>
      </c>
      <c r="N290" s="122"/>
      <c r="O290" s="122"/>
      <c r="P290" s="123"/>
      <c r="Q290" s="124" t="s">
        <v>29</v>
      </c>
      <c r="R290" s="125"/>
      <c r="S290" s="125"/>
      <c r="T290" s="126"/>
      <c r="U290" s="127" t="s">
        <v>8</v>
      </c>
      <c r="V290" s="128"/>
      <c r="W290" s="128"/>
      <c r="X290" s="129"/>
      <c r="Y290" s="130" t="s">
        <v>0</v>
      </c>
      <c r="Z290" s="131"/>
      <c r="AA290" s="131"/>
      <c r="AB290" s="132"/>
      <c r="AC290" s="133" t="s">
        <v>34</v>
      </c>
      <c r="AD290" s="134"/>
      <c r="AE290" s="134"/>
      <c r="AF290" s="135"/>
      <c r="AG290" s="115" t="s">
        <v>9</v>
      </c>
      <c r="AH290" s="116"/>
      <c r="AI290" s="116"/>
      <c r="AJ290" s="117"/>
      <c r="AK290" s="136" t="s">
        <v>35</v>
      </c>
      <c r="AL290" s="137"/>
      <c r="AM290" s="137"/>
      <c r="AN290" s="138"/>
      <c r="AO290" s="139" t="s">
        <v>10</v>
      </c>
      <c r="AP290" s="140"/>
      <c r="AQ290" s="140"/>
      <c r="AR290" s="141"/>
      <c r="AS290" s="124" t="s">
        <v>36</v>
      </c>
      <c r="AT290" s="125"/>
      <c r="AU290" s="125"/>
      <c r="AV290" s="126"/>
      <c r="AW290" s="142" t="s">
        <v>11</v>
      </c>
      <c r="AX290" s="143"/>
      <c r="AY290" s="143"/>
      <c r="AZ290" s="144"/>
      <c r="BA290" s="148" t="s">
        <v>17</v>
      </c>
      <c r="BB290" s="149"/>
      <c r="BC290" s="149"/>
      <c r="BD290" s="150"/>
    </row>
    <row r="291" spans="1:56" s="1" customFormat="1" ht="15.75" thickBot="1" x14ac:dyDescent="0.3">
      <c r="A291" s="41" t="s">
        <v>13</v>
      </c>
      <c r="B291" s="42" t="s">
        <v>15</v>
      </c>
      <c r="C291" s="42" t="s">
        <v>32</v>
      </c>
      <c r="D291" s="43" t="s">
        <v>18</v>
      </c>
      <c r="E291" s="30" t="s">
        <v>30</v>
      </c>
      <c r="F291" s="31" t="s">
        <v>61</v>
      </c>
      <c r="G291" s="31" t="s">
        <v>38</v>
      </c>
      <c r="H291" s="32" t="s">
        <v>62</v>
      </c>
      <c r="I291" s="37" t="s">
        <v>31</v>
      </c>
      <c r="J291" s="38" t="s">
        <v>39</v>
      </c>
      <c r="K291" s="38" t="s">
        <v>40</v>
      </c>
      <c r="L291" s="39" t="s">
        <v>63</v>
      </c>
      <c r="M291" s="40" t="s">
        <v>19</v>
      </c>
      <c r="N291" s="7" t="s">
        <v>41</v>
      </c>
      <c r="O291" s="7" t="s">
        <v>37</v>
      </c>
      <c r="P291" s="7" t="s">
        <v>64</v>
      </c>
      <c r="Q291" s="27" t="s">
        <v>20</v>
      </c>
      <c r="R291" s="28" t="s">
        <v>60</v>
      </c>
      <c r="S291" s="28" t="s">
        <v>59</v>
      </c>
      <c r="T291" s="29" t="s">
        <v>65</v>
      </c>
      <c r="U291" s="48" t="s">
        <v>21</v>
      </c>
      <c r="V291" s="48" t="s">
        <v>42</v>
      </c>
      <c r="W291" s="48" t="s">
        <v>43</v>
      </c>
      <c r="X291" s="49" t="s">
        <v>66</v>
      </c>
      <c r="Y291" s="50" t="s">
        <v>22</v>
      </c>
      <c r="Z291" s="51" t="s">
        <v>44</v>
      </c>
      <c r="AA291" s="51" t="s">
        <v>45</v>
      </c>
      <c r="AB291" s="52" t="s">
        <v>67</v>
      </c>
      <c r="AC291" s="45" t="s">
        <v>23</v>
      </c>
      <c r="AD291" s="46" t="s">
        <v>46</v>
      </c>
      <c r="AE291" s="46" t="s">
        <v>47</v>
      </c>
      <c r="AF291" s="47" t="s">
        <v>68</v>
      </c>
      <c r="AG291" s="30" t="s">
        <v>24</v>
      </c>
      <c r="AH291" s="31" t="s">
        <v>48</v>
      </c>
      <c r="AI291" s="31" t="s">
        <v>49</v>
      </c>
      <c r="AJ291" s="32" t="s">
        <v>69</v>
      </c>
      <c r="AK291" s="53" t="s">
        <v>25</v>
      </c>
      <c r="AL291" s="54" t="s">
        <v>50</v>
      </c>
      <c r="AM291" s="54" t="s">
        <v>51</v>
      </c>
      <c r="AN291" s="55" t="s">
        <v>70</v>
      </c>
      <c r="AO291" s="56" t="s">
        <v>26</v>
      </c>
      <c r="AP291" s="57" t="s">
        <v>52</v>
      </c>
      <c r="AQ291" s="57" t="s">
        <v>53</v>
      </c>
      <c r="AR291" s="58" t="s">
        <v>71</v>
      </c>
      <c r="AS291" s="59" t="s">
        <v>55</v>
      </c>
      <c r="AT291" s="60" t="s">
        <v>54</v>
      </c>
      <c r="AU291" s="60" t="s">
        <v>56</v>
      </c>
      <c r="AV291" s="61" t="s">
        <v>76</v>
      </c>
      <c r="AW291" s="62" t="s">
        <v>72</v>
      </c>
      <c r="AX291" s="63" t="s">
        <v>73</v>
      </c>
      <c r="AY291" s="63" t="s">
        <v>74</v>
      </c>
      <c r="AZ291" s="64" t="s">
        <v>75</v>
      </c>
      <c r="BA291" s="71" t="s">
        <v>77</v>
      </c>
      <c r="BB291" s="72" t="s">
        <v>57</v>
      </c>
      <c r="BC291" s="72" t="s">
        <v>58</v>
      </c>
      <c r="BD291" s="73" t="s">
        <v>78</v>
      </c>
    </row>
    <row r="292" spans="1:56" ht="15.75" thickBot="1" x14ac:dyDescent="0.3">
      <c r="A292" s="17" t="s">
        <v>1</v>
      </c>
      <c r="B292" s="14">
        <v>32800</v>
      </c>
      <c r="C292" s="34">
        <f>B292/F289</f>
        <v>52.564102564102562</v>
      </c>
      <c r="D292" s="14">
        <v>1525</v>
      </c>
      <c r="E292" s="67">
        <v>17040</v>
      </c>
      <c r="F292" s="69">
        <v>624</v>
      </c>
      <c r="G292" s="34">
        <f t="shared" ref="G292:G298" si="624">E292/F292</f>
        <v>27.307692307692307</v>
      </c>
      <c r="H292" s="10">
        <f t="shared" ref="H292:H298" si="625">G292/C292</f>
        <v>0.51951219512195124</v>
      </c>
      <c r="I292" s="34">
        <v>0</v>
      </c>
      <c r="J292" s="69">
        <v>0</v>
      </c>
      <c r="K292" s="34" t="e">
        <f t="shared" ref="K292:K298" si="626">I292/J292</f>
        <v>#DIV/0!</v>
      </c>
      <c r="L292" s="9" t="e">
        <f t="shared" ref="L292:L298" si="627">K292/C292</f>
        <v>#DIV/0!</v>
      </c>
      <c r="M292" s="67">
        <v>0</v>
      </c>
      <c r="N292" s="26">
        <v>0</v>
      </c>
      <c r="O292" s="34" t="e">
        <f t="shared" ref="O292:O298" si="628">M292/N292</f>
        <v>#DIV/0!</v>
      </c>
      <c r="P292" s="10" t="e">
        <f t="shared" ref="P292:P298" si="629">O292/C292</f>
        <v>#DIV/0!</v>
      </c>
      <c r="Q292" s="35">
        <v>0</v>
      </c>
      <c r="R292" s="66">
        <v>0</v>
      </c>
      <c r="S292" s="35" t="e">
        <f t="shared" ref="S292:S298" si="630">Q292/R292</f>
        <v>#DIV/0!</v>
      </c>
      <c r="T292" s="6" t="e">
        <f t="shared" ref="T292:T298" si="631">S292/C292</f>
        <v>#DIV/0!</v>
      </c>
      <c r="U292" s="67">
        <v>0</v>
      </c>
      <c r="V292" s="65">
        <v>0</v>
      </c>
      <c r="W292" s="18" t="e">
        <f t="shared" ref="W292:W298" si="632">U292/V292</f>
        <v>#DIV/0!</v>
      </c>
      <c r="X292" s="9" t="e">
        <f t="shared" ref="X292:X298" si="633">W292/C292</f>
        <v>#DIV/0!</v>
      </c>
      <c r="Y292" s="67">
        <v>25080</v>
      </c>
      <c r="Z292" s="69">
        <v>624</v>
      </c>
      <c r="AA292" s="34">
        <f t="shared" ref="AA292:AA298" si="634">Y292/Z292</f>
        <v>40.192307692307693</v>
      </c>
      <c r="AB292" s="10">
        <f t="shared" ref="AB292:AB298" si="635">AA292/C292</f>
        <v>0.76463414634146343</v>
      </c>
      <c r="AC292" s="18">
        <v>0</v>
      </c>
      <c r="AD292" s="33">
        <v>0</v>
      </c>
      <c r="AE292" s="34" t="e">
        <f t="shared" ref="AE292:AE298" si="636">AC292/AD292</f>
        <v>#DIV/0!</v>
      </c>
      <c r="AF292" s="9" t="e">
        <f t="shared" ref="AF292:AF298" si="637">AE292/C292</f>
        <v>#DIV/0!</v>
      </c>
      <c r="AG292" s="67">
        <v>0</v>
      </c>
      <c r="AH292" s="65">
        <v>0</v>
      </c>
      <c r="AI292" s="34" t="e">
        <f t="shared" ref="AI292:AI298" si="638">AG292/AH292</f>
        <v>#DIV/0!</v>
      </c>
      <c r="AJ292" s="9" t="e">
        <f t="shared" ref="AJ292:AJ298" si="639">AI292/C292</f>
        <v>#DIV/0!</v>
      </c>
      <c r="AK292" s="67">
        <v>790</v>
      </c>
      <c r="AL292" s="65">
        <v>144</v>
      </c>
      <c r="AM292" s="34">
        <f t="shared" ref="AM292:AM298" si="640">AK292/AL292</f>
        <v>5.4861111111111107</v>
      </c>
      <c r="AN292" s="9">
        <f t="shared" ref="AN292:AN298" si="641">AM292/C292</f>
        <v>0.10436991869918699</v>
      </c>
      <c r="AO292" s="67">
        <v>1450</v>
      </c>
      <c r="AP292" s="65">
        <v>168</v>
      </c>
      <c r="AQ292" s="34">
        <f t="shared" ref="AQ292:AQ298" si="642">AO292/AP292</f>
        <v>8.6309523809523814</v>
      </c>
      <c r="AR292" s="9">
        <f t="shared" ref="AR292:AR298" si="643">AQ292/C292</f>
        <v>0.16419860627177701</v>
      </c>
      <c r="AS292" s="67">
        <v>2320</v>
      </c>
      <c r="AT292" s="65">
        <v>156</v>
      </c>
      <c r="AU292" s="34">
        <f t="shared" ref="AU292:AU298" si="644">AS292/AT292</f>
        <v>14.871794871794872</v>
      </c>
      <c r="AV292" s="9">
        <f t="shared" ref="AV292:AV298" si="645">AU292/C292</f>
        <v>0.28292682926829271</v>
      </c>
      <c r="AW292" s="67">
        <v>0</v>
      </c>
      <c r="AX292" s="65">
        <v>0</v>
      </c>
      <c r="AY292" s="34" t="e">
        <f t="shared" ref="AY292:AY298" si="646">AW292/AX292</f>
        <v>#DIV/0!</v>
      </c>
      <c r="AZ292" s="9" t="e">
        <f t="shared" ref="AZ292:AZ298" si="647">AY292/C292</f>
        <v>#DIV/0!</v>
      </c>
      <c r="BA292" s="67">
        <v>0</v>
      </c>
      <c r="BB292" s="65">
        <v>0</v>
      </c>
      <c r="BC292" s="34" t="e">
        <f t="shared" ref="BC292:BC298" si="648">BA292/BB292</f>
        <v>#DIV/0!</v>
      </c>
      <c r="BD292" s="10" t="e">
        <f t="shared" ref="BD292:BD298" si="649">BC292/C292</f>
        <v>#DIV/0!</v>
      </c>
    </row>
    <row r="293" spans="1:56" ht="15.75" thickBot="1" x14ac:dyDescent="0.3">
      <c r="A293" s="19" t="s">
        <v>16</v>
      </c>
      <c r="B293" s="8">
        <v>42110</v>
      </c>
      <c r="C293" s="35">
        <f>B293/F289</f>
        <v>67.483974358974365</v>
      </c>
      <c r="D293" s="8">
        <v>1525</v>
      </c>
      <c r="E293" s="68">
        <v>22520</v>
      </c>
      <c r="F293" s="69">
        <v>624</v>
      </c>
      <c r="G293" s="35">
        <f t="shared" si="624"/>
        <v>36.089743589743591</v>
      </c>
      <c r="H293" s="11">
        <f t="shared" si="625"/>
        <v>0.53478983614343389</v>
      </c>
      <c r="I293" s="35">
        <v>0</v>
      </c>
      <c r="J293" s="70">
        <v>0</v>
      </c>
      <c r="K293" s="35" t="e">
        <f t="shared" si="626"/>
        <v>#DIV/0!</v>
      </c>
      <c r="L293" s="6" t="e">
        <f t="shared" si="627"/>
        <v>#DIV/0!</v>
      </c>
      <c r="M293" s="68">
        <v>0</v>
      </c>
      <c r="N293" s="5">
        <v>0</v>
      </c>
      <c r="O293" s="35" t="e">
        <f t="shared" si="628"/>
        <v>#DIV/0!</v>
      </c>
      <c r="P293" s="11" t="e">
        <f t="shared" si="629"/>
        <v>#DIV/0!</v>
      </c>
      <c r="Q293" s="35">
        <v>0</v>
      </c>
      <c r="R293" s="66">
        <v>0</v>
      </c>
      <c r="S293" s="35" t="e">
        <f t="shared" si="630"/>
        <v>#DIV/0!</v>
      </c>
      <c r="T293" s="6" t="e">
        <f t="shared" si="631"/>
        <v>#DIV/0!</v>
      </c>
      <c r="U293" s="68">
        <v>0</v>
      </c>
      <c r="V293" s="66">
        <v>0</v>
      </c>
      <c r="W293" s="20" t="e">
        <f t="shared" si="632"/>
        <v>#DIV/0!</v>
      </c>
      <c r="X293" s="6" t="e">
        <f t="shared" si="633"/>
        <v>#DIV/0!</v>
      </c>
      <c r="Y293" s="68">
        <v>34880</v>
      </c>
      <c r="Z293" s="69">
        <v>624</v>
      </c>
      <c r="AA293" s="35">
        <f t="shared" si="634"/>
        <v>55.897435897435898</v>
      </c>
      <c r="AB293" s="11">
        <f t="shared" si="635"/>
        <v>0.82830681548325802</v>
      </c>
      <c r="AC293" s="20">
        <v>0</v>
      </c>
      <c r="AD293" s="36">
        <v>0</v>
      </c>
      <c r="AE293" s="35" t="e">
        <f t="shared" si="636"/>
        <v>#DIV/0!</v>
      </c>
      <c r="AF293" s="6" t="e">
        <f t="shared" si="637"/>
        <v>#DIV/0!</v>
      </c>
      <c r="AG293" s="68">
        <v>0</v>
      </c>
      <c r="AH293" s="66">
        <v>0</v>
      </c>
      <c r="AI293" s="35" t="e">
        <f t="shared" si="638"/>
        <v>#DIV/0!</v>
      </c>
      <c r="AJ293" s="6" t="e">
        <f t="shared" si="639"/>
        <v>#DIV/0!</v>
      </c>
      <c r="AK293" s="68">
        <v>1170</v>
      </c>
      <c r="AL293" s="65">
        <v>144</v>
      </c>
      <c r="AM293" s="35">
        <f t="shared" si="640"/>
        <v>8.125</v>
      </c>
      <c r="AN293" s="6">
        <f t="shared" si="641"/>
        <v>0.12039895511754926</v>
      </c>
      <c r="AO293" s="68">
        <v>2020</v>
      </c>
      <c r="AP293" s="65">
        <v>168</v>
      </c>
      <c r="AQ293" s="35">
        <f t="shared" si="642"/>
        <v>12.023809523809524</v>
      </c>
      <c r="AR293" s="6">
        <f t="shared" si="643"/>
        <v>0.17817281270142821</v>
      </c>
      <c r="AS293" s="68">
        <v>3270</v>
      </c>
      <c r="AT293" s="65">
        <v>156</v>
      </c>
      <c r="AU293" s="35">
        <f t="shared" si="644"/>
        <v>20.96153846153846</v>
      </c>
      <c r="AV293" s="6">
        <f t="shared" si="645"/>
        <v>0.31061505580622173</v>
      </c>
      <c r="AW293" s="68">
        <v>0</v>
      </c>
      <c r="AX293" s="66">
        <v>0</v>
      </c>
      <c r="AY293" s="35" t="e">
        <f t="shared" si="646"/>
        <v>#DIV/0!</v>
      </c>
      <c r="AZ293" s="6" t="e">
        <f t="shared" si="647"/>
        <v>#DIV/0!</v>
      </c>
      <c r="BA293" s="68">
        <v>0</v>
      </c>
      <c r="BB293" s="66">
        <v>0</v>
      </c>
      <c r="BC293" s="35" t="e">
        <f t="shared" si="648"/>
        <v>#DIV/0!</v>
      </c>
      <c r="BD293" s="11" t="e">
        <f t="shared" si="649"/>
        <v>#DIV/0!</v>
      </c>
    </row>
    <row r="294" spans="1:56" ht="15.75" thickBot="1" x14ac:dyDescent="0.3">
      <c r="A294" s="19" t="s">
        <v>2</v>
      </c>
      <c r="B294" s="8">
        <v>49210</v>
      </c>
      <c r="C294" s="35">
        <f>B294/F289</f>
        <v>78.862179487179489</v>
      </c>
      <c r="D294" s="8">
        <v>2100</v>
      </c>
      <c r="E294" s="68">
        <v>25670</v>
      </c>
      <c r="F294" s="69">
        <v>624</v>
      </c>
      <c r="G294" s="35">
        <f t="shared" si="624"/>
        <v>41.137820512820511</v>
      </c>
      <c r="H294" s="11">
        <f t="shared" si="625"/>
        <v>0.5216419426945742</v>
      </c>
      <c r="I294" s="35">
        <v>0</v>
      </c>
      <c r="J294" s="70">
        <v>0</v>
      </c>
      <c r="K294" s="35" t="e">
        <f t="shared" si="626"/>
        <v>#DIV/0!</v>
      </c>
      <c r="L294" s="6" t="e">
        <f t="shared" si="627"/>
        <v>#DIV/0!</v>
      </c>
      <c r="M294" s="68">
        <v>0</v>
      </c>
      <c r="N294" s="5">
        <v>0</v>
      </c>
      <c r="O294" s="35" t="e">
        <f t="shared" si="628"/>
        <v>#DIV/0!</v>
      </c>
      <c r="P294" s="11" t="e">
        <f t="shared" si="629"/>
        <v>#DIV/0!</v>
      </c>
      <c r="Q294" s="35">
        <v>0</v>
      </c>
      <c r="R294" s="66">
        <v>0</v>
      </c>
      <c r="S294" s="35" t="e">
        <f t="shared" si="630"/>
        <v>#DIV/0!</v>
      </c>
      <c r="T294" s="6" t="e">
        <f t="shared" si="631"/>
        <v>#DIV/0!</v>
      </c>
      <c r="U294" s="68">
        <v>0</v>
      </c>
      <c r="V294" s="66">
        <v>0</v>
      </c>
      <c r="W294" s="20" t="e">
        <f t="shared" si="632"/>
        <v>#DIV/0!</v>
      </c>
      <c r="X294" s="6" t="e">
        <f t="shared" si="633"/>
        <v>#DIV/0!</v>
      </c>
      <c r="Y294" s="68">
        <v>41860</v>
      </c>
      <c r="Z294" s="69">
        <v>624</v>
      </c>
      <c r="AA294" s="35">
        <f t="shared" si="634"/>
        <v>67.083333333333329</v>
      </c>
      <c r="AB294" s="11">
        <f t="shared" si="635"/>
        <v>0.85064011379800841</v>
      </c>
      <c r="AC294" s="20">
        <v>0</v>
      </c>
      <c r="AD294" s="36">
        <v>0</v>
      </c>
      <c r="AE294" s="35" t="e">
        <f t="shared" si="636"/>
        <v>#DIV/0!</v>
      </c>
      <c r="AF294" s="6" t="e">
        <f t="shared" si="637"/>
        <v>#DIV/0!</v>
      </c>
      <c r="AG294" s="68">
        <v>0</v>
      </c>
      <c r="AH294" s="66">
        <v>0</v>
      </c>
      <c r="AI294" s="35" t="e">
        <f t="shared" si="638"/>
        <v>#DIV/0!</v>
      </c>
      <c r="AJ294" s="6" t="e">
        <f t="shared" si="639"/>
        <v>#DIV/0!</v>
      </c>
      <c r="AK294" s="68">
        <v>1270</v>
      </c>
      <c r="AL294" s="65">
        <v>144</v>
      </c>
      <c r="AM294" s="35">
        <f t="shared" si="640"/>
        <v>8.8194444444444446</v>
      </c>
      <c r="AN294" s="6">
        <f t="shared" si="641"/>
        <v>0.11183363814942762</v>
      </c>
      <c r="AO294" s="68">
        <v>2120</v>
      </c>
      <c r="AP294" s="65">
        <v>168</v>
      </c>
      <c r="AQ294" s="35">
        <f t="shared" si="642"/>
        <v>12.619047619047619</v>
      </c>
      <c r="AR294" s="6">
        <f t="shared" si="643"/>
        <v>0.16001393445002465</v>
      </c>
      <c r="AS294" s="68">
        <v>3630</v>
      </c>
      <c r="AT294" s="65">
        <v>156</v>
      </c>
      <c r="AU294" s="35">
        <f t="shared" si="644"/>
        <v>23.26923076923077</v>
      </c>
      <c r="AV294" s="6">
        <f t="shared" si="645"/>
        <v>0.2950619792725056</v>
      </c>
      <c r="AW294" s="68">
        <v>0</v>
      </c>
      <c r="AX294" s="66">
        <v>0</v>
      </c>
      <c r="AY294" s="35" t="e">
        <f t="shared" si="646"/>
        <v>#DIV/0!</v>
      </c>
      <c r="AZ294" s="6" t="e">
        <f t="shared" si="647"/>
        <v>#DIV/0!</v>
      </c>
      <c r="BA294" s="68">
        <v>0</v>
      </c>
      <c r="BB294" s="66">
        <v>0</v>
      </c>
      <c r="BC294" s="35" t="e">
        <f t="shared" si="648"/>
        <v>#DIV/0!</v>
      </c>
      <c r="BD294" s="11" t="e">
        <f t="shared" si="649"/>
        <v>#DIV/0!</v>
      </c>
    </row>
    <row r="295" spans="1:56" ht="15.75" thickBot="1" x14ac:dyDescent="0.3">
      <c r="A295" s="19" t="s">
        <v>3</v>
      </c>
      <c r="B295" s="8">
        <v>58410</v>
      </c>
      <c r="C295" s="35">
        <f>B295/F289</f>
        <v>93.605769230769226</v>
      </c>
      <c r="D295" s="8">
        <v>2700</v>
      </c>
      <c r="E295" s="68">
        <v>29110</v>
      </c>
      <c r="F295" s="69">
        <v>624</v>
      </c>
      <c r="G295" s="35">
        <f t="shared" si="624"/>
        <v>46.650641025641029</v>
      </c>
      <c r="H295" s="11">
        <f t="shared" si="625"/>
        <v>0.49837356617017642</v>
      </c>
      <c r="I295" s="35">
        <v>0</v>
      </c>
      <c r="J295" s="70">
        <v>0</v>
      </c>
      <c r="K295" s="35" t="e">
        <f t="shared" si="626"/>
        <v>#DIV/0!</v>
      </c>
      <c r="L295" s="6" t="e">
        <f t="shared" si="627"/>
        <v>#DIV/0!</v>
      </c>
      <c r="M295" s="68">
        <v>0</v>
      </c>
      <c r="N295" s="5">
        <v>0</v>
      </c>
      <c r="O295" s="35" t="e">
        <f t="shared" si="628"/>
        <v>#DIV/0!</v>
      </c>
      <c r="P295" s="11" t="e">
        <f t="shared" si="629"/>
        <v>#DIV/0!</v>
      </c>
      <c r="Q295" s="35">
        <v>0</v>
      </c>
      <c r="R295" s="66">
        <v>0</v>
      </c>
      <c r="S295" s="35" t="e">
        <f t="shared" si="630"/>
        <v>#DIV/0!</v>
      </c>
      <c r="T295" s="6" t="e">
        <f t="shared" si="631"/>
        <v>#DIV/0!</v>
      </c>
      <c r="U295" s="68">
        <v>0</v>
      </c>
      <c r="V295" s="66">
        <v>0</v>
      </c>
      <c r="W295" s="20" t="e">
        <f t="shared" si="632"/>
        <v>#DIV/0!</v>
      </c>
      <c r="X295" s="6" t="e">
        <f t="shared" si="633"/>
        <v>#DIV/0!</v>
      </c>
      <c r="Y295" s="68">
        <v>44420</v>
      </c>
      <c r="Z295" s="69">
        <v>624</v>
      </c>
      <c r="AA295" s="35">
        <f t="shared" si="634"/>
        <v>71.185897435897431</v>
      </c>
      <c r="AB295" s="11">
        <f t="shared" si="635"/>
        <v>0.76048621811333672</v>
      </c>
      <c r="AC295" s="20">
        <v>0</v>
      </c>
      <c r="AD295" s="36">
        <v>0</v>
      </c>
      <c r="AE295" s="35" t="e">
        <f t="shared" si="636"/>
        <v>#DIV/0!</v>
      </c>
      <c r="AF295" s="6" t="e">
        <f t="shared" si="637"/>
        <v>#DIV/0!</v>
      </c>
      <c r="AG295" s="68">
        <v>0</v>
      </c>
      <c r="AH295" s="66">
        <v>0</v>
      </c>
      <c r="AI295" s="35" t="e">
        <f t="shared" si="638"/>
        <v>#DIV/0!</v>
      </c>
      <c r="AJ295" s="6" t="e">
        <f t="shared" si="639"/>
        <v>#DIV/0!</v>
      </c>
      <c r="AK295" s="68">
        <v>1370</v>
      </c>
      <c r="AL295" s="65">
        <v>144</v>
      </c>
      <c r="AM295" s="35">
        <f t="shared" si="640"/>
        <v>9.5138888888888893</v>
      </c>
      <c r="AN295" s="6">
        <f t="shared" si="641"/>
        <v>0.10163784740055927</v>
      </c>
      <c r="AO295" s="68">
        <v>2220</v>
      </c>
      <c r="AP295" s="65">
        <v>168</v>
      </c>
      <c r="AQ295" s="35">
        <f t="shared" si="642"/>
        <v>13.214285714285714</v>
      </c>
      <c r="AR295" s="6">
        <f t="shared" si="643"/>
        <v>0.14116956489837845</v>
      </c>
      <c r="AS295" s="68">
        <v>4320</v>
      </c>
      <c r="AT295" s="65">
        <v>156</v>
      </c>
      <c r="AU295" s="35">
        <f t="shared" si="644"/>
        <v>27.692307692307693</v>
      </c>
      <c r="AV295" s="6">
        <f t="shared" si="645"/>
        <v>0.29583975346687214</v>
      </c>
      <c r="AW295" s="68">
        <v>0</v>
      </c>
      <c r="AX295" s="66">
        <v>0</v>
      </c>
      <c r="AY295" s="35" t="e">
        <f t="shared" si="646"/>
        <v>#DIV/0!</v>
      </c>
      <c r="AZ295" s="6" t="e">
        <f t="shared" si="647"/>
        <v>#DIV/0!</v>
      </c>
      <c r="BA295" s="68">
        <v>0</v>
      </c>
      <c r="BB295" s="66">
        <v>0</v>
      </c>
      <c r="BC295" s="35" t="e">
        <f t="shared" si="648"/>
        <v>#DIV/0!</v>
      </c>
      <c r="BD295" s="11" t="e">
        <f t="shared" si="649"/>
        <v>#DIV/0!</v>
      </c>
    </row>
    <row r="296" spans="1:56" ht="15.75" thickBot="1" x14ac:dyDescent="0.3">
      <c r="A296" s="19" t="s">
        <v>4</v>
      </c>
      <c r="B296" s="8">
        <v>70140</v>
      </c>
      <c r="C296" s="35">
        <f>B296/F289</f>
        <v>112.40384615384616</v>
      </c>
      <c r="D296" s="8">
        <v>5250</v>
      </c>
      <c r="E296" s="68">
        <v>40120</v>
      </c>
      <c r="F296" s="69">
        <v>624</v>
      </c>
      <c r="G296" s="35">
        <f t="shared" si="624"/>
        <v>64.294871794871796</v>
      </c>
      <c r="H296" s="11">
        <f t="shared" si="625"/>
        <v>0.57199885942400908</v>
      </c>
      <c r="I296" s="35">
        <v>0</v>
      </c>
      <c r="J296" s="70">
        <v>0</v>
      </c>
      <c r="K296" s="35" t="e">
        <f t="shared" si="626"/>
        <v>#DIV/0!</v>
      </c>
      <c r="L296" s="6" t="e">
        <f t="shared" si="627"/>
        <v>#DIV/0!</v>
      </c>
      <c r="M296" s="68">
        <v>0</v>
      </c>
      <c r="N296" s="5">
        <v>0</v>
      </c>
      <c r="O296" s="35" t="e">
        <f t="shared" si="628"/>
        <v>#DIV/0!</v>
      </c>
      <c r="P296" s="11" t="e">
        <f t="shared" si="629"/>
        <v>#DIV/0!</v>
      </c>
      <c r="Q296" s="35">
        <v>0</v>
      </c>
      <c r="R296" s="66">
        <v>0</v>
      </c>
      <c r="S296" s="35" t="e">
        <f t="shared" si="630"/>
        <v>#DIV/0!</v>
      </c>
      <c r="T296" s="6" t="e">
        <f t="shared" si="631"/>
        <v>#DIV/0!</v>
      </c>
      <c r="U296" s="68">
        <v>0</v>
      </c>
      <c r="V296" s="66">
        <v>0</v>
      </c>
      <c r="W296" s="20" t="e">
        <f t="shared" si="632"/>
        <v>#DIV/0!</v>
      </c>
      <c r="X296" s="6" t="e">
        <f t="shared" si="633"/>
        <v>#DIV/0!</v>
      </c>
      <c r="Y296" s="68">
        <v>54750</v>
      </c>
      <c r="Z296" s="69">
        <v>624</v>
      </c>
      <c r="AA296" s="35">
        <f t="shared" si="634"/>
        <v>87.740384615384613</v>
      </c>
      <c r="AB296" s="11">
        <f t="shared" si="635"/>
        <v>0.78058169375534636</v>
      </c>
      <c r="AC296" s="20">
        <v>0</v>
      </c>
      <c r="AD296" s="36">
        <v>0</v>
      </c>
      <c r="AE296" s="35" t="e">
        <f t="shared" si="636"/>
        <v>#DIV/0!</v>
      </c>
      <c r="AF296" s="6" t="e">
        <f t="shared" si="637"/>
        <v>#DIV/0!</v>
      </c>
      <c r="AG296" s="68">
        <v>0</v>
      </c>
      <c r="AH296" s="66">
        <v>0</v>
      </c>
      <c r="AI296" s="35" t="e">
        <f t="shared" si="638"/>
        <v>#DIV/0!</v>
      </c>
      <c r="AJ296" s="6" t="e">
        <f t="shared" si="639"/>
        <v>#DIV/0!</v>
      </c>
      <c r="AK296" s="68">
        <v>1630</v>
      </c>
      <c r="AL296" s="65">
        <v>144</v>
      </c>
      <c r="AM296" s="35">
        <f t="shared" si="640"/>
        <v>11.319444444444445</v>
      </c>
      <c r="AN296" s="6">
        <f t="shared" si="641"/>
        <v>0.10070335519437315</v>
      </c>
      <c r="AO296" s="68">
        <v>2900</v>
      </c>
      <c r="AP296" s="65">
        <v>168</v>
      </c>
      <c r="AQ296" s="35">
        <f t="shared" si="642"/>
        <v>17.261904761904763</v>
      </c>
      <c r="AR296" s="6">
        <f t="shared" si="643"/>
        <v>0.15357041020000814</v>
      </c>
      <c r="AS296" s="68">
        <v>5130</v>
      </c>
      <c r="AT296" s="65">
        <v>156</v>
      </c>
      <c r="AU296" s="35">
        <f t="shared" si="644"/>
        <v>32.884615384615387</v>
      </c>
      <c r="AV296" s="6">
        <f t="shared" si="645"/>
        <v>0.29255774165953807</v>
      </c>
      <c r="AW296" s="68">
        <v>0</v>
      </c>
      <c r="AX296" s="66">
        <v>0</v>
      </c>
      <c r="AY296" s="35" t="e">
        <f t="shared" si="646"/>
        <v>#DIV/0!</v>
      </c>
      <c r="AZ296" s="6" t="e">
        <f t="shared" si="647"/>
        <v>#DIV/0!</v>
      </c>
      <c r="BA296" s="68">
        <v>0</v>
      </c>
      <c r="BB296" s="66">
        <v>0</v>
      </c>
      <c r="BC296" s="35" t="e">
        <f t="shared" si="648"/>
        <v>#DIV/0!</v>
      </c>
      <c r="BD296" s="11" t="e">
        <f t="shared" si="649"/>
        <v>#DIV/0!</v>
      </c>
    </row>
    <row r="297" spans="1:56" ht="15.75" thickBot="1" x14ac:dyDescent="0.3">
      <c r="A297" s="19" t="s">
        <v>5</v>
      </c>
      <c r="B297" s="8">
        <v>89260</v>
      </c>
      <c r="C297" s="35">
        <f>B297/F289</f>
        <v>143.0448717948718</v>
      </c>
      <c r="D297" s="8">
        <v>7050</v>
      </c>
      <c r="E297" s="68">
        <v>44520</v>
      </c>
      <c r="F297" s="69">
        <v>624</v>
      </c>
      <c r="G297" s="35">
        <f t="shared" si="624"/>
        <v>71.34615384615384</v>
      </c>
      <c r="H297" s="11">
        <f t="shared" si="625"/>
        <v>0.49876764508178351</v>
      </c>
      <c r="I297" s="35">
        <v>0</v>
      </c>
      <c r="J297" s="70">
        <v>0</v>
      </c>
      <c r="K297" s="35" t="e">
        <f t="shared" si="626"/>
        <v>#DIV/0!</v>
      </c>
      <c r="L297" s="6" t="e">
        <f t="shared" si="627"/>
        <v>#DIV/0!</v>
      </c>
      <c r="M297" s="68">
        <v>0</v>
      </c>
      <c r="N297" s="5">
        <v>0</v>
      </c>
      <c r="O297" s="35" t="e">
        <f t="shared" si="628"/>
        <v>#DIV/0!</v>
      </c>
      <c r="P297" s="11" t="e">
        <f t="shared" si="629"/>
        <v>#DIV/0!</v>
      </c>
      <c r="Q297" s="35">
        <v>0</v>
      </c>
      <c r="R297" s="66">
        <v>0</v>
      </c>
      <c r="S297" s="35" t="e">
        <f t="shared" si="630"/>
        <v>#DIV/0!</v>
      </c>
      <c r="T297" s="6" t="e">
        <f t="shared" si="631"/>
        <v>#DIV/0!</v>
      </c>
      <c r="U297" s="68">
        <v>0</v>
      </c>
      <c r="V297" s="66">
        <v>0</v>
      </c>
      <c r="W297" s="20" t="e">
        <f t="shared" si="632"/>
        <v>#DIV/0!</v>
      </c>
      <c r="X297" s="6" t="e">
        <f t="shared" si="633"/>
        <v>#DIV/0!</v>
      </c>
      <c r="Y297" s="68">
        <v>71530</v>
      </c>
      <c r="Z297" s="69">
        <v>624</v>
      </c>
      <c r="AA297" s="35">
        <f t="shared" si="634"/>
        <v>114.63141025641026</v>
      </c>
      <c r="AB297" s="11">
        <f t="shared" si="635"/>
        <v>0.80136679363656738</v>
      </c>
      <c r="AC297" s="20">
        <v>0</v>
      </c>
      <c r="AD297" s="36">
        <v>0</v>
      </c>
      <c r="AE297" s="35" t="e">
        <f t="shared" si="636"/>
        <v>#DIV/0!</v>
      </c>
      <c r="AF297" s="6" t="e">
        <f t="shared" si="637"/>
        <v>#DIV/0!</v>
      </c>
      <c r="AG297" s="68">
        <v>0</v>
      </c>
      <c r="AH297" s="66">
        <v>0</v>
      </c>
      <c r="AI297" s="35" t="e">
        <f t="shared" si="638"/>
        <v>#DIV/0!</v>
      </c>
      <c r="AJ297" s="6" t="e">
        <f t="shared" si="639"/>
        <v>#DIV/0!</v>
      </c>
      <c r="AK297" s="68">
        <v>1790</v>
      </c>
      <c r="AL297" s="65">
        <v>144</v>
      </c>
      <c r="AM297" s="35">
        <f t="shared" si="640"/>
        <v>12.430555555555555</v>
      </c>
      <c r="AN297" s="6">
        <f t="shared" si="641"/>
        <v>8.6899693778474868E-2</v>
      </c>
      <c r="AO297" s="68">
        <v>3460</v>
      </c>
      <c r="AP297" s="65">
        <v>168</v>
      </c>
      <c r="AQ297" s="35">
        <f t="shared" si="642"/>
        <v>20.595238095238095</v>
      </c>
      <c r="AR297" s="6">
        <f t="shared" si="643"/>
        <v>0.1439774655100669</v>
      </c>
      <c r="AS297" s="68">
        <v>5970</v>
      </c>
      <c r="AT297" s="65">
        <v>156</v>
      </c>
      <c r="AU297" s="35">
        <f t="shared" si="644"/>
        <v>38.269230769230766</v>
      </c>
      <c r="AV297" s="6">
        <f t="shared" si="645"/>
        <v>0.26753304951826123</v>
      </c>
      <c r="AW297" s="68">
        <v>0</v>
      </c>
      <c r="AX297" s="66">
        <v>0</v>
      </c>
      <c r="AY297" s="35" t="e">
        <f t="shared" si="646"/>
        <v>#DIV/0!</v>
      </c>
      <c r="AZ297" s="6" t="e">
        <f t="shared" si="647"/>
        <v>#DIV/0!</v>
      </c>
      <c r="BA297" s="68">
        <v>0</v>
      </c>
      <c r="BB297" s="66">
        <v>0</v>
      </c>
      <c r="BC297" s="35" t="e">
        <f t="shared" si="648"/>
        <v>#DIV/0!</v>
      </c>
      <c r="BD297" s="11" t="e">
        <f t="shared" si="649"/>
        <v>#DIV/0!</v>
      </c>
    </row>
    <row r="298" spans="1:56" x14ac:dyDescent="0.25">
      <c r="A298" s="19" t="s">
        <v>6</v>
      </c>
      <c r="B298" s="8">
        <v>102230</v>
      </c>
      <c r="C298" s="35">
        <f>B298/F289</f>
        <v>163.8301282051282</v>
      </c>
      <c r="D298" s="8">
        <v>10950</v>
      </c>
      <c r="E298" s="68">
        <v>53250</v>
      </c>
      <c r="F298" s="69">
        <v>624</v>
      </c>
      <c r="G298" s="35">
        <f t="shared" si="624"/>
        <v>85.336538461538467</v>
      </c>
      <c r="H298" s="11">
        <f t="shared" si="625"/>
        <v>0.5208842805438717</v>
      </c>
      <c r="I298" s="35">
        <v>0</v>
      </c>
      <c r="J298" s="70">
        <v>0</v>
      </c>
      <c r="K298" s="35" t="e">
        <f t="shared" si="626"/>
        <v>#DIV/0!</v>
      </c>
      <c r="L298" s="6" t="e">
        <f t="shared" si="627"/>
        <v>#DIV/0!</v>
      </c>
      <c r="M298" s="68">
        <v>0</v>
      </c>
      <c r="N298" s="5">
        <v>0</v>
      </c>
      <c r="O298" s="35" t="e">
        <f t="shared" si="628"/>
        <v>#DIV/0!</v>
      </c>
      <c r="P298" s="11" t="e">
        <f t="shared" si="629"/>
        <v>#DIV/0!</v>
      </c>
      <c r="Q298" s="35">
        <v>0</v>
      </c>
      <c r="R298" s="66">
        <v>0</v>
      </c>
      <c r="S298" s="35" t="e">
        <f t="shared" si="630"/>
        <v>#DIV/0!</v>
      </c>
      <c r="T298" s="6" t="e">
        <f t="shared" si="631"/>
        <v>#DIV/0!</v>
      </c>
      <c r="U298" s="68">
        <v>0</v>
      </c>
      <c r="V298" s="66">
        <v>0</v>
      </c>
      <c r="W298" s="20" t="e">
        <f t="shared" si="632"/>
        <v>#DIV/0!</v>
      </c>
      <c r="X298" s="6" t="e">
        <f t="shared" si="633"/>
        <v>#DIV/0!</v>
      </c>
      <c r="Y298" s="68">
        <v>78330</v>
      </c>
      <c r="Z298" s="69">
        <v>624</v>
      </c>
      <c r="AA298" s="35">
        <f t="shared" si="634"/>
        <v>125.52884615384616</v>
      </c>
      <c r="AB298" s="11">
        <f t="shared" si="635"/>
        <v>0.76621344028171778</v>
      </c>
      <c r="AC298" s="20">
        <v>0</v>
      </c>
      <c r="AD298" s="36">
        <v>0</v>
      </c>
      <c r="AE298" s="35" t="e">
        <f t="shared" si="636"/>
        <v>#DIV/0!</v>
      </c>
      <c r="AF298" s="6" t="e">
        <f t="shared" si="637"/>
        <v>#DIV/0!</v>
      </c>
      <c r="AG298" s="68">
        <v>0</v>
      </c>
      <c r="AH298" s="66">
        <v>0</v>
      </c>
      <c r="AI298" s="35" t="e">
        <f t="shared" si="638"/>
        <v>#DIV/0!</v>
      </c>
      <c r="AJ298" s="6" t="e">
        <f t="shared" si="639"/>
        <v>#DIV/0!</v>
      </c>
      <c r="AK298" s="68">
        <v>2010</v>
      </c>
      <c r="AL298" s="65">
        <v>144</v>
      </c>
      <c r="AM298" s="35">
        <f t="shared" si="640"/>
        <v>13.958333333333334</v>
      </c>
      <c r="AN298" s="6">
        <f t="shared" si="641"/>
        <v>8.5200039127457702E-2</v>
      </c>
      <c r="AO298" s="68">
        <v>3710</v>
      </c>
      <c r="AP298" s="65">
        <v>168</v>
      </c>
      <c r="AQ298" s="35">
        <f t="shared" si="642"/>
        <v>22.083333333333332</v>
      </c>
      <c r="AR298" s="6">
        <f t="shared" si="643"/>
        <v>0.13479409175388829</v>
      </c>
      <c r="AS298" s="68">
        <v>6790</v>
      </c>
      <c r="AT298" s="65">
        <v>156</v>
      </c>
      <c r="AU298" s="35">
        <f t="shared" si="644"/>
        <v>43.525641025641029</v>
      </c>
      <c r="AV298" s="6">
        <f t="shared" si="645"/>
        <v>0.26567543773843294</v>
      </c>
      <c r="AW298" s="68">
        <v>0</v>
      </c>
      <c r="AX298" s="66">
        <v>0</v>
      </c>
      <c r="AY298" s="35" t="e">
        <f t="shared" si="646"/>
        <v>#DIV/0!</v>
      </c>
      <c r="AZ298" s="6" t="e">
        <f t="shared" si="647"/>
        <v>#DIV/0!</v>
      </c>
      <c r="BA298" s="68">
        <v>0</v>
      </c>
      <c r="BB298" s="66">
        <v>0</v>
      </c>
      <c r="BC298" s="35" t="e">
        <f t="shared" si="648"/>
        <v>#DIV/0!</v>
      </c>
      <c r="BD298" s="11" t="e">
        <f t="shared" si="649"/>
        <v>#DIV/0!</v>
      </c>
    </row>
    <row r="299" spans="1:56" ht="15.75" thickBot="1" x14ac:dyDescent="0.3">
      <c r="A299" s="21"/>
      <c r="B299" s="22"/>
      <c r="C299" s="23">
        <f>AVERAGE(Table11020[MA $/Sq Ft])</f>
        <v>101.68498168498169</v>
      </c>
      <c r="D299" s="22">
        <f>AVERAGE(Table11020[Basic Allowance])</f>
        <v>4442.8571428571431</v>
      </c>
      <c r="E299" s="16"/>
      <c r="F299" s="22"/>
      <c r="G299" s="15"/>
      <c r="H299" s="24">
        <f>AVERAGE(Table11020[Bsmt % Base])</f>
        <v>0.52370976073997144</v>
      </c>
      <c r="I299" s="15"/>
      <c r="J299" s="15"/>
      <c r="K299" s="15"/>
      <c r="L299" s="25" t="e">
        <f>AVERAGE(Table11020[[#Headers],[#Data],[UnfBsmt % Base]])</f>
        <v>#DIV/0!</v>
      </c>
      <c r="M299" s="44"/>
      <c r="N299" s="15"/>
      <c r="O299" s="23" t="e">
        <f>AVERAGE(Table11020[LowerVal/SqFt])</f>
        <v>#DIV/0!</v>
      </c>
      <c r="P299" s="24" t="e">
        <f>AVERAGE(Table11020[Lower % Base])</f>
        <v>#DIV/0!</v>
      </c>
      <c r="Q299" s="13"/>
      <c r="R299" s="13"/>
      <c r="S299" s="13"/>
      <c r="T299" s="25" t="e">
        <f>AVERAGE(Table11020[Unf Lower % Base])</f>
        <v>#DIV/0!</v>
      </c>
      <c r="U299" s="12"/>
      <c r="V299" s="13"/>
      <c r="W299" s="13"/>
      <c r="X299" s="25" t="e">
        <f>AVERAGE(Table11020[1/2 Story % Base])</f>
        <v>#DIV/0!</v>
      </c>
      <c r="Y299" s="12"/>
      <c r="Z299" s="13"/>
      <c r="AA299" s="13"/>
      <c r="AB299" s="24">
        <f>AVERAGE(Table11020[2nd Story % Base])</f>
        <v>0.7931756030585283</v>
      </c>
      <c r="AC299" s="13"/>
      <c r="AD299" s="13"/>
      <c r="AE299" s="23" t="e">
        <f>AVERAGE(Table11020[AttGarVal/SqFt])</f>
        <v>#DIV/0!</v>
      </c>
      <c r="AF299" s="25" t="e">
        <f>AVERAGE(Table11020[Att Gar % Base])</f>
        <v>#DIV/0!</v>
      </c>
      <c r="AG299" s="12"/>
      <c r="AH299" s="13"/>
      <c r="AI299" s="13"/>
      <c r="AJ299" s="25" t="e">
        <f>AVERAGE(Table11020[Porch % Base])</f>
        <v>#DIV/0!</v>
      </c>
      <c r="AK299" s="12"/>
      <c r="AL299" s="13"/>
      <c r="AM299" s="13"/>
      <c r="AN299" s="25">
        <f>AVERAGE(Table11020[Cov Porch % Base])</f>
        <v>0.10157763535243268</v>
      </c>
      <c r="AO299" s="12"/>
      <c r="AP299" s="13"/>
      <c r="AQ299" s="13"/>
      <c r="AR299" s="25">
        <f>AVERAGE(Table11020[Deck % Base])</f>
        <v>0.15369955511222452</v>
      </c>
      <c r="AS299" s="12"/>
      <c r="AT299" s="13"/>
      <c r="AU299" s="23">
        <f>AVERAGE(Table11020[CovDeckVal/SqFt])</f>
        <v>28.782051282051281</v>
      </c>
      <c r="AV299" s="25">
        <f>AVERAGE(Table11020[CovDeck % Base])</f>
        <v>0.28717283524716064</v>
      </c>
      <c r="AW299" s="12"/>
      <c r="AX299" s="13"/>
      <c r="AY299" s="13"/>
      <c r="AZ299" s="25" t="e">
        <f>AVERAGE(Table11020[CarP % Base])</f>
        <v>#DIV/0!</v>
      </c>
      <c r="BA299" s="12"/>
      <c r="BB299" s="13"/>
      <c r="BC299" s="13"/>
      <c r="BD299" s="24" t="e">
        <f>AVERAGE(Table11020[EFP % Base])</f>
        <v>#DIV/0!</v>
      </c>
    </row>
    <row r="301" spans="1:56" ht="15.75" thickBot="1" x14ac:dyDescent="0.3">
      <c r="A301" s="82"/>
      <c r="B301" t="s">
        <v>79</v>
      </c>
      <c r="C301" s="78" t="s">
        <v>114</v>
      </c>
      <c r="E301" t="s">
        <v>33</v>
      </c>
      <c r="F301" s="79">
        <v>1900</v>
      </c>
      <c r="H301" t="s">
        <v>80</v>
      </c>
      <c r="I301" t="s">
        <v>202</v>
      </c>
    </row>
    <row r="302" spans="1:56" x14ac:dyDescent="0.25">
      <c r="A302" s="112"/>
      <c r="B302" s="113"/>
      <c r="C302" s="113"/>
      <c r="D302" s="114"/>
      <c r="E302" s="115" t="s">
        <v>27</v>
      </c>
      <c r="F302" s="116"/>
      <c r="G302" s="116"/>
      <c r="H302" s="117"/>
      <c r="I302" s="118" t="s">
        <v>28</v>
      </c>
      <c r="J302" s="119"/>
      <c r="K302" s="119"/>
      <c r="L302" s="120"/>
      <c r="M302" s="121" t="s">
        <v>7</v>
      </c>
      <c r="N302" s="122"/>
      <c r="O302" s="122"/>
      <c r="P302" s="123"/>
      <c r="Q302" s="124" t="s">
        <v>29</v>
      </c>
      <c r="R302" s="125"/>
      <c r="S302" s="125"/>
      <c r="T302" s="126"/>
      <c r="U302" s="127" t="s">
        <v>8</v>
      </c>
      <c r="V302" s="128"/>
      <c r="W302" s="128"/>
      <c r="X302" s="129"/>
      <c r="Y302" s="130" t="s">
        <v>0</v>
      </c>
      <c r="Z302" s="131"/>
      <c r="AA302" s="131"/>
      <c r="AB302" s="132"/>
      <c r="AC302" s="133" t="s">
        <v>34</v>
      </c>
      <c r="AD302" s="134"/>
      <c r="AE302" s="134"/>
      <c r="AF302" s="135"/>
      <c r="AG302" s="115" t="s">
        <v>9</v>
      </c>
      <c r="AH302" s="116"/>
      <c r="AI302" s="116"/>
      <c r="AJ302" s="117"/>
      <c r="AK302" s="136" t="s">
        <v>35</v>
      </c>
      <c r="AL302" s="137"/>
      <c r="AM302" s="137"/>
      <c r="AN302" s="138"/>
      <c r="AO302" s="139" t="s">
        <v>10</v>
      </c>
      <c r="AP302" s="140"/>
      <c r="AQ302" s="140"/>
      <c r="AR302" s="141"/>
      <c r="AS302" s="124" t="s">
        <v>36</v>
      </c>
      <c r="AT302" s="125"/>
      <c r="AU302" s="125"/>
      <c r="AV302" s="126"/>
      <c r="AW302" s="142" t="s">
        <v>11</v>
      </c>
      <c r="AX302" s="143"/>
      <c r="AY302" s="143"/>
      <c r="AZ302" s="144"/>
      <c r="BA302" s="148" t="s">
        <v>17</v>
      </c>
      <c r="BB302" s="149"/>
      <c r="BC302" s="149"/>
      <c r="BD302" s="150"/>
    </row>
    <row r="303" spans="1:56" s="1" customFormat="1" ht="15.75" thickBot="1" x14ac:dyDescent="0.3">
      <c r="A303" s="41" t="s">
        <v>13</v>
      </c>
      <c r="B303" s="42" t="s">
        <v>15</v>
      </c>
      <c r="C303" s="42" t="s">
        <v>32</v>
      </c>
      <c r="D303" s="43" t="s">
        <v>18</v>
      </c>
      <c r="E303" s="30" t="s">
        <v>30</v>
      </c>
      <c r="F303" s="31" t="s">
        <v>61</v>
      </c>
      <c r="G303" s="31" t="s">
        <v>38</v>
      </c>
      <c r="H303" s="32" t="s">
        <v>62</v>
      </c>
      <c r="I303" s="37" t="s">
        <v>31</v>
      </c>
      <c r="J303" s="38" t="s">
        <v>39</v>
      </c>
      <c r="K303" s="38" t="s">
        <v>40</v>
      </c>
      <c r="L303" s="39" t="s">
        <v>63</v>
      </c>
      <c r="M303" s="40" t="s">
        <v>19</v>
      </c>
      <c r="N303" s="7" t="s">
        <v>41</v>
      </c>
      <c r="O303" s="7" t="s">
        <v>37</v>
      </c>
      <c r="P303" s="7" t="s">
        <v>64</v>
      </c>
      <c r="Q303" s="27" t="s">
        <v>20</v>
      </c>
      <c r="R303" s="28" t="s">
        <v>60</v>
      </c>
      <c r="S303" s="28" t="s">
        <v>59</v>
      </c>
      <c r="T303" s="29" t="s">
        <v>65</v>
      </c>
      <c r="U303" s="48" t="s">
        <v>21</v>
      </c>
      <c r="V303" s="48" t="s">
        <v>42</v>
      </c>
      <c r="W303" s="48" t="s">
        <v>43</v>
      </c>
      <c r="X303" s="49" t="s">
        <v>66</v>
      </c>
      <c r="Y303" s="50" t="s">
        <v>22</v>
      </c>
      <c r="Z303" s="51" t="s">
        <v>44</v>
      </c>
      <c r="AA303" s="51" t="s">
        <v>45</v>
      </c>
      <c r="AB303" s="52" t="s">
        <v>67</v>
      </c>
      <c r="AC303" s="45" t="s">
        <v>23</v>
      </c>
      <c r="AD303" s="46" t="s">
        <v>46</v>
      </c>
      <c r="AE303" s="46" t="s">
        <v>47</v>
      </c>
      <c r="AF303" s="47" t="s">
        <v>68</v>
      </c>
      <c r="AG303" s="30" t="s">
        <v>24</v>
      </c>
      <c r="AH303" s="31" t="s">
        <v>48</v>
      </c>
      <c r="AI303" s="31" t="s">
        <v>49</v>
      </c>
      <c r="AJ303" s="32" t="s">
        <v>69</v>
      </c>
      <c r="AK303" s="53" t="s">
        <v>25</v>
      </c>
      <c r="AL303" s="54" t="s">
        <v>50</v>
      </c>
      <c r="AM303" s="54" t="s">
        <v>51</v>
      </c>
      <c r="AN303" s="55" t="s">
        <v>70</v>
      </c>
      <c r="AO303" s="56" t="s">
        <v>26</v>
      </c>
      <c r="AP303" s="57" t="s">
        <v>52</v>
      </c>
      <c r="AQ303" s="57" t="s">
        <v>53</v>
      </c>
      <c r="AR303" s="58" t="s">
        <v>71</v>
      </c>
      <c r="AS303" s="59" t="s">
        <v>55</v>
      </c>
      <c r="AT303" s="60" t="s">
        <v>54</v>
      </c>
      <c r="AU303" s="60" t="s">
        <v>56</v>
      </c>
      <c r="AV303" s="61" t="s">
        <v>76</v>
      </c>
      <c r="AW303" s="62" t="s">
        <v>72</v>
      </c>
      <c r="AX303" s="63" t="s">
        <v>73</v>
      </c>
      <c r="AY303" s="63" t="s">
        <v>74</v>
      </c>
      <c r="AZ303" s="64" t="s">
        <v>75</v>
      </c>
      <c r="BA303" s="71" t="s">
        <v>77</v>
      </c>
      <c r="BB303" s="72" t="s">
        <v>57</v>
      </c>
      <c r="BC303" s="72" t="s">
        <v>58</v>
      </c>
      <c r="BD303" s="73" t="s">
        <v>78</v>
      </c>
    </row>
    <row r="304" spans="1:56" ht="15.75" thickBot="1" x14ac:dyDescent="0.3">
      <c r="A304" s="17" t="s">
        <v>1</v>
      </c>
      <c r="B304" s="14">
        <v>90190</v>
      </c>
      <c r="C304" s="34">
        <f>B304/F301</f>
        <v>47.468421052631577</v>
      </c>
      <c r="D304" s="14">
        <v>1525</v>
      </c>
      <c r="E304" s="67">
        <v>22560</v>
      </c>
      <c r="F304" s="69">
        <v>900</v>
      </c>
      <c r="G304" s="34">
        <f t="shared" ref="G304:G310" si="650">E304/F304</f>
        <v>25.066666666666666</v>
      </c>
      <c r="H304" s="10">
        <f t="shared" ref="H304:H310" si="651">G304/C304</f>
        <v>0.52807036995971468</v>
      </c>
      <c r="I304" s="34">
        <v>10680</v>
      </c>
      <c r="J304" s="69">
        <v>900</v>
      </c>
      <c r="K304" s="34">
        <f t="shared" ref="K304:K310" si="652">I304/J304</f>
        <v>11.866666666666667</v>
      </c>
      <c r="L304" s="9">
        <f t="shared" ref="L304:L310" si="653">K304/C304</f>
        <v>0.24999076024688621</v>
      </c>
      <c r="M304" s="67">
        <v>0</v>
      </c>
      <c r="N304" s="26">
        <v>0</v>
      </c>
      <c r="O304" s="34" t="e">
        <f t="shared" ref="O304:O310" si="654">M304/N304</f>
        <v>#DIV/0!</v>
      </c>
      <c r="P304" s="10" t="e">
        <f t="shared" ref="P304:P310" si="655">O304/C304</f>
        <v>#DIV/0!</v>
      </c>
      <c r="Q304" s="35">
        <v>0</v>
      </c>
      <c r="R304" s="66">
        <v>0</v>
      </c>
      <c r="S304" s="35" t="e">
        <f t="shared" ref="S304:S310" si="656">Q304/R304</f>
        <v>#DIV/0!</v>
      </c>
      <c r="T304" s="6" t="e">
        <f t="shared" ref="T304:T310" si="657">S304/C304</f>
        <v>#DIV/0!</v>
      </c>
      <c r="U304" s="67">
        <v>0</v>
      </c>
      <c r="V304" s="65">
        <v>0</v>
      </c>
      <c r="W304" s="18" t="e">
        <f t="shared" ref="W304:W310" si="658">U304/V304</f>
        <v>#DIV/0!</v>
      </c>
      <c r="X304" s="9" t="e">
        <f t="shared" ref="X304:X310" si="659">W304/C304</f>
        <v>#DIV/0!</v>
      </c>
      <c r="Y304" s="67">
        <v>0</v>
      </c>
      <c r="Z304" s="69">
        <v>0</v>
      </c>
      <c r="AA304" s="34" t="e">
        <f t="shared" ref="AA304:AA310" si="660">Y304/Z304</f>
        <v>#DIV/0!</v>
      </c>
      <c r="AB304" s="10" t="e">
        <f t="shared" ref="AB304:AB310" si="661">AA304/C304</f>
        <v>#DIV/0!</v>
      </c>
      <c r="AC304" s="18">
        <v>0</v>
      </c>
      <c r="AD304" s="33">
        <v>0</v>
      </c>
      <c r="AE304" s="34" t="e">
        <f t="shared" ref="AE304:AE310" si="662">AC304/AD304</f>
        <v>#DIV/0!</v>
      </c>
      <c r="AF304" s="9" t="e">
        <f t="shared" ref="AF304:AF310" si="663">AE304/C304</f>
        <v>#DIV/0!</v>
      </c>
      <c r="AG304" s="67">
        <v>0</v>
      </c>
      <c r="AH304" s="65">
        <v>0</v>
      </c>
      <c r="AI304" s="34" t="e">
        <f t="shared" ref="AI304:AI310" si="664">AG304/AH304</f>
        <v>#DIV/0!</v>
      </c>
      <c r="AJ304" s="9" t="e">
        <f t="shared" ref="AJ304:AJ310" si="665">AI304/C304</f>
        <v>#DIV/0!</v>
      </c>
      <c r="AK304" s="67">
        <v>3730</v>
      </c>
      <c r="AL304" s="65">
        <v>0</v>
      </c>
      <c r="AM304" s="34" t="e">
        <f t="shared" ref="AM304:AM310" si="666">AK304/AL304</f>
        <v>#DIV/0!</v>
      </c>
      <c r="AN304" s="9" t="e">
        <f t="shared" ref="AN304:AN310" si="667">AM304/C304</f>
        <v>#DIV/0!</v>
      </c>
      <c r="AO304" s="67">
        <v>0</v>
      </c>
      <c r="AP304" s="65">
        <v>0</v>
      </c>
      <c r="AQ304" s="34" t="e">
        <f t="shared" ref="AQ304:AQ310" si="668">AO304/AP304</f>
        <v>#DIV/0!</v>
      </c>
      <c r="AR304" s="9" t="e">
        <f t="shared" ref="AR304:AR310" si="669">AQ304/C304</f>
        <v>#DIV/0!</v>
      </c>
      <c r="AS304" s="67">
        <v>0</v>
      </c>
      <c r="AT304" s="65">
        <v>0</v>
      </c>
      <c r="AU304" s="34" t="e">
        <f t="shared" ref="AU304:AU310" si="670">AS304/AT304</f>
        <v>#DIV/0!</v>
      </c>
      <c r="AV304" s="9" t="e">
        <f t="shared" ref="AV304:AV310" si="671">AU304/C304</f>
        <v>#DIV/0!</v>
      </c>
      <c r="AW304" s="67">
        <v>10850</v>
      </c>
      <c r="AX304" s="65">
        <v>1288</v>
      </c>
      <c r="AY304" s="34">
        <f t="shared" ref="AY304:AY310" si="672">AW304/AX304</f>
        <v>8.4239130434782616</v>
      </c>
      <c r="AZ304" s="9">
        <f t="shared" ref="AZ304:AZ310" si="673">AY304/C304</f>
        <v>0.17746351904433638</v>
      </c>
      <c r="BA304" s="67">
        <v>0</v>
      </c>
      <c r="BB304" s="65">
        <v>0</v>
      </c>
      <c r="BC304" s="34" t="e">
        <f t="shared" ref="BC304:BC310" si="674">BA304/BB304</f>
        <v>#DIV/0!</v>
      </c>
      <c r="BD304" s="10" t="e">
        <f t="shared" ref="BD304:BD310" si="675">BC304/C304</f>
        <v>#DIV/0!</v>
      </c>
    </row>
    <row r="305" spans="1:56" ht="15.75" thickBot="1" x14ac:dyDescent="0.3">
      <c r="A305" s="19" t="s">
        <v>16</v>
      </c>
      <c r="B305" s="8">
        <v>106070</v>
      </c>
      <c r="C305" s="35">
        <f>B305/F301</f>
        <v>55.826315789473682</v>
      </c>
      <c r="D305" s="8">
        <v>1525</v>
      </c>
      <c r="E305" s="68">
        <v>30070</v>
      </c>
      <c r="F305" s="69">
        <v>900</v>
      </c>
      <c r="G305" s="35">
        <f t="shared" si="650"/>
        <v>33.411111111111111</v>
      </c>
      <c r="H305" s="11">
        <f t="shared" si="651"/>
        <v>0.59848318196578787</v>
      </c>
      <c r="I305" s="35">
        <v>14290</v>
      </c>
      <c r="J305" s="69">
        <v>900</v>
      </c>
      <c r="K305" s="35">
        <f t="shared" si="652"/>
        <v>15.877777777777778</v>
      </c>
      <c r="L305" s="6">
        <f t="shared" si="653"/>
        <v>0.28441385667745622</v>
      </c>
      <c r="M305" s="68">
        <v>0</v>
      </c>
      <c r="N305" s="5">
        <v>0</v>
      </c>
      <c r="O305" s="35" t="e">
        <f t="shared" si="654"/>
        <v>#DIV/0!</v>
      </c>
      <c r="P305" s="11" t="e">
        <f t="shared" si="655"/>
        <v>#DIV/0!</v>
      </c>
      <c r="Q305" s="35">
        <v>0</v>
      </c>
      <c r="R305" s="66">
        <v>0</v>
      </c>
      <c r="S305" s="35" t="e">
        <f t="shared" si="656"/>
        <v>#DIV/0!</v>
      </c>
      <c r="T305" s="6" t="e">
        <f t="shared" si="657"/>
        <v>#DIV/0!</v>
      </c>
      <c r="U305" s="68">
        <v>0</v>
      </c>
      <c r="V305" s="66">
        <v>0</v>
      </c>
      <c r="W305" s="20" t="e">
        <f t="shared" si="658"/>
        <v>#DIV/0!</v>
      </c>
      <c r="X305" s="6" t="e">
        <f t="shared" si="659"/>
        <v>#DIV/0!</v>
      </c>
      <c r="Y305" s="68">
        <v>0</v>
      </c>
      <c r="Z305" s="70">
        <v>0</v>
      </c>
      <c r="AA305" s="35" t="e">
        <f t="shared" si="660"/>
        <v>#DIV/0!</v>
      </c>
      <c r="AB305" s="11" t="e">
        <f t="shared" si="661"/>
        <v>#DIV/0!</v>
      </c>
      <c r="AC305" s="20">
        <v>0</v>
      </c>
      <c r="AD305" s="36">
        <v>0</v>
      </c>
      <c r="AE305" s="35" t="e">
        <f t="shared" si="662"/>
        <v>#DIV/0!</v>
      </c>
      <c r="AF305" s="6" t="e">
        <f t="shared" si="663"/>
        <v>#DIV/0!</v>
      </c>
      <c r="AG305" s="68">
        <v>0</v>
      </c>
      <c r="AH305" s="66">
        <v>0</v>
      </c>
      <c r="AI305" s="35" t="e">
        <f t="shared" si="664"/>
        <v>#DIV/0!</v>
      </c>
      <c r="AJ305" s="6" t="e">
        <f t="shared" si="665"/>
        <v>#DIV/0!</v>
      </c>
      <c r="AK305" s="68">
        <v>5500</v>
      </c>
      <c r="AL305" s="66">
        <v>0</v>
      </c>
      <c r="AM305" s="35" t="e">
        <f t="shared" si="666"/>
        <v>#DIV/0!</v>
      </c>
      <c r="AN305" s="6" t="e">
        <f t="shared" si="667"/>
        <v>#DIV/0!</v>
      </c>
      <c r="AO305" s="68">
        <v>0</v>
      </c>
      <c r="AP305" s="66">
        <v>0</v>
      </c>
      <c r="AQ305" s="35" t="e">
        <f t="shared" si="668"/>
        <v>#DIV/0!</v>
      </c>
      <c r="AR305" s="6" t="e">
        <f t="shared" si="669"/>
        <v>#DIV/0!</v>
      </c>
      <c r="AS305" s="68">
        <v>0</v>
      </c>
      <c r="AT305" s="66">
        <v>0</v>
      </c>
      <c r="AU305" s="35" t="e">
        <f t="shared" si="670"/>
        <v>#DIV/0!</v>
      </c>
      <c r="AV305" s="6" t="e">
        <f t="shared" si="671"/>
        <v>#DIV/0!</v>
      </c>
      <c r="AW305" s="68">
        <v>12520</v>
      </c>
      <c r="AX305" s="65">
        <v>1288</v>
      </c>
      <c r="AY305" s="35">
        <f t="shared" si="672"/>
        <v>9.720496894409937</v>
      </c>
      <c r="AZ305" s="6">
        <f t="shared" si="673"/>
        <v>0.17412033656433376</v>
      </c>
      <c r="BA305" s="68">
        <v>0</v>
      </c>
      <c r="BB305" s="66">
        <v>0</v>
      </c>
      <c r="BC305" s="35" t="e">
        <f t="shared" si="674"/>
        <v>#DIV/0!</v>
      </c>
      <c r="BD305" s="11" t="e">
        <f t="shared" si="675"/>
        <v>#DIV/0!</v>
      </c>
    </row>
    <row r="306" spans="1:56" ht="15.75" thickBot="1" x14ac:dyDescent="0.3">
      <c r="A306" s="19" t="s">
        <v>2</v>
      </c>
      <c r="B306" s="8">
        <v>123670</v>
      </c>
      <c r="C306" s="35">
        <f>B306/F301</f>
        <v>65.089473684210532</v>
      </c>
      <c r="D306" s="8">
        <v>2100</v>
      </c>
      <c r="E306" s="68">
        <v>34280</v>
      </c>
      <c r="F306" s="69">
        <v>900</v>
      </c>
      <c r="G306" s="35">
        <f t="shared" si="650"/>
        <v>38.088888888888889</v>
      </c>
      <c r="H306" s="11">
        <f t="shared" si="651"/>
        <v>0.58517739863256146</v>
      </c>
      <c r="I306" s="35">
        <v>16240</v>
      </c>
      <c r="J306" s="69">
        <v>900</v>
      </c>
      <c r="K306" s="35">
        <f t="shared" si="652"/>
        <v>18.044444444444444</v>
      </c>
      <c r="L306" s="6">
        <f t="shared" si="653"/>
        <v>0.277225232024294</v>
      </c>
      <c r="M306" s="68">
        <v>0</v>
      </c>
      <c r="N306" s="5">
        <v>0</v>
      </c>
      <c r="O306" s="35" t="e">
        <f t="shared" si="654"/>
        <v>#DIV/0!</v>
      </c>
      <c r="P306" s="11" t="e">
        <f t="shared" si="655"/>
        <v>#DIV/0!</v>
      </c>
      <c r="Q306" s="35">
        <v>0</v>
      </c>
      <c r="R306" s="66">
        <v>0</v>
      </c>
      <c r="S306" s="35" t="e">
        <f t="shared" si="656"/>
        <v>#DIV/0!</v>
      </c>
      <c r="T306" s="6" t="e">
        <f t="shared" si="657"/>
        <v>#DIV/0!</v>
      </c>
      <c r="U306" s="68">
        <v>0</v>
      </c>
      <c r="V306" s="66">
        <v>0</v>
      </c>
      <c r="W306" s="20" t="e">
        <f t="shared" si="658"/>
        <v>#DIV/0!</v>
      </c>
      <c r="X306" s="6" t="e">
        <f t="shared" si="659"/>
        <v>#DIV/0!</v>
      </c>
      <c r="Y306" s="68">
        <v>0</v>
      </c>
      <c r="Z306" s="70">
        <v>0</v>
      </c>
      <c r="AA306" s="35" t="e">
        <f t="shared" si="660"/>
        <v>#DIV/0!</v>
      </c>
      <c r="AB306" s="11" t="e">
        <f t="shared" si="661"/>
        <v>#DIV/0!</v>
      </c>
      <c r="AC306" s="20">
        <v>0</v>
      </c>
      <c r="AD306" s="36">
        <v>0</v>
      </c>
      <c r="AE306" s="35" t="e">
        <f t="shared" si="662"/>
        <v>#DIV/0!</v>
      </c>
      <c r="AF306" s="6" t="e">
        <f t="shared" si="663"/>
        <v>#DIV/0!</v>
      </c>
      <c r="AG306" s="68">
        <v>0</v>
      </c>
      <c r="AH306" s="66">
        <v>0</v>
      </c>
      <c r="AI306" s="35" t="e">
        <f t="shared" si="664"/>
        <v>#DIV/0!</v>
      </c>
      <c r="AJ306" s="6" t="e">
        <f t="shared" si="665"/>
        <v>#DIV/0!</v>
      </c>
      <c r="AK306" s="68">
        <v>5940</v>
      </c>
      <c r="AL306" s="66">
        <v>0</v>
      </c>
      <c r="AM306" s="35" t="e">
        <f t="shared" si="666"/>
        <v>#DIV/0!</v>
      </c>
      <c r="AN306" s="6" t="e">
        <f t="shared" si="667"/>
        <v>#DIV/0!</v>
      </c>
      <c r="AO306" s="68">
        <v>0</v>
      </c>
      <c r="AP306" s="66">
        <v>0</v>
      </c>
      <c r="AQ306" s="35" t="e">
        <f t="shared" si="668"/>
        <v>#DIV/0!</v>
      </c>
      <c r="AR306" s="6" t="e">
        <f t="shared" si="669"/>
        <v>#DIV/0!</v>
      </c>
      <c r="AS306" s="68">
        <v>0</v>
      </c>
      <c r="AT306" s="66">
        <v>0</v>
      </c>
      <c r="AU306" s="35" t="e">
        <f t="shared" si="670"/>
        <v>#DIV/0!</v>
      </c>
      <c r="AV306" s="6" t="e">
        <f t="shared" si="671"/>
        <v>#DIV/0!</v>
      </c>
      <c r="AW306" s="68">
        <v>14170</v>
      </c>
      <c r="AX306" s="65">
        <v>1288</v>
      </c>
      <c r="AY306" s="35">
        <f t="shared" si="672"/>
        <v>11.001552795031056</v>
      </c>
      <c r="AZ306" s="6">
        <f t="shared" si="673"/>
        <v>0.16902199652752492</v>
      </c>
      <c r="BA306" s="68">
        <v>0</v>
      </c>
      <c r="BB306" s="66">
        <v>0</v>
      </c>
      <c r="BC306" s="35" t="e">
        <f t="shared" si="674"/>
        <v>#DIV/0!</v>
      </c>
      <c r="BD306" s="11" t="e">
        <f t="shared" si="675"/>
        <v>#DIV/0!</v>
      </c>
    </row>
    <row r="307" spans="1:56" ht="15.75" thickBot="1" x14ac:dyDescent="0.3">
      <c r="A307" s="19" t="s">
        <v>3</v>
      </c>
      <c r="B307" s="8">
        <v>150740</v>
      </c>
      <c r="C307" s="35">
        <f>B307/F301</f>
        <v>79.336842105263159</v>
      </c>
      <c r="D307" s="8">
        <v>2700</v>
      </c>
      <c r="E307" s="68">
        <v>39250</v>
      </c>
      <c r="F307" s="69">
        <v>900</v>
      </c>
      <c r="G307" s="35">
        <f t="shared" si="650"/>
        <v>43.611111111111114</v>
      </c>
      <c r="H307" s="11">
        <f t="shared" si="651"/>
        <v>0.54969557589963591</v>
      </c>
      <c r="I307" s="35">
        <v>18560</v>
      </c>
      <c r="J307" s="69">
        <v>900</v>
      </c>
      <c r="K307" s="35">
        <f t="shared" si="652"/>
        <v>20.622222222222224</v>
      </c>
      <c r="L307" s="6">
        <f t="shared" si="653"/>
        <v>0.25993248124069407</v>
      </c>
      <c r="M307" s="68">
        <v>0</v>
      </c>
      <c r="N307" s="5">
        <v>0</v>
      </c>
      <c r="O307" s="35" t="e">
        <f t="shared" si="654"/>
        <v>#DIV/0!</v>
      </c>
      <c r="P307" s="11" t="e">
        <f t="shared" si="655"/>
        <v>#DIV/0!</v>
      </c>
      <c r="Q307" s="35">
        <v>0</v>
      </c>
      <c r="R307" s="66">
        <v>0</v>
      </c>
      <c r="S307" s="35" t="e">
        <f t="shared" si="656"/>
        <v>#DIV/0!</v>
      </c>
      <c r="T307" s="6" t="e">
        <f t="shared" si="657"/>
        <v>#DIV/0!</v>
      </c>
      <c r="U307" s="68">
        <v>0</v>
      </c>
      <c r="V307" s="66">
        <v>0</v>
      </c>
      <c r="W307" s="20" t="e">
        <f t="shared" si="658"/>
        <v>#DIV/0!</v>
      </c>
      <c r="X307" s="6" t="e">
        <f t="shared" si="659"/>
        <v>#DIV/0!</v>
      </c>
      <c r="Y307" s="68">
        <v>0</v>
      </c>
      <c r="Z307" s="70">
        <v>0</v>
      </c>
      <c r="AA307" s="35" t="e">
        <f t="shared" si="660"/>
        <v>#DIV/0!</v>
      </c>
      <c r="AB307" s="11" t="e">
        <f t="shared" si="661"/>
        <v>#DIV/0!</v>
      </c>
      <c r="AC307" s="20">
        <v>0</v>
      </c>
      <c r="AD307" s="36">
        <v>0</v>
      </c>
      <c r="AE307" s="35" t="e">
        <f t="shared" si="662"/>
        <v>#DIV/0!</v>
      </c>
      <c r="AF307" s="6" t="e">
        <f t="shared" si="663"/>
        <v>#DIV/0!</v>
      </c>
      <c r="AG307" s="68">
        <v>0</v>
      </c>
      <c r="AH307" s="66">
        <v>0</v>
      </c>
      <c r="AI307" s="35" t="e">
        <f t="shared" si="664"/>
        <v>#DIV/0!</v>
      </c>
      <c r="AJ307" s="6" t="e">
        <f t="shared" si="665"/>
        <v>#DIV/0!</v>
      </c>
      <c r="AK307" s="68">
        <v>6450</v>
      </c>
      <c r="AL307" s="66">
        <v>0</v>
      </c>
      <c r="AM307" s="35" t="e">
        <f t="shared" si="666"/>
        <v>#DIV/0!</v>
      </c>
      <c r="AN307" s="6" t="e">
        <f t="shared" si="667"/>
        <v>#DIV/0!</v>
      </c>
      <c r="AO307" s="68">
        <v>0</v>
      </c>
      <c r="AP307" s="66">
        <v>0</v>
      </c>
      <c r="AQ307" s="35" t="e">
        <f t="shared" si="668"/>
        <v>#DIV/0!</v>
      </c>
      <c r="AR307" s="6" t="e">
        <f t="shared" si="669"/>
        <v>#DIV/0!</v>
      </c>
      <c r="AS307" s="68">
        <v>0</v>
      </c>
      <c r="AT307" s="66">
        <v>0</v>
      </c>
      <c r="AU307" s="35" t="e">
        <f t="shared" si="670"/>
        <v>#DIV/0!</v>
      </c>
      <c r="AV307" s="6" t="e">
        <f t="shared" si="671"/>
        <v>#DIV/0!</v>
      </c>
      <c r="AW307" s="68">
        <v>19950</v>
      </c>
      <c r="AX307" s="65">
        <v>1288</v>
      </c>
      <c r="AY307" s="35">
        <f t="shared" si="672"/>
        <v>15.489130434782609</v>
      </c>
      <c r="AZ307" s="6">
        <f t="shared" si="673"/>
        <v>0.1952325051485137</v>
      </c>
      <c r="BA307" s="68">
        <v>0</v>
      </c>
      <c r="BB307" s="66">
        <v>0</v>
      </c>
      <c r="BC307" s="35" t="e">
        <f t="shared" si="674"/>
        <v>#DIV/0!</v>
      </c>
      <c r="BD307" s="11" t="e">
        <f t="shared" si="675"/>
        <v>#DIV/0!</v>
      </c>
    </row>
    <row r="308" spans="1:56" ht="15.75" thickBot="1" x14ac:dyDescent="0.3">
      <c r="A308" s="19" t="s">
        <v>4</v>
      </c>
      <c r="B308" s="8">
        <v>186380</v>
      </c>
      <c r="C308" s="35">
        <f>B308/F301</f>
        <v>98.094736842105263</v>
      </c>
      <c r="D308" s="8">
        <v>5250</v>
      </c>
      <c r="E308" s="68">
        <v>56120</v>
      </c>
      <c r="F308" s="69">
        <v>900</v>
      </c>
      <c r="G308" s="35">
        <f t="shared" si="650"/>
        <v>62.355555555555554</v>
      </c>
      <c r="H308" s="11">
        <f t="shared" si="651"/>
        <v>0.63566667858973902</v>
      </c>
      <c r="I308" s="35">
        <v>24750</v>
      </c>
      <c r="J308" s="69">
        <v>900</v>
      </c>
      <c r="K308" s="35">
        <f t="shared" si="652"/>
        <v>27.5</v>
      </c>
      <c r="L308" s="6">
        <f t="shared" si="653"/>
        <v>0.28034123833029295</v>
      </c>
      <c r="M308" s="68">
        <v>0</v>
      </c>
      <c r="N308" s="5">
        <v>0</v>
      </c>
      <c r="O308" s="35" t="e">
        <f t="shared" si="654"/>
        <v>#DIV/0!</v>
      </c>
      <c r="P308" s="11" t="e">
        <f t="shared" si="655"/>
        <v>#DIV/0!</v>
      </c>
      <c r="Q308" s="35">
        <v>0</v>
      </c>
      <c r="R308" s="66">
        <v>0</v>
      </c>
      <c r="S308" s="35" t="e">
        <f t="shared" si="656"/>
        <v>#DIV/0!</v>
      </c>
      <c r="T308" s="6" t="e">
        <f t="shared" si="657"/>
        <v>#DIV/0!</v>
      </c>
      <c r="U308" s="68">
        <v>0</v>
      </c>
      <c r="V308" s="66">
        <v>0</v>
      </c>
      <c r="W308" s="20" t="e">
        <f t="shared" si="658"/>
        <v>#DIV/0!</v>
      </c>
      <c r="X308" s="6" t="e">
        <f t="shared" si="659"/>
        <v>#DIV/0!</v>
      </c>
      <c r="Y308" s="68">
        <v>0</v>
      </c>
      <c r="Z308" s="70">
        <v>0</v>
      </c>
      <c r="AA308" s="35" t="e">
        <f t="shared" si="660"/>
        <v>#DIV/0!</v>
      </c>
      <c r="AB308" s="11" t="e">
        <f t="shared" si="661"/>
        <v>#DIV/0!</v>
      </c>
      <c r="AC308" s="20">
        <v>0</v>
      </c>
      <c r="AD308" s="36">
        <v>0</v>
      </c>
      <c r="AE308" s="35" t="e">
        <f t="shared" si="662"/>
        <v>#DIV/0!</v>
      </c>
      <c r="AF308" s="6" t="e">
        <f t="shared" si="663"/>
        <v>#DIV/0!</v>
      </c>
      <c r="AG308" s="68">
        <v>0</v>
      </c>
      <c r="AH308" s="66">
        <v>0</v>
      </c>
      <c r="AI308" s="35" t="e">
        <f t="shared" si="664"/>
        <v>#DIV/0!</v>
      </c>
      <c r="AJ308" s="6" t="e">
        <f t="shared" si="665"/>
        <v>#DIV/0!</v>
      </c>
      <c r="AK308" s="68">
        <v>7670</v>
      </c>
      <c r="AL308" s="66">
        <v>0</v>
      </c>
      <c r="AM308" s="35" t="e">
        <f t="shared" si="666"/>
        <v>#DIV/0!</v>
      </c>
      <c r="AN308" s="6" t="e">
        <f t="shared" si="667"/>
        <v>#DIV/0!</v>
      </c>
      <c r="AO308" s="68">
        <v>0</v>
      </c>
      <c r="AP308" s="66">
        <v>0</v>
      </c>
      <c r="AQ308" s="35" t="e">
        <f t="shared" si="668"/>
        <v>#DIV/0!</v>
      </c>
      <c r="AR308" s="6" t="e">
        <f t="shared" si="669"/>
        <v>#DIV/0!</v>
      </c>
      <c r="AS308" s="68">
        <v>0</v>
      </c>
      <c r="AT308" s="66">
        <v>0</v>
      </c>
      <c r="AU308" s="35" t="e">
        <f t="shared" si="670"/>
        <v>#DIV/0!</v>
      </c>
      <c r="AV308" s="6" t="e">
        <f t="shared" si="671"/>
        <v>#DIV/0!</v>
      </c>
      <c r="AW308" s="68">
        <v>22640</v>
      </c>
      <c r="AX308" s="65">
        <v>1288</v>
      </c>
      <c r="AY308" s="35">
        <f t="shared" si="672"/>
        <v>17.577639751552795</v>
      </c>
      <c r="AZ308" s="6">
        <f t="shared" si="673"/>
        <v>0.17919044708633067</v>
      </c>
      <c r="BA308" s="68">
        <v>0</v>
      </c>
      <c r="BB308" s="66">
        <v>0</v>
      </c>
      <c r="BC308" s="35" t="e">
        <f t="shared" si="674"/>
        <v>#DIV/0!</v>
      </c>
      <c r="BD308" s="11" t="e">
        <f t="shared" si="675"/>
        <v>#DIV/0!</v>
      </c>
    </row>
    <row r="309" spans="1:56" ht="15.75" thickBot="1" x14ac:dyDescent="0.3">
      <c r="A309" s="19" t="s">
        <v>5</v>
      </c>
      <c r="B309" s="8">
        <v>248280</v>
      </c>
      <c r="C309" s="35">
        <f>B309/F301</f>
        <v>130.67368421052632</v>
      </c>
      <c r="D309" s="8">
        <v>7050</v>
      </c>
      <c r="E309" s="68">
        <v>62870</v>
      </c>
      <c r="F309" s="69">
        <v>900</v>
      </c>
      <c r="G309" s="35">
        <f t="shared" si="650"/>
        <v>69.855555555555554</v>
      </c>
      <c r="H309" s="11">
        <f t="shared" si="651"/>
        <v>0.53458013354098421</v>
      </c>
      <c r="I309" s="35">
        <v>28240</v>
      </c>
      <c r="J309" s="69">
        <v>900</v>
      </c>
      <c r="K309" s="35">
        <f t="shared" si="652"/>
        <v>31.377777777777776</v>
      </c>
      <c r="L309" s="6">
        <f t="shared" si="653"/>
        <v>0.24012315844118645</v>
      </c>
      <c r="M309" s="68">
        <v>0</v>
      </c>
      <c r="N309" s="5">
        <v>0</v>
      </c>
      <c r="O309" s="35" t="e">
        <f t="shared" si="654"/>
        <v>#DIV/0!</v>
      </c>
      <c r="P309" s="11" t="e">
        <f t="shared" si="655"/>
        <v>#DIV/0!</v>
      </c>
      <c r="Q309" s="35">
        <v>0</v>
      </c>
      <c r="R309" s="66">
        <v>0</v>
      </c>
      <c r="S309" s="35" t="e">
        <f t="shared" si="656"/>
        <v>#DIV/0!</v>
      </c>
      <c r="T309" s="6" t="e">
        <f t="shared" si="657"/>
        <v>#DIV/0!</v>
      </c>
      <c r="U309" s="68">
        <v>0</v>
      </c>
      <c r="V309" s="66">
        <v>0</v>
      </c>
      <c r="W309" s="20" t="e">
        <f t="shared" si="658"/>
        <v>#DIV/0!</v>
      </c>
      <c r="X309" s="6" t="e">
        <f t="shared" si="659"/>
        <v>#DIV/0!</v>
      </c>
      <c r="Y309" s="68">
        <v>0</v>
      </c>
      <c r="Z309" s="70">
        <v>0</v>
      </c>
      <c r="AA309" s="35" t="e">
        <f t="shared" si="660"/>
        <v>#DIV/0!</v>
      </c>
      <c r="AB309" s="11" t="e">
        <f t="shared" si="661"/>
        <v>#DIV/0!</v>
      </c>
      <c r="AC309" s="20">
        <v>0</v>
      </c>
      <c r="AD309" s="36">
        <v>0</v>
      </c>
      <c r="AE309" s="35" t="e">
        <f t="shared" si="662"/>
        <v>#DIV/0!</v>
      </c>
      <c r="AF309" s="6" t="e">
        <f t="shared" si="663"/>
        <v>#DIV/0!</v>
      </c>
      <c r="AG309" s="68">
        <v>0</v>
      </c>
      <c r="AH309" s="66">
        <v>0</v>
      </c>
      <c r="AI309" s="35" t="e">
        <f t="shared" si="664"/>
        <v>#DIV/0!</v>
      </c>
      <c r="AJ309" s="6" t="e">
        <f t="shared" si="665"/>
        <v>#DIV/0!</v>
      </c>
      <c r="AK309" s="68">
        <v>8460</v>
      </c>
      <c r="AL309" s="66">
        <v>0</v>
      </c>
      <c r="AM309" s="35" t="e">
        <f t="shared" si="666"/>
        <v>#DIV/0!</v>
      </c>
      <c r="AN309" s="6" t="e">
        <f t="shared" si="667"/>
        <v>#DIV/0!</v>
      </c>
      <c r="AO309" s="68">
        <v>0</v>
      </c>
      <c r="AP309" s="66">
        <v>0</v>
      </c>
      <c r="AQ309" s="35" t="e">
        <f t="shared" si="668"/>
        <v>#DIV/0!</v>
      </c>
      <c r="AR309" s="6" t="e">
        <f t="shared" si="669"/>
        <v>#DIV/0!</v>
      </c>
      <c r="AS309" s="68">
        <v>0</v>
      </c>
      <c r="AT309" s="66">
        <v>0</v>
      </c>
      <c r="AU309" s="35" t="e">
        <f t="shared" si="670"/>
        <v>#DIV/0!</v>
      </c>
      <c r="AV309" s="6" t="e">
        <f t="shared" si="671"/>
        <v>#DIV/0!</v>
      </c>
      <c r="AW309" s="68">
        <v>27580</v>
      </c>
      <c r="AX309" s="65">
        <v>1288</v>
      </c>
      <c r="AY309" s="35">
        <f t="shared" si="672"/>
        <v>21.413043478260871</v>
      </c>
      <c r="AZ309" s="6">
        <f t="shared" si="673"/>
        <v>0.16386653217615457</v>
      </c>
      <c r="BA309" s="68">
        <v>0</v>
      </c>
      <c r="BB309" s="66">
        <v>0</v>
      </c>
      <c r="BC309" s="35" t="e">
        <f t="shared" si="674"/>
        <v>#DIV/0!</v>
      </c>
      <c r="BD309" s="11" t="e">
        <f t="shared" si="675"/>
        <v>#DIV/0!</v>
      </c>
    </row>
    <row r="310" spans="1:56" x14ac:dyDescent="0.25">
      <c r="A310" s="19" t="s">
        <v>6</v>
      </c>
      <c r="B310" s="8">
        <v>301370</v>
      </c>
      <c r="C310" s="35">
        <f>B310/F301</f>
        <v>158.6157894736842</v>
      </c>
      <c r="D310" s="8">
        <v>10950</v>
      </c>
      <c r="E310" s="68">
        <v>76440</v>
      </c>
      <c r="F310" s="69">
        <v>900</v>
      </c>
      <c r="G310" s="35">
        <f t="shared" si="650"/>
        <v>84.933333333333337</v>
      </c>
      <c r="H310" s="11">
        <f t="shared" si="651"/>
        <v>0.53546581721250741</v>
      </c>
      <c r="I310" s="35">
        <v>35220</v>
      </c>
      <c r="J310" s="69">
        <v>900</v>
      </c>
      <c r="K310" s="35">
        <f t="shared" si="652"/>
        <v>39.133333333333333</v>
      </c>
      <c r="L310" s="6">
        <f t="shared" si="653"/>
        <v>0.24671776664343942</v>
      </c>
      <c r="M310" s="68">
        <v>0</v>
      </c>
      <c r="N310" s="5">
        <v>0</v>
      </c>
      <c r="O310" s="35" t="e">
        <f t="shared" si="654"/>
        <v>#DIV/0!</v>
      </c>
      <c r="P310" s="11" t="e">
        <f t="shared" si="655"/>
        <v>#DIV/0!</v>
      </c>
      <c r="Q310" s="35">
        <v>0</v>
      </c>
      <c r="R310" s="66">
        <v>0</v>
      </c>
      <c r="S310" s="35" t="e">
        <f t="shared" si="656"/>
        <v>#DIV/0!</v>
      </c>
      <c r="T310" s="6" t="e">
        <f t="shared" si="657"/>
        <v>#DIV/0!</v>
      </c>
      <c r="U310" s="68">
        <v>0</v>
      </c>
      <c r="V310" s="66">
        <v>0</v>
      </c>
      <c r="W310" s="20" t="e">
        <f t="shared" si="658"/>
        <v>#DIV/0!</v>
      </c>
      <c r="X310" s="6" t="e">
        <f t="shared" si="659"/>
        <v>#DIV/0!</v>
      </c>
      <c r="Y310" s="68">
        <v>0</v>
      </c>
      <c r="Z310" s="70">
        <v>0</v>
      </c>
      <c r="AA310" s="35" t="e">
        <f t="shared" si="660"/>
        <v>#DIV/0!</v>
      </c>
      <c r="AB310" s="11" t="e">
        <f t="shared" si="661"/>
        <v>#DIV/0!</v>
      </c>
      <c r="AC310" s="20">
        <v>0</v>
      </c>
      <c r="AD310" s="36">
        <v>0</v>
      </c>
      <c r="AE310" s="35" t="e">
        <f t="shared" si="662"/>
        <v>#DIV/0!</v>
      </c>
      <c r="AF310" s="6" t="e">
        <f t="shared" si="663"/>
        <v>#DIV/0!</v>
      </c>
      <c r="AG310" s="68">
        <v>0</v>
      </c>
      <c r="AH310" s="66">
        <v>0</v>
      </c>
      <c r="AI310" s="35" t="e">
        <f t="shared" si="664"/>
        <v>#DIV/0!</v>
      </c>
      <c r="AJ310" s="6" t="e">
        <f t="shared" si="665"/>
        <v>#DIV/0!</v>
      </c>
      <c r="AK310" s="68">
        <v>9420</v>
      </c>
      <c r="AL310" s="66">
        <v>0</v>
      </c>
      <c r="AM310" s="35" t="e">
        <f t="shared" si="666"/>
        <v>#DIV/0!</v>
      </c>
      <c r="AN310" s="6" t="e">
        <f t="shared" si="667"/>
        <v>#DIV/0!</v>
      </c>
      <c r="AO310" s="68">
        <v>0</v>
      </c>
      <c r="AP310" s="66">
        <v>0</v>
      </c>
      <c r="AQ310" s="35" t="e">
        <f t="shared" si="668"/>
        <v>#DIV/0!</v>
      </c>
      <c r="AR310" s="6" t="e">
        <f t="shared" si="669"/>
        <v>#DIV/0!</v>
      </c>
      <c r="AS310" s="68">
        <v>0</v>
      </c>
      <c r="AT310" s="66">
        <v>0</v>
      </c>
      <c r="AU310" s="35" t="e">
        <f t="shared" si="670"/>
        <v>#DIV/0!</v>
      </c>
      <c r="AV310" s="6" t="e">
        <f t="shared" si="671"/>
        <v>#DIV/0!</v>
      </c>
      <c r="AW310" s="68">
        <v>31970</v>
      </c>
      <c r="AX310" s="65">
        <v>1288</v>
      </c>
      <c r="AY310" s="35">
        <f t="shared" si="672"/>
        <v>24.821428571428573</v>
      </c>
      <c r="AZ310" s="6">
        <f t="shared" si="673"/>
        <v>0.15648775354452762</v>
      </c>
      <c r="BA310" s="68">
        <v>0</v>
      </c>
      <c r="BB310" s="66">
        <v>0</v>
      </c>
      <c r="BC310" s="35" t="e">
        <f t="shared" si="674"/>
        <v>#DIV/0!</v>
      </c>
      <c r="BD310" s="11" t="e">
        <f t="shared" si="675"/>
        <v>#DIV/0!</v>
      </c>
    </row>
    <row r="311" spans="1:56" ht="15.75" thickBot="1" x14ac:dyDescent="0.3">
      <c r="A311" s="21"/>
      <c r="B311" s="22"/>
      <c r="C311" s="23">
        <f>AVERAGE(Table11021[MA $/Sq Ft])</f>
        <v>90.729323308270679</v>
      </c>
      <c r="D311" s="22">
        <f>AVERAGE(Table11021[Basic Allowance])</f>
        <v>4442.8571428571431</v>
      </c>
      <c r="E311" s="16"/>
      <c r="F311" s="22"/>
      <c r="G311" s="15"/>
      <c r="H311" s="24">
        <f>AVERAGE(Table11021[Bsmt % Base])</f>
        <v>0.56673416511441865</v>
      </c>
      <c r="I311" s="15"/>
      <c r="J311" s="15"/>
      <c r="K311" s="15"/>
      <c r="L311" s="25">
        <f>AVERAGE(Table11021[[#Headers],[#Data],[UnfBsmt % Base]])</f>
        <v>0.26267778480060705</v>
      </c>
      <c r="M311" s="44"/>
      <c r="N311" s="15"/>
      <c r="O311" s="23" t="e">
        <f>AVERAGE(Table11021[LowerVal/SqFt])</f>
        <v>#DIV/0!</v>
      </c>
      <c r="P311" s="24" t="e">
        <f>AVERAGE(Table11021[Lower % Base])</f>
        <v>#DIV/0!</v>
      </c>
      <c r="Q311" s="13"/>
      <c r="R311" s="13"/>
      <c r="S311" s="13"/>
      <c r="T311" s="25" t="e">
        <f>AVERAGE(Table11021[Unf Lower % Base])</f>
        <v>#DIV/0!</v>
      </c>
      <c r="U311" s="12"/>
      <c r="V311" s="13"/>
      <c r="W311" s="13"/>
      <c r="X311" s="25" t="e">
        <f>AVERAGE(Table11021[1/2 Story % Base])</f>
        <v>#DIV/0!</v>
      </c>
      <c r="Y311" s="12"/>
      <c r="Z311" s="13"/>
      <c r="AA311" s="13"/>
      <c r="AB311" s="24" t="e">
        <f>AVERAGE(Table11021[2nd Story % Base])</f>
        <v>#DIV/0!</v>
      </c>
      <c r="AC311" s="13"/>
      <c r="AD311" s="13"/>
      <c r="AE311" s="23" t="e">
        <f>AVERAGE(Table11021[AttGarVal/SqFt])</f>
        <v>#DIV/0!</v>
      </c>
      <c r="AF311" s="25" t="e">
        <f>AVERAGE(Table11021[Att Gar % Base])</f>
        <v>#DIV/0!</v>
      </c>
      <c r="AG311" s="12"/>
      <c r="AH311" s="13"/>
      <c r="AI311" s="13"/>
      <c r="AJ311" s="25" t="e">
        <f>AVERAGE(Table11021[Porch % Base])</f>
        <v>#DIV/0!</v>
      </c>
      <c r="AK311" s="12"/>
      <c r="AL311" s="13"/>
      <c r="AM311" s="13"/>
      <c r="AN311" s="25" t="e">
        <f>AVERAGE(Table11021[Cov Porch % Base])</f>
        <v>#DIV/0!</v>
      </c>
      <c r="AO311" s="12"/>
      <c r="AP311" s="13"/>
      <c r="AQ311" s="13"/>
      <c r="AR311" s="25" t="e">
        <f>AVERAGE(Table11021[Deck % Base])</f>
        <v>#DIV/0!</v>
      </c>
      <c r="AS311" s="12"/>
      <c r="AT311" s="13"/>
      <c r="AU311" s="23" t="e">
        <f>AVERAGE(Table11021[CovDeckVal/SqFt])</f>
        <v>#DIV/0!</v>
      </c>
      <c r="AV311" s="25" t="e">
        <f>AVERAGE(Table11021[CovDeck % Base])</f>
        <v>#DIV/0!</v>
      </c>
      <c r="AW311" s="12"/>
      <c r="AX311" s="13"/>
      <c r="AY311" s="13"/>
      <c r="AZ311" s="25">
        <f>AVERAGE(Table11021[CarP % Base])</f>
        <v>0.17362615572738882</v>
      </c>
      <c r="BA311" s="12"/>
      <c r="BB311" s="13"/>
      <c r="BC311" s="13"/>
      <c r="BD311" s="24" t="e">
        <f>AVERAGE(Table11021[EFP % Base])</f>
        <v>#DIV/0!</v>
      </c>
    </row>
    <row r="313" spans="1:56" ht="15.75" thickBot="1" x14ac:dyDescent="0.3">
      <c r="A313" s="82"/>
      <c r="B313" t="s">
        <v>79</v>
      </c>
      <c r="C313" s="78" t="s">
        <v>115</v>
      </c>
      <c r="E313" t="s">
        <v>33</v>
      </c>
      <c r="F313" s="79">
        <v>1316</v>
      </c>
      <c r="H313" t="s">
        <v>80</v>
      </c>
      <c r="I313" t="s">
        <v>194</v>
      </c>
    </row>
    <row r="314" spans="1:56" x14ac:dyDescent="0.25">
      <c r="A314" s="112"/>
      <c r="B314" s="113"/>
      <c r="C314" s="113"/>
      <c r="D314" s="114"/>
      <c r="E314" s="115" t="s">
        <v>27</v>
      </c>
      <c r="F314" s="116"/>
      <c r="G314" s="116"/>
      <c r="H314" s="117"/>
      <c r="I314" s="118" t="s">
        <v>28</v>
      </c>
      <c r="J314" s="119"/>
      <c r="K314" s="119"/>
      <c r="L314" s="120"/>
      <c r="M314" s="121" t="s">
        <v>7</v>
      </c>
      <c r="N314" s="122"/>
      <c r="O314" s="122"/>
      <c r="P314" s="123"/>
      <c r="Q314" s="124" t="s">
        <v>29</v>
      </c>
      <c r="R314" s="125"/>
      <c r="S314" s="125"/>
      <c r="T314" s="126"/>
      <c r="U314" s="127" t="s">
        <v>8</v>
      </c>
      <c r="V314" s="128"/>
      <c r="W314" s="128"/>
      <c r="X314" s="129"/>
      <c r="Y314" s="130" t="s">
        <v>0</v>
      </c>
      <c r="Z314" s="131"/>
      <c r="AA314" s="131"/>
      <c r="AB314" s="132"/>
      <c r="AC314" s="133" t="s">
        <v>34</v>
      </c>
      <c r="AD314" s="134"/>
      <c r="AE314" s="134"/>
      <c r="AF314" s="135"/>
      <c r="AG314" s="115" t="s">
        <v>9</v>
      </c>
      <c r="AH314" s="116"/>
      <c r="AI314" s="116"/>
      <c r="AJ314" s="117"/>
      <c r="AK314" s="136" t="s">
        <v>35</v>
      </c>
      <c r="AL314" s="137"/>
      <c r="AM314" s="137"/>
      <c r="AN314" s="138"/>
      <c r="AO314" s="139" t="s">
        <v>10</v>
      </c>
      <c r="AP314" s="140"/>
      <c r="AQ314" s="140"/>
      <c r="AR314" s="141"/>
      <c r="AS314" s="124" t="s">
        <v>36</v>
      </c>
      <c r="AT314" s="125"/>
      <c r="AU314" s="125"/>
      <c r="AV314" s="126"/>
      <c r="AW314" s="142" t="s">
        <v>11</v>
      </c>
      <c r="AX314" s="143"/>
      <c r="AY314" s="143"/>
      <c r="AZ314" s="144"/>
      <c r="BA314" s="148" t="s">
        <v>17</v>
      </c>
      <c r="BB314" s="149"/>
      <c r="BC314" s="149"/>
      <c r="BD314" s="150"/>
    </row>
    <row r="315" spans="1:56" s="1" customFormat="1" ht="15.75" thickBot="1" x14ac:dyDescent="0.3">
      <c r="A315" s="41" t="s">
        <v>13</v>
      </c>
      <c r="B315" s="42" t="s">
        <v>15</v>
      </c>
      <c r="C315" s="42" t="s">
        <v>32</v>
      </c>
      <c r="D315" s="43" t="s">
        <v>18</v>
      </c>
      <c r="E315" s="30" t="s">
        <v>30</v>
      </c>
      <c r="F315" s="31" t="s">
        <v>61</v>
      </c>
      <c r="G315" s="31" t="s">
        <v>38</v>
      </c>
      <c r="H315" s="32" t="s">
        <v>62</v>
      </c>
      <c r="I315" s="37" t="s">
        <v>31</v>
      </c>
      <c r="J315" s="38" t="s">
        <v>39</v>
      </c>
      <c r="K315" s="38" t="s">
        <v>40</v>
      </c>
      <c r="L315" s="39" t="s">
        <v>63</v>
      </c>
      <c r="M315" s="40" t="s">
        <v>19</v>
      </c>
      <c r="N315" s="7" t="s">
        <v>41</v>
      </c>
      <c r="O315" s="7" t="s">
        <v>37</v>
      </c>
      <c r="P315" s="7" t="s">
        <v>64</v>
      </c>
      <c r="Q315" s="27" t="s">
        <v>20</v>
      </c>
      <c r="R315" s="28" t="s">
        <v>60</v>
      </c>
      <c r="S315" s="28" t="s">
        <v>59</v>
      </c>
      <c r="T315" s="29" t="s">
        <v>65</v>
      </c>
      <c r="U315" s="48" t="s">
        <v>21</v>
      </c>
      <c r="V315" s="48" t="s">
        <v>42</v>
      </c>
      <c r="W315" s="48" t="s">
        <v>43</v>
      </c>
      <c r="X315" s="49" t="s">
        <v>66</v>
      </c>
      <c r="Y315" s="50" t="s">
        <v>22</v>
      </c>
      <c r="Z315" s="51" t="s">
        <v>44</v>
      </c>
      <c r="AA315" s="51" t="s">
        <v>45</v>
      </c>
      <c r="AB315" s="52" t="s">
        <v>67</v>
      </c>
      <c r="AC315" s="45" t="s">
        <v>23</v>
      </c>
      <c r="AD315" s="46" t="s">
        <v>46</v>
      </c>
      <c r="AE315" s="46" t="s">
        <v>47</v>
      </c>
      <c r="AF315" s="47" t="s">
        <v>68</v>
      </c>
      <c r="AG315" s="30" t="s">
        <v>24</v>
      </c>
      <c r="AH315" s="31" t="s">
        <v>48</v>
      </c>
      <c r="AI315" s="31" t="s">
        <v>49</v>
      </c>
      <c r="AJ315" s="32" t="s">
        <v>69</v>
      </c>
      <c r="AK315" s="53" t="s">
        <v>25</v>
      </c>
      <c r="AL315" s="54" t="s">
        <v>50</v>
      </c>
      <c r="AM315" s="54" t="s">
        <v>51</v>
      </c>
      <c r="AN315" s="55" t="s">
        <v>70</v>
      </c>
      <c r="AO315" s="56" t="s">
        <v>26</v>
      </c>
      <c r="AP315" s="57" t="s">
        <v>52</v>
      </c>
      <c r="AQ315" s="57" t="s">
        <v>53</v>
      </c>
      <c r="AR315" s="58" t="s">
        <v>71</v>
      </c>
      <c r="AS315" s="59" t="s">
        <v>55</v>
      </c>
      <c r="AT315" s="60" t="s">
        <v>54</v>
      </c>
      <c r="AU315" s="60" t="s">
        <v>56</v>
      </c>
      <c r="AV315" s="61" t="s">
        <v>76</v>
      </c>
      <c r="AW315" s="62" t="s">
        <v>72</v>
      </c>
      <c r="AX315" s="63" t="s">
        <v>73</v>
      </c>
      <c r="AY315" s="63" t="s">
        <v>74</v>
      </c>
      <c r="AZ315" s="64" t="s">
        <v>75</v>
      </c>
      <c r="BA315" s="71" t="s">
        <v>77</v>
      </c>
      <c r="BB315" s="72" t="s">
        <v>57</v>
      </c>
      <c r="BC315" s="72" t="s">
        <v>58</v>
      </c>
      <c r="BD315" s="73" t="s">
        <v>78</v>
      </c>
    </row>
    <row r="316" spans="1:56" ht="15.75" thickBot="1" x14ac:dyDescent="0.3">
      <c r="A316" s="17" t="s">
        <v>1</v>
      </c>
      <c r="B316" s="14">
        <v>65850</v>
      </c>
      <c r="C316" s="34">
        <f>B316/F313</f>
        <v>50.037993920972646</v>
      </c>
      <c r="D316" s="14">
        <v>1525</v>
      </c>
      <c r="E316" s="67">
        <v>0</v>
      </c>
      <c r="F316" s="69">
        <v>0</v>
      </c>
      <c r="G316" s="34" t="e">
        <f t="shared" ref="G316:G322" si="676">E316/F316</f>
        <v>#DIV/0!</v>
      </c>
      <c r="H316" s="10" t="e">
        <f t="shared" ref="H316:H322" si="677">G316/C316</f>
        <v>#DIV/0!</v>
      </c>
      <c r="I316" s="34">
        <v>0</v>
      </c>
      <c r="J316" s="69">
        <v>0</v>
      </c>
      <c r="K316" s="34" t="e">
        <f t="shared" ref="K316:K322" si="678">I316/J316</f>
        <v>#DIV/0!</v>
      </c>
      <c r="L316" s="9" t="e">
        <f t="shared" ref="L316:L322" si="679">K316/C316</f>
        <v>#DIV/0!</v>
      </c>
      <c r="M316" s="67">
        <v>0</v>
      </c>
      <c r="N316" s="26">
        <v>0</v>
      </c>
      <c r="O316" s="34" t="e">
        <f t="shared" ref="O316:O322" si="680">M316/N316</f>
        <v>#DIV/0!</v>
      </c>
      <c r="P316" s="10" t="e">
        <f t="shared" ref="P316:P322" si="681">O316/C316</f>
        <v>#DIV/0!</v>
      </c>
      <c r="Q316" s="35">
        <v>0</v>
      </c>
      <c r="R316" s="66">
        <v>0</v>
      </c>
      <c r="S316" s="35" t="e">
        <f t="shared" ref="S316:S322" si="682">Q316/R316</f>
        <v>#DIV/0!</v>
      </c>
      <c r="T316" s="6" t="e">
        <f t="shared" ref="T316:T322" si="683">S316/C316</f>
        <v>#DIV/0!</v>
      </c>
      <c r="U316" s="67">
        <v>0</v>
      </c>
      <c r="V316" s="65">
        <v>0</v>
      </c>
      <c r="W316" s="18" t="e">
        <f t="shared" ref="W316:W322" si="684">U316/V316</f>
        <v>#DIV/0!</v>
      </c>
      <c r="X316" s="9" t="e">
        <f t="shared" ref="X316:X322" si="685">W316/C316</f>
        <v>#DIV/0!</v>
      </c>
      <c r="Y316" s="67">
        <v>47330</v>
      </c>
      <c r="Z316" s="69">
        <v>1346</v>
      </c>
      <c r="AA316" s="34">
        <f t="shared" ref="AA316:AA322" si="686">Y316/Z316</f>
        <v>35.163447251114412</v>
      </c>
      <c r="AB316" s="10">
        <f t="shared" ref="AB316:AB322" si="687">AA316/C316</f>
        <v>0.70273495189774582</v>
      </c>
      <c r="AC316" s="18">
        <v>9840</v>
      </c>
      <c r="AD316" s="33">
        <v>689</v>
      </c>
      <c r="AE316" s="34">
        <f t="shared" ref="AE316:AE322" si="688">AC316/AD316</f>
        <v>14.281567489114659</v>
      </c>
      <c r="AF316" s="9">
        <f t="shared" ref="AF316:AF322" si="689">AE316/C316</f>
        <v>0.28541446948633092</v>
      </c>
      <c r="AG316" s="67">
        <v>0</v>
      </c>
      <c r="AH316" s="65">
        <v>0</v>
      </c>
      <c r="AI316" s="34" t="e">
        <f t="shared" ref="AI316:AI322" si="690">AG316/AH316</f>
        <v>#DIV/0!</v>
      </c>
      <c r="AJ316" s="9" t="e">
        <f t="shared" ref="AJ316:AJ322" si="691">AI316/C316</f>
        <v>#DIV/0!</v>
      </c>
      <c r="AK316" s="67">
        <v>3240</v>
      </c>
      <c r="AL316" s="65">
        <v>385</v>
      </c>
      <c r="AM316" s="34">
        <f t="shared" ref="AM316:AM322" si="692">AK316/AL316</f>
        <v>8.4155844155844157</v>
      </c>
      <c r="AN316" s="9">
        <f t="shared" ref="AN316:AN322" si="693">AM316/C316</f>
        <v>0.16818388900393455</v>
      </c>
      <c r="AO316" s="67">
        <v>0</v>
      </c>
      <c r="AP316" s="65">
        <v>0</v>
      </c>
      <c r="AQ316" s="34" t="e">
        <f t="shared" ref="AQ316:AQ322" si="694">AO316/AP316</f>
        <v>#DIV/0!</v>
      </c>
      <c r="AR316" s="9" t="e">
        <f t="shared" ref="AR316:AR322" si="695">AQ316/C316</f>
        <v>#DIV/0!</v>
      </c>
      <c r="AS316" s="67">
        <v>0</v>
      </c>
      <c r="AT316" s="65">
        <v>0</v>
      </c>
      <c r="AU316" s="34" t="e">
        <f t="shared" ref="AU316:AU322" si="696">AS316/AT316</f>
        <v>#DIV/0!</v>
      </c>
      <c r="AV316" s="9" t="e">
        <f t="shared" ref="AV316:AV322" si="697">AU316/C316</f>
        <v>#DIV/0!</v>
      </c>
      <c r="AW316" s="67">
        <v>0</v>
      </c>
      <c r="AX316" s="65">
        <v>0</v>
      </c>
      <c r="AY316" s="34" t="e">
        <f t="shared" ref="AY316:AY322" si="698">AW316/AX316</f>
        <v>#DIV/0!</v>
      </c>
      <c r="AZ316" s="9" t="e">
        <f t="shared" ref="AZ316:AZ322" si="699">AY316/C316</f>
        <v>#DIV/0!</v>
      </c>
      <c r="BA316" s="67">
        <v>0</v>
      </c>
      <c r="BB316" s="65">
        <v>0</v>
      </c>
      <c r="BC316" s="34" t="e">
        <f t="shared" ref="BC316:BC322" si="700">BA316/BB316</f>
        <v>#DIV/0!</v>
      </c>
      <c r="BD316" s="10" t="e">
        <f t="shared" ref="BD316:BD322" si="701">BC316/C316</f>
        <v>#DIV/0!</v>
      </c>
    </row>
    <row r="317" spans="1:56" ht="15.75" thickBot="1" x14ac:dyDescent="0.3">
      <c r="A317" s="19" t="s">
        <v>16</v>
      </c>
      <c r="B317" s="8">
        <v>77480</v>
      </c>
      <c r="C317" s="35">
        <f>B317/F313</f>
        <v>58.875379939209729</v>
      </c>
      <c r="D317" s="8">
        <v>1525</v>
      </c>
      <c r="E317" s="68">
        <v>0</v>
      </c>
      <c r="F317" s="70">
        <v>0</v>
      </c>
      <c r="G317" s="35" t="e">
        <f t="shared" si="676"/>
        <v>#DIV/0!</v>
      </c>
      <c r="H317" s="11" t="e">
        <f t="shared" si="677"/>
        <v>#DIV/0!</v>
      </c>
      <c r="I317" s="35">
        <v>0</v>
      </c>
      <c r="J317" s="70">
        <v>0</v>
      </c>
      <c r="K317" s="35" t="e">
        <f t="shared" si="678"/>
        <v>#DIV/0!</v>
      </c>
      <c r="L317" s="6" t="e">
        <f t="shared" si="679"/>
        <v>#DIV/0!</v>
      </c>
      <c r="M317" s="68">
        <v>0</v>
      </c>
      <c r="N317" s="5">
        <v>0</v>
      </c>
      <c r="O317" s="35" t="e">
        <f t="shared" si="680"/>
        <v>#DIV/0!</v>
      </c>
      <c r="P317" s="11" t="e">
        <f t="shared" si="681"/>
        <v>#DIV/0!</v>
      </c>
      <c r="Q317" s="35">
        <v>0</v>
      </c>
      <c r="R317" s="66">
        <v>0</v>
      </c>
      <c r="S317" s="35" t="e">
        <f t="shared" si="682"/>
        <v>#DIV/0!</v>
      </c>
      <c r="T317" s="6" t="e">
        <f t="shared" si="683"/>
        <v>#DIV/0!</v>
      </c>
      <c r="U317" s="68">
        <v>0</v>
      </c>
      <c r="V317" s="66">
        <v>0</v>
      </c>
      <c r="W317" s="20" t="e">
        <f t="shared" si="684"/>
        <v>#DIV/0!</v>
      </c>
      <c r="X317" s="6" t="e">
        <f t="shared" si="685"/>
        <v>#DIV/0!</v>
      </c>
      <c r="Y317" s="68">
        <v>64660</v>
      </c>
      <c r="Z317" s="69">
        <v>1346</v>
      </c>
      <c r="AA317" s="35">
        <f t="shared" si="686"/>
        <v>48.038632986627043</v>
      </c>
      <c r="AB317" s="11">
        <f t="shared" si="687"/>
        <v>0.81593754530719131</v>
      </c>
      <c r="AC317" s="20">
        <v>12980</v>
      </c>
      <c r="AD317" s="33">
        <v>689</v>
      </c>
      <c r="AE317" s="35">
        <f t="shared" si="688"/>
        <v>18.838896952104498</v>
      </c>
      <c r="AF317" s="6">
        <f t="shared" si="689"/>
        <v>0.31997919965112959</v>
      </c>
      <c r="AG317" s="68">
        <v>0</v>
      </c>
      <c r="AH317" s="66">
        <v>0</v>
      </c>
      <c r="AI317" s="35" t="e">
        <f t="shared" si="690"/>
        <v>#DIV/0!</v>
      </c>
      <c r="AJ317" s="6" t="e">
        <f t="shared" si="691"/>
        <v>#DIV/0!</v>
      </c>
      <c r="AK317" s="68">
        <v>4480</v>
      </c>
      <c r="AL317" s="65">
        <v>385</v>
      </c>
      <c r="AM317" s="35">
        <f t="shared" si="692"/>
        <v>11.636363636363637</v>
      </c>
      <c r="AN317" s="6">
        <f t="shared" si="693"/>
        <v>0.19764396677148355</v>
      </c>
      <c r="AO317" s="68">
        <v>0</v>
      </c>
      <c r="AP317" s="66">
        <v>0</v>
      </c>
      <c r="AQ317" s="35" t="e">
        <f t="shared" si="694"/>
        <v>#DIV/0!</v>
      </c>
      <c r="AR317" s="6" t="e">
        <f t="shared" si="695"/>
        <v>#DIV/0!</v>
      </c>
      <c r="AS317" s="68">
        <v>0</v>
      </c>
      <c r="AT317" s="66">
        <v>0</v>
      </c>
      <c r="AU317" s="35" t="e">
        <f t="shared" si="696"/>
        <v>#DIV/0!</v>
      </c>
      <c r="AV317" s="6" t="e">
        <f t="shared" si="697"/>
        <v>#DIV/0!</v>
      </c>
      <c r="AW317" s="68">
        <v>0</v>
      </c>
      <c r="AX317" s="66">
        <v>0</v>
      </c>
      <c r="AY317" s="35" t="e">
        <f t="shared" si="698"/>
        <v>#DIV/0!</v>
      </c>
      <c r="AZ317" s="6" t="e">
        <f t="shared" si="699"/>
        <v>#DIV/0!</v>
      </c>
      <c r="BA317" s="68">
        <v>0</v>
      </c>
      <c r="BB317" s="66">
        <v>0</v>
      </c>
      <c r="BC317" s="35" t="e">
        <f t="shared" si="700"/>
        <v>#DIV/0!</v>
      </c>
      <c r="BD317" s="11" t="e">
        <f t="shared" si="701"/>
        <v>#DIV/0!</v>
      </c>
    </row>
    <row r="318" spans="1:56" ht="15.75" thickBot="1" x14ac:dyDescent="0.3">
      <c r="A318" s="19" t="s">
        <v>2</v>
      </c>
      <c r="B318" s="8">
        <v>90580</v>
      </c>
      <c r="C318" s="35">
        <f>B318/F313</f>
        <v>68.829787234042556</v>
      </c>
      <c r="D318" s="8">
        <v>2100</v>
      </c>
      <c r="E318" s="68">
        <v>0</v>
      </c>
      <c r="F318" s="70">
        <v>0</v>
      </c>
      <c r="G318" s="35" t="e">
        <f t="shared" si="676"/>
        <v>#DIV/0!</v>
      </c>
      <c r="H318" s="11" t="e">
        <f t="shared" si="677"/>
        <v>#DIV/0!</v>
      </c>
      <c r="I318" s="35">
        <v>0</v>
      </c>
      <c r="J318" s="70">
        <v>0</v>
      </c>
      <c r="K318" s="35" t="e">
        <f t="shared" si="678"/>
        <v>#DIV/0!</v>
      </c>
      <c r="L318" s="6" t="e">
        <f t="shared" si="679"/>
        <v>#DIV/0!</v>
      </c>
      <c r="M318" s="68">
        <v>0</v>
      </c>
      <c r="N318" s="5">
        <v>0</v>
      </c>
      <c r="O318" s="35" t="e">
        <f t="shared" si="680"/>
        <v>#DIV/0!</v>
      </c>
      <c r="P318" s="11" t="e">
        <f t="shared" si="681"/>
        <v>#DIV/0!</v>
      </c>
      <c r="Q318" s="35">
        <v>0</v>
      </c>
      <c r="R318" s="66">
        <v>0</v>
      </c>
      <c r="S318" s="35" t="e">
        <f t="shared" si="682"/>
        <v>#DIV/0!</v>
      </c>
      <c r="T318" s="6" t="e">
        <f t="shared" si="683"/>
        <v>#DIV/0!</v>
      </c>
      <c r="U318" s="68">
        <v>0</v>
      </c>
      <c r="V318" s="66">
        <v>0</v>
      </c>
      <c r="W318" s="20" t="e">
        <f t="shared" si="684"/>
        <v>#DIV/0!</v>
      </c>
      <c r="X318" s="6" t="e">
        <f t="shared" si="685"/>
        <v>#DIV/0!</v>
      </c>
      <c r="Y318" s="68">
        <v>74110</v>
      </c>
      <c r="Z318" s="69">
        <v>1346</v>
      </c>
      <c r="AA318" s="35">
        <f t="shared" si="686"/>
        <v>55.059435364041605</v>
      </c>
      <c r="AB318" s="11">
        <f t="shared" si="687"/>
        <v>0.79993615521173267</v>
      </c>
      <c r="AC318" s="20">
        <v>16720</v>
      </c>
      <c r="AD318" s="33">
        <v>689</v>
      </c>
      <c r="AE318" s="35">
        <f t="shared" si="688"/>
        <v>24.267053701015964</v>
      </c>
      <c r="AF318" s="6">
        <f t="shared" si="689"/>
        <v>0.35256615887102016</v>
      </c>
      <c r="AG318" s="68">
        <v>0</v>
      </c>
      <c r="AH318" s="66">
        <v>0</v>
      </c>
      <c r="AI318" s="35" t="e">
        <f t="shared" si="690"/>
        <v>#DIV/0!</v>
      </c>
      <c r="AJ318" s="6" t="e">
        <f t="shared" si="691"/>
        <v>#DIV/0!</v>
      </c>
      <c r="AK318" s="68">
        <v>5250</v>
      </c>
      <c r="AL318" s="65">
        <v>385</v>
      </c>
      <c r="AM318" s="35">
        <f t="shared" si="692"/>
        <v>13.636363636363637</v>
      </c>
      <c r="AN318" s="6">
        <f t="shared" si="693"/>
        <v>0.19811718420682872</v>
      </c>
      <c r="AO318" s="68">
        <v>0</v>
      </c>
      <c r="AP318" s="66">
        <v>0</v>
      </c>
      <c r="AQ318" s="35" t="e">
        <f t="shared" si="694"/>
        <v>#DIV/0!</v>
      </c>
      <c r="AR318" s="6" t="e">
        <f t="shared" si="695"/>
        <v>#DIV/0!</v>
      </c>
      <c r="AS318" s="68">
        <v>0</v>
      </c>
      <c r="AT318" s="66">
        <v>0</v>
      </c>
      <c r="AU318" s="35" t="e">
        <f t="shared" si="696"/>
        <v>#DIV/0!</v>
      </c>
      <c r="AV318" s="6" t="e">
        <f t="shared" si="697"/>
        <v>#DIV/0!</v>
      </c>
      <c r="AW318" s="68">
        <v>0</v>
      </c>
      <c r="AX318" s="66">
        <v>0</v>
      </c>
      <c r="AY318" s="35" t="e">
        <f t="shared" si="698"/>
        <v>#DIV/0!</v>
      </c>
      <c r="AZ318" s="6" t="e">
        <f t="shared" si="699"/>
        <v>#DIV/0!</v>
      </c>
      <c r="BA318" s="68">
        <v>0</v>
      </c>
      <c r="BB318" s="66">
        <v>0</v>
      </c>
      <c r="BC318" s="35" t="e">
        <f t="shared" si="700"/>
        <v>#DIV/0!</v>
      </c>
      <c r="BD318" s="11" t="e">
        <f t="shared" si="701"/>
        <v>#DIV/0!</v>
      </c>
    </row>
    <row r="319" spans="1:56" ht="15.75" thickBot="1" x14ac:dyDescent="0.3">
      <c r="A319" s="19" t="s">
        <v>3</v>
      </c>
      <c r="B319" s="8">
        <v>109480</v>
      </c>
      <c r="C319" s="35">
        <f>B319/F313</f>
        <v>83.191489361702125</v>
      </c>
      <c r="D319" s="8">
        <v>2700</v>
      </c>
      <c r="E319" s="68">
        <v>0</v>
      </c>
      <c r="F319" s="70">
        <v>0</v>
      </c>
      <c r="G319" s="35" t="e">
        <f t="shared" si="676"/>
        <v>#DIV/0!</v>
      </c>
      <c r="H319" s="11" t="e">
        <f t="shared" si="677"/>
        <v>#DIV/0!</v>
      </c>
      <c r="I319" s="35">
        <v>0</v>
      </c>
      <c r="J319" s="70">
        <v>0</v>
      </c>
      <c r="K319" s="35" t="e">
        <f t="shared" si="678"/>
        <v>#DIV/0!</v>
      </c>
      <c r="L319" s="6" t="e">
        <f t="shared" si="679"/>
        <v>#DIV/0!</v>
      </c>
      <c r="M319" s="68">
        <v>0</v>
      </c>
      <c r="N319" s="5">
        <v>0</v>
      </c>
      <c r="O319" s="35" t="e">
        <f t="shared" si="680"/>
        <v>#DIV/0!</v>
      </c>
      <c r="P319" s="11" t="e">
        <f t="shared" si="681"/>
        <v>#DIV/0!</v>
      </c>
      <c r="Q319" s="35">
        <v>0</v>
      </c>
      <c r="R319" s="66">
        <v>0</v>
      </c>
      <c r="S319" s="35" t="e">
        <f t="shared" si="682"/>
        <v>#DIV/0!</v>
      </c>
      <c r="T319" s="6" t="e">
        <f t="shared" si="683"/>
        <v>#DIV/0!</v>
      </c>
      <c r="U319" s="68">
        <v>0</v>
      </c>
      <c r="V319" s="66">
        <v>0</v>
      </c>
      <c r="W319" s="20" t="e">
        <f t="shared" si="684"/>
        <v>#DIV/0!</v>
      </c>
      <c r="X319" s="6" t="e">
        <f t="shared" si="685"/>
        <v>#DIV/0!</v>
      </c>
      <c r="Y319" s="68">
        <v>84020</v>
      </c>
      <c r="Z319" s="69">
        <v>1346</v>
      </c>
      <c r="AA319" s="35">
        <f t="shared" si="686"/>
        <v>62.421991084695392</v>
      </c>
      <c r="AB319" s="11">
        <f t="shared" si="687"/>
        <v>0.7503410693045226</v>
      </c>
      <c r="AC319" s="20">
        <v>17820</v>
      </c>
      <c r="AD319" s="33">
        <v>689</v>
      </c>
      <c r="AE319" s="35">
        <f t="shared" si="688"/>
        <v>25.86357039187228</v>
      </c>
      <c r="AF319" s="6">
        <f t="shared" si="689"/>
        <v>0.31089202261329851</v>
      </c>
      <c r="AG319" s="68">
        <v>0</v>
      </c>
      <c r="AH319" s="66">
        <v>0</v>
      </c>
      <c r="AI319" s="35" t="e">
        <f t="shared" si="690"/>
        <v>#DIV/0!</v>
      </c>
      <c r="AJ319" s="6" t="e">
        <f t="shared" si="691"/>
        <v>#DIV/0!</v>
      </c>
      <c r="AK319" s="68">
        <v>6860</v>
      </c>
      <c r="AL319" s="65">
        <v>385</v>
      </c>
      <c r="AM319" s="35">
        <f t="shared" si="692"/>
        <v>17.818181818181817</v>
      </c>
      <c r="AN319" s="6">
        <f t="shared" si="693"/>
        <v>0.21418274819809346</v>
      </c>
      <c r="AO319" s="68">
        <v>0</v>
      </c>
      <c r="AP319" s="66">
        <v>0</v>
      </c>
      <c r="AQ319" s="35" t="e">
        <f t="shared" si="694"/>
        <v>#DIV/0!</v>
      </c>
      <c r="AR319" s="6" t="e">
        <f t="shared" si="695"/>
        <v>#DIV/0!</v>
      </c>
      <c r="AS319" s="68">
        <v>0</v>
      </c>
      <c r="AT319" s="66">
        <v>0</v>
      </c>
      <c r="AU319" s="35" t="e">
        <f t="shared" si="696"/>
        <v>#DIV/0!</v>
      </c>
      <c r="AV319" s="6" t="e">
        <f t="shared" si="697"/>
        <v>#DIV/0!</v>
      </c>
      <c r="AW319" s="68">
        <v>0</v>
      </c>
      <c r="AX319" s="66">
        <v>0</v>
      </c>
      <c r="AY319" s="35" t="e">
        <f t="shared" si="698"/>
        <v>#DIV/0!</v>
      </c>
      <c r="AZ319" s="6" t="e">
        <f t="shared" si="699"/>
        <v>#DIV/0!</v>
      </c>
      <c r="BA319" s="68">
        <v>0</v>
      </c>
      <c r="BB319" s="66">
        <v>0</v>
      </c>
      <c r="BC319" s="35" t="e">
        <f t="shared" si="700"/>
        <v>#DIV/0!</v>
      </c>
      <c r="BD319" s="11" t="e">
        <f t="shared" si="701"/>
        <v>#DIV/0!</v>
      </c>
    </row>
    <row r="320" spans="1:56" ht="15.75" thickBot="1" x14ac:dyDescent="0.3">
      <c r="A320" s="19" t="s">
        <v>4</v>
      </c>
      <c r="B320" s="8">
        <v>136320</v>
      </c>
      <c r="C320" s="35">
        <f>B320/F313</f>
        <v>103.58662613981762</v>
      </c>
      <c r="D320" s="8">
        <v>5250</v>
      </c>
      <c r="E320" s="68">
        <v>0</v>
      </c>
      <c r="F320" s="70">
        <v>0</v>
      </c>
      <c r="G320" s="35" t="e">
        <f t="shared" si="676"/>
        <v>#DIV/0!</v>
      </c>
      <c r="H320" s="11" t="e">
        <f t="shared" si="677"/>
        <v>#DIV/0!</v>
      </c>
      <c r="I320" s="35">
        <v>0</v>
      </c>
      <c r="J320" s="70">
        <v>0</v>
      </c>
      <c r="K320" s="35" t="e">
        <f t="shared" si="678"/>
        <v>#DIV/0!</v>
      </c>
      <c r="L320" s="6" t="e">
        <f t="shared" si="679"/>
        <v>#DIV/0!</v>
      </c>
      <c r="M320" s="68">
        <v>0</v>
      </c>
      <c r="N320" s="5">
        <v>0</v>
      </c>
      <c r="O320" s="35" t="e">
        <f t="shared" si="680"/>
        <v>#DIV/0!</v>
      </c>
      <c r="P320" s="11" t="e">
        <f t="shared" si="681"/>
        <v>#DIV/0!</v>
      </c>
      <c r="Q320" s="35">
        <v>0</v>
      </c>
      <c r="R320" s="66">
        <v>0</v>
      </c>
      <c r="S320" s="35" t="e">
        <f t="shared" si="682"/>
        <v>#DIV/0!</v>
      </c>
      <c r="T320" s="6" t="e">
        <f t="shared" si="683"/>
        <v>#DIV/0!</v>
      </c>
      <c r="U320" s="68">
        <v>0</v>
      </c>
      <c r="V320" s="66">
        <v>0</v>
      </c>
      <c r="W320" s="20" t="e">
        <f t="shared" si="684"/>
        <v>#DIV/0!</v>
      </c>
      <c r="X320" s="6" t="e">
        <f t="shared" si="685"/>
        <v>#DIV/0!</v>
      </c>
      <c r="Y320" s="68">
        <v>107620</v>
      </c>
      <c r="Z320" s="69">
        <v>1346</v>
      </c>
      <c r="AA320" s="35">
        <f t="shared" si="686"/>
        <v>79.955423476968789</v>
      </c>
      <c r="AB320" s="11">
        <f t="shared" si="687"/>
        <v>0.77187013861275622</v>
      </c>
      <c r="AC320" s="20">
        <v>20260</v>
      </c>
      <c r="AD320" s="33">
        <v>689</v>
      </c>
      <c r="AE320" s="35">
        <f t="shared" si="688"/>
        <v>29.404934687953556</v>
      </c>
      <c r="AF320" s="6">
        <f t="shared" si="689"/>
        <v>0.28386806080800236</v>
      </c>
      <c r="AG320" s="68">
        <v>0</v>
      </c>
      <c r="AH320" s="66">
        <v>0</v>
      </c>
      <c r="AI320" s="35" t="e">
        <f t="shared" si="690"/>
        <v>#DIV/0!</v>
      </c>
      <c r="AJ320" s="6" t="e">
        <f t="shared" si="691"/>
        <v>#DIV/0!</v>
      </c>
      <c r="AK320" s="68">
        <v>7510</v>
      </c>
      <c r="AL320" s="65">
        <v>385</v>
      </c>
      <c r="AM320" s="35">
        <f t="shared" si="692"/>
        <v>19.506493506493506</v>
      </c>
      <c r="AN320" s="6">
        <f t="shared" si="693"/>
        <v>0.18831092616303885</v>
      </c>
      <c r="AO320" s="68">
        <v>0</v>
      </c>
      <c r="AP320" s="66">
        <v>0</v>
      </c>
      <c r="AQ320" s="35" t="e">
        <f t="shared" si="694"/>
        <v>#DIV/0!</v>
      </c>
      <c r="AR320" s="6" t="e">
        <f t="shared" si="695"/>
        <v>#DIV/0!</v>
      </c>
      <c r="AS320" s="68">
        <v>0</v>
      </c>
      <c r="AT320" s="66">
        <v>0</v>
      </c>
      <c r="AU320" s="35" t="e">
        <f t="shared" si="696"/>
        <v>#DIV/0!</v>
      </c>
      <c r="AV320" s="6" t="e">
        <f t="shared" si="697"/>
        <v>#DIV/0!</v>
      </c>
      <c r="AW320" s="68">
        <v>0</v>
      </c>
      <c r="AX320" s="66">
        <v>0</v>
      </c>
      <c r="AY320" s="35" t="e">
        <f t="shared" si="698"/>
        <v>#DIV/0!</v>
      </c>
      <c r="AZ320" s="6" t="e">
        <f t="shared" si="699"/>
        <v>#DIV/0!</v>
      </c>
      <c r="BA320" s="68">
        <v>0</v>
      </c>
      <c r="BB320" s="66">
        <v>0</v>
      </c>
      <c r="BC320" s="35" t="e">
        <f t="shared" si="700"/>
        <v>#DIV/0!</v>
      </c>
      <c r="BD320" s="11" t="e">
        <f t="shared" si="701"/>
        <v>#DIV/0!</v>
      </c>
    </row>
    <row r="321" spans="1:56" ht="15.75" thickBot="1" x14ac:dyDescent="0.3">
      <c r="A321" s="19" t="s">
        <v>5</v>
      </c>
      <c r="B321" s="8">
        <v>179710</v>
      </c>
      <c r="C321" s="35">
        <f>B321/F313</f>
        <v>136.55775075987842</v>
      </c>
      <c r="D321" s="8">
        <v>7050</v>
      </c>
      <c r="E321" s="68">
        <v>0</v>
      </c>
      <c r="F321" s="70">
        <v>0</v>
      </c>
      <c r="G321" s="35" t="e">
        <f t="shared" si="676"/>
        <v>#DIV/0!</v>
      </c>
      <c r="H321" s="11" t="e">
        <f t="shared" si="677"/>
        <v>#DIV/0!</v>
      </c>
      <c r="I321" s="35">
        <v>0</v>
      </c>
      <c r="J321" s="70">
        <v>0</v>
      </c>
      <c r="K321" s="35" t="e">
        <f t="shared" si="678"/>
        <v>#DIV/0!</v>
      </c>
      <c r="L321" s="6" t="e">
        <f t="shared" si="679"/>
        <v>#DIV/0!</v>
      </c>
      <c r="M321" s="68">
        <v>0</v>
      </c>
      <c r="N321" s="5">
        <v>0</v>
      </c>
      <c r="O321" s="35" t="e">
        <f t="shared" si="680"/>
        <v>#DIV/0!</v>
      </c>
      <c r="P321" s="11" t="e">
        <f t="shared" si="681"/>
        <v>#DIV/0!</v>
      </c>
      <c r="Q321" s="35">
        <v>0</v>
      </c>
      <c r="R321" s="66">
        <v>0</v>
      </c>
      <c r="S321" s="35" t="e">
        <f t="shared" si="682"/>
        <v>#DIV/0!</v>
      </c>
      <c r="T321" s="6" t="e">
        <f t="shared" si="683"/>
        <v>#DIV/0!</v>
      </c>
      <c r="U321" s="68">
        <v>0</v>
      </c>
      <c r="V321" s="66">
        <v>0</v>
      </c>
      <c r="W321" s="20" t="e">
        <f t="shared" si="684"/>
        <v>#DIV/0!</v>
      </c>
      <c r="X321" s="6" t="e">
        <f t="shared" si="685"/>
        <v>#DIV/0!</v>
      </c>
      <c r="Y321" s="68">
        <v>145980</v>
      </c>
      <c r="Z321" s="69">
        <v>1346</v>
      </c>
      <c r="AA321" s="35">
        <f t="shared" si="686"/>
        <v>108.45468053491828</v>
      </c>
      <c r="AB321" s="11">
        <f t="shared" si="687"/>
        <v>0.79420377042987289</v>
      </c>
      <c r="AC321" s="20">
        <v>21860</v>
      </c>
      <c r="AD321" s="33">
        <v>689</v>
      </c>
      <c r="AE321" s="35">
        <f t="shared" si="688"/>
        <v>31.727140783744556</v>
      </c>
      <c r="AF321" s="6">
        <f t="shared" si="689"/>
        <v>0.23233496895780889</v>
      </c>
      <c r="AG321" s="68">
        <v>0</v>
      </c>
      <c r="AH321" s="66">
        <v>0</v>
      </c>
      <c r="AI321" s="35" t="e">
        <f t="shared" si="690"/>
        <v>#DIV/0!</v>
      </c>
      <c r="AJ321" s="6" t="e">
        <f t="shared" si="691"/>
        <v>#DIV/0!</v>
      </c>
      <c r="AK321" s="68">
        <v>9190</v>
      </c>
      <c r="AL321" s="65">
        <v>385</v>
      </c>
      <c r="AM321" s="35">
        <f t="shared" si="692"/>
        <v>23.870129870129869</v>
      </c>
      <c r="AN321" s="6">
        <f t="shared" si="693"/>
        <v>0.1747987919931607</v>
      </c>
      <c r="AO321" s="68">
        <v>0</v>
      </c>
      <c r="AP321" s="66">
        <v>0</v>
      </c>
      <c r="AQ321" s="35" t="e">
        <f t="shared" si="694"/>
        <v>#DIV/0!</v>
      </c>
      <c r="AR321" s="6" t="e">
        <f t="shared" si="695"/>
        <v>#DIV/0!</v>
      </c>
      <c r="AS321" s="68">
        <v>0</v>
      </c>
      <c r="AT321" s="66">
        <v>0</v>
      </c>
      <c r="AU321" s="35" t="e">
        <f t="shared" si="696"/>
        <v>#DIV/0!</v>
      </c>
      <c r="AV321" s="6" t="e">
        <f t="shared" si="697"/>
        <v>#DIV/0!</v>
      </c>
      <c r="AW321" s="68">
        <v>0</v>
      </c>
      <c r="AX321" s="66">
        <v>0</v>
      </c>
      <c r="AY321" s="35" t="e">
        <f t="shared" si="698"/>
        <v>#DIV/0!</v>
      </c>
      <c r="AZ321" s="6" t="e">
        <f t="shared" si="699"/>
        <v>#DIV/0!</v>
      </c>
      <c r="BA321" s="68">
        <v>0</v>
      </c>
      <c r="BB321" s="66">
        <v>0</v>
      </c>
      <c r="BC321" s="35" t="e">
        <f t="shared" si="700"/>
        <v>#DIV/0!</v>
      </c>
      <c r="BD321" s="11" t="e">
        <f t="shared" si="701"/>
        <v>#DIV/0!</v>
      </c>
    </row>
    <row r="322" spans="1:56" x14ac:dyDescent="0.25">
      <c r="A322" s="19" t="s">
        <v>6</v>
      </c>
      <c r="B322" s="8">
        <v>215600</v>
      </c>
      <c r="C322" s="35">
        <f>B322/F313</f>
        <v>163.82978723404256</v>
      </c>
      <c r="D322" s="8">
        <v>10950</v>
      </c>
      <c r="E322" s="68">
        <v>0</v>
      </c>
      <c r="F322" s="70">
        <v>0</v>
      </c>
      <c r="G322" s="35" t="e">
        <f t="shared" si="676"/>
        <v>#DIV/0!</v>
      </c>
      <c r="H322" s="11" t="e">
        <f t="shared" si="677"/>
        <v>#DIV/0!</v>
      </c>
      <c r="I322" s="35">
        <v>0</v>
      </c>
      <c r="J322" s="70">
        <v>0</v>
      </c>
      <c r="K322" s="35" t="e">
        <f t="shared" si="678"/>
        <v>#DIV/0!</v>
      </c>
      <c r="L322" s="6" t="e">
        <f t="shared" si="679"/>
        <v>#DIV/0!</v>
      </c>
      <c r="M322" s="68">
        <v>0</v>
      </c>
      <c r="N322" s="5">
        <v>0</v>
      </c>
      <c r="O322" s="35" t="e">
        <f t="shared" si="680"/>
        <v>#DIV/0!</v>
      </c>
      <c r="P322" s="11" t="e">
        <f t="shared" si="681"/>
        <v>#DIV/0!</v>
      </c>
      <c r="Q322" s="35">
        <v>0</v>
      </c>
      <c r="R322" s="66">
        <v>0</v>
      </c>
      <c r="S322" s="35" t="e">
        <f t="shared" si="682"/>
        <v>#DIV/0!</v>
      </c>
      <c r="T322" s="6" t="e">
        <f t="shared" si="683"/>
        <v>#DIV/0!</v>
      </c>
      <c r="U322" s="68">
        <v>0</v>
      </c>
      <c r="V322" s="66">
        <v>0</v>
      </c>
      <c r="W322" s="20" t="e">
        <f t="shared" si="684"/>
        <v>#DIV/0!</v>
      </c>
      <c r="X322" s="6" t="e">
        <f t="shared" si="685"/>
        <v>#DIV/0!</v>
      </c>
      <c r="Y322" s="68">
        <v>168960</v>
      </c>
      <c r="Z322" s="69">
        <v>1346</v>
      </c>
      <c r="AA322" s="35">
        <f t="shared" si="686"/>
        <v>125.52748885586924</v>
      </c>
      <c r="AB322" s="11">
        <f t="shared" si="687"/>
        <v>0.76620675015920181</v>
      </c>
      <c r="AC322" s="20">
        <v>31610</v>
      </c>
      <c r="AD322" s="33">
        <v>689</v>
      </c>
      <c r="AE322" s="35">
        <f t="shared" si="688"/>
        <v>45.878084179970969</v>
      </c>
      <c r="AF322" s="6">
        <f t="shared" si="689"/>
        <v>0.28003505928034228</v>
      </c>
      <c r="AG322" s="68">
        <v>0</v>
      </c>
      <c r="AH322" s="66">
        <v>0</v>
      </c>
      <c r="AI322" s="35" t="e">
        <f t="shared" si="690"/>
        <v>#DIV/0!</v>
      </c>
      <c r="AJ322" s="6" t="e">
        <f t="shared" si="691"/>
        <v>#DIV/0!</v>
      </c>
      <c r="AK322" s="68">
        <v>11170</v>
      </c>
      <c r="AL322" s="65">
        <v>385</v>
      </c>
      <c r="AM322" s="35">
        <f t="shared" si="692"/>
        <v>29.012987012987011</v>
      </c>
      <c r="AN322" s="6">
        <f t="shared" si="693"/>
        <v>0.17709225839095968</v>
      </c>
      <c r="AO322" s="68">
        <v>0</v>
      </c>
      <c r="AP322" s="66">
        <v>0</v>
      </c>
      <c r="AQ322" s="35" t="e">
        <f t="shared" si="694"/>
        <v>#DIV/0!</v>
      </c>
      <c r="AR322" s="6" t="e">
        <f t="shared" si="695"/>
        <v>#DIV/0!</v>
      </c>
      <c r="AS322" s="68">
        <v>0</v>
      </c>
      <c r="AT322" s="66">
        <v>0</v>
      </c>
      <c r="AU322" s="35" t="e">
        <f t="shared" si="696"/>
        <v>#DIV/0!</v>
      </c>
      <c r="AV322" s="6" t="e">
        <f t="shared" si="697"/>
        <v>#DIV/0!</v>
      </c>
      <c r="AW322" s="68">
        <v>0</v>
      </c>
      <c r="AX322" s="66">
        <v>0</v>
      </c>
      <c r="AY322" s="35" t="e">
        <f t="shared" si="698"/>
        <v>#DIV/0!</v>
      </c>
      <c r="AZ322" s="6" t="e">
        <f t="shared" si="699"/>
        <v>#DIV/0!</v>
      </c>
      <c r="BA322" s="68">
        <v>0</v>
      </c>
      <c r="BB322" s="66">
        <v>0</v>
      </c>
      <c r="BC322" s="35" t="e">
        <f t="shared" si="700"/>
        <v>#DIV/0!</v>
      </c>
      <c r="BD322" s="11" t="e">
        <f t="shared" si="701"/>
        <v>#DIV/0!</v>
      </c>
    </row>
    <row r="323" spans="1:56" ht="15.75" thickBot="1" x14ac:dyDescent="0.3">
      <c r="A323" s="21"/>
      <c r="B323" s="22"/>
      <c r="C323" s="23">
        <f>AVERAGE(Table11022[MA $/Sq Ft])</f>
        <v>94.986973512809385</v>
      </c>
      <c r="D323" s="22">
        <f>AVERAGE(Table11022[Basic Allowance])</f>
        <v>4442.8571428571431</v>
      </c>
      <c r="E323" s="16"/>
      <c r="F323" s="22"/>
      <c r="G323" s="15"/>
      <c r="H323" s="24" t="e">
        <f>AVERAGE(Table11022[Bsmt % Base])</f>
        <v>#DIV/0!</v>
      </c>
      <c r="I323" s="15"/>
      <c r="J323" s="15"/>
      <c r="K323" s="15"/>
      <c r="L323" s="25" t="e">
        <f>AVERAGE(Table11022[[#Headers],[#Data],[UnfBsmt % Base]])</f>
        <v>#DIV/0!</v>
      </c>
      <c r="M323" s="44"/>
      <c r="N323" s="15"/>
      <c r="O323" s="23" t="e">
        <f>AVERAGE(Table11022[LowerVal/SqFt])</f>
        <v>#DIV/0!</v>
      </c>
      <c r="P323" s="24" t="e">
        <f>AVERAGE(Table11022[Lower % Base])</f>
        <v>#DIV/0!</v>
      </c>
      <c r="Q323" s="13"/>
      <c r="R323" s="13"/>
      <c r="S323" s="13"/>
      <c r="T323" s="25" t="e">
        <f>AVERAGE(Table11022[Unf Lower % Base])</f>
        <v>#DIV/0!</v>
      </c>
      <c r="U323" s="12"/>
      <c r="V323" s="13"/>
      <c r="W323" s="13"/>
      <c r="X323" s="25" t="e">
        <f>AVERAGE(Table11022[1/2 Story % Base])</f>
        <v>#DIV/0!</v>
      </c>
      <c r="Y323" s="12"/>
      <c r="Z323" s="13"/>
      <c r="AA323" s="13"/>
      <c r="AB323" s="24">
        <f>AVERAGE(Table11022[2nd Story % Base])</f>
        <v>0.77160434013186052</v>
      </c>
      <c r="AC323" s="13"/>
      <c r="AD323" s="13"/>
      <c r="AE323" s="23">
        <f>AVERAGE(Table11022[AttGarVal/SqFt])</f>
        <v>27.180178312253783</v>
      </c>
      <c r="AF323" s="25">
        <f>AVERAGE(Table11022[Att Gar % Base])</f>
        <v>0.2950128485239904</v>
      </c>
      <c r="AG323" s="12"/>
      <c r="AH323" s="13"/>
      <c r="AI323" s="13"/>
      <c r="AJ323" s="25" t="e">
        <f>AVERAGE(Table11022[Porch % Base])</f>
        <v>#DIV/0!</v>
      </c>
      <c r="AK323" s="12"/>
      <c r="AL323" s="13"/>
      <c r="AM323" s="13"/>
      <c r="AN323" s="25">
        <f>AVERAGE(Table11022[Cov Porch % Base])</f>
        <v>0.18833282353249992</v>
      </c>
      <c r="AO323" s="12"/>
      <c r="AP323" s="13"/>
      <c r="AQ323" s="13"/>
      <c r="AR323" s="25" t="e">
        <f>AVERAGE(Table11022[Deck % Base])</f>
        <v>#DIV/0!</v>
      </c>
      <c r="AS323" s="12"/>
      <c r="AT323" s="13"/>
      <c r="AU323" s="23" t="e">
        <f>AVERAGE(Table11022[CovDeckVal/SqFt])</f>
        <v>#DIV/0!</v>
      </c>
      <c r="AV323" s="25" t="e">
        <f>AVERAGE(Table11022[CovDeck % Base])</f>
        <v>#DIV/0!</v>
      </c>
      <c r="AW323" s="12"/>
      <c r="AX323" s="13"/>
      <c r="AY323" s="13"/>
      <c r="AZ323" s="25" t="e">
        <f>AVERAGE(Table11022[CarP % Base])</f>
        <v>#DIV/0!</v>
      </c>
      <c r="BA323" s="12"/>
      <c r="BB323" s="13"/>
      <c r="BC323" s="13"/>
      <c r="BD323" s="24" t="e">
        <f>AVERAGE(Table11022[EFP % Base])</f>
        <v>#DIV/0!</v>
      </c>
    </row>
    <row r="325" spans="1:56" ht="15.75" thickBot="1" x14ac:dyDescent="0.3">
      <c r="A325" s="82"/>
      <c r="B325" t="s">
        <v>79</v>
      </c>
      <c r="C325" s="78" t="s">
        <v>116</v>
      </c>
      <c r="E325" t="s">
        <v>33</v>
      </c>
      <c r="F325" s="79">
        <v>1765</v>
      </c>
      <c r="H325" t="s">
        <v>80</v>
      </c>
      <c r="I325" t="s">
        <v>134</v>
      </c>
    </row>
    <row r="326" spans="1:56" x14ac:dyDescent="0.25">
      <c r="A326" s="112"/>
      <c r="B326" s="113"/>
      <c r="C326" s="113"/>
      <c r="D326" s="114"/>
      <c r="E326" s="115" t="s">
        <v>27</v>
      </c>
      <c r="F326" s="116"/>
      <c r="G326" s="116"/>
      <c r="H326" s="117"/>
      <c r="I326" s="118" t="s">
        <v>28</v>
      </c>
      <c r="J326" s="119"/>
      <c r="K326" s="119"/>
      <c r="L326" s="120"/>
      <c r="M326" s="121" t="s">
        <v>7</v>
      </c>
      <c r="N326" s="122"/>
      <c r="O326" s="122"/>
      <c r="P326" s="123"/>
      <c r="Q326" s="124" t="s">
        <v>29</v>
      </c>
      <c r="R326" s="125"/>
      <c r="S326" s="125"/>
      <c r="T326" s="126"/>
      <c r="U326" s="127" t="s">
        <v>8</v>
      </c>
      <c r="V326" s="128"/>
      <c r="W326" s="128"/>
      <c r="X326" s="129"/>
      <c r="Y326" s="130" t="s">
        <v>0</v>
      </c>
      <c r="Z326" s="131"/>
      <c r="AA326" s="131"/>
      <c r="AB326" s="132"/>
      <c r="AC326" s="133" t="s">
        <v>34</v>
      </c>
      <c r="AD326" s="134"/>
      <c r="AE326" s="134"/>
      <c r="AF326" s="135"/>
      <c r="AG326" s="115" t="s">
        <v>9</v>
      </c>
      <c r="AH326" s="116"/>
      <c r="AI326" s="116"/>
      <c r="AJ326" s="117"/>
      <c r="AK326" s="136" t="s">
        <v>35</v>
      </c>
      <c r="AL326" s="137"/>
      <c r="AM326" s="137"/>
      <c r="AN326" s="138"/>
      <c r="AO326" s="139" t="s">
        <v>10</v>
      </c>
      <c r="AP326" s="140"/>
      <c r="AQ326" s="140"/>
      <c r="AR326" s="141"/>
      <c r="AS326" s="124" t="s">
        <v>36</v>
      </c>
      <c r="AT326" s="125"/>
      <c r="AU326" s="125"/>
      <c r="AV326" s="126"/>
      <c r="AW326" s="142" t="s">
        <v>11</v>
      </c>
      <c r="AX326" s="143"/>
      <c r="AY326" s="143"/>
      <c r="AZ326" s="144"/>
      <c r="BA326" s="148" t="s">
        <v>17</v>
      </c>
      <c r="BB326" s="149"/>
      <c r="BC326" s="149"/>
      <c r="BD326" s="150"/>
    </row>
    <row r="327" spans="1:56" s="1" customFormat="1" ht="15.75" thickBot="1" x14ac:dyDescent="0.3">
      <c r="A327" s="41" t="s">
        <v>13</v>
      </c>
      <c r="B327" s="42" t="s">
        <v>15</v>
      </c>
      <c r="C327" s="42" t="s">
        <v>32</v>
      </c>
      <c r="D327" s="43" t="s">
        <v>18</v>
      </c>
      <c r="E327" s="30" t="s">
        <v>30</v>
      </c>
      <c r="F327" s="31" t="s">
        <v>61</v>
      </c>
      <c r="G327" s="31" t="s">
        <v>38</v>
      </c>
      <c r="H327" s="32" t="s">
        <v>62</v>
      </c>
      <c r="I327" s="37" t="s">
        <v>31</v>
      </c>
      <c r="J327" s="38" t="s">
        <v>39</v>
      </c>
      <c r="K327" s="38" t="s">
        <v>40</v>
      </c>
      <c r="L327" s="39" t="s">
        <v>63</v>
      </c>
      <c r="M327" s="40" t="s">
        <v>19</v>
      </c>
      <c r="N327" s="7" t="s">
        <v>41</v>
      </c>
      <c r="O327" s="7" t="s">
        <v>37</v>
      </c>
      <c r="P327" s="7" t="s">
        <v>64</v>
      </c>
      <c r="Q327" s="27" t="s">
        <v>20</v>
      </c>
      <c r="R327" s="28" t="s">
        <v>60</v>
      </c>
      <c r="S327" s="28" t="s">
        <v>59</v>
      </c>
      <c r="T327" s="29" t="s">
        <v>65</v>
      </c>
      <c r="U327" s="48" t="s">
        <v>21</v>
      </c>
      <c r="V327" s="48" t="s">
        <v>42</v>
      </c>
      <c r="W327" s="48" t="s">
        <v>43</v>
      </c>
      <c r="X327" s="49" t="s">
        <v>66</v>
      </c>
      <c r="Y327" s="50" t="s">
        <v>22</v>
      </c>
      <c r="Z327" s="51" t="s">
        <v>44</v>
      </c>
      <c r="AA327" s="51" t="s">
        <v>45</v>
      </c>
      <c r="AB327" s="52" t="s">
        <v>67</v>
      </c>
      <c r="AC327" s="45" t="s">
        <v>23</v>
      </c>
      <c r="AD327" s="46" t="s">
        <v>46</v>
      </c>
      <c r="AE327" s="46" t="s">
        <v>47</v>
      </c>
      <c r="AF327" s="47" t="s">
        <v>68</v>
      </c>
      <c r="AG327" s="30" t="s">
        <v>24</v>
      </c>
      <c r="AH327" s="31" t="s">
        <v>48</v>
      </c>
      <c r="AI327" s="31" t="s">
        <v>49</v>
      </c>
      <c r="AJ327" s="32" t="s">
        <v>69</v>
      </c>
      <c r="AK327" s="53" t="s">
        <v>25</v>
      </c>
      <c r="AL327" s="54" t="s">
        <v>50</v>
      </c>
      <c r="AM327" s="54" t="s">
        <v>51</v>
      </c>
      <c r="AN327" s="55" t="s">
        <v>70</v>
      </c>
      <c r="AO327" s="56" t="s">
        <v>26</v>
      </c>
      <c r="AP327" s="57" t="s">
        <v>52</v>
      </c>
      <c r="AQ327" s="57" t="s">
        <v>53</v>
      </c>
      <c r="AR327" s="58" t="s">
        <v>71</v>
      </c>
      <c r="AS327" s="59" t="s">
        <v>55</v>
      </c>
      <c r="AT327" s="60" t="s">
        <v>54</v>
      </c>
      <c r="AU327" s="60" t="s">
        <v>56</v>
      </c>
      <c r="AV327" s="61" t="s">
        <v>76</v>
      </c>
      <c r="AW327" s="62" t="s">
        <v>72</v>
      </c>
      <c r="AX327" s="63" t="s">
        <v>73</v>
      </c>
      <c r="AY327" s="63" t="s">
        <v>74</v>
      </c>
      <c r="AZ327" s="64" t="s">
        <v>75</v>
      </c>
      <c r="BA327" s="71" t="s">
        <v>77</v>
      </c>
      <c r="BB327" s="72" t="s">
        <v>57</v>
      </c>
      <c r="BC327" s="72" t="s">
        <v>58</v>
      </c>
      <c r="BD327" s="73" t="s">
        <v>78</v>
      </c>
    </row>
    <row r="328" spans="1:56" ht="15.75" thickBot="1" x14ac:dyDescent="0.3">
      <c r="A328" s="17" t="s">
        <v>1</v>
      </c>
      <c r="B328" s="14">
        <v>84850</v>
      </c>
      <c r="C328" s="34">
        <f>B328/F325</f>
        <v>48.073654390934841</v>
      </c>
      <c r="D328" s="14">
        <v>1525</v>
      </c>
      <c r="E328" s="67">
        <v>0</v>
      </c>
      <c r="F328" s="69">
        <v>0</v>
      </c>
      <c r="G328" s="34" t="e">
        <f t="shared" ref="G328:G334" si="702">E328/F328</f>
        <v>#DIV/0!</v>
      </c>
      <c r="H328" s="10" t="e">
        <f t="shared" ref="H328:H334" si="703">G328/C328</f>
        <v>#DIV/0!</v>
      </c>
      <c r="I328" s="34">
        <v>0</v>
      </c>
      <c r="J328" s="69">
        <v>0</v>
      </c>
      <c r="K328" s="34" t="e">
        <f t="shared" ref="K328:K334" si="704">I328/J328</f>
        <v>#DIV/0!</v>
      </c>
      <c r="L328" s="9" t="e">
        <f t="shared" ref="L328:L334" si="705">K328/C328</f>
        <v>#DIV/0!</v>
      </c>
      <c r="M328" s="67">
        <v>0</v>
      </c>
      <c r="N328" s="26">
        <v>0</v>
      </c>
      <c r="O328" s="34" t="e">
        <f t="shared" ref="O328:O334" si="706">M328/N328</f>
        <v>#DIV/0!</v>
      </c>
      <c r="P328" s="10" t="e">
        <f t="shared" ref="P328:P334" si="707">O328/C328</f>
        <v>#DIV/0!</v>
      </c>
      <c r="Q328" s="35">
        <v>0</v>
      </c>
      <c r="R328" s="66">
        <v>0</v>
      </c>
      <c r="S328" s="35" t="e">
        <f t="shared" ref="S328:S334" si="708">Q328/R328</f>
        <v>#DIV/0!</v>
      </c>
      <c r="T328" s="6" t="e">
        <f t="shared" ref="T328:T334" si="709">S328/C328</f>
        <v>#DIV/0!</v>
      </c>
      <c r="U328" s="67">
        <v>0</v>
      </c>
      <c r="V328" s="65">
        <v>0</v>
      </c>
      <c r="W328" s="18" t="e">
        <f t="shared" ref="W328:W334" si="710">U328/V328</f>
        <v>#DIV/0!</v>
      </c>
      <c r="X328" s="9" t="e">
        <f t="shared" ref="X328:X334" si="711">W328/C328</f>
        <v>#DIV/0!</v>
      </c>
      <c r="Y328" s="67">
        <v>0</v>
      </c>
      <c r="Z328" s="69">
        <v>0</v>
      </c>
      <c r="AA328" s="34" t="e">
        <f t="shared" ref="AA328:AA334" si="712">Y328/Z328</f>
        <v>#DIV/0!</v>
      </c>
      <c r="AB328" s="10" t="e">
        <f t="shared" ref="AB328:AB334" si="713">AA328/C328</f>
        <v>#DIV/0!</v>
      </c>
      <c r="AC328" s="18">
        <v>10560</v>
      </c>
      <c r="AD328" s="33">
        <v>750</v>
      </c>
      <c r="AE328" s="34">
        <f t="shared" ref="AE328:AE334" si="714">AC328/AD328</f>
        <v>14.08</v>
      </c>
      <c r="AF328" s="9">
        <f t="shared" ref="AF328:AF334" si="715">AE328/C328</f>
        <v>0.29288391278727166</v>
      </c>
      <c r="AG328" s="67">
        <v>0</v>
      </c>
      <c r="AH328" s="65">
        <v>0</v>
      </c>
      <c r="AI328" s="34" t="e">
        <f t="shared" ref="AI328:AI334" si="716">AG328/AH328</f>
        <v>#DIV/0!</v>
      </c>
      <c r="AJ328" s="9" t="e">
        <f t="shared" ref="AJ328:AJ334" si="717">AI328/C328</f>
        <v>#DIV/0!</v>
      </c>
      <c r="AK328" s="67">
        <v>1340</v>
      </c>
      <c r="AL328" s="65">
        <v>158</v>
      </c>
      <c r="AM328" s="34">
        <f t="shared" ref="AM328:AM334" si="718">AK328/AL328</f>
        <v>8.4810126582278489</v>
      </c>
      <c r="AN328" s="9">
        <f t="shared" ref="AN328:AN334" si="719">AM328/C328</f>
        <v>0.17641705765199947</v>
      </c>
      <c r="AO328" s="67">
        <v>0</v>
      </c>
      <c r="AP328" s="65">
        <v>0</v>
      </c>
      <c r="AQ328" s="34" t="e">
        <f t="shared" ref="AQ328:AQ334" si="720">AO328/AP328</f>
        <v>#DIV/0!</v>
      </c>
      <c r="AR328" s="9" t="e">
        <f t="shared" ref="AR328:AR334" si="721">AQ328/C328</f>
        <v>#DIV/0!</v>
      </c>
      <c r="AS328" s="67">
        <v>0</v>
      </c>
      <c r="AT328" s="65">
        <v>0</v>
      </c>
      <c r="AU328" s="34" t="e">
        <f t="shared" ref="AU328:AU334" si="722">AS328/AT328</f>
        <v>#DIV/0!</v>
      </c>
      <c r="AV328" s="9" t="e">
        <f t="shared" ref="AV328:AV334" si="723">AU328/C328</f>
        <v>#DIV/0!</v>
      </c>
      <c r="AW328" s="67">
        <v>0</v>
      </c>
      <c r="AX328" s="65">
        <v>0</v>
      </c>
      <c r="AY328" s="34" t="e">
        <f t="shared" ref="AY328:AY334" si="724">AW328/AX328</f>
        <v>#DIV/0!</v>
      </c>
      <c r="AZ328" s="9" t="e">
        <f t="shared" ref="AZ328:AZ334" si="725">AY328/C328</f>
        <v>#DIV/0!</v>
      </c>
      <c r="BA328" s="67">
        <v>0</v>
      </c>
      <c r="BB328" s="65">
        <v>0</v>
      </c>
      <c r="BC328" s="34" t="e">
        <f t="shared" ref="BC328:BC334" si="726">BA328/BB328</f>
        <v>#DIV/0!</v>
      </c>
      <c r="BD328" s="10" t="e">
        <f t="shared" ref="BD328:BD334" si="727">BC328/C328</f>
        <v>#DIV/0!</v>
      </c>
    </row>
    <row r="329" spans="1:56" ht="15.75" thickBot="1" x14ac:dyDescent="0.3">
      <c r="A329" s="19" t="s">
        <v>16</v>
      </c>
      <c r="B329" s="8">
        <v>99810</v>
      </c>
      <c r="C329" s="35">
        <f>B329/F325</f>
        <v>56.549575070821533</v>
      </c>
      <c r="D329" s="8">
        <v>1525</v>
      </c>
      <c r="E329" s="68">
        <v>0</v>
      </c>
      <c r="F329" s="70">
        <v>0</v>
      </c>
      <c r="G329" s="35" t="e">
        <f t="shared" si="702"/>
        <v>#DIV/0!</v>
      </c>
      <c r="H329" s="11" t="e">
        <f t="shared" si="703"/>
        <v>#DIV/0!</v>
      </c>
      <c r="I329" s="35">
        <v>0</v>
      </c>
      <c r="J329" s="70">
        <v>0</v>
      </c>
      <c r="K329" s="35" t="e">
        <f t="shared" si="704"/>
        <v>#DIV/0!</v>
      </c>
      <c r="L329" s="6" t="e">
        <f t="shared" si="705"/>
        <v>#DIV/0!</v>
      </c>
      <c r="M329" s="68">
        <v>0</v>
      </c>
      <c r="N329" s="5">
        <v>0</v>
      </c>
      <c r="O329" s="35" t="e">
        <f t="shared" si="706"/>
        <v>#DIV/0!</v>
      </c>
      <c r="P329" s="11" t="e">
        <f t="shared" si="707"/>
        <v>#DIV/0!</v>
      </c>
      <c r="Q329" s="35">
        <v>0</v>
      </c>
      <c r="R329" s="66">
        <v>0</v>
      </c>
      <c r="S329" s="35" t="e">
        <f t="shared" si="708"/>
        <v>#DIV/0!</v>
      </c>
      <c r="T329" s="6" t="e">
        <f t="shared" si="709"/>
        <v>#DIV/0!</v>
      </c>
      <c r="U329" s="68">
        <v>0</v>
      </c>
      <c r="V329" s="66">
        <v>0</v>
      </c>
      <c r="W329" s="20" t="e">
        <f t="shared" si="710"/>
        <v>#DIV/0!</v>
      </c>
      <c r="X329" s="6" t="e">
        <f t="shared" si="711"/>
        <v>#DIV/0!</v>
      </c>
      <c r="Y329" s="68">
        <v>0</v>
      </c>
      <c r="Z329" s="70">
        <v>0</v>
      </c>
      <c r="AA329" s="35" t="e">
        <f t="shared" si="712"/>
        <v>#DIV/0!</v>
      </c>
      <c r="AB329" s="11" t="e">
        <f t="shared" si="713"/>
        <v>#DIV/0!</v>
      </c>
      <c r="AC329" s="20">
        <v>13710</v>
      </c>
      <c r="AD329" s="33">
        <v>750</v>
      </c>
      <c r="AE329" s="35">
        <f t="shared" si="714"/>
        <v>18.28</v>
      </c>
      <c r="AF329" s="6">
        <f t="shared" si="715"/>
        <v>0.3232561867548342</v>
      </c>
      <c r="AG329" s="68">
        <v>0</v>
      </c>
      <c r="AH329" s="66">
        <v>0</v>
      </c>
      <c r="AI329" s="35" t="e">
        <f t="shared" si="716"/>
        <v>#DIV/0!</v>
      </c>
      <c r="AJ329" s="6" t="e">
        <f t="shared" si="717"/>
        <v>#DIV/0!</v>
      </c>
      <c r="AK329" s="68">
        <v>1850</v>
      </c>
      <c r="AL329" s="65">
        <v>158</v>
      </c>
      <c r="AM329" s="35">
        <f t="shared" si="718"/>
        <v>11.708860759493671</v>
      </c>
      <c r="AN329" s="6">
        <f t="shared" si="719"/>
        <v>0.20705479651844833</v>
      </c>
      <c r="AO329" s="68">
        <v>0</v>
      </c>
      <c r="AP329" s="66">
        <v>0</v>
      </c>
      <c r="AQ329" s="35" t="e">
        <f t="shared" si="720"/>
        <v>#DIV/0!</v>
      </c>
      <c r="AR329" s="6" t="e">
        <f t="shared" si="721"/>
        <v>#DIV/0!</v>
      </c>
      <c r="AS329" s="68">
        <v>0</v>
      </c>
      <c r="AT329" s="66">
        <v>0</v>
      </c>
      <c r="AU329" s="35" t="e">
        <f t="shared" si="722"/>
        <v>#DIV/0!</v>
      </c>
      <c r="AV329" s="6" t="e">
        <f t="shared" si="723"/>
        <v>#DIV/0!</v>
      </c>
      <c r="AW329" s="68">
        <v>0</v>
      </c>
      <c r="AX329" s="66">
        <v>0</v>
      </c>
      <c r="AY329" s="35" t="e">
        <f t="shared" si="724"/>
        <v>#DIV/0!</v>
      </c>
      <c r="AZ329" s="6" t="e">
        <f t="shared" si="725"/>
        <v>#DIV/0!</v>
      </c>
      <c r="BA329" s="68">
        <v>0</v>
      </c>
      <c r="BB329" s="66">
        <v>0</v>
      </c>
      <c r="BC329" s="35" t="e">
        <f t="shared" si="726"/>
        <v>#DIV/0!</v>
      </c>
      <c r="BD329" s="11" t="e">
        <f t="shared" si="727"/>
        <v>#DIV/0!</v>
      </c>
    </row>
    <row r="330" spans="1:56" ht="15.75" thickBot="1" x14ac:dyDescent="0.3">
      <c r="A330" s="19" t="s">
        <v>2</v>
      </c>
      <c r="B330" s="8">
        <v>116450</v>
      </c>
      <c r="C330" s="35">
        <f>B330/F325</f>
        <v>65.977337110481585</v>
      </c>
      <c r="D330" s="8">
        <v>2100</v>
      </c>
      <c r="E330" s="68">
        <v>0</v>
      </c>
      <c r="F330" s="70">
        <v>0</v>
      </c>
      <c r="G330" s="35" t="e">
        <f t="shared" si="702"/>
        <v>#DIV/0!</v>
      </c>
      <c r="H330" s="11" t="e">
        <f t="shared" si="703"/>
        <v>#DIV/0!</v>
      </c>
      <c r="I330" s="35">
        <v>0</v>
      </c>
      <c r="J330" s="70">
        <v>0</v>
      </c>
      <c r="K330" s="35" t="e">
        <f t="shared" si="704"/>
        <v>#DIV/0!</v>
      </c>
      <c r="L330" s="6" t="e">
        <f t="shared" si="705"/>
        <v>#DIV/0!</v>
      </c>
      <c r="M330" s="68">
        <v>0</v>
      </c>
      <c r="N330" s="5">
        <v>0</v>
      </c>
      <c r="O330" s="35" t="e">
        <f t="shared" si="706"/>
        <v>#DIV/0!</v>
      </c>
      <c r="P330" s="11" t="e">
        <f t="shared" si="707"/>
        <v>#DIV/0!</v>
      </c>
      <c r="Q330" s="35">
        <v>0</v>
      </c>
      <c r="R330" s="66">
        <v>0</v>
      </c>
      <c r="S330" s="35" t="e">
        <f t="shared" si="708"/>
        <v>#DIV/0!</v>
      </c>
      <c r="T330" s="6" t="e">
        <f t="shared" si="709"/>
        <v>#DIV/0!</v>
      </c>
      <c r="U330" s="68">
        <v>0</v>
      </c>
      <c r="V330" s="66">
        <v>0</v>
      </c>
      <c r="W330" s="20" t="e">
        <f t="shared" si="710"/>
        <v>#DIV/0!</v>
      </c>
      <c r="X330" s="6" t="e">
        <f t="shared" si="711"/>
        <v>#DIV/0!</v>
      </c>
      <c r="Y330" s="68">
        <v>0</v>
      </c>
      <c r="Z330" s="70">
        <v>0</v>
      </c>
      <c r="AA330" s="35" t="e">
        <f t="shared" si="712"/>
        <v>#DIV/0!</v>
      </c>
      <c r="AB330" s="11" t="e">
        <f t="shared" si="713"/>
        <v>#DIV/0!</v>
      </c>
      <c r="AC330" s="20">
        <v>17860</v>
      </c>
      <c r="AD330" s="33">
        <v>750</v>
      </c>
      <c r="AE330" s="35">
        <f t="shared" si="714"/>
        <v>23.813333333333333</v>
      </c>
      <c r="AF330" s="6">
        <f t="shared" si="715"/>
        <v>0.36093201660226132</v>
      </c>
      <c r="AG330" s="68">
        <v>0</v>
      </c>
      <c r="AH330" s="66">
        <v>0</v>
      </c>
      <c r="AI330" s="35" t="e">
        <f t="shared" si="716"/>
        <v>#DIV/0!</v>
      </c>
      <c r="AJ330" s="6" t="e">
        <f t="shared" si="717"/>
        <v>#DIV/0!</v>
      </c>
      <c r="AK330" s="68">
        <v>2140</v>
      </c>
      <c r="AL330" s="65">
        <v>158</v>
      </c>
      <c r="AM330" s="35">
        <f t="shared" si="718"/>
        <v>13.544303797468354</v>
      </c>
      <c r="AN330" s="6">
        <f t="shared" si="719"/>
        <v>0.20528721513552292</v>
      </c>
      <c r="AO330" s="68">
        <v>0</v>
      </c>
      <c r="AP330" s="66">
        <v>0</v>
      </c>
      <c r="AQ330" s="35" t="e">
        <f t="shared" si="720"/>
        <v>#DIV/0!</v>
      </c>
      <c r="AR330" s="6" t="e">
        <f t="shared" si="721"/>
        <v>#DIV/0!</v>
      </c>
      <c r="AS330" s="68">
        <v>0</v>
      </c>
      <c r="AT330" s="66">
        <v>0</v>
      </c>
      <c r="AU330" s="35" t="e">
        <f t="shared" si="722"/>
        <v>#DIV/0!</v>
      </c>
      <c r="AV330" s="6" t="e">
        <f t="shared" si="723"/>
        <v>#DIV/0!</v>
      </c>
      <c r="AW330" s="68">
        <v>0</v>
      </c>
      <c r="AX330" s="66">
        <v>0</v>
      </c>
      <c r="AY330" s="35" t="e">
        <f t="shared" si="724"/>
        <v>#DIV/0!</v>
      </c>
      <c r="AZ330" s="6" t="e">
        <f t="shared" si="725"/>
        <v>#DIV/0!</v>
      </c>
      <c r="BA330" s="68">
        <v>0</v>
      </c>
      <c r="BB330" s="66">
        <v>0</v>
      </c>
      <c r="BC330" s="35" t="e">
        <f t="shared" si="726"/>
        <v>#DIV/0!</v>
      </c>
      <c r="BD330" s="11" t="e">
        <f t="shared" si="727"/>
        <v>#DIV/0!</v>
      </c>
    </row>
    <row r="331" spans="1:56" ht="15.75" thickBot="1" x14ac:dyDescent="0.3">
      <c r="A331" s="19" t="s">
        <v>3</v>
      </c>
      <c r="B331" s="8">
        <v>141020</v>
      </c>
      <c r="C331" s="35">
        <f>B331/F325</f>
        <v>79.898016997167133</v>
      </c>
      <c r="D331" s="8">
        <v>2700</v>
      </c>
      <c r="E331" s="68">
        <v>0</v>
      </c>
      <c r="F331" s="70">
        <v>0</v>
      </c>
      <c r="G331" s="35" t="e">
        <f t="shared" si="702"/>
        <v>#DIV/0!</v>
      </c>
      <c r="H331" s="11" t="e">
        <f t="shared" si="703"/>
        <v>#DIV/0!</v>
      </c>
      <c r="I331" s="35">
        <v>0</v>
      </c>
      <c r="J331" s="70">
        <v>0</v>
      </c>
      <c r="K331" s="35" t="e">
        <f t="shared" si="704"/>
        <v>#DIV/0!</v>
      </c>
      <c r="L331" s="6" t="e">
        <f t="shared" si="705"/>
        <v>#DIV/0!</v>
      </c>
      <c r="M331" s="68">
        <v>0</v>
      </c>
      <c r="N331" s="5">
        <v>0</v>
      </c>
      <c r="O331" s="35" t="e">
        <f t="shared" si="706"/>
        <v>#DIV/0!</v>
      </c>
      <c r="P331" s="11" t="e">
        <f t="shared" si="707"/>
        <v>#DIV/0!</v>
      </c>
      <c r="Q331" s="35">
        <v>0</v>
      </c>
      <c r="R331" s="66">
        <v>0</v>
      </c>
      <c r="S331" s="35" t="e">
        <f t="shared" si="708"/>
        <v>#DIV/0!</v>
      </c>
      <c r="T331" s="6" t="e">
        <f t="shared" si="709"/>
        <v>#DIV/0!</v>
      </c>
      <c r="U331" s="68">
        <v>0</v>
      </c>
      <c r="V331" s="66">
        <v>0</v>
      </c>
      <c r="W331" s="20" t="e">
        <f t="shared" si="710"/>
        <v>#DIV/0!</v>
      </c>
      <c r="X331" s="6" t="e">
        <f t="shared" si="711"/>
        <v>#DIV/0!</v>
      </c>
      <c r="Y331" s="68">
        <v>0</v>
      </c>
      <c r="Z331" s="70">
        <v>0</v>
      </c>
      <c r="AA331" s="35" t="e">
        <f t="shared" si="712"/>
        <v>#DIV/0!</v>
      </c>
      <c r="AB331" s="11" t="e">
        <f t="shared" si="713"/>
        <v>#DIV/0!</v>
      </c>
      <c r="AC331" s="20">
        <v>19020</v>
      </c>
      <c r="AD331" s="33">
        <v>750</v>
      </c>
      <c r="AE331" s="35">
        <f t="shared" si="714"/>
        <v>25.36</v>
      </c>
      <c r="AF331" s="6">
        <f t="shared" si="715"/>
        <v>0.31740462345766557</v>
      </c>
      <c r="AG331" s="68">
        <v>0</v>
      </c>
      <c r="AH331" s="66">
        <v>0</v>
      </c>
      <c r="AI331" s="35" t="e">
        <f t="shared" si="716"/>
        <v>#DIV/0!</v>
      </c>
      <c r="AJ331" s="6" t="e">
        <f t="shared" si="717"/>
        <v>#DIV/0!</v>
      </c>
      <c r="AK331" s="68">
        <v>2820</v>
      </c>
      <c r="AL331" s="65">
        <v>158</v>
      </c>
      <c r="AM331" s="35">
        <f t="shared" si="718"/>
        <v>17.848101265822784</v>
      </c>
      <c r="AN331" s="6">
        <f t="shared" si="719"/>
        <v>0.22338603555649705</v>
      </c>
      <c r="AO331" s="68">
        <v>0</v>
      </c>
      <c r="AP331" s="66">
        <v>0</v>
      </c>
      <c r="AQ331" s="35" t="e">
        <f t="shared" si="720"/>
        <v>#DIV/0!</v>
      </c>
      <c r="AR331" s="6" t="e">
        <f t="shared" si="721"/>
        <v>#DIV/0!</v>
      </c>
      <c r="AS331" s="68">
        <v>0</v>
      </c>
      <c r="AT331" s="66">
        <v>0</v>
      </c>
      <c r="AU331" s="35" t="e">
        <f t="shared" si="722"/>
        <v>#DIV/0!</v>
      </c>
      <c r="AV331" s="6" t="e">
        <f t="shared" si="723"/>
        <v>#DIV/0!</v>
      </c>
      <c r="AW331" s="68">
        <v>0</v>
      </c>
      <c r="AX331" s="66">
        <v>0</v>
      </c>
      <c r="AY331" s="35" t="e">
        <f t="shared" si="724"/>
        <v>#DIV/0!</v>
      </c>
      <c r="AZ331" s="6" t="e">
        <f t="shared" si="725"/>
        <v>#DIV/0!</v>
      </c>
      <c r="BA331" s="68">
        <v>0</v>
      </c>
      <c r="BB331" s="66">
        <v>0</v>
      </c>
      <c r="BC331" s="35" t="e">
        <f t="shared" si="726"/>
        <v>#DIV/0!</v>
      </c>
      <c r="BD331" s="11" t="e">
        <f t="shared" si="727"/>
        <v>#DIV/0!</v>
      </c>
    </row>
    <row r="332" spans="1:56" ht="15.75" thickBot="1" x14ac:dyDescent="0.3">
      <c r="A332" s="19" t="s">
        <v>4</v>
      </c>
      <c r="B332" s="8">
        <v>174550</v>
      </c>
      <c r="C332" s="35">
        <f>B332/F325</f>
        <v>98.895184135977331</v>
      </c>
      <c r="D332" s="8">
        <v>5250</v>
      </c>
      <c r="E332" s="68">
        <v>0</v>
      </c>
      <c r="F332" s="70">
        <v>0</v>
      </c>
      <c r="G332" s="35" t="e">
        <f t="shared" si="702"/>
        <v>#DIV/0!</v>
      </c>
      <c r="H332" s="11" t="e">
        <f t="shared" si="703"/>
        <v>#DIV/0!</v>
      </c>
      <c r="I332" s="35">
        <v>0</v>
      </c>
      <c r="J332" s="70">
        <v>0</v>
      </c>
      <c r="K332" s="35" t="e">
        <f t="shared" si="704"/>
        <v>#DIV/0!</v>
      </c>
      <c r="L332" s="6" t="e">
        <f t="shared" si="705"/>
        <v>#DIV/0!</v>
      </c>
      <c r="M332" s="68">
        <v>0</v>
      </c>
      <c r="N332" s="5">
        <v>0</v>
      </c>
      <c r="O332" s="35" t="e">
        <f t="shared" si="706"/>
        <v>#DIV/0!</v>
      </c>
      <c r="P332" s="11" t="e">
        <f t="shared" si="707"/>
        <v>#DIV/0!</v>
      </c>
      <c r="Q332" s="35">
        <v>0</v>
      </c>
      <c r="R332" s="66">
        <v>0</v>
      </c>
      <c r="S332" s="35" t="e">
        <f t="shared" si="708"/>
        <v>#DIV/0!</v>
      </c>
      <c r="T332" s="6" t="e">
        <f t="shared" si="709"/>
        <v>#DIV/0!</v>
      </c>
      <c r="U332" s="68">
        <v>0</v>
      </c>
      <c r="V332" s="66">
        <v>0</v>
      </c>
      <c r="W332" s="20" t="e">
        <f t="shared" si="710"/>
        <v>#DIV/0!</v>
      </c>
      <c r="X332" s="6" t="e">
        <f t="shared" si="711"/>
        <v>#DIV/0!</v>
      </c>
      <c r="Y332" s="68">
        <v>0</v>
      </c>
      <c r="Z332" s="70">
        <v>0</v>
      </c>
      <c r="AA332" s="35" t="e">
        <f t="shared" si="712"/>
        <v>#DIV/0!</v>
      </c>
      <c r="AB332" s="11" t="e">
        <f t="shared" si="713"/>
        <v>#DIV/0!</v>
      </c>
      <c r="AC332" s="20">
        <v>21610</v>
      </c>
      <c r="AD332" s="33">
        <v>750</v>
      </c>
      <c r="AE332" s="35">
        <f t="shared" si="714"/>
        <v>28.813333333333333</v>
      </c>
      <c r="AF332" s="6">
        <f t="shared" si="715"/>
        <v>0.29135223909099589</v>
      </c>
      <c r="AG332" s="68">
        <v>0</v>
      </c>
      <c r="AH332" s="66">
        <v>0</v>
      </c>
      <c r="AI332" s="35" t="e">
        <f t="shared" si="716"/>
        <v>#DIV/0!</v>
      </c>
      <c r="AJ332" s="6" t="e">
        <f t="shared" si="717"/>
        <v>#DIV/0!</v>
      </c>
      <c r="AK332" s="68">
        <v>3090</v>
      </c>
      <c r="AL332" s="65">
        <v>158</v>
      </c>
      <c r="AM332" s="35">
        <f t="shared" si="718"/>
        <v>19.556962025316455</v>
      </c>
      <c r="AN332" s="6">
        <f t="shared" si="719"/>
        <v>0.19775444270801229</v>
      </c>
      <c r="AO332" s="68">
        <v>0</v>
      </c>
      <c r="AP332" s="66">
        <v>0</v>
      </c>
      <c r="AQ332" s="35" t="e">
        <f t="shared" si="720"/>
        <v>#DIV/0!</v>
      </c>
      <c r="AR332" s="6" t="e">
        <f t="shared" si="721"/>
        <v>#DIV/0!</v>
      </c>
      <c r="AS332" s="68">
        <v>0</v>
      </c>
      <c r="AT332" s="66">
        <v>0</v>
      </c>
      <c r="AU332" s="35" t="e">
        <f t="shared" si="722"/>
        <v>#DIV/0!</v>
      </c>
      <c r="AV332" s="6" t="e">
        <f t="shared" si="723"/>
        <v>#DIV/0!</v>
      </c>
      <c r="AW332" s="68">
        <v>0</v>
      </c>
      <c r="AX332" s="66">
        <v>0</v>
      </c>
      <c r="AY332" s="35" t="e">
        <f t="shared" si="724"/>
        <v>#DIV/0!</v>
      </c>
      <c r="AZ332" s="6" t="e">
        <f t="shared" si="725"/>
        <v>#DIV/0!</v>
      </c>
      <c r="BA332" s="68">
        <v>0</v>
      </c>
      <c r="BB332" s="66">
        <v>0</v>
      </c>
      <c r="BC332" s="35" t="e">
        <f t="shared" si="726"/>
        <v>#DIV/0!</v>
      </c>
      <c r="BD332" s="11" t="e">
        <f t="shared" si="727"/>
        <v>#DIV/0!</v>
      </c>
    </row>
    <row r="333" spans="1:56" ht="15.75" thickBot="1" x14ac:dyDescent="0.3">
      <c r="A333" s="19" t="s">
        <v>5</v>
      </c>
      <c r="B333" s="8">
        <v>231570</v>
      </c>
      <c r="C333" s="35">
        <f>B333/F325</f>
        <v>131.20113314447593</v>
      </c>
      <c r="D333" s="8">
        <v>7050</v>
      </c>
      <c r="E333" s="68">
        <v>0</v>
      </c>
      <c r="F333" s="70">
        <v>0</v>
      </c>
      <c r="G333" s="35" t="e">
        <f t="shared" si="702"/>
        <v>#DIV/0!</v>
      </c>
      <c r="H333" s="11" t="e">
        <f t="shared" si="703"/>
        <v>#DIV/0!</v>
      </c>
      <c r="I333" s="35">
        <v>0</v>
      </c>
      <c r="J333" s="70">
        <v>0</v>
      </c>
      <c r="K333" s="35" t="e">
        <f t="shared" si="704"/>
        <v>#DIV/0!</v>
      </c>
      <c r="L333" s="6" t="e">
        <f t="shared" si="705"/>
        <v>#DIV/0!</v>
      </c>
      <c r="M333" s="68">
        <v>0</v>
      </c>
      <c r="N333" s="5">
        <v>0</v>
      </c>
      <c r="O333" s="35" t="e">
        <f t="shared" si="706"/>
        <v>#DIV/0!</v>
      </c>
      <c r="P333" s="11" t="e">
        <f t="shared" si="707"/>
        <v>#DIV/0!</v>
      </c>
      <c r="Q333" s="35">
        <v>0</v>
      </c>
      <c r="R333" s="66">
        <v>0</v>
      </c>
      <c r="S333" s="35" t="e">
        <f t="shared" si="708"/>
        <v>#DIV/0!</v>
      </c>
      <c r="T333" s="6" t="e">
        <f t="shared" si="709"/>
        <v>#DIV/0!</v>
      </c>
      <c r="U333" s="68">
        <v>0</v>
      </c>
      <c r="V333" s="66">
        <v>0</v>
      </c>
      <c r="W333" s="20" t="e">
        <f t="shared" si="710"/>
        <v>#DIV/0!</v>
      </c>
      <c r="X333" s="6" t="e">
        <f t="shared" si="711"/>
        <v>#DIV/0!</v>
      </c>
      <c r="Y333" s="68">
        <v>0</v>
      </c>
      <c r="Z333" s="70">
        <v>0</v>
      </c>
      <c r="AA333" s="35" t="e">
        <f t="shared" si="712"/>
        <v>#DIV/0!</v>
      </c>
      <c r="AB333" s="11" t="e">
        <f t="shared" si="713"/>
        <v>#DIV/0!</v>
      </c>
      <c r="AC333" s="20">
        <v>22800</v>
      </c>
      <c r="AD333" s="33">
        <v>750</v>
      </c>
      <c r="AE333" s="35">
        <f t="shared" si="714"/>
        <v>30.4</v>
      </c>
      <c r="AF333" s="6">
        <f t="shared" si="715"/>
        <v>0.23170531588720469</v>
      </c>
      <c r="AG333" s="68">
        <v>0</v>
      </c>
      <c r="AH333" s="66">
        <v>0</v>
      </c>
      <c r="AI333" s="35" t="e">
        <f t="shared" si="716"/>
        <v>#DIV/0!</v>
      </c>
      <c r="AJ333" s="6" t="e">
        <f t="shared" si="717"/>
        <v>#DIV/0!</v>
      </c>
      <c r="AK333" s="68">
        <v>3770</v>
      </c>
      <c r="AL333" s="65">
        <v>158</v>
      </c>
      <c r="AM333" s="35">
        <f t="shared" si="718"/>
        <v>23.860759493670887</v>
      </c>
      <c r="AN333" s="6">
        <f t="shared" si="719"/>
        <v>0.18186397420360631</v>
      </c>
      <c r="AO333" s="68">
        <v>0</v>
      </c>
      <c r="AP333" s="66">
        <v>0</v>
      </c>
      <c r="AQ333" s="35" t="e">
        <f t="shared" si="720"/>
        <v>#DIV/0!</v>
      </c>
      <c r="AR333" s="6" t="e">
        <f t="shared" si="721"/>
        <v>#DIV/0!</v>
      </c>
      <c r="AS333" s="68">
        <v>0</v>
      </c>
      <c r="AT333" s="66">
        <v>0</v>
      </c>
      <c r="AU333" s="35" t="e">
        <f t="shared" si="722"/>
        <v>#DIV/0!</v>
      </c>
      <c r="AV333" s="6" t="e">
        <f t="shared" si="723"/>
        <v>#DIV/0!</v>
      </c>
      <c r="AW333" s="68">
        <v>0</v>
      </c>
      <c r="AX333" s="66">
        <v>0</v>
      </c>
      <c r="AY333" s="35" t="e">
        <f t="shared" si="724"/>
        <v>#DIV/0!</v>
      </c>
      <c r="AZ333" s="6" t="e">
        <f t="shared" si="725"/>
        <v>#DIV/0!</v>
      </c>
      <c r="BA333" s="68">
        <v>0</v>
      </c>
      <c r="BB333" s="66">
        <v>0</v>
      </c>
      <c r="BC333" s="35" t="e">
        <f t="shared" si="726"/>
        <v>#DIV/0!</v>
      </c>
      <c r="BD333" s="11" t="e">
        <f t="shared" si="727"/>
        <v>#DIV/0!</v>
      </c>
    </row>
    <row r="334" spans="1:56" x14ac:dyDescent="0.25">
      <c r="A334" s="19" t="s">
        <v>6</v>
      </c>
      <c r="B334" s="8">
        <v>282440</v>
      </c>
      <c r="C334" s="35">
        <f>B334/F325</f>
        <v>160.02266288951841</v>
      </c>
      <c r="D334" s="8">
        <v>10950</v>
      </c>
      <c r="E334" s="68">
        <v>0</v>
      </c>
      <c r="F334" s="70">
        <v>0</v>
      </c>
      <c r="G334" s="35" t="e">
        <f t="shared" si="702"/>
        <v>#DIV/0!</v>
      </c>
      <c r="H334" s="11" t="e">
        <f t="shared" si="703"/>
        <v>#DIV/0!</v>
      </c>
      <c r="I334" s="35">
        <v>0</v>
      </c>
      <c r="J334" s="70">
        <v>0</v>
      </c>
      <c r="K334" s="35" t="e">
        <f t="shared" si="704"/>
        <v>#DIV/0!</v>
      </c>
      <c r="L334" s="6" t="e">
        <f t="shared" si="705"/>
        <v>#DIV/0!</v>
      </c>
      <c r="M334" s="68">
        <v>0</v>
      </c>
      <c r="N334" s="5">
        <v>0</v>
      </c>
      <c r="O334" s="35" t="e">
        <f t="shared" si="706"/>
        <v>#DIV/0!</v>
      </c>
      <c r="P334" s="11" t="e">
        <f t="shared" si="707"/>
        <v>#DIV/0!</v>
      </c>
      <c r="Q334" s="35">
        <v>0</v>
      </c>
      <c r="R334" s="66">
        <v>0</v>
      </c>
      <c r="S334" s="35" t="e">
        <f t="shared" si="708"/>
        <v>#DIV/0!</v>
      </c>
      <c r="T334" s="6" t="e">
        <f t="shared" si="709"/>
        <v>#DIV/0!</v>
      </c>
      <c r="U334" s="68">
        <v>0</v>
      </c>
      <c r="V334" s="66">
        <v>0</v>
      </c>
      <c r="W334" s="20" t="e">
        <f t="shared" si="710"/>
        <v>#DIV/0!</v>
      </c>
      <c r="X334" s="6" t="e">
        <f t="shared" si="711"/>
        <v>#DIV/0!</v>
      </c>
      <c r="Y334" s="68">
        <v>0</v>
      </c>
      <c r="Z334" s="70">
        <v>0</v>
      </c>
      <c r="AA334" s="35" t="e">
        <f t="shared" si="712"/>
        <v>#DIV/0!</v>
      </c>
      <c r="AB334" s="11" t="e">
        <f t="shared" si="713"/>
        <v>#DIV/0!</v>
      </c>
      <c r="AC334" s="20">
        <v>33140</v>
      </c>
      <c r="AD334" s="33">
        <v>750</v>
      </c>
      <c r="AE334" s="35">
        <f t="shared" si="714"/>
        <v>44.186666666666667</v>
      </c>
      <c r="AF334" s="6">
        <f t="shared" si="715"/>
        <v>0.27612755511495068</v>
      </c>
      <c r="AG334" s="68">
        <v>0</v>
      </c>
      <c r="AH334" s="66">
        <v>0</v>
      </c>
      <c r="AI334" s="35" t="e">
        <f t="shared" si="716"/>
        <v>#DIV/0!</v>
      </c>
      <c r="AJ334" s="6" t="e">
        <f t="shared" si="717"/>
        <v>#DIV/0!</v>
      </c>
      <c r="AK334" s="68">
        <v>4580</v>
      </c>
      <c r="AL334" s="65">
        <v>158</v>
      </c>
      <c r="AM334" s="35">
        <f t="shared" si="718"/>
        <v>28.9873417721519</v>
      </c>
      <c r="AN334" s="6">
        <f t="shared" si="719"/>
        <v>0.18114522811162762</v>
      </c>
      <c r="AO334" s="68">
        <v>0</v>
      </c>
      <c r="AP334" s="66">
        <v>0</v>
      </c>
      <c r="AQ334" s="35" t="e">
        <f t="shared" si="720"/>
        <v>#DIV/0!</v>
      </c>
      <c r="AR334" s="6" t="e">
        <f t="shared" si="721"/>
        <v>#DIV/0!</v>
      </c>
      <c r="AS334" s="68">
        <v>0</v>
      </c>
      <c r="AT334" s="66">
        <v>0</v>
      </c>
      <c r="AU334" s="35" t="e">
        <f t="shared" si="722"/>
        <v>#DIV/0!</v>
      </c>
      <c r="AV334" s="6" t="e">
        <f t="shared" si="723"/>
        <v>#DIV/0!</v>
      </c>
      <c r="AW334" s="68">
        <v>0</v>
      </c>
      <c r="AX334" s="66">
        <v>0</v>
      </c>
      <c r="AY334" s="35" t="e">
        <f t="shared" si="724"/>
        <v>#DIV/0!</v>
      </c>
      <c r="AZ334" s="6" t="e">
        <f t="shared" si="725"/>
        <v>#DIV/0!</v>
      </c>
      <c r="BA334" s="68">
        <v>0</v>
      </c>
      <c r="BB334" s="66">
        <v>0</v>
      </c>
      <c r="BC334" s="35" t="e">
        <f t="shared" si="726"/>
        <v>#DIV/0!</v>
      </c>
      <c r="BD334" s="11" t="e">
        <f t="shared" si="727"/>
        <v>#DIV/0!</v>
      </c>
    </row>
    <row r="335" spans="1:56" ht="15.75" thickBot="1" x14ac:dyDescent="0.3">
      <c r="A335" s="21"/>
      <c r="B335" s="22"/>
      <c r="C335" s="23">
        <f>AVERAGE(Table11023[MA $/Sq Ft])</f>
        <v>91.516794819910956</v>
      </c>
      <c r="D335" s="22">
        <f>AVERAGE(Table11023[Basic Allowance])</f>
        <v>4442.8571428571431</v>
      </c>
      <c r="E335" s="16"/>
      <c r="F335" s="22"/>
      <c r="G335" s="15"/>
      <c r="H335" s="24" t="e">
        <f>AVERAGE(Table11023[Bsmt % Base])</f>
        <v>#DIV/0!</v>
      </c>
      <c r="I335" s="15"/>
      <c r="J335" s="15"/>
      <c r="K335" s="15"/>
      <c r="L335" s="25" t="e">
        <f>AVERAGE(Table11023[[#Headers],[#Data],[UnfBsmt % Base]])</f>
        <v>#DIV/0!</v>
      </c>
      <c r="M335" s="44"/>
      <c r="N335" s="15"/>
      <c r="O335" s="23" t="e">
        <f>AVERAGE(Table11023[LowerVal/SqFt])</f>
        <v>#DIV/0!</v>
      </c>
      <c r="P335" s="24" t="e">
        <f>AVERAGE(Table11023[Lower % Base])</f>
        <v>#DIV/0!</v>
      </c>
      <c r="Q335" s="13"/>
      <c r="R335" s="13"/>
      <c r="S335" s="13"/>
      <c r="T335" s="25" t="e">
        <f>AVERAGE(Table11023[Unf Lower % Base])</f>
        <v>#DIV/0!</v>
      </c>
      <c r="U335" s="12"/>
      <c r="V335" s="13"/>
      <c r="W335" s="13"/>
      <c r="X335" s="25" t="e">
        <f>AVERAGE(Table11023[1/2 Story % Base])</f>
        <v>#DIV/0!</v>
      </c>
      <c r="Y335" s="12"/>
      <c r="Z335" s="13"/>
      <c r="AA335" s="13"/>
      <c r="AB335" s="24" t="e">
        <f>AVERAGE(Table11023[2nd Story % Base])</f>
        <v>#DIV/0!</v>
      </c>
      <c r="AC335" s="13"/>
      <c r="AD335" s="13"/>
      <c r="AE335" s="23">
        <f>AVERAGE(Table11023[AttGarVal/SqFt])</f>
        <v>26.419047619047621</v>
      </c>
      <c r="AF335" s="25">
        <f>AVERAGE(Table11023[Att Gar % Base])</f>
        <v>0.29909454995645485</v>
      </c>
      <c r="AG335" s="12"/>
      <c r="AH335" s="13"/>
      <c r="AI335" s="13"/>
      <c r="AJ335" s="25" t="e">
        <f>AVERAGE(Table11023[Porch % Base])</f>
        <v>#DIV/0!</v>
      </c>
      <c r="AK335" s="12"/>
      <c r="AL335" s="13"/>
      <c r="AM335" s="13"/>
      <c r="AN335" s="25">
        <f>AVERAGE(Table11023[Cov Porch % Base])</f>
        <v>0.19612982141224489</v>
      </c>
      <c r="AO335" s="12"/>
      <c r="AP335" s="13"/>
      <c r="AQ335" s="13"/>
      <c r="AR335" s="25" t="e">
        <f>AVERAGE(Table11023[Deck % Base])</f>
        <v>#DIV/0!</v>
      </c>
      <c r="AS335" s="12"/>
      <c r="AT335" s="13"/>
      <c r="AU335" s="23" t="e">
        <f>AVERAGE(Table11023[CovDeckVal/SqFt])</f>
        <v>#DIV/0!</v>
      </c>
      <c r="AV335" s="25" t="e">
        <f>AVERAGE(Table11023[CovDeck % Base])</f>
        <v>#DIV/0!</v>
      </c>
      <c r="AW335" s="12"/>
      <c r="AX335" s="13"/>
      <c r="AY335" s="13"/>
      <c r="AZ335" s="25" t="e">
        <f>AVERAGE(Table11023[CarP % Base])</f>
        <v>#DIV/0!</v>
      </c>
      <c r="BA335" s="12"/>
      <c r="BB335" s="13"/>
      <c r="BC335" s="13"/>
      <c r="BD335" s="24" t="e">
        <f>AVERAGE(Table11023[EFP % Base])</f>
        <v>#DIV/0!</v>
      </c>
    </row>
    <row r="337" spans="1:56" ht="15.75" thickBot="1" x14ac:dyDescent="0.3">
      <c r="A337" s="82"/>
      <c r="B337" t="s">
        <v>79</v>
      </c>
      <c r="C337" s="78" t="s">
        <v>117</v>
      </c>
      <c r="E337" t="s">
        <v>33</v>
      </c>
      <c r="F337" s="79">
        <v>1806</v>
      </c>
      <c r="H337" t="s">
        <v>80</v>
      </c>
      <c r="I337" t="s">
        <v>95</v>
      </c>
    </row>
    <row r="338" spans="1:56" x14ac:dyDescent="0.25">
      <c r="A338" s="112"/>
      <c r="B338" s="113"/>
      <c r="C338" s="113"/>
      <c r="D338" s="114"/>
      <c r="E338" s="115" t="s">
        <v>27</v>
      </c>
      <c r="F338" s="116"/>
      <c r="G338" s="116"/>
      <c r="H338" s="117"/>
      <c r="I338" s="118" t="s">
        <v>28</v>
      </c>
      <c r="J338" s="119"/>
      <c r="K338" s="119"/>
      <c r="L338" s="120"/>
      <c r="M338" s="121" t="s">
        <v>7</v>
      </c>
      <c r="N338" s="122"/>
      <c r="O338" s="122"/>
      <c r="P338" s="123"/>
      <c r="Q338" s="124" t="s">
        <v>29</v>
      </c>
      <c r="R338" s="125"/>
      <c r="S338" s="125"/>
      <c r="T338" s="126"/>
      <c r="U338" s="127" t="s">
        <v>8</v>
      </c>
      <c r="V338" s="128"/>
      <c r="W338" s="128"/>
      <c r="X338" s="129"/>
      <c r="Y338" s="130" t="s">
        <v>0</v>
      </c>
      <c r="Z338" s="131"/>
      <c r="AA338" s="131"/>
      <c r="AB338" s="132"/>
      <c r="AC338" s="133" t="s">
        <v>34</v>
      </c>
      <c r="AD338" s="134"/>
      <c r="AE338" s="134"/>
      <c r="AF338" s="135"/>
      <c r="AG338" s="115" t="s">
        <v>9</v>
      </c>
      <c r="AH338" s="116"/>
      <c r="AI338" s="116"/>
      <c r="AJ338" s="117"/>
      <c r="AK338" s="136" t="s">
        <v>35</v>
      </c>
      <c r="AL338" s="137"/>
      <c r="AM338" s="137"/>
      <c r="AN338" s="138"/>
      <c r="AO338" s="139" t="s">
        <v>10</v>
      </c>
      <c r="AP338" s="140"/>
      <c r="AQ338" s="140"/>
      <c r="AR338" s="141"/>
      <c r="AS338" s="124" t="s">
        <v>36</v>
      </c>
      <c r="AT338" s="125"/>
      <c r="AU338" s="125"/>
      <c r="AV338" s="126"/>
      <c r="AW338" s="142" t="s">
        <v>11</v>
      </c>
      <c r="AX338" s="143"/>
      <c r="AY338" s="143"/>
      <c r="AZ338" s="144"/>
      <c r="BA338" s="148" t="s">
        <v>17</v>
      </c>
      <c r="BB338" s="149"/>
      <c r="BC338" s="149"/>
      <c r="BD338" s="150"/>
    </row>
    <row r="339" spans="1:56" s="1" customFormat="1" ht="15.75" thickBot="1" x14ac:dyDescent="0.3">
      <c r="A339" s="41" t="s">
        <v>13</v>
      </c>
      <c r="B339" s="42" t="s">
        <v>15</v>
      </c>
      <c r="C339" s="42" t="s">
        <v>32</v>
      </c>
      <c r="D339" s="43" t="s">
        <v>18</v>
      </c>
      <c r="E339" s="30" t="s">
        <v>30</v>
      </c>
      <c r="F339" s="31" t="s">
        <v>61</v>
      </c>
      <c r="G339" s="31" t="s">
        <v>38</v>
      </c>
      <c r="H339" s="32" t="s">
        <v>62</v>
      </c>
      <c r="I339" s="37" t="s">
        <v>31</v>
      </c>
      <c r="J339" s="38" t="s">
        <v>39</v>
      </c>
      <c r="K339" s="38" t="s">
        <v>40</v>
      </c>
      <c r="L339" s="39" t="s">
        <v>63</v>
      </c>
      <c r="M339" s="40" t="s">
        <v>19</v>
      </c>
      <c r="N339" s="7" t="s">
        <v>41</v>
      </c>
      <c r="O339" s="7" t="s">
        <v>37</v>
      </c>
      <c r="P339" s="7" t="s">
        <v>64</v>
      </c>
      <c r="Q339" s="27" t="s">
        <v>20</v>
      </c>
      <c r="R339" s="28" t="s">
        <v>60</v>
      </c>
      <c r="S339" s="28" t="s">
        <v>59</v>
      </c>
      <c r="T339" s="29" t="s">
        <v>65</v>
      </c>
      <c r="U339" s="48" t="s">
        <v>21</v>
      </c>
      <c r="V339" s="48" t="s">
        <v>42</v>
      </c>
      <c r="W339" s="48" t="s">
        <v>43</v>
      </c>
      <c r="X339" s="49" t="s">
        <v>66</v>
      </c>
      <c r="Y339" s="50" t="s">
        <v>22</v>
      </c>
      <c r="Z339" s="51" t="s">
        <v>44</v>
      </c>
      <c r="AA339" s="51" t="s">
        <v>45</v>
      </c>
      <c r="AB339" s="52" t="s">
        <v>67</v>
      </c>
      <c r="AC339" s="45" t="s">
        <v>23</v>
      </c>
      <c r="AD339" s="46" t="s">
        <v>46</v>
      </c>
      <c r="AE339" s="46" t="s">
        <v>47</v>
      </c>
      <c r="AF339" s="47" t="s">
        <v>68</v>
      </c>
      <c r="AG339" s="30" t="s">
        <v>24</v>
      </c>
      <c r="AH339" s="31" t="s">
        <v>48</v>
      </c>
      <c r="AI339" s="31" t="s">
        <v>49</v>
      </c>
      <c r="AJ339" s="32" t="s">
        <v>69</v>
      </c>
      <c r="AK339" s="53" t="s">
        <v>25</v>
      </c>
      <c r="AL339" s="54" t="s">
        <v>50</v>
      </c>
      <c r="AM339" s="54" t="s">
        <v>51</v>
      </c>
      <c r="AN339" s="55" t="s">
        <v>70</v>
      </c>
      <c r="AO339" s="56" t="s">
        <v>26</v>
      </c>
      <c r="AP339" s="57" t="s">
        <v>52</v>
      </c>
      <c r="AQ339" s="57" t="s">
        <v>53</v>
      </c>
      <c r="AR339" s="58" t="s">
        <v>71</v>
      </c>
      <c r="AS339" s="59" t="s">
        <v>55</v>
      </c>
      <c r="AT339" s="60" t="s">
        <v>54</v>
      </c>
      <c r="AU339" s="60" t="s">
        <v>56</v>
      </c>
      <c r="AV339" s="61" t="s">
        <v>76</v>
      </c>
      <c r="AW339" s="62" t="s">
        <v>72</v>
      </c>
      <c r="AX339" s="63" t="s">
        <v>73</v>
      </c>
      <c r="AY339" s="63" t="s">
        <v>74</v>
      </c>
      <c r="AZ339" s="64" t="s">
        <v>75</v>
      </c>
      <c r="BA339" s="71" t="s">
        <v>77</v>
      </c>
      <c r="BB339" s="72" t="s">
        <v>57</v>
      </c>
      <c r="BC339" s="72" t="s">
        <v>58</v>
      </c>
      <c r="BD339" s="73" t="s">
        <v>78</v>
      </c>
    </row>
    <row r="340" spans="1:56" ht="15.75" thickBot="1" x14ac:dyDescent="0.3">
      <c r="A340" s="17" t="s">
        <v>1</v>
      </c>
      <c r="B340" s="14">
        <v>86530</v>
      </c>
      <c r="C340" s="34">
        <f>B340/F337</f>
        <v>47.912513842746399</v>
      </c>
      <c r="D340" s="14">
        <v>1525</v>
      </c>
      <c r="E340" s="67">
        <v>20880</v>
      </c>
      <c r="F340" s="69">
        <v>723</v>
      </c>
      <c r="G340" s="34">
        <f t="shared" ref="G340:G346" si="728">E340/F340</f>
        <v>28.879668049792532</v>
      </c>
      <c r="H340" s="10">
        <f t="shared" ref="H340:H346" si="729">G340/C340</f>
        <v>0.60275835545967082</v>
      </c>
      <c r="I340" s="34">
        <v>0</v>
      </c>
      <c r="J340" s="69">
        <v>0</v>
      </c>
      <c r="K340" s="34" t="e">
        <f t="shared" ref="K340:K346" si="730">I340/J340</f>
        <v>#DIV/0!</v>
      </c>
      <c r="L340" s="9" t="e">
        <f t="shared" ref="L340:L346" si="731">K340/C340</f>
        <v>#DIV/0!</v>
      </c>
      <c r="M340" s="67">
        <v>0</v>
      </c>
      <c r="N340" s="26">
        <v>0</v>
      </c>
      <c r="O340" s="34" t="e">
        <f t="shared" ref="O340:O346" si="732">M340/N340</f>
        <v>#DIV/0!</v>
      </c>
      <c r="P340" s="10" t="e">
        <f t="shared" ref="P340:P346" si="733">O340/C340</f>
        <v>#DIV/0!</v>
      </c>
      <c r="Q340" s="35">
        <v>0</v>
      </c>
      <c r="R340" s="66">
        <v>0</v>
      </c>
      <c r="S340" s="35" t="e">
        <f t="shared" ref="S340:S346" si="734">Q340/R340</f>
        <v>#DIV/0!</v>
      </c>
      <c r="T340" s="6" t="e">
        <f t="shared" ref="T340:T346" si="735">S340/C340</f>
        <v>#DIV/0!</v>
      </c>
      <c r="U340" s="67">
        <v>0</v>
      </c>
      <c r="V340" s="65">
        <v>0</v>
      </c>
      <c r="W340" s="18" t="e">
        <f t="shared" ref="W340:W346" si="736">U340/V340</f>
        <v>#DIV/0!</v>
      </c>
      <c r="X340" s="9" t="e">
        <f t="shared" ref="X340:X346" si="737">W340/C340</f>
        <v>#DIV/0!</v>
      </c>
      <c r="Y340" s="67">
        <v>0</v>
      </c>
      <c r="Z340" s="69">
        <v>0</v>
      </c>
      <c r="AA340" s="34" t="e">
        <f t="shared" ref="AA340:AA346" si="738">Y340/Z340</f>
        <v>#DIV/0!</v>
      </c>
      <c r="AB340" s="10" t="e">
        <f t="shared" ref="AB340:AB346" si="739">AA340/C340</f>
        <v>#DIV/0!</v>
      </c>
      <c r="AC340" s="18">
        <v>11540</v>
      </c>
      <c r="AD340" s="33">
        <v>836</v>
      </c>
      <c r="AE340" s="34">
        <f t="shared" ref="AE340:AE346" si="740">AC340/AD340</f>
        <v>13.803827751196172</v>
      </c>
      <c r="AF340" s="9">
        <f t="shared" ref="AF340:AF346" si="741">AE340/C340</f>
        <v>0.28810485286791043</v>
      </c>
      <c r="AG340" s="67">
        <v>0</v>
      </c>
      <c r="AH340" s="65">
        <v>0</v>
      </c>
      <c r="AI340" s="34" t="e">
        <f t="shared" ref="AI340:AI346" si="742">AG340/AH340</f>
        <v>#DIV/0!</v>
      </c>
      <c r="AJ340" s="9" t="e">
        <f t="shared" ref="AJ340:AJ346" si="743">AI340/C340</f>
        <v>#DIV/0!</v>
      </c>
      <c r="AK340" s="67">
        <v>2060</v>
      </c>
      <c r="AL340" s="65">
        <v>244</v>
      </c>
      <c r="AM340" s="34">
        <f t="shared" ref="AM340:AM346" si="744">AK340/AL340</f>
        <v>8.442622950819672</v>
      </c>
      <c r="AN340" s="9">
        <f t="shared" ref="AN340:AN346" si="745">AM340/C340</f>
        <v>0.17620914190662576</v>
      </c>
      <c r="AO340" s="67">
        <v>0</v>
      </c>
      <c r="AP340" s="65">
        <v>0</v>
      </c>
      <c r="AQ340" s="34" t="e">
        <f t="shared" ref="AQ340:AQ346" si="746">AO340/AP340</f>
        <v>#DIV/0!</v>
      </c>
      <c r="AR340" s="9" t="e">
        <f t="shared" ref="AR340:AR346" si="747">AQ340/C340</f>
        <v>#DIV/0!</v>
      </c>
      <c r="AS340" s="67">
        <v>0</v>
      </c>
      <c r="AT340" s="65">
        <v>0</v>
      </c>
      <c r="AU340" s="34" t="e">
        <f t="shared" ref="AU340:AU346" si="748">AS340/AT340</f>
        <v>#DIV/0!</v>
      </c>
      <c r="AV340" s="9" t="e">
        <f t="shared" ref="AV340:AV346" si="749">AU340/C340</f>
        <v>#DIV/0!</v>
      </c>
      <c r="AW340" s="67">
        <v>0</v>
      </c>
      <c r="AX340" s="65">
        <v>0</v>
      </c>
      <c r="AY340" s="34" t="e">
        <f t="shared" ref="AY340:AY346" si="750">AW340/AX340</f>
        <v>#DIV/0!</v>
      </c>
      <c r="AZ340" s="9" t="e">
        <f t="shared" ref="AZ340:AZ346" si="751">AY340/C340</f>
        <v>#DIV/0!</v>
      </c>
      <c r="BA340" s="67">
        <v>0</v>
      </c>
      <c r="BB340" s="65">
        <v>0</v>
      </c>
      <c r="BC340" s="34" t="e">
        <f t="shared" ref="BC340:BC346" si="752">BA340/BB340</f>
        <v>#DIV/0!</v>
      </c>
      <c r="BD340" s="10" t="e">
        <f t="shared" ref="BD340:BD346" si="753">BC340/C340</f>
        <v>#DIV/0!</v>
      </c>
    </row>
    <row r="341" spans="1:56" ht="15.75" thickBot="1" x14ac:dyDescent="0.3">
      <c r="A341" s="19" t="s">
        <v>16</v>
      </c>
      <c r="B341" s="8">
        <v>101790</v>
      </c>
      <c r="C341" s="35">
        <f>B341/F337</f>
        <v>56.362126245847179</v>
      </c>
      <c r="D341" s="8">
        <v>1525</v>
      </c>
      <c r="E341" s="68">
        <v>28060</v>
      </c>
      <c r="F341" s="69">
        <v>723</v>
      </c>
      <c r="G341" s="35">
        <f t="shared" si="728"/>
        <v>38.810511756569845</v>
      </c>
      <c r="H341" s="11">
        <f t="shared" si="729"/>
        <v>0.68859204472310775</v>
      </c>
      <c r="I341" s="35">
        <v>0</v>
      </c>
      <c r="J341" s="70">
        <v>0</v>
      </c>
      <c r="K341" s="35" t="e">
        <f t="shared" si="730"/>
        <v>#DIV/0!</v>
      </c>
      <c r="L341" s="6" t="e">
        <f t="shared" si="731"/>
        <v>#DIV/0!</v>
      </c>
      <c r="M341" s="68">
        <v>0</v>
      </c>
      <c r="N341" s="5">
        <v>0</v>
      </c>
      <c r="O341" s="35" t="e">
        <f t="shared" si="732"/>
        <v>#DIV/0!</v>
      </c>
      <c r="P341" s="11" t="e">
        <f t="shared" si="733"/>
        <v>#DIV/0!</v>
      </c>
      <c r="Q341" s="35">
        <v>0</v>
      </c>
      <c r="R341" s="66">
        <v>0</v>
      </c>
      <c r="S341" s="35" t="e">
        <f t="shared" si="734"/>
        <v>#DIV/0!</v>
      </c>
      <c r="T341" s="6" t="e">
        <f t="shared" si="735"/>
        <v>#DIV/0!</v>
      </c>
      <c r="U341" s="68">
        <v>0</v>
      </c>
      <c r="V341" s="66">
        <v>0</v>
      </c>
      <c r="W341" s="20" t="e">
        <f t="shared" si="736"/>
        <v>#DIV/0!</v>
      </c>
      <c r="X341" s="6" t="e">
        <f t="shared" si="737"/>
        <v>#DIV/0!</v>
      </c>
      <c r="Y341" s="68">
        <v>0</v>
      </c>
      <c r="Z341" s="70">
        <v>0</v>
      </c>
      <c r="AA341" s="35" t="e">
        <f t="shared" si="738"/>
        <v>#DIV/0!</v>
      </c>
      <c r="AB341" s="11" t="e">
        <f t="shared" si="739"/>
        <v>#DIV/0!</v>
      </c>
      <c r="AC341" s="20">
        <v>14760</v>
      </c>
      <c r="AD341" s="33">
        <v>836</v>
      </c>
      <c r="AE341" s="35">
        <f t="shared" si="740"/>
        <v>17.655502392344498</v>
      </c>
      <c r="AF341" s="6">
        <f t="shared" si="741"/>
        <v>0.31325117713502471</v>
      </c>
      <c r="AG341" s="68">
        <v>0</v>
      </c>
      <c r="AH341" s="66">
        <v>0</v>
      </c>
      <c r="AI341" s="35" t="e">
        <f t="shared" si="742"/>
        <v>#DIV/0!</v>
      </c>
      <c r="AJ341" s="6" t="e">
        <f t="shared" si="743"/>
        <v>#DIV/0!</v>
      </c>
      <c r="AK341" s="68">
        <v>2840</v>
      </c>
      <c r="AL341" s="65">
        <v>244</v>
      </c>
      <c r="AM341" s="35">
        <f t="shared" si="744"/>
        <v>11.639344262295081</v>
      </c>
      <c r="AN341" s="6">
        <f t="shared" si="745"/>
        <v>0.20651002787803238</v>
      </c>
      <c r="AO341" s="68">
        <v>0</v>
      </c>
      <c r="AP341" s="66">
        <v>0</v>
      </c>
      <c r="AQ341" s="35" t="e">
        <f t="shared" si="746"/>
        <v>#DIV/0!</v>
      </c>
      <c r="AR341" s="6" t="e">
        <f t="shared" si="747"/>
        <v>#DIV/0!</v>
      </c>
      <c r="AS341" s="68">
        <v>0</v>
      </c>
      <c r="AT341" s="66">
        <v>0</v>
      </c>
      <c r="AU341" s="35" t="e">
        <f t="shared" si="748"/>
        <v>#DIV/0!</v>
      </c>
      <c r="AV341" s="6" t="e">
        <f t="shared" si="749"/>
        <v>#DIV/0!</v>
      </c>
      <c r="AW341" s="68">
        <v>0</v>
      </c>
      <c r="AX341" s="66">
        <v>0</v>
      </c>
      <c r="AY341" s="35" t="e">
        <f t="shared" si="750"/>
        <v>#DIV/0!</v>
      </c>
      <c r="AZ341" s="6" t="e">
        <f t="shared" si="751"/>
        <v>#DIV/0!</v>
      </c>
      <c r="BA341" s="68">
        <v>0</v>
      </c>
      <c r="BB341" s="66">
        <v>0</v>
      </c>
      <c r="BC341" s="35" t="e">
        <f t="shared" si="752"/>
        <v>#DIV/0!</v>
      </c>
      <c r="BD341" s="11" t="e">
        <f t="shared" si="753"/>
        <v>#DIV/0!</v>
      </c>
    </row>
    <row r="342" spans="1:56" ht="15.75" thickBot="1" x14ac:dyDescent="0.3">
      <c r="A342" s="19" t="s">
        <v>2</v>
      </c>
      <c r="B342" s="8">
        <v>118730</v>
      </c>
      <c r="C342" s="35">
        <f>B342/F337</f>
        <v>65.741971207087488</v>
      </c>
      <c r="D342" s="8">
        <v>2100</v>
      </c>
      <c r="E342" s="68">
        <v>31640</v>
      </c>
      <c r="F342" s="69">
        <v>723</v>
      </c>
      <c r="G342" s="35">
        <f t="shared" si="728"/>
        <v>43.76210235131397</v>
      </c>
      <c r="H342" s="11">
        <f t="shared" si="729"/>
        <v>0.66566459063819616</v>
      </c>
      <c r="I342" s="35">
        <v>0</v>
      </c>
      <c r="J342" s="70">
        <v>0</v>
      </c>
      <c r="K342" s="35" t="e">
        <f t="shared" si="730"/>
        <v>#DIV/0!</v>
      </c>
      <c r="L342" s="6" t="e">
        <f t="shared" si="731"/>
        <v>#DIV/0!</v>
      </c>
      <c r="M342" s="68">
        <v>0</v>
      </c>
      <c r="N342" s="5">
        <v>0</v>
      </c>
      <c r="O342" s="35" t="e">
        <f t="shared" si="732"/>
        <v>#DIV/0!</v>
      </c>
      <c r="P342" s="11" t="e">
        <f t="shared" si="733"/>
        <v>#DIV/0!</v>
      </c>
      <c r="Q342" s="35">
        <v>0</v>
      </c>
      <c r="R342" s="66">
        <v>0</v>
      </c>
      <c r="S342" s="35" t="e">
        <f t="shared" si="734"/>
        <v>#DIV/0!</v>
      </c>
      <c r="T342" s="6" t="e">
        <f t="shared" si="735"/>
        <v>#DIV/0!</v>
      </c>
      <c r="U342" s="68">
        <v>0</v>
      </c>
      <c r="V342" s="66">
        <v>0</v>
      </c>
      <c r="W342" s="20" t="e">
        <f t="shared" si="736"/>
        <v>#DIV/0!</v>
      </c>
      <c r="X342" s="6" t="e">
        <f t="shared" si="737"/>
        <v>#DIV/0!</v>
      </c>
      <c r="Y342" s="68">
        <v>0</v>
      </c>
      <c r="Z342" s="70">
        <v>0</v>
      </c>
      <c r="AA342" s="35" t="e">
        <f t="shared" si="738"/>
        <v>#DIV/0!</v>
      </c>
      <c r="AB342" s="11" t="e">
        <f t="shared" si="739"/>
        <v>#DIV/0!</v>
      </c>
      <c r="AC342" s="20">
        <v>19410</v>
      </c>
      <c r="AD342" s="33">
        <v>836</v>
      </c>
      <c r="AE342" s="35">
        <f t="shared" si="740"/>
        <v>23.217703349282296</v>
      </c>
      <c r="AF342" s="6">
        <f t="shared" si="741"/>
        <v>0.35316408867854648</v>
      </c>
      <c r="AG342" s="68">
        <v>0</v>
      </c>
      <c r="AH342" s="66">
        <v>0</v>
      </c>
      <c r="AI342" s="35" t="e">
        <f t="shared" si="742"/>
        <v>#DIV/0!</v>
      </c>
      <c r="AJ342" s="6" t="e">
        <f t="shared" si="743"/>
        <v>#DIV/0!</v>
      </c>
      <c r="AK342" s="68">
        <v>3320</v>
      </c>
      <c r="AL342" s="65">
        <v>244</v>
      </c>
      <c r="AM342" s="35">
        <f t="shared" si="744"/>
        <v>13.60655737704918</v>
      </c>
      <c r="AN342" s="6">
        <f t="shared" si="745"/>
        <v>0.20696911162259596</v>
      </c>
      <c r="AO342" s="68">
        <v>0</v>
      </c>
      <c r="AP342" s="66">
        <v>0</v>
      </c>
      <c r="AQ342" s="35" t="e">
        <f t="shared" si="746"/>
        <v>#DIV/0!</v>
      </c>
      <c r="AR342" s="6" t="e">
        <f t="shared" si="747"/>
        <v>#DIV/0!</v>
      </c>
      <c r="AS342" s="68">
        <v>0</v>
      </c>
      <c r="AT342" s="66">
        <v>0</v>
      </c>
      <c r="AU342" s="35" t="e">
        <f t="shared" si="748"/>
        <v>#DIV/0!</v>
      </c>
      <c r="AV342" s="6" t="e">
        <f t="shared" si="749"/>
        <v>#DIV/0!</v>
      </c>
      <c r="AW342" s="68">
        <v>0</v>
      </c>
      <c r="AX342" s="66">
        <v>0</v>
      </c>
      <c r="AY342" s="35" t="e">
        <f t="shared" si="750"/>
        <v>#DIV/0!</v>
      </c>
      <c r="AZ342" s="6" t="e">
        <f t="shared" si="751"/>
        <v>#DIV/0!</v>
      </c>
      <c r="BA342" s="68">
        <v>0</v>
      </c>
      <c r="BB342" s="66">
        <v>0</v>
      </c>
      <c r="BC342" s="35" t="e">
        <f t="shared" si="752"/>
        <v>#DIV/0!</v>
      </c>
      <c r="BD342" s="11" t="e">
        <f t="shared" si="753"/>
        <v>#DIV/0!</v>
      </c>
    </row>
    <row r="343" spans="1:56" ht="15.75" thickBot="1" x14ac:dyDescent="0.3">
      <c r="A343" s="19" t="s">
        <v>3</v>
      </c>
      <c r="B343" s="8">
        <v>143880</v>
      </c>
      <c r="C343" s="35">
        <f>B343/F337</f>
        <v>79.667774086378742</v>
      </c>
      <c r="D343" s="8">
        <v>2700</v>
      </c>
      <c r="E343" s="68">
        <v>36420</v>
      </c>
      <c r="F343" s="69">
        <v>723</v>
      </c>
      <c r="G343" s="35">
        <f t="shared" si="728"/>
        <v>50.373443983402488</v>
      </c>
      <c r="H343" s="11">
        <f t="shared" si="729"/>
        <v>0.63229385483753742</v>
      </c>
      <c r="I343" s="35">
        <v>0</v>
      </c>
      <c r="J343" s="70">
        <v>0</v>
      </c>
      <c r="K343" s="35" t="e">
        <f t="shared" si="730"/>
        <v>#DIV/0!</v>
      </c>
      <c r="L343" s="6" t="e">
        <f t="shared" si="731"/>
        <v>#DIV/0!</v>
      </c>
      <c r="M343" s="68">
        <v>0</v>
      </c>
      <c r="N343" s="5">
        <v>0</v>
      </c>
      <c r="O343" s="35" t="e">
        <f t="shared" si="732"/>
        <v>#DIV/0!</v>
      </c>
      <c r="P343" s="11" t="e">
        <f t="shared" si="733"/>
        <v>#DIV/0!</v>
      </c>
      <c r="Q343" s="35">
        <v>0</v>
      </c>
      <c r="R343" s="66">
        <v>0</v>
      </c>
      <c r="S343" s="35" t="e">
        <f t="shared" si="734"/>
        <v>#DIV/0!</v>
      </c>
      <c r="T343" s="6" t="e">
        <f t="shared" si="735"/>
        <v>#DIV/0!</v>
      </c>
      <c r="U343" s="68">
        <v>0</v>
      </c>
      <c r="V343" s="66">
        <v>0</v>
      </c>
      <c r="W343" s="20" t="e">
        <f t="shared" si="736"/>
        <v>#DIV/0!</v>
      </c>
      <c r="X343" s="6" t="e">
        <f t="shared" si="737"/>
        <v>#DIV/0!</v>
      </c>
      <c r="Y343" s="68">
        <v>0</v>
      </c>
      <c r="Z343" s="70">
        <v>0</v>
      </c>
      <c r="AA343" s="35" t="e">
        <f t="shared" si="738"/>
        <v>#DIV/0!</v>
      </c>
      <c r="AB343" s="11" t="e">
        <f t="shared" si="739"/>
        <v>#DIV/0!</v>
      </c>
      <c r="AC343" s="20">
        <v>20660</v>
      </c>
      <c r="AD343" s="33">
        <v>836</v>
      </c>
      <c r="AE343" s="35">
        <f t="shared" si="740"/>
        <v>24.71291866028708</v>
      </c>
      <c r="AF343" s="6">
        <f t="shared" si="741"/>
        <v>0.31019968793771519</v>
      </c>
      <c r="AG343" s="68">
        <v>0</v>
      </c>
      <c r="AH343" s="66">
        <v>0</v>
      </c>
      <c r="AI343" s="35" t="e">
        <f t="shared" si="742"/>
        <v>#DIV/0!</v>
      </c>
      <c r="AJ343" s="6" t="e">
        <f t="shared" si="743"/>
        <v>#DIV/0!</v>
      </c>
      <c r="AK343" s="68">
        <v>4340</v>
      </c>
      <c r="AL343" s="65">
        <v>244</v>
      </c>
      <c r="AM343" s="35">
        <f t="shared" si="744"/>
        <v>17.78688524590164</v>
      </c>
      <c r="AN343" s="6">
        <f t="shared" si="745"/>
        <v>0.22326323849109231</v>
      </c>
      <c r="AO343" s="68">
        <v>0</v>
      </c>
      <c r="AP343" s="66">
        <v>0</v>
      </c>
      <c r="AQ343" s="35" t="e">
        <f t="shared" si="746"/>
        <v>#DIV/0!</v>
      </c>
      <c r="AR343" s="6" t="e">
        <f t="shared" si="747"/>
        <v>#DIV/0!</v>
      </c>
      <c r="AS343" s="68">
        <v>0</v>
      </c>
      <c r="AT343" s="66">
        <v>0</v>
      </c>
      <c r="AU343" s="35" t="e">
        <f t="shared" si="748"/>
        <v>#DIV/0!</v>
      </c>
      <c r="AV343" s="6" t="e">
        <f t="shared" si="749"/>
        <v>#DIV/0!</v>
      </c>
      <c r="AW343" s="68">
        <v>0</v>
      </c>
      <c r="AX343" s="66">
        <v>0</v>
      </c>
      <c r="AY343" s="35" t="e">
        <f t="shared" si="750"/>
        <v>#DIV/0!</v>
      </c>
      <c r="AZ343" s="6" t="e">
        <f t="shared" si="751"/>
        <v>#DIV/0!</v>
      </c>
      <c r="BA343" s="68">
        <v>0</v>
      </c>
      <c r="BB343" s="66">
        <v>0</v>
      </c>
      <c r="BC343" s="35" t="e">
        <f t="shared" si="752"/>
        <v>#DIV/0!</v>
      </c>
      <c r="BD343" s="11" t="e">
        <f t="shared" si="753"/>
        <v>#DIV/0!</v>
      </c>
    </row>
    <row r="344" spans="1:56" ht="15.75" thickBot="1" x14ac:dyDescent="0.3">
      <c r="A344" s="19" t="s">
        <v>4</v>
      </c>
      <c r="B344" s="8">
        <v>178000</v>
      </c>
      <c r="C344" s="35">
        <f>B344/F337</f>
        <v>98.560354374307863</v>
      </c>
      <c r="D344" s="8">
        <v>5250</v>
      </c>
      <c r="E344" s="68">
        <v>49960</v>
      </c>
      <c r="F344" s="69">
        <v>723</v>
      </c>
      <c r="G344" s="35">
        <f t="shared" si="728"/>
        <v>69.100968188105114</v>
      </c>
      <c r="H344" s="11">
        <f t="shared" si="729"/>
        <v>0.70110308172875191</v>
      </c>
      <c r="I344" s="35">
        <v>0</v>
      </c>
      <c r="J344" s="70">
        <v>0</v>
      </c>
      <c r="K344" s="35" t="e">
        <f t="shared" si="730"/>
        <v>#DIV/0!</v>
      </c>
      <c r="L344" s="6" t="e">
        <f t="shared" si="731"/>
        <v>#DIV/0!</v>
      </c>
      <c r="M344" s="68">
        <v>0</v>
      </c>
      <c r="N344" s="5">
        <v>0</v>
      </c>
      <c r="O344" s="35" t="e">
        <f t="shared" si="732"/>
        <v>#DIV/0!</v>
      </c>
      <c r="P344" s="11" t="e">
        <f t="shared" si="733"/>
        <v>#DIV/0!</v>
      </c>
      <c r="Q344" s="35">
        <v>0</v>
      </c>
      <c r="R344" s="66">
        <v>0</v>
      </c>
      <c r="S344" s="35" t="e">
        <f t="shared" si="734"/>
        <v>#DIV/0!</v>
      </c>
      <c r="T344" s="6" t="e">
        <f t="shared" si="735"/>
        <v>#DIV/0!</v>
      </c>
      <c r="U344" s="68">
        <v>0</v>
      </c>
      <c r="V344" s="66">
        <v>0</v>
      </c>
      <c r="W344" s="20" t="e">
        <f t="shared" si="736"/>
        <v>#DIV/0!</v>
      </c>
      <c r="X344" s="6" t="e">
        <f t="shared" si="737"/>
        <v>#DIV/0!</v>
      </c>
      <c r="Y344" s="68">
        <v>0</v>
      </c>
      <c r="Z344" s="70">
        <v>0</v>
      </c>
      <c r="AA344" s="35" t="e">
        <f t="shared" si="738"/>
        <v>#DIV/0!</v>
      </c>
      <c r="AB344" s="11" t="e">
        <f t="shared" si="739"/>
        <v>#DIV/0!</v>
      </c>
      <c r="AC344" s="20">
        <v>23470</v>
      </c>
      <c r="AD344" s="33">
        <v>836</v>
      </c>
      <c r="AE344" s="35">
        <f t="shared" si="740"/>
        <v>28.074162679425836</v>
      </c>
      <c r="AF344" s="6">
        <f t="shared" si="741"/>
        <v>0.28484234718563517</v>
      </c>
      <c r="AG344" s="68">
        <v>0</v>
      </c>
      <c r="AH344" s="66">
        <v>0</v>
      </c>
      <c r="AI344" s="35" t="e">
        <f t="shared" si="742"/>
        <v>#DIV/0!</v>
      </c>
      <c r="AJ344" s="6" t="e">
        <f t="shared" si="743"/>
        <v>#DIV/0!</v>
      </c>
      <c r="AK344" s="68">
        <v>4750</v>
      </c>
      <c r="AL344" s="65">
        <v>244</v>
      </c>
      <c r="AM344" s="35">
        <f t="shared" si="744"/>
        <v>19.467213114754099</v>
      </c>
      <c r="AN344" s="6">
        <f t="shared" si="745"/>
        <v>0.19751565665868484</v>
      </c>
      <c r="AO344" s="68">
        <v>0</v>
      </c>
      <c r="AP344" s="66">
        <v>0</v>
      </c>
      <c r="AQ344" s="35" t="e">
        <f t="shared" si="746"/>
        <v>#DIV/0!</v>
      </c>
      <c r="AR344" s="6" t="e">
        <f t="shared" si="747"/>
        <v>#DIV/0!</v>
      </c>
      <c r="AS344" s="68">
        <v>0</v>
      </c>
      <c r="AT344" s="66">
        <v>0</v>
      </c>
      <c r="AU344" s="35" t="e">
        <f t="shared" si="748"/>
        <v>#DIV/0!</v>
      </c>
      <c r="AV344" s="6" t="e">
        <f t="shared" si="749"/>
        <v>#DIV/0!</v>
      </c>
      <c r="AW344" s="68">
        <v>0</v>
      </c>
      <c r="AX344" s="66">
        <v>0</v>
      </c>
      <c r="AY344" s="35" t="e">
        <f t="shared" si="750"/>
        <v>#DIV/0!</v>
      </c>
      <c r="AZ344" s="6" t="e">
        <f t="shared" si="751"/>
        <v>#DIV/0!</v>
      </c>
      <c r="BA344" s="68">
        <v>0</v>
      </c>
      <c r="BB344" s="66">
        <v>0</v>
      </c>
      <c r="BC344" s="35" t="e">
        <f t="shared" si="752"/>
        <v>#DIV/0!</v>
      </c>
      <c r="BD344" s="11" t="e">
        <f t="shared" si="753"/>
        <v>#DIV/0!</v>
      </c>
    </row>
    <row r="345" spans="1:56" ht="15.75" thickBot="1" x14ac:dyDescent="0.3">
      <c r="A345" s="19" t="s">
        <v>5</v>
      </c>
      <c r="B345" s="8">
        <v>236500</v>
      </c>
      <c r="C345" s="35">
        <f>B345/F337</f>
        <v>130.95238095238096</v>
      </c>
      <c r="D345" s="8">
        <v>7050</v>
      </c>
      <c r="E345" s="68">
        <v>55540</v>
      </c>
      <c r="F345" s="69">
        <v>723</v>
      </c>
      <c r="G345" s="35">
        <f t="shared" si="728"/>
        <v>76.818810511756567</v>
      </c>
      <c r="H345" s="11">
        <f t="shared" si="729"/>
        <v>0.58661637118068644</v>
      </c>
      <c r="I345" s="35">
        <v>0</v>
      </c>
      <c r="J345" s="70">
        <v>0</v>
      </c>
      <c r="K345" s="35" t="e">
        <f t="shared" si="730"/>
        <v>#DIV/0!</v>
      </c>
      <c r="L345" s="6" t="e">
        <f t="shared" si="731"/>
        <v>#DIV/0!</v>
      </c>
      <c r="M345" s="68">
        <v>0</v>
      </c>
      <c r="N345" s="5">
        <v>0</v>
      </c>
      <c r="O345" s="35" t="e">
        <f t="shared" si="732"/>
        <v>#DIV/0!</v>
      </c>
      <c r="P345" s="11" t="e">
        <f t="shared" si="733"/>
        <v>#DIV/0!</v>
      </c>
      <c r="Q345" s="35">
        <v>0</v>
      </c>
      <c r="R345" s="66">
        <v>0</v>
      </c>
      <c r="S345" s="35" t="e">
        <f t="shared" si="734"/>
        <v>#DIV/0!</v>
      </c>
      <c r="T345" s="6" t="e">
        <f t="shared" si="735"/>
        <v>#DIV/0!</v>
      </c>
      <c r="U345" s="68">
        <v>0</v>
      </c>
      <c r="V345" s="66">
        <v>0</v>
      </c>
      <c r="W345" s="20" t="e">
        <f t="shared" si="736"/>
        <v>#DIV/0!</v>
      </c>
      <c r="X345" s="6" t="e">
        <f t="shared" si="737"/>
        <v>#DIV/0!</v>
      </c>
      <c r="Y345" s="68">
        <v>0</v>
      </c>
      <c r="Z345" s="70">
        <v>0</v>
      </c>
      <c r="AA345" s="35" t="e">
        <f t="shared" si="738"/>
        <v>#DIV/0!</v>
      </c>
      <c r="AB345" s="11" t="e">
        <f t="shared" si="739"/>
        <v>#DIV/0!</v>
      </c>
      <c r="AC345" s="20">
        <v>24280</v>
      </c>
      <c r="AD345" s="33">
        <v>836</v>
      </c>
      <c r="AE345" s="35">
        <f t="shared" si="740"/>
        <v>29.043062200956939</v>
      </c>
      <c r="AF345" s="6">
        <f t="shared" si="741"/>
        <v>0.22178338408003478</v>
      </c>
      <c r="AG345" s="68">
        <v>0</v>
      </c>
      <c r="AH345" s="66">
        <v>0</v>
      </c>
      <c r="AI345" s="35" t="e">
        <f t="shared" si="742"/>
        <v>#DIV/0!</v>
      </c>
      <c r="AJ345" s="6" t="e">
        <f t="shared" si="743"/>
        <v>#DIV/0!</v>
      </c>
      <c r="AK345" s="68">
        <v>5840</v>
      </c>
      <c r="AL345" s="65">
        <v>244</v>
      </c>
      <c r="AM345" s="35">
        <f t="shared" si="744"/>
        <v>23.934426229508198</v>
      </c>
      <c r="AN345" s="6">
        <f t="shared" si="745"/>
        <v>0.1827719821162444</v>
      </c>
      <c r="AO345" s="68">
        <v>0</v>
      </c>
      <c r="AP345" s="66">
        <v>0</v>
      </c>
      <c r="AQ345" s="35" t="e">
        <f t="shared" si="746"/>
        <v>#DIV/0!</v>
      </c>
      <c r="AR345" s="6" t="e">
        <f t="shared" si="747"/>
        <v>#DIV/0!</v>
      </c>
      <c r="AS345" s="68">
        <v>0</v>
      </c>
      <c r="AT345" s="66">
        <v>0</v>
      </c>
      <c r="AU345" s="35" t="e">
        <f t="shared" si="748"/>
        <v>#DIV/0!</v>
      </c>
      <c r="AV345" s="6" t="e">
        <f t="shared" si="749"/>
        <v>#DIV/0!</v>
      </c>
      <c r="AW345" s="68">
        <v>0</v>
      </c>
      <c r="AX345" s="66">
        <v>0</v>
      </c>
      <c r="AY345" s="35" t="e">
        <f t="shared" si="750"/>
        <v>#DIV/0!</v>
      </c>
      <c r="AZ345" s="6" t="e">
        <f t="shared" si="751"/>
        <v>#DIV/0!</v>
      </c>
      <c r="BA345" s="68">
        <v>0</v>
      </c>
      <c r="BB345" s="66">
        <v>0</v>
      </c>
      <c r="BC345" s="35" t="e">
        <f t="shared" si="752"/>
        <v>#DIV/0!</v>
      </c>
      <c r="BD345" s="11" t="e">
        <f t="shared" si="753"/>
        <v>#DIV/0!</v>
      </c>
    </row>
    <row r="346" spans="1:56" x14ac:dyDescent="0.25">
      <c r="A346" s="19" t="s">
        <v>6</v>
      </c>
      <c r="B346" s="8">
        <v>288230</v>
      </c>
      <c r="C346" s="35">
        <f>B346/F337</f>
        <v>159.59579180509414</v>
      </c>
      <c r="D346" s="8">
        <v>10950</v>
      </c>
      <c r="E346" s="68">
        <v>66930</v>
      </c>
      <c r="F346" s="69">
        <v>723</v>
      </c>
      <c r="G346" s="35">
        <f t="shared" si="728"/>
        <v>92.572614107883822</v>
      </c>
      <c r="H346" s="11">
        <f t="shared" si="729"/>
        <v>0.5800442045548283</v>
      </c>
      <c r="I346" s="35">
        <v>0</v>
      </c>
      <c r="J346" s="70">
        <v>0</v>
      </c>
      <c r="K346" s="35" t="e">
        <f t="shared" si="730"/>
        <v>#DIV/0!</v>
      </c>
      <c r="L346" s="6" t="e">
        <f t="shared" si="731"/>
        <v>#DIV/0!</v>
      </c>
      <c r="M346" s="68">
        <v>0</v>
      </c>
      <c r="N346" s="5">
        <v>0</v>
      </c>
      <c r="O346" s="35" t="e">
        <f t="shared" si="732"/>
        <v>#DIV/0!</v>
      </c>
      <c r="P346" s="11" t="e">
        <f t="shared" si="733"/>
        <v>#DIV/0!</v>
      </c>
      <c r="Q346" s="35">
        <v>0</v>
      </c>
      <c r="R346" s="66">
        <v>0</v>
      </c>
      <c r="S346" s="35" t="e">
        <f t="shared" si="734"/>
        <v>#DIV/0!</v>
      </c>
      <c r="T346" s="6" t="e">
        <f t="shared" si="735"/>
        <v>#DIV/0!</v>
      </c>
      <c r="U346" s="68">
        <v>0</v>
      </c>
      <c r="V346" s="66">
        <v>0</v>
      </c>
      <c r="W346" s="20" t="e">
        <f t="shared" si="736"/>
        <v>#DIV/0!</v>
      </c>
      <c r="X346" s="6" t="e">
        <f t="shared" si="737"/>
        <v>#DIV/0!</v>
      </c>
      <c r="Y346" s="68">
        <v>0</v>
      </c>
      <c r="Z346" s="70">
        <v>0</v>
      </c>
      <c r="AA346" s="35" t="e">
        <f t="shared" si="738"/>
        <v>#DIV/0!</v>
      </c>
      <c r="AB346" s="11" t="e">
        <f t="shared" si="739"/>
        <v>#DIV/0!</v>
      </c>
      <c r="AC346" s="20">
        <v>35460</v>
      </c>
      <c r="AD346" s="33">
        <v>836</v>
      </c>
      <c r="AE346" s="35">
        <f t="shared" si="740"/>
        <v>42.41626794258373</v>
      </c>
      <c r="AF346" s="6">
        <f t="shared" si="741"/>
        <v>0.2657730975412213</v>
      </c>
      <c r="AG346" s="68">
        <v>0</v>
      </c>
      <c r="AH346" s="66">
        <v>0</v>
      </c>
      <c r="AI346" s="35" t="e">
        <f t="shared" si="742"/>
        <v>#DIV/0!</v>
      </c>
      <c r="AJ346" s="6" t="e">
        <f t="shared" si="743"/>
        <v>#DIV/0!</v>
      </c>
      <c r="AK346" s="68">
        <v>7070</v>
      </c>
      <c r="AL346" s="65">
        <v>244</v>
      </c>
      <c r="AM346" s="35">
        <f t="shared" si="744"/>
        <v>28.975409836065573</v>
      </c>
      <c r="AN346" s="6">
        <f t="shared" si="745"/>
        <v>0.18155497402745871</v>
      </c>
      <c r="AO346" s="68">
        <v>0</v>
      </c>
      <c r="AP346" s="66">
        <v>0</v>
      </c>
      <c r="AQ346" s="35" t="e">
        <f t="shared" si="746"/>
        <v>#DIV/0!</v>
      </c>
      <c r="AR346" s="6" t="e">
        <f t="shared" si="747"/>
        <v>#DIV/0!</v>
      </c>
      <c r="AS346" s="68">
        <v>0</v>
      </c>
      <c r="AT346" s="66">
        <v>0</v>
      </c>
      <c r="AU346" s="35" t="e">
        <f t="shared" si="748"/>
        <v>#DIV/0!</v>
      </c>
      <c r="AV346" s="6" t="e">
        <f t="shared" si="749"/>
        <v>#DIV/0!</v>
      </c>
      <c r="AW346" s="68">
        <v>0</v>
      </c>
      <c r="AX346" s="66">
        <v>0</v>
      </c>
      <c r="AY346" s="35" t="e">
        <f t="shared" si="750"/>
        <v>#DIV/0!</v>
      </c>
      <c r="AZ346" s="6" t="e">
        <f t="shared" si="751"/>
        <v>#DIV/0!</v>
      </c>
      <c r="BA346" s="68">
        <v>0</v>
      </c>
      <c r="BB346" s="66">
        <v>0</v>
      </c>
      <c r="BC346" s="35" t="e">
        <f t="shared" si="752"/>
        <v>#DIV/0!</v>
      </c>
      <c r="BD346" s="11" t="e">
        <f t="shared" si="753"/>
        <v>#DIV/0!</v>
      </c>
    </row>
    <row r="347" spans="1:56" ht="15.75" thickBot="1" x14ac:dyDescent="0.3">
      <c r="A347" s="21"/>
      <c r="B347" s="22"/>
      <c r="C347" s="23">
        <f>AVERAGE(Table11024[MA $/Sq Ft])</f>
        <v>91.256130359120405</v>
      </c>
      <c r="D347" s="22">
        <f>AVERAGE(Table11024[Basic Allowance])</f>
        <v>4442.8571428571431</v>
      </c>
      <c r="E347" s="16"/>
      <c r="F347" s="22"/>
      <c r="G347" s="15"/>
      <c r="H347" s="24">
        <f>AVERAGE(Table11024[Bsmt % Base])</f>
        <v>0.63672464330325418</v>
      </c>
      <c r="I347" s="15"/>
      <c r="J347" s="15"/>
      <c r="K347" s="15"/>
      <c r="L347" s="25" t="e">
        <f>AVERAGE(Table11024[[#Headers],[#Data],[UnfBsmt % Base]])</f>
        <v>#DIV/0!</v>
      </c>
      <c r="M347" s="44"/>
      <c r="N347" s="15"/>
      <c r="O347" s="23" t="e">
        <f>AVERAGE(Table11024[LowerVal/SqFt])</f>
        <v>#DIV/0!</v>
      </c>
      <c r="P347" s="24" t="e">
        <f>AVERAGE(Table11024[Lower % Base])</f>
        <v>#DIV/0!</v>
      </c>
      <c r="Q347" s="13"/>
      <c r="R347" s="13"/>
      <c r="S347" s="13"/>
      <c r="T347" s="25" t="e">
        <f>AVERAGE(Table11024[Unf Lower % Base])</f>
        <v>#DIV/0!</v>
      </c>
      <c r="U347" s="12"/>
      <c r="V347" s="13"/>
      <c r="W347" s="13"/>
      <c r="X347" s="25" t="e">
        <f>AVERAGE(Table11024[1/2 Story % Base])</f>
        <v>#DIV/0!</v>
      </c>
      <c r="Y347" s="12"/>
      <c r="Z347" s="13"/>
      <c r="AA347" s="13"/>
      <c r="AB347" s="24" t="e">
        <f>AVERAGE(Table11024[2nd Story % Base])</f>
        <v>#DIV/0!</v>
      </c>
      <c r="AC347" s="13"/>
      <c r="AD347" s="13"/>
      <c r="AE347" s="23">
        <f>AVERAGE(Table11024[AttGarVal/SqFt])</f>
        <v>25.560492139439507</v>
      </c>
      <c r="AF347" s="25">
        <f>AVERAGE(Table11024[Att Gar % Base])</f>
        <v>0.29101694791801253</v>
      </c>
      <c r="AG347" s="12"/>
      <c r="AH347" s="13"/>
      <c r="AI347" s="13"/>
      <c r="AJ347" s="25" t="e">
        <f>AVERAGE(Table11024[Porch % Base])</f>
        <v>#DIV/0!</v>
      </c>
      <c r="AK347" s="12"/>
      <c r="AL347" s="13"/>
      <c r="AM347" s="13"/>
      <c r="AN347" s="25">
        <f>AVERAGE(Table11024[Cov Porch % Base])</f>
        <v>0.1963991618143906</v>
      </c>
      <c r="AO347" s="12"/>
      <c r="AP347" s="13"/>
      <c r="AQ347" s="13"/>
      <c r="AR347" s="25" t="e">
        <f>AVERAGE(Table11024[Deck % Base])</f>
        <v>#DIV/0!</v>
      </c>
      <c r="AS347" s="12"/>
      <c r="AT347" s="13"/>
      <c r="AU347" s="23" t="e">
        <f>AVERAGE(Table11024[CovDeckVal/SqFt])</f>
        <v>#DIV/0!</v>
      </c>
      <c r="AV347" s="25" t="e">
        <f>AVERAGE(Table11024[CovDeck % Base])</f>
        <v>#DIV/0!</v>
      </c>
      <c r="AW347" s="12"/>
      <c r="AX347" s="13"/>
      <c r="AY347" s="13"/>
      <c r="AZ347" s="25" t="e">
        <f>AVERAGE(Table11024[CarP % Base])</f>
        <v>#DIV/0!</v>
      </c>
      <c r="BA347" s="12"/>
      <c r="BB347" s="13"/>
      <c r="BC347" s="13"/>
      <c r="BD347" s="24" t="e">
        <f>AVERAGE(Table11024[EFP % Base])</f>
        <v>#DIV/0!</v>
      </c>
    </row>
    <row r="349" spans="1:56" ht="15.75" thickBot="1" x14ac:dyDescent="0.3">
      <c r="A349" s="82"/>
      <c r="B349" t="s">
        <v>79</v>
      </c>
      <c r="C349" s="78" t="s">
        <v>118</v>
      </c>
      <c r="E349" t="s">
        <v>33</v>
      </c>
      <c r="F349" s="79">
        <v>1194</v>
      </c>
      <c r="H349" t="s">
        <v>80</v>
      </c>
      <c r="I349" t="s">
        <v>194</v>
      </c>
    </row>
    <row r="350" spans="1:56" x14ac:dyDescent="0.25">
      <c r="A350" s="112"/>
      <c r="B350" s="113"/>
      <c r="C350" s="113"/>
      <c r="D350" s="114"/>
      <c r="E350" s="115" t="s">
        <v>27</v>
      </c>
      <c r="F350" s="116"/>
      <c r="G350" s="116"/>
      <c r="H350" s="117"/>
      <c r="I350" s="118" t="s">
        <v>28</v>
      </c>
      <c r="J350" s="119"/>
      <c r="K350" s="119"/>
      <c r="L350" s="120"/>
      <c r="M350" s="121" t="s">
        <v>7</v>
      </c>
      <c r="N350" s="122"/>
      <c r="O350" s="122"/>
      <c r="P350" s="123"/>
      <c r="Q350" s="124" t="s">
        <v>29</v>
      </c>
      <c r="R350" s="125"/>
      <c r="S350" s="125"/>
      <c r="T350" s="126"/>
      <c r="U350" s="127" t="s">
        <v>8</v>
      </c>
      <c r="V350" s="128"/>
      <c r="W350" s="128"/>
      <c r="X350" s="129"/>
      <c r="Y350" s="130" t="s">
        <v>0</v>
      </c>
      <c r="Z350" s="131"/>
      <c r="AA350" s="131"/>
      <c r="AB350" s="132"/>
      <c r="AC350" s="133" t="s">
        <v>34</v>
      </c>
      <c r="AD350" s="134"/>
      <c r="AE350" s="134"/>
      <c r="AF350" s="135"/>
      <c r="AG350" s="115" t="s">
        <v>9</v>
      </c>
      <c r="AH350" s="116"/>
      <c r="AI350" s="116"/>
      <c r="AJ350" s="117"/>
      <c r="AK350" s="136" t="s">
        <v>35</v>
      </c>
      <c r="AL350" s="137"/>
      <c r="AM350" s="137"/>
      <c r="AN350" s="138"/>
      <c r="AO350" s="139" t="s">
        <v>10</v>
      </c>
      <c r="AP350" s="140"/>
      <c r="AQ350" s="140"/>
      <c r="AR350" s="141"/>
      <c r="AS350" s="124" t="s">
        <v>36</v>
      </c>
      <c r="AT350" s="125"/>
      <c r="AU350" s="125"/>
      <c r="AV350" s="126"/>
      <c r="AW350" s="142" t="s">
        <v>11</v>
      </c>
      <c r="AX350" s="143"/>
      <c r="AY350" s="143"/>
      <c r="AZ350" s="144"/>
      <c r="BA350" s="148" t="s">
        <v>17</v>
      </c>
      <c r="BB350" s="149"/>
      <c r="BC350" s="149"/>
      <c r="BD350" s="150"/>
    </row>
    <row r="351" spans="1:56" s="1" customFormat="1" ht="15.75" thickBot="1" x14ac:dyDescent="0.3">
      <c r="A351" s="41" t="s">
        <v>13</v>
      </c>
      <c r="B351" s="42" t="s">
        <v>15</v>
      </c>
      <c r="C351" s="42" t="s">
        <v>32</v>
      </c>
      <c r="D351" s="43" t="s">
        <v>18</v>
      </c>
      <c r="E351" s="30" t="s">
        <v>30</v>
      </c>
      <c r="F351" s="31" t="s">
        <v>61</v>
      </c>
      <c r="G351" s="31" t="s">
        <v>38</v>
      </c>
      <c r="H351" s="32" t="s">
        <v>62</v>
      </c>
      <c r="I351" s="37" t="s">
        <v>31</v>
      </c>
      <c r="J351" s="38" t="s">
        <v>39</v>
      </c>
      <c r="K351" s="38" t="s">
        <v>40</v>
      </c>
      <c r="L351" s="39" t="s">
        <v>63</v>
      </c>
      <c r="M351" s="40" t="s">
        <v>19</v>
      </c>
      <c r="N351" s="7" t="s">
        <v>41</v>
      </c>
      <c r="O351" s="7" t="s">
        <v>37</v>
      </c>
      <c r="P351" s="7" t="s">
        <v>64</v>
      </c>
      <c r="Q351" s="27" t="s">
        <v>20</v>
      </c>
      <c r="R351" s="28" t="s">
        <v>60</v>
      </c>
      <c r="S351" s="28" t="s">
        <v>59</v>
      </c>
      <c r="T351" s="29" t="s">
        <v>65</v>
      </c>
      <c r="U351" s="48" t="s">
        <v>21</v>
      </c>
      <c r="V351" s="48" t="s">
        <v>42</v>
      </c>
      <c r="W351" s="48" t="s">
        <v>43</v>
      </c>
      <c r="X351" s="49" t="s">
        <v>66</v>
      </c>
      <c r="Y351" s="50" t="s">
        <v>22</v>
      </c>
      <c r="Z351" s="51" t="s">
        <v>44</v>
      </c>
      <c r="AA351" s="51" t="s">
        <v>45</v>
      </c>
      <c r="AB351" s="52" t="s">
        <v>67</v>
      </c>
      <c r="AC351" s="45" t="s">
        <v>23</v>
      </c>
      <c r="AD351" s="46" t="s">
        <v>46</v>
      </c>
      <c r="AE351" s="46" t="s">
        <v>47</v>
      </c>
      <c r="AF351" s="47" t="s">
        <v>68</v>
      </c>
      <c r="AG351" s="30" t="s">
        <v>24</v>
      </c>
      <c r="AH351" s="31" t="s">
        <v>48</v>
      </c>
      <c r="AI351" s="31" t="s">
        <v>49</v>
      </c>
      <c r="AJ351" s="32" t="s">
        <v>69</v>
      </c>
      <c r="AK351" s="53" t="s">
        <v>25</v>
      </c>
      <c r="AL351" s="54" t="s">
        <v>50</v>
      </c>
      <c r="AM351" s="54" t="s">
        <v>51</v>
      </c>
      <c r="AN351" s="55" t="s">
        <v>70</v>
      </c>
      <c r="AO351" s="56" t="s">
        <v>26</v>
      </c>
      <c r="AP351" s="57" t="s">
        <v>52</v>
      </c>
      <c r="AQ351" s="57" t="s">
        <v>53</v>
      </c>
      <c r="AR351" s="58" t="s">
        <v>71</v>
      </c>
      <c r="AS351" s="59" t="s">
        <v>55</v>
      </c>
      <c r="AT351" s="60" t="s">
        <v>54</v>
      </c>
      <c r="AU351" s="60" t="s">
        <v>56</v>
      </c>
      <c r="AV351" s="61" t="s">
        <v>76</v>
      </c>
      <c r="AW351" s="62" t="s">
        <v>72</v>
      </c>
      <c r="AX351" s="63" t="s">
        <v>73</v>
      </c>
      <c r="AY351" s="63" t="s">
        <v>74</v>
      </c>
      <c r="AZ351" s="64" t="s">
        <v>75</v>
      </c>
      <c r="BA351" s="71" t="s">
        <v>77</v>
      </c>
      <c r="BB351" s="72" t="s">
        <v>57</v>
      </c>
      <c r="BC351" s="72" t="s">
        <v>58</v>
      </c>
      <c r="BD351" s="73" t="s">
        <v>78</v>
      </c>
    </row>
    <row r="352" spans="1:56" ht="15.75" thickBot="1" x14ac:dyDescent="0.3">
      <c r="A352" s="17" t="s">
        <v>1</v>
      </c>
      <c r="B352" s="14">
        <v>60640</v>
      </c>
      <c r="C352" s="34">
        <f>B352/F349</f>
        <v>50.787269681742046</v>
      </c>
      <c r="D352" s="14">
        <v>1525</v>
      </c>
      <c r="E352" s="67">
        <v>0</v>
      </c>
      <c r="F352" s="69">
        <v>0</v>
      </c>
      <c r="G352" s="34" t="e">
        <f t="shared" ref="G352:G358" si="754">E352/F352</f>
        <v>#DIV/0!</v>
      </c>
      <c r="H352" s="10" t="e">
        <f t="shared" ref="H352:H358" si="755">G352/C352</f>
        <v>#DIV/0!</v>
      </c>
      <c r="I352" s="34">
        <v>0</v>
      </c>
      <c r="J352" s="69">
        <v>0</v>
      </c>
      <c r="K352" s="34" t="e">
        <f t="shared" ref="K352:K358" si="756">I352/J352</f>
        <v>#DIV/0!</v>
      </c>
      <c r="L352" s="9" t="e">
        <f t="shared" ref="L352:L358" si="757">K352/C352</f>
        <v>#DIV/0!</v>
      </c>
      <c r="M352" s="67">
        <v>0</v>
      </c>
      <c r="N352" s="26">
        <v>0</v>
      </c>
      <c r="O352" s="34" t="e">
        <f t="shared" ref="O352:O358" si="758">M352/N352</f>
        <v>#DIV/0!</v>
      </c>
      <c r="P352" s="10" t="e">
        <f t="shared" ref="P352:P358" si="759">O352/C352</f>
        <v>#DIV/0!</v>
      </c>
      <c r="Q352" s="35">
        <v>0</v>
      </c>
      <c r="R352" s="66">
        <v>0</v>
      </c>
      <c r="S352" s="35" t="e">
        <f t="shared" ref="S352:S358" si="760">Q352/R352</f>
        <v>#DIV/0!</v>
      </c>
      <c r="T352" s="6" t="e">
        <f t="shared" ref="T352:T358" si="761">S352/C352</f>
        <v>#DIV/0!</v>
      </c>
      <c r="U352" s="67">
        <v>0</v>
      </c>
      <c r="V352" s="65">
        <v>0</v>
      </c>
      <c r="W352" s="18" t="e">
        <f t="shared" ref="W352:W358" si="762">U352/V352</f>
        <v>#DIV/0!</v>
      </c>
      <c r="X352" s="9" t="e">
        <f t="shared" ref="X352:X358" si="763">W352/C352</f>
        <v>#DIV/0!</v>
      </c>
      <c r="Y352" s="67">
        <v>59770</v>
      </c>
      <c r="Z352" s="69">
        <v>1756</v>
      </c>
      <c r="AA352" s="34">
        <f t="shared" ref="AA352:AA358" si="764">Y352/Z352</f>
        <v>34.037585421412302</v>
      </c>
      <c r="AB352" s="10">
        <f t="shared" ref="AB352:AB358" si="765">AA352/C352</f>
        <v>0.67019915885828307</v>
      </c>
      <c r="AC352" s="18">
        <v>10090</v>
      </c>
      <c r="AD352" s="33">
        <v>710</v>
      </c>
      <c r="AE352" s="34">
        <f t="shared" ref="AE352:AE358" si="766">AC352/AD352</f>
        <v>14.211267605633802</v>
      </c>
      <c r="AF352" s="9">
        <f t="shared" ref="AF352:AF358" si="767">AE352/C352</f>
        <v>0.27981948418744657</v>
      </c>
      <c r="AG352" s="67">
        <v>0</v>
      </c>
      <c r="AH352" s="65">
        <v>0</v>
      </c>
      <c r="AI352" s="34" t="e">
        <f t="shared" ref="AI352:AI358" si="768">AG352/AH352</f>
        <v>#DIV/0!</v>
      </c>
      <c r="AJ352" s="9" t="e">
        <f t="shared" ref="AJ352:AJ358" si="769">AI352/C352</f>
        <v>#DIV/0!</v>
      </c>
      <c r="AK352" s="67">
        <v>0</v>
      </c>
      <c r="AL352" s="65">
        <v>0</v>
      </c>
      <c r="AM352" s="34" t="e">
        <f t="shared" ref="AM352:AM358" si="770">AK352/AL352</f>
        <v>#DIV/0!</v>
      </c>
      <c r="AN352" s="9" t="e">
        <f t="shared" ref="AN352:AN358" si="771">AM352/C352</f>
        <v>#DIV/0!</v>
      </c>
      <c r="AO352" s="67">
        <v>0</v>
      </c>
      <c r="AP352" s="65">
        <v>0</v>
      </c>
      <c r="AQ352" s="34" t="e">
        <f t="shared" ref="AQ352:AQ358" si="772">AO352/AP352</f>
        <v>#DIV/0!</v>
      </c>
      <c r="AR352" s="9" t="e">
        <f t="shared" ref="AR352:AR358" si="773">AQ352/C352</f>
        <v>#DIV/0!</v>
      </c>
      <c r="AS352" s="67">
        <v>0</v>
      </c>
      <c r="AT352" s="65">
        <v>0</v>
      </c>
      <c r="AU352" s="34" t="e">
        <f t="shared" ref="AU352:AU358" si="774">AS352/AT352</f>
        <v>#DIV/0!</v>
      </c>
      <c r="AV352" s="9" t="e">
        <f t="shared" ref="AV352:AV358" si="775">AU352/C352</f>
        <v>#DIV/0!</v>
      </c>
      <c r="AW352" s="67">
        <v>0</v>
      </c>
      <c r="AX352" s="65">
        <v>0</v>
      </c>
      <c r="AY352" s="34" t="e">
        <f t="shared" ref="AY352:AY358" si="776">AW352/AX352</f>
        <v>#DIV/0!</v>
      </c>
      <c r="AZ352" s="9" t="e">
        <f t="shared" ref="AZ352:AZ358" si="777">AY352/C352</f>
        <v>#DIV/0!</v>
      </c>
      <c r="BA352" s="67">
        <v>0</v>
      </c>
      <c r="BB352" s="65">
        <v>0</v>
      </c>
      <c r="BC352" s="34" t="e">
        <f t="shared" ref="BC352:BC358" si="778">BA352/BB352</f>
        <v>#DIV/0!</v>
      </c>
      <c r="BD352" s="10" t="e">
        <f t="shared" ref="BD352:BD358" si="779">BC352/C352</f>
        <v>#DIV/0!</v>
      </c>
    </row>
    <row r="353" spans="1:56" ht="15.75" thickBot="1" x14ac:dyDescent="0.3">
      <c r="A353" s="19" t="s">
        <v>16</v>
      </c>
      <c r="B353" s="8">
        <v>71350</v>
      </c>
      <c r="C353" s="35">
        <f>B353/F349</f>
        <v>59.757118927973202</v>
      </c>
      <c r="D353" s="8">
        <v>1525</v>
      </c>
      <c r="E353" s="68">
        <v>0</v>
      </c>
      <c r="F353" s="70">
        <v>0</v>
      </c>
      <c r="G353" s="35" t="e">
        <f t="shared" si="754"/>
        <v>#DIV/0!</v>
      </c>
      <c r="H353" s="11" t="e">
        <f t="shared" si="755"/>
        <v>#DIV/0!</v>
      </c>
      <c r="I353" s="35">
        <v>0</v>
      </c>
      <c r="J353" s="70">
        <v>0</v>
      </c>
      <c r="K353" s="35" t="e">
        <f t="shared" si="756"/>
        <v>#DIV/0!</v>
      </c>
      <c r="L353" s="6" t="e">
        <f t="shared" si="757"/>
        <v>#DIV/0!</v>
      </c>
      <c r="M353" s="68">
        <v>0</v>
      </c>
      <c r="N353" s="5">
        <v>0</v>
      </c>
      <c r="O353" s="35" t="e">
        <f t="shared" si="758"/>
        <v>#DIV/0!</v>
      </c>
      <c r="P353" s="11" t="e">
        <f t="shared" si="759"/>
        <v>#DIV/0!</v>
      </c>
      <c r="Q353" s="35">
        <v>0</v>
      </c>
      <c r="R353" s="66">
        <v>0</v>
      </c>
      <c r="S353" s="35" t="e">
        <f t="shared" si="760"/>
        <v>#DIV/0!</v>
      </c>
      <c r="T353" s="6" t="e">
        <f t="shared" si="761"/>
        <v>#DIV/0!</v>
      </c>
      <c r="U353" s="68">
        <v>0</v>
      </c>
      <c r="V353" s="66">
        <v>0</v>
      </c>
      <c r="W353" s="20" t="e">
        <f t="shared" si="762"/>
        <v>#DIV/0!</v>
      </c>
      <c r="X353" s="6" t="e">
        <f t="shared" si="763"/>
        <v>#DIV/0!</v>
      </c>
      <c r="Y353" s="68">
        <v>81270</v>
      </c>
      <c r="Z353" s="69">
        <v>1756</v>
      </c>
      <c r="AA353" s="35">
        <f t="shared" si="764"/>
        <v>46.281321184510247</v>
      </c>
      <c r="AB353" s="11">
        <f t="shared" si="765"/>
        <v>0.77449050447519596</v>
      </c>
      <c r="AC353" s="20">
        <v>13240</v>
      </c>
      <c r="AD353" s="33">
        <v>710</v>
      </c>
      <c r="AE353" s="35">
        <f t="shared" si="766"/>
        <v>18.64788732394366</v>
      </c>
      <c r="AF353" s="6">
        <f t="shared" si="767"/>
        <v>0.31206135199423585</v>
      </c>
      <c r="AG353" s="68">
        <v>0</v>
      </c>
      <c r="AH353" s="66">
        <v>0</v>
      </c>
      <c r="AI353" s="35" t="e">
        <f t="shared" si="768"/>
        <v>#DIV/0!</v>
      </c>
      <c r="AJ353" s="6" t="e">
        <f t="shared" si="769"/>
        <v>#DIV/0!</v>
      </c>
      <c r="AK353" s="68">
        <v>0</v>
      </c>
      <c r="AL353" s="66">
        <v>0</v>
      </c>
      <c r="AM353" s="35" t="e">
        <f t="shared" si="770"/>
        <v>#DIV/0!</v>
      </c>
      <c r="AN353" s="6" t="e">
        <f t="shared" si="771"/>
        <v>#DIV/0!</v>
      </c>
      <c r="AO353" s="68">
        <v>0</v>
      </c>
      <c r="AP353" s="66">
        <v>0</v>
      </c>
      <c r="AQ353" s="35" t="e">
        <f t="shared" si="772"/>
        <v>#DIV/0!</v>
      </c>
      <c r="AR353" s="6" t="e">
        <f t="shared" si="773"/>
        <v>#DIV/0!</v>
      </c>
      <c r="AS353" s="68">
        <v>0</v>
      </c>
      <c r="AT353" s="66">
        <v>0</v>
      </c>
      <c r="AU353" s="35" t="e">
        <f t="shared" si="774"/>
        <v>#DIV/0!</v>
      </c>
      <c r="AV353" s="6" t="e">
        <f t="shared" si="775"/>
        <v>#DIV/0!</v>
      </c>
      <c r="AW353" s="68">
        <v>0</v>
      </c>
      <c r="AX353" s="66">
        <v>0</v>
      </c>
      <c r="AY353" s="35" t="e">
        <f t="shared" si="776"/>
        <v>#DIV/0!</v>
      </c>
      <c r="AZ353" s="6" t="e">
        <f t="shared" si="777"/>
        <v>#DIV/0!</v>
      </c>
      <c r="BA353" s="68">
        <v>0</v>
      </c>
      <c r="BB353" s="66">
        <v>0</v>
      </c>
      <c r="BC353" s="35" t="e">
        <f t="shared" si="778"/>
        <v>#DIV/0!</v>
      </c>
      <c r="BD353" s="11" t="e">
        <f t="shared" si="779"/>
        <v>#DIV/0!</v>
      </c>
    </row>
    <row r="354" spans="1:56" ht="15.75" thickBot="1" x14ac:dyDescent="0.3">
      <c r="A354" s="19" t="s">
        <v>2</v>
      </c>
      <c r="B354" s="8">
        <v>83450</v>
      </c>
      <c r="C354" s="35">
        <f>B354/F349</f>
        <v>69.891122278056955</v>
      </c>
      <c r="D354" s="8">
        <v>2100</v>
      </c>
      <c r="E354" s="68">
        <v>0</v>
      </c>
      <c r="F354" s="70">
        <v>0</v>
      </c>
      <c r="G354" s="35" t="e">
        <f t="shared" si="754"/>
        <v>#DIV/0!</v>
      </c>
      <c r="H354" s="11" t="e">
        <f t="shared" si="755"/>
        <v>#DIV/0!</v>
      </c>
      <c r="I354" s="35">
        <v>0</v>
      </c>
      <c r="J354" s="70">
        <v>0</v>
      </c>
      <c r="K354" s="35" t="e">
        <f t="shared" si="756"/>
        <v>#DIV/0!</v>
      </c>
      <c r="L354" s="6" t="e">
        <f t="shared" si="757"/>
        <v>#DIV/0!</v>
      </c>
      <c r="M354" s="68">
        <v>0</v>
      </c>
      <c r="N354" s="5">
        <v>0</v>
      </c>
      <c r="O354" s="35" t="e">
        <f t="shared" si="758"/>
        <v>#DIV/0!</v>
      </c>
      <c r="P354" s="11" t="e">
        <f t="shared" si="759"/>
        <v>#DIV/0!</v>
      </c>
      <c r="Q354" s="35">
        <v>0</v>
      </c>
      <c r="R354" s="66">
        <v>0</v>
      </c>
      <c r="S354" s="35" t="e">
        <f t="shared" si="760"/>
        <v>#DIV/0!</v>
      </c>
      <c r="T354" s="6" t="e">
        <f t="shared" si="761"/>
        <v>#DIV/0!</v>
      </c>
      <c r="U354" s="68">
        <v>0</v>
      </c>
      <c r="V354" s="66">
        <v>0</v>
      </c>
      <c r="W354" s="20" t="e">
        <f t="shared" si="762"/>
        <v>#DIV/0!</v>
      </c>
      <c r="X354" s="6" t="e">
        <f t="shared" si="763"/>
        <v>#DIV/0!</v>
      </c>
      <c r="Y354" s="68">
        <v>93080</v>
      </c>
      <c r="Z354" s="69">
        <v>1756</v>
      </c>
      <c r="AA354" s="35">
        <f t="shared" si="764"/>
        <v>53.006833712984054</v>
      </c>
      <c r="AB354" s="11">
        <f t="shared" si="765"/>
        <v>0.7584201252642655</v>
      </c>
      <c r="AC354" s="20">
        <v>17120</v>
      </c>
      <c r="AD354" s="33">
        <v>710</v>
      </c>
      <c r="AE354" s="35">
        <f t="shared" si="766"/>
        <v>24.112676056338028</v>
      </c>
      <c r="AF354" s="6">
        <f t="shared" si="767"/>
        <v>0.34500341775036075</v>
      </c>
      <c r="AG354" s="68">
        <v>0</v>
      </c>
      <c r="AH354" s="66">
        <v>0</v>
      </c>
      <c r="AI354" s="35" t="e">
        <f t="shared" si="768"/>
        <v>#DIV/0!</v>
      </c>
      <c r="AJ354" s="6" t="e">
        <f t="shared" si="769"/>
        <v>#DIV/0!</v>
      </c>
      <c r="AK354" s="68">
        <v>0</v>
      </c>
      <c r="AL354" s="66">
        <v>0</v>
      </c>
      <c r="AM354" s="35" t="e">
        <f t="shared" si="770"/>
        <v>#DIV/0!</v>
      </c>
      <c r="AN354" s="6" t="e">
        <f t="shared" si="771"/>
        <v>#DIV/0!</v>
      </c>
      <c r="AO354" s="68">
        <v>0</v>
      </c>
      <c r="AP354" s="66">
        <v>0</v>
      </c>
      <c r="AQ354" s="35" t="e">
        <f t="shared" si="772"/>
        <v>#DIV/0!</v>
      </c>
      <c r="AR354" s="6" t="e">
        <f t="shared" si="773"/>
        <v>#DIV/0!</v>
      </c>
      <c r="AS354" s="68">
        <v>0</v>
      </c>
      <c r="AT354" s="66">
        <v>0</v>
      </c>
      <c r="AU354" s="35" t="e">
        <f t="shared" si="774"/>
        <v>#DIV/0!</v>
      </c>
      <c r="AV354" s="6" t="e">
        <f t="shared" si="775"/>
        <v>#DIV/0!</v>
      </c>
      <c r="AW354" s="68">
        <v>0</v>
      </c>
      <c r="AX354" s="66">
        <v>0</v>
      </c>
      <c r="AY354" s="35" t="e">
        <f t="shared" si="776"/>
        <v>#DIV/0!</v>
      </c>
      <c r="AZ354" s="6" t="e">
        <f t="shared" si="777"/>
        <v>#DIV/0!</v>
      </c>
      <c r="BA354" s="68">
        <v>0</v>
      </c>
      <c r="BB354" s="66">
        <v>0</v>
      </c>
      <c r="BC354" s="35" t="e">
        <f t="shared" si="778"/>
        <v>#DIV/0!</v>
      </c>
      <c r="BD354" s="11" t="e">
        <f t="shared" si="779"/>
        <v>#DIV/0!</v>
      </c>
    </row>
    <row r="355" spans="1:56" ht="15.75" thickBot="1" x14ac:dyDescent="0.3">
      <c r="A355" s="19" t="s">
        <v>3</v>
      </c>
      <c r="B355" s="8">
        <v>100740</v>
      </c>
      <c r="C355" s="35">
        <f>B355/F349</f>
        <v>84.371859296482413</v>
      </c>
      <c r="D355" s="8">
        <v>2700</v>
      </c>
      <c r="E355" s="68">
        <v>0</v>
      </c>
      <c r="F355" s="70">
        <v>0</v>
      </c>
      <c r="G355" s="35" t="e">
        <f t="shared" si="754"/>
        <v>#DIV/0!</v>
      </c>
      <c r="H355" s="11" t="e">
        <f t="shared" si="755"/>
        <v>#DIV/0!</v>
      </c>
      <c r="I355" s="35">
        <v>0</v>
      </c>
      <c r="J355" s="70">
        <v>0</v>
      </c>
      <c r="K355" s="35" t="e">
        <f t="shared" si="756"/>
        <v>#DIV/0!</v>
      </c>
      <c r="L355" s="6" t="e">
        <f t="shared" si="757"/>
        <v>#DIV/0!</v>
      </c>
      <c r="M355" s="68">
        <v>0</v>
      </c>
      <c r="N355" s="5">
        <v>0</v>
      </c>
      <c r="O355" s="35" t="e">
        <f t="shared" si="758"/>
        <v>#DIV/0!</v>
      </c>
      <c r="P355" s="11" t="e">
        <f t="shared" si="759"/>
        <v>#DIV/0!</v>
      </c>
      <c r="Q355" s="35">
        <v>0</v>
      </c>
      <c r="R355" s="66">
        <v>0</v>
      </c>
      <c r="S355" s="35" t="e">
        <f t="shared" si="760"/>
        <v>#DIV/0!</v>
      </c>
      <c r="T355" s="6" t="e">
        <f t="shared" si="761"/>
        <v>#DIV/0!</v>
      </c>
      <c r="U355" s="68">
        <v>0</v>
      </c>
      <c r="V355" s="66">
        <v>0</v>
      </c>
      <c r="W355" s="20" t="e">
        <f t="shared" si="762"/>
        <v>#DIV/0!</v>
      </c>
      <c r="X355" s="6" t="e">
        <f t="shared" si="763"/>
        <v>#DIV/0!</v>
      </c>
      <c r="Y355" s="68">
        <v>105350</v>
      </c>
      <c r="Z355" s="69">
        <v>1756</v>
      </c>
      <c r="AA355" s="35">
        <f t="shared" si="764"/>
        <v>59.994305239179951</v>
      </c>
      <c r="AB355" s="11">
        <f t="shared" si="765"/>
        <v>0.71107008592000065</v>
      </c>
      <c r="AC355" s="20">
        <v>18240</v>
      </c>
      <c r="AD355" s="33">
        <v>710</v>
      </c>
      <c r="AE355" s="35">
        <f t="shared" si="766"/>
        <v>25.690140845070424</v>
      </c>
      <c r="AF355" s="6">
        <f t="shared" si="767"/>
        <v>0.30448707731798774</v>
      </c>
      <c r="AG355" s="68">
        <v>0</v>
      </c>
      <c r="AH355" s="66">
        <v>0</v>
      </c>
      <c r="AI355" s="35" t="e">
        <f t="shared" si="768"/>
        <v>#DIV/0!</v>
      </c>
      <c r="AJ355" s="6" t="e">
        <f t="shared" si="769"/>
        <v>#DIV/0!</v>
      </c>
      <c r="AK355" s="68">
        <v>0</v>
      </c>
      <c r="AL355" s="66">
        <v>0</v>
      </c>
      <c r="AM355" s="35" t="e">
        <f t="shared" si="770"/>
        <v>#DIV/0!</v>
      </c>
      <c r="AN355" s="6" t="e">
        <f t="shared" si="771"/>
        <v>#DIV/0!</v>
      </c>
      <c r="AO355" s="68">
        <v>0</v>
      </c>
      <c r="AP355" s="66">
        <v>0</v>
      </c>
      <c r="AQ355" s="35" t="e">
        <f t="shared" si="772"/>
        <v>#DIV/0!</v>
      </c>
      <c r="AR355" s="6" t="e">
        <f t="shared" si="773"/>
        <v>#DIV/0!</v>
      </c>
      <c r="AS355" s="68">
        <v>0</v>
      </c>
      <c r="AT355" s="66">
        <v>0</v>
      </c>
      <c r="AU355" s="35" t="e">
        <f t="shared" si="774"/>
        <v>#DIV/0!</v>
      </c>
      <c r="AV355" s="6" t="e">
        <f t="shared" si="775"/>
        <v>#DIV/0!</v>
      </c>
      <c r="AW355" s="68">
        <v>0</v>
      </c>
      <c r="AX355" s="66">
        <v>0</v>
      </c>
      <c r="AY355" s="35" t="e">
        <f t="shared" si="776"/>
        <v>#DIV/0!</v>
      </c>
      <c r="AZ355" s="6" t="e">
        <f t="shared" si="777"/>
        <v>#DIV/0!</v>
      </c>
      <c r="BA355" s="68">
        <v>0</v>
      </c>
      <c r="BB355" s="66">
        <v>0</v>
      </c>
      <c r="BC355" s="35" t="e">
        <f t="shared" si="778"/>
        <v>#DIV/0!</v>
      </c>
      <c r="BD355" s="11" t="e">
        <f t="shared" si="779"/>
        <v>#DIV/0!</v>
      </c>
    </row>
    <row r="356" spans="1:56" ht="15.75" thickBot="1" x14ac:dyDescent="0.3">
      <c r="A356" s="19" t="s">
        <v>4</v>
      </c>
      <c r="B356" s="8">
        <v>125710</v>
      </c>
      <c r="C356" s="35">
        <f>B356/F349</f>
        <v>105.28475711892797</v>
      </c>
      <c r="D356" s="8">
        <v>5250</v>
      </c>
      <c r="E356" s="68">
        <v>0</v>
      </c>
      <c r="F356" s="70">
        <v>0</v>
      </c>
      <c r="G356" s="35" t="e">
        <f t="shared" si="754"/>
        <v>#DIV/0!</v>
      </c>
      <c r="H356" s="11" t="e">
        <f t="shared" si="755"/>
        <v>#DIV/0!</v>
      </c>
      <c r="I356" s="35">
        <v>0</v>
      </c>
      <c r="J356" s="70">
        <v>0</v>
      </c>
      <c r="K356" s="35" t="e">
        <f t="shared" si="756"/>
        <v>#DIV/0!</v>
      </c>
      <c r="L356" s="6" t="e">
        <f t="shared" si="757"/>
        <v>#DIV/0!</v>
      </c>
      <c r="M356" s="68">
        <v>0</v>
      </c>
      <c r="N356" s="5">
        <v>0</v>
      </c>
      <c r="O356" s="35" t="e">
        <f t="shared" si="758"/>
        <v>#DIV/0!</v>
      </c>
      <c r="P356" s="11" t="e">
        <f t="shared" si="759"/>
        <v>#DIV/0!</v>
      </c>
      <c r="Q356" s="35">
        <v>0</v>
      </c>
      <c r="R356" s="66">
        <v>0</v>
      </c>
      <c r="S356" s="35" t="e">
        <f t="shared" si="760"/>
        <v>#DIV/0!</v>
      </c>
      <c r="T356" s="6" t="e">
        <f t="shared" si="761"/>
        <v>#DIV/0!</v>
      </c>
      <c r="U356" s="68">
        <v>0</v>
      </c>
      <c r="V356" s="66">
        <v>0</v>
      </c>
      <c r="W356" s="20" t="e">
        <f t="shared" si="762"/>
        <v>#DIV/0!</v>
      </c>
      <c r="X356" s="6" t="e">
        <f t="shared" si="763"/>
        <v>#DIV/0!</v>
      </c>
      <c r="Y356" s="68">
        <v>133410</v>
      </c>
      <c r="Z356" s="69">
        <v>1756</v>
      </c>
      <c r="AA356" s="35">
        <f t="shared" si="764"/>
        <v>75.973804100227795</v>
      </c>
      <c r="AB356" s="11">
        <f t="shared" si="765"/>
        <v>0.72160307132027679</v>
      </c>
      <c r="AC356" s="20">
        <v>20730</v>
      </c>
      <c r="AD356" s="33">
        <v>710</v>
      </c>
      <c r="AE356" s="35">
        <f t="shared" si="766"/>
        <v>29.197183098591548</v>
      </c>
      <c r="AF356" s="6">
        <f t="shared" si="767"/>
        <v>0.27731633616831047</v>
      </c>
      <c r="AG356" s="68">
        <v>0</v>
      </c>
      <c r="AH356" s="66">
        <v>0</v>
      </c>
      <c r="AI356" s="35" t="e">
        <f t="shared" si="768"/>
        <v>#DIV/0!</v>
      </c>
      <c r="AJ356" s="6" t="e">
        <f t="shared" si="769"/>
        <v>#DIV/0!</v>
      </c>
      <c r="AK356" s="68">
        <v>0</v>
      </c>
      <c r="AL356" s="66">
        <v>0</v>
      </c>
      <c r="AM356" s="35" t="e">
        <f t="shared" si="770"/>
        <v>#DIV/0!</v>
      </c>
      <c r="AN356" s="6" t="e">
        <f t="shared" si="771"/>
        <v>#DIV/0!</v>
      </c>
      <c r="AO356" s="68">
        <v>0</v>
      </c>
      <c r="AP356" s="66">
        <v>0</v>
      </c>
      <c r="AQ356" s="35" t="e">
        <f t="shared" si="772"/>
        <v>#DIV/0!</v>
      </c>
      <c r="AR356" s="6" t="e">
        <f t="shared" si="773"/>
        <v>#DIV/0!</v>
      </c>
      <c r="AS356" s="68">
        <v>0</v>
      </c>
      <c r="AT356" s="66">
        <v>0</v>
      </c>
      <c r="AU356" s="35" t="e">
        <f t="shared" si="774"/>
        <v>#DIV/0!</v>
      </c>
      <c r="AV356" s="6" t="e">
        <f t="shared" si="775"/>
        <v>#DIV/0!</v>
      </c>
      <c r="AW356" s="68">
        <v>0</v>
      </c>
      <c r="AX356" s="66">
        <v>0</v>
      </c>
      <c r="AY356" s="35" t="e">
        <f t="shared" si="776"/>
        <v>#DIV/0!</v>
      </c>
      <c r="AZ356" s="6" t="e">
        <f t="shared" si="777"/>
        <v>#DIV/0!</v>
      </c>
      <c r="BA356" s="68">
        <v>0</v>
      </c>
      <c r="BB356" s="66">
        <v>0</v>
      </c>
      <c r="BC356" s="35" t="e">
        <f t="shared" si="778"/>
        <v>#DIV/0!</v>
      </c>
      <c r="BD356" s="11" t="e">
        <f t="shared" si="779"/>
        <v>#DIV/0!</v>
      </c>
    </row>
    <row r="357" spans="1:56" ht="15.75" thickBot="1" x14ac:dyDescent="0.3">
      <c r="A357" s="19" t="s">
        <v>5</v>
      </c>
      <c r="B357" s="8">
        <v>165150</v>
      </c>
      <c r="C357" s="35">
        <f>B357/F349</f>
        <v>138.31658291457288</v>
      </c>
      <c r="D357" s="8">
        <v>7050</v>
      </c>
      <c r="E357" s="68">
        <v>0</v>
      </c>
      <c r="F357" s="70">
        <v>0</v>
      </c>
      <c r="G357" s="35" t="e">
        <f t="shared" si="754"/>
        <v>#DIV/0!</v>
      </c>
      <c r="H357" s="11" t="e">
        <f t="shared" si="755"/>
        <v>#DIV/0!</v>
      </c>
      <c r="I357" s="35">
        <v>0</v>
      </c>
      <c r="J357" s="70">
        <v>0</v>
      </c>
      <c r="K357" s="35" t="e">
        <f t="shared" si="756"/>
        <v>#DIV/0!</v>
      </c>
      <c r="L357" s="6" t="e">
        <f t="shared" si="757"/>
        <v>#DIV/0!</v>
      </c>
      <c r="M357" s="68">
        <v>0</v>
      </c>
      <c r="N357" s="5">
        <v>0</v>
      </c>
      <c r="O357" s="35" t="e">
        <f t="shared" si="758"/>
        <v>#DIV/0!</v>
      </c>
      <c r="P357" s="11" t="e">
        <f t="shared" si="759"/>
        <v>#DIV/0!</v>
      </c>
      <c r="Q357" s="35">
        <v>0</v>
      </c>
      <c r="R357" s="66">
        <v>0</v>
      </c>
      <c r="S357" s="35" t="e">
        <f t="shared" si="760"/>
        <v>#DIV/0!</v>
      </c>
      <c r="T357" s="6" t="e">
        <f t="shared" si="761"/>
        <v>#DIV/0!</v>
      </c>
      <c r="U357" s="68">
        <v>0</v>
      </c>
      <c r="V357" s="66">
        <v>0</v>
      </c>
      <c r="W357" s="20" t="e">
        <f t="shared" si="762"/>
        <v>#DIV/0!</v>
      </c>
      <c r="X357" s="6" t="e">
        <f t="shared" si="763"/>
        <v>#DIV/0!</v>
      </c>
      <c r="Y357" s="68">
        <v>183520</v>
      </c>
      <c r="Z357" s="69">
        <v>1756</v>
      </c>
      <c r="AA357" s="35">
        <f t="shared" si="764"/>
        <v>104.51025056947609</v>
      </c>
      <c r="AB357" s="11">
        <f t="shared" si="765"/>
        <v>0.75558727932155278</v>
      </c>
      <c r="AC357" s="20">
        <v>22200</v>
      </c>
      <c r="AD357" s="33">
        <v>710</v>
      </c>
      <c r="AE357" s="35">
        <f t="shared" si="766"/>
        <v>31.267605633802816</v>
      </c>
      <c r="AF357" s="6">
        <f t="shared" si="767"/>
        <v>0.22605825689833822</v>
      </c>
      <c r="AG357" s="68">
        <v>0</v>
      </c>
      <c r="AH357" s="66">
        <v>0</v>
      </c>
      <c r="AI357" s="35" t="e">
        <f t="shared" si="768"/>
        <v>#DIV/0!</v>
      </c>
      <c r="AJ357" s="6" t="e">
        <f t="shared" si="769"/>
        <v>#DIV/0!</v>
      </c>
      <c r="AK357" s="68">
        <v>0</v>
      </c>
      <c r="AL357" s="66">
        <v>0</v>
      </c>
      <c r="AM357" s="35" t="e">
        <f t="shared" si="770"/>
        <v>#DIV/0!</v>
      </c>
      <c r="AN357" s="6" t="e">
        <f t="shared" si="771"/>
        <v>#DIV/0!</v>
      </c>
      <c r="AO357" s="68">
        <v>0</v>
      </c>
      <c r="AP357" s="66">
        <v>0</v>
      </c>
      <c r="AQ357" s="35" t="e">
        <f t="shared" si="772"/>
        <v>#DIV/0!</v>
      </c>
      <c r="AR357" s="6" t="e">
        <f t="shared" si="773"/>
        <v>#DIV/0!</v>
      </c>
      <c r="AS357" s="68">
        <v>0</v>
      </c>
      <c r="AT357" s="66">
        <v>0</v>
      </c>
      <c r="AU357" s="35" t="e">
        <f t="shared" si="774"/>
        <v>#DIV/0!</v>
      </c>
      <c r="AV357" s="6" t="e">
        <f t="shared" si="775"/>
        <v>#DIV/0!</v>
      </c>
      <c r="AW357" s="68">
        <v>0</v>
      </c>
      <c r="AX357" s="66">
        <v>0</v>
      </c>
      <c r="AY357" s="35" t="e">
        <f t="shared" si="776"/>
        <v>#DIV/0!</v>
      </c>
      <c r="AZ357" s="6" t="e">
        <f t="shared" si="777"/>
        <v>#DIV/0!</v>
      </c>
      <c r="BA357" s="68">
        <v>0</v>
      </c>
      <c r="BB357" s="66">
        <v>0</v>
      </c>
      <c r="BC357" s="35" t="e">
        <f t="shared" si="778"/>
        <v>#DIV/0!</v>
      </c>
      <c r="BD357" s="11" t="e">
        <f t="shared" si="779"/>
        <v>#DIV/0!</v>
      </c>
    </row>
    <row r="358" spans="1:56" x14ac:dyDescent="0.25">
      <c r="A358" s="19" t="s">
        <v>6</v>
      </c>
      <c r="B358" s="8">
        <v>195610</v>
      </c>
      <c r="C358" s="35">
        <f>B358/F349</f>
        <v>163.82747068676716</v>
      </c>
      <c r="D358" s="8">
        <v>10950</v>
      </c>
      <c r="E358" s="68">
        <v>0</v>
      </c>
      <c r="F358" s="70">
        <v>0</v>
      </c>
      <c r="G358" s="35" t="e">
        <f t="shared" si="754"/>
        <v>#DIV/0!</v>
      </c>
      <c r="H358" s="11" t="e">
        <f t="shared" si="755"/>
        <v>#DIV/0!</v>
      </c>
      <c r="I358" s="35">
        <v>0</v>
      </c>
      <c r="J358" s="70">
        <v>0</v>
      </c>
      <c r="K358" s="35" t="e">
        <f t="shared" si="756"/>
        <v>#DIV/0!</v>
      </c>
      <c r="L358" s="6" t="e">
        <f t="shared" si="757"/>
        <v>#DIV/0!</v>
      </c>
      <c r="M358" s="68">
        <v>0</v>
      </c>
      <c r="N358" s="5">
        <v>0</v>
      </c>
      <c r="O358" s="35" t="e">
        <f t="shared" si="758"/>
        <v>#DIV/0!</v>
      </c>
      <c r="P358" s="11" t="e">
        <f t="shared" si="759"/>
        <v>#DIV/0!</v>
      </c>
      <c r="Q358" s="35">
        <v>0</v>
      </c>
      <c r="R358" s="66">
        <v>0</v>
      </c>
      <c r="S358" s="35" t="e">
        <f t="shared" si="760"/>
        <v>#DIV/0!</v>
      </c>
      <c r="T358" s="6" t="e">
        <f t="shared" si="761"/>
        <v>#DIV/0!</v>
      </c>
      <c r="U358" s="68">
        <v>0</v>
      </c>
      <c r="V358" s="66">
        <v>0</v>
      </c>
      <c r="W358" s="20" t="e">
        <f t="shared" si="762"/>
        <v>#DIV/0!</v>
      </c>
      <c r="X358" s="6" t="e">
        <f t="shared" si="763"/>
        <v>#DIV/0!</v>
      </c>
      <c r="Y358" s="68">
        <v>215410</v>
      </c>
      <c r="Z358" s="69">
        <v>1756</v>
      </c>
      <c r="AA358" s="35">
        <f t="shared" si="764"/>
        <v>122.67084282460137</v>
      </c>
      <c r="AB358" s="11">
        <f t="shared" si="765"/>
        <v>0.74878066731033199</v>
      </c>
      <c r="AC358" s="20">
        <v>32160</v>
      </c>
      <c r="AD358" s="33">
        <v>710</v>
      </c>
      <c r="AE358" s="35">
        <f t="shared" si="766"/>
        <v>45.29577464788732</v>
      </c>
      <c r="AF358" s="6">
        <f t="shared" si="767"/>
        <v>0.27648461187862311</v>
      </c>
      <c r="AG358" s="68">
        <v>0</v>
      </c>
      <c r="AH358" s="66">
        <v>0</v>
      </c>
      <c r="AI358" s="35" t="e">
        <f t="shared" si="768"/>
        <v>#DIV/0!</v>
      </c>
      <c r="AJ358" s="6" t="e">
        <f t="shared" si="769"/>
        <v>#DIV/0!</v>
      </c>
      <c r="AK358" s="68">
        <v>0</v>
      </c>
      <c r="AL358" s="66">
        <v>0</v>
      </c>
      <c r="AM358" s="35" t="e">
        <f t="shared" si="770"/>
        <v>#DIV/0!</v>
      </c>
      <c r="AN358" s="6" t="e">
        <f t="shared" si="771"/>
        <v>#DIV/0!</v>
      </c>
      <c r="AO358" s="68">
        <v>0</v>
      </c>
      <c r="AP358" s="66">
        <v>0</v>
      </c>
      <c r="AQ358" s="35" t="e">
        <f t="shared" si="772"/>
        <v>#DIV/0!</v>
      </c>
      <c r="AR358" s="6" t="e">
        <f t="shared" si="773"/>
        <v>#DIV/0!</v>
      </c>
      <c r="AS358" s="68">
        <v>0</v>
      </c>
      <c r="AT358" s="66">
        <v>0</v>
      </c>
      <c r="AU358" s="35" t="e">
        <f t="shared" si="774"/>
        <v>#DIV/0!</v>
      </c>
      <c r="AV358" s="6" t="e">
        <f t="shared" si="775"/>
        <v>#DIV/0!</v>
      </c>
      <c r="AW358" s="68">
        <v>0</v>
      </c>
      <c r="AX358" s="66">
        <v>0</v>
      </c>
      <c r="AY358" s="35" t="e">
        <f t="shared" si="776"/>
        <v>#DIV/0!</v>
      </c>
      <c r="AZ358" s="6" t="e">
        <f t="shared" si="777"/>
        <v>#DIV/0!</v>
      </c>
      <c r="BA358" s="68">
        <v>0</v>
      </c>
      <c r="BB358" s="66">
        <v>0</v>
      </c>
      <c r="BC358" s="35" t="e">
        <f t="shared" si="778"/>
        <v>#DIV/0!</v>
      </c>
      <c r="BD358" s="11" t="e">
        <f t="shared" si="779"/>
        <v>#DIV/0!</v>
      </c>
    </row>
    <row r="359" spans="1:56" ht="15.75" thickBot="1" x14ac:dyDescent="0.3">
      <c r="A359" s="21"/>
      <c r="B359" s="22"/>
      <c r="C359" s="23">
        <f>AVERAGE(Table11025[MA $/Sq Ft])</f>
        <v>96.03374012921752</v>
      </c>
      <c r="D359" s="22">
        <f>AVERAGE(Table11025[Basic Allowance])</f>
        <v>4442.8571428571431</v>
      </c>
      <c r="E359" s="16"/>
      <c r="F359" s="22"/>
      <c r="G359" s="15"/>
      <c r="H359" s="24" t="e">
        <f>AVERAGE(Table11025[Bsmt % Base])</f>
        <v>#DIV/0!</v>
      </c>
      <c r="I359" s="15"/>
      <c r="J359" s="15"/>
      <c r="K359" s="15"/>
      <c r="L359" s="25" t="e">
        <f>AVERAGE(Table11025[[#Headers],[#Data],[UnfBsmt % Base]])</f>
        <v>#DIV/0!</v>
      </c>
      <c r="M359" s="44"/>
      <c r="N359" s="15"/>
      <c r="O359" s="23" t="e">
        <f>AVERAGE(Table11025[LowerVal/SqFt])</f>
        <v>#DIV/0!</v>
      </c>
      <c r="P359" s="24" t="e">
        <f>AVERAGE(Table11025[Lower % Base])</f>
        <v>#DIV/0!</v>
      </c>
      <c r="Q359" s="13"/>
      <c r="R359" s="13"/>
      <c r="S359" s="13"/>
      <c r="T359" s="25" t="e">
        <f>AVERAGE(Table11025[Unf Lower % Base])</f>
        <v>#DIV/0!</v>
      </c>
      <c r="U359" s="12"/>
      <c r="V359" s="13"/>
      <c r="W359" s="13"/>
      <c r="X359" s="25" t="e">
        <f>AVERAGE(Table11025[1/2 Story % Base])</f>
        <v>#DIV/0!</v>
      </c>
      <c r="Y359" s="12"/>
      <c r="Z359" s="13"/>
      <c r="AA359" s="13"/>
      <c r="AB359" s="24">
        <f>AVERAGE(Table11025[2nd Story % Base])</f>
        <v>0.73430727035284382</v>
      </c>
      <c r="AC359" s="13"/>
      <c r="AD359" s="13"/>
      <c r="AE359" s="23">
        <f>AVERAGE(Table11025[AttGarVal/SqFt])</f>
        <v>26.917505030181086</v>
      </c>
      <c r="AF359" s="25">
        <f>AVERAGE(Table11025[Att Gar % Base])</f>
        <v>0.28874721945647186</v>
      </c>
      <c r="AG359" s="12"/>
      <c r="AH359" s="13"/>
      <c r="AI359" s="13"/>
      <c r="AJ359" s="25" t="e">
        <f>AVERAGE(Table11025[Porch % Base])</f>
        <v>#DIV/0!</v>
      </c>
      <c r="AK359" s="12"/>
      <c r="AL359" s="13"/>
      <c r="AM359" s="13"/>
      <c r="AN359" s="25" t="e">
        <f>AVERAGE(Table11025[Cov Porch % Base])</f>
        <v>#DIV/0!</v>
      </c>
      <c r="AO359" s="12"/>
      <c r="AP359" s="13"/>
      <c r="AQ359" s="13"/>
      <c r="AR359" s="25" t="e">
        <f>AVERAGE(Table11025[Deck % Base])</f>
        <v>#DIV/0!</v>
      </c>
      <c r="AS359" s="12"/>
      <c r="AT359" s="13"/>
      <c r="AU359" s="23" t="e">
        <f>AVERAGE(Table11025[CovDeckVal/SqFt])</f>
        <v>#DIV/0!</v>
      </c>
      <c r="AV359" s="25" t="e">
        <f>AVERAGE(Table11025[CovDeck % Base])</f>
        <v>#DIV/0!</v>
      </c>
      <c r="AW359" s="12"/>
      <c r="AX359" s="13"/>
      <c r="AY359" s="13"/>
      <c r="AZ359" s="25" t="e">
        <f>AVERAGE(Table11025[CarP % Base])</f>
        <v>#DIV/0!</v>
      </c>
      <c r="BA359" s="12"/>
      <c r="BB359" s="13"/>
      <c r="BC359" s="13"/>
      <c r="BD359" s="24" t="e">
        <f>AVERAGE(Table11025[EFP % Base])</f>
        <v>#DIV/0!</v>
      </c>
    </row>
    <row r="361" spans="1:56" ht="15.75" thickBot="1" x14ac:dyDescent="0.3">
      <c r="A361" s="82"/>
      <c r="B361" t="s">
        <v>79</v>
      </c>
      <c r="C361" s="78" t="s">
        <v>119</v>
      </c>
      <c r="E361" t="s">
        <v>33</v>
      </c>
      <c r="F361" s="79">
        <v>2280</v>
      </c>
      <c r="H361" t="s">
        <v>80</v>
      </c>
      <c r="I361" t="s">
        <v>134</v>
      </c>
    </row>
    <row r="362" spans="1:56" x14ac:dyDescent="0.25">
      <c r="A362" s="112"/>
      <c r="B362" s="113"/>
      <c r="C362" s="113"/>
      <c r="D362" s="114"/>
      <c r="E362" s="115" t="s">
        <v>27</v>
      </c>
      <c r="F362" s="116"/>
      <c r="G362" s="116"/>
      <c r="H362" s="117"/>
      <c r="I362" s="118" t="s">
        <v>28</v>
      </c>
      <c r="J362" s="119"/>
      <c r="K362" s="119"/>
      <c r="L362" s="120"/>
      <c r="M362" s="121" t="s">
        <v>7</v>
      </c>
      <c r="N362" s="122"/>
      <c r="O362" s="122"/>
      <c r="P362" s="123"/>
      <c r="Q362" s="124" t="s">
        <v>29</v>
      </c>
      <c r="R362" s="125"/>
      <c r="S362" s="125"/>
      <c r="T362" s="126"/>
      <c r="U362" s="127" t="s">
        <v>8</v>
      </c>
      <c r="V362" s="128"/>
      <c r="W362" s="128"/>
      <c r="X362" s="129"/>
      <c r="Y362" s="130" t="s">
        <v>0</v>
      </c>
      <c r="Z362" s="131"/>
      <c r="AA362" s="131"/>
      <c r="AB362" s="132"/>
      <c r="AC362" s="133" t="s">
        <v>34</v>
      </c>
      <c r="AD362" s="134"/>
      <c r="AE362" s="134"/>
      <c r="AF362" s="135"/>
      <c r="AG362" s="115" t="s">
        <v>9</v>
      </c>
      <c r="AH362" s="116"/>
      <c r="AI362" s="116"/>
      <c r="AJ362" s="117"/>
      <c r="AK362" s="136" t="s">
        <v>35</v>
      </c>
      <c r="AL362" s="137"/>
      <c r="AM362" s="137"/>
      <c r="AN362" s="138"/>
      <c r="AO362" s="139" t="s">
        <v>10</v>
      </c>
      <c r="AP362" s="140"/>
      <c r="AQ362" s="140"/>
      <c r="AR362" s="141"/>
      <c r="AS362" s="124" t="s">
        <v>36</v>
      </c>
      <c r="AT362" s="125"/>
      <c r="AU362" s="125"/>
      <c r="AV362" s="126"/>
      <c r="AW362" s="142" t="s">
        <v>11</v>
      </c>
      <c r="AX362" s="143"/>
      <c r="AY362" s="143"/>
      <c r="AZ362" s="144"/>
      <c r="BA362" s="148" t="s">
        <v>17</v>
      </c>
      <c r="BB362" s="149"/>
      <c r="BC362" s="149"/>
      <c r="BD362" s="150"/>
    </row>
    <row r="363" spans="1:56" s="1" customFormat="1" ht="15.75" thickBot="1" x14ac:dyDescent="0.3">
      <c r="A363" s="41" t="s">
        <v>13</v>
      </c>
      <c r="B363" s="42" t="s">
        <v>15</v>
      </c>
      <c r="C363" s="42" t="s">
        <v>32</v>
      </c>
      <c r="D363" s="43" t="s">
        <v>18</v>
      </c>
      <c r="E363" s="30" t="s">
        <v>30</v>
      </c>
      <c r="F363" s="31" t="s">
        <v>61</v>
      </c>
      <c r="G363" s="31" t="s">
        <v>38</v>
      </c>
      <c r="H363" s="32" t="s">
        <v>62</v>
      </c>
      <c r="I363" s="37" t="s">
        <v>31</v>
      </c>
      <c r="J363" s="38" t="s">
        <v>39</v>
      </c>
      <c r="K363" s="38" t="s">
        <v>40</v>
      </c>
      <c r="L363" s="39" t="s">
        <v>63</v>
      </c>
      <c r="M363" s="40" t="s">
        <v>19</v>
      </c>
      <c r="N363" s="7" t="s">
        <v>41</v>
      </c>
      <c r="O363" s="7" t="s">
        <v>37</v>
      </c>
      <c r="P363" s="7" t="s">
        <v>64</v>
      </c>
      <c r="Q363" s="27" t="s">
        <v>20</v>
      </c>
      <c r="R363" s="28" t="s">
        <v>60</v>
      </c>
      <c r="S363" s="28" t="s">
        <v>59</v>
      </c>
      <c r="T363" s="29" t="s">
        <v>65</v>
      </c>
      <c r="U363" s="48" t="s">
        <v>21</v>
      </c>
      <c r="V363" s="48" t="s">
        <v>42</v>
      </c>
      <c r="W363" s="48" t="s">
        <v>43</v>
      </c>
      <c r="X363" s="49" t="s">
        <v>66</v>
      </c>
      <c r="Y363" s="50" t="s">
        <v>22</v>
      </c>
      <c r="Z363" s="51" t="s">
        <v>44</v>
      </c>
      <c r="AA363" s="51" t="s">
        <v>45</v>
      </c>
      <c r="AB363" s="52" t="s">
        <v>67</v>
      </c>
      <c r="AC363" s="45" t="s">
        <v>23</v>
      </c>
      <c r="AD363" s="46" t="s">
        <v>46</v>
      </c>
      <c r="AE363" s="46" t="s">
        <v>47</v>
      </c>
      <c r="AF363" s="47" t="s">
        <v>68</v>
      </c>
      <c r="AG363" s="30" t="s">
        <v>24</v>
      </c>
      <c r="AH363" s="31" t="s">
        <v>48</v>
      </c>
      <c r="AI363" s="31" t="s">
        <v>49</v>
      </c>
      <c r="AJ363" s="32" t="s">
        <v>69</v>
      </c>
      <c r="AK363" s="53" t="s">
        <v>25</v>
      </c>
      <c r="AL363" s="54" t="s">
        <v>50</v>
      </c>
      <c r="AM363" s="54" t="s">
        <v>51</v>
      </c>
      <c r="AN363" s="55" t="s">
        <v>70</v>
      </c>
      <c r="AO363" s="56" t="s">
        <v>26</v>
      </c>
      <c r="AP363" s="57" t="s">
        <v>52</v>
      </c>
      <c r="AQ363" s="57" t="s">
        <v>53</v>
      </c>
      <c r="AR363" s="58" t="s">
        <v>71</v>
      </c>
      <c r="AS363" s="59" t="s">
        <v>55</v>
      </c>
      <c r="AT363" s="60" t="s">
        <v>54</v>
      </c>
      <c r="AU363" s="60" t="s">
        <v>56</v>
      </c>
      <c r="AV363" s="61" t="s">
        <v>76</v>
      </c>
      <c r="AW363" s="62" t="s">
        <v>72</v>
      </c>
      <c r="AX363" s="63" t="s">
        <v>73</v>
      </c>
      <c r="AY363" s="63" t="s">
        <v>74</v>
      </c>
      <c r="AZ363" s="64" t="s">
        <v>75</v>
      </c>
      <c r="BA363" s="71" t="s">
        <v>77</v>
      </c>
      <c r="BB363" s="72" t="s">
        <v>57</v>
      </c>
      <c r="BC363" s="72" t="s">
        <v>58</v>
      </c>
      <c r="BD363" s="73" t="s">
        <v>78</v>
      </c>
    </row>
    <row r="364" spans="1:56" ht="15.75" thickBot="1" x14ac:dyDescent="0.3">
      <c r="A364" s="17" t="s">
        <v>1</v>
      </c>
      <c r="B364" s="14">
        <v>104880</v>
      </c>
      <c r="C364" s="34">
        <f>B364/F361</f>
        <v>46</v>
      </c>
      <c r="D364" s="14">
        <v>1525</v>
      </c>
      <c r="E364" s="67">
        <v>0</v>
      </c>
      <c r="F364" s="69">
        <v>0</v>
      </c>
      <c r="G364" s="34" t="e">
        <f t="shared" ref="G364:G370" si="780">E364/F364</f>
        <v>#DIV/0!</v>
      </c>
      <c r="H364" s="10" t="e">
        <f t="shared" ref="H364:H370" si="781">G364/C364</f>
        <v>#DIV/0!</v>
      </c>
      <c r="I364" s="34">
        <v>0</v>
      </c>
      <c r="J364" s="69">
        <v>0</v>
      </c>
      <c r="K364" s="34" t="e">
        <f t="shared" ref="K364:K370" si="782">I364/J364</f>
        <v>#DIV/0!</v>
      </c>
      <c r="L364" s="9" t="e">
        <f t="shared" ref="L364:L370" si="783">K364/C364</f>
        <v>#DIV/0!</v>
      </c>
      <c r="M364" s="67">
        <v>0</v>
      </c>
      <c r="N364" s="26">
        <v>0</v>
      </c>
      <c r="O364" s="34" t="e">
        <f t="shared" ref="O364:O370" si="784">M364/N364</f>
        <v>#DIV/0!</v>
      </c>
      <c r="P364" s="10" t="e">
        <f t="shared" ref="P364:P370" si="785">O364/C364</f>
        <v>#DIV/0!</v>
      </c>
      <c r="Q364" s="35">
        <v>0</v>
      </c>
      <c r="R364" s="66">
        <v>0</v>
      </c>
      <c r="S364" s="35" t="e">
        <f t="shared" ref="S364:S370" si="786">Q364/R364</f>
        <v>#DIV/0!</v>
      </c>
      <c r="T364" s="6" t="e">
        <f t="shared" ref="T364:T370" si="787">S364/C364</f>
        <v>#DIV/0!</v>
      </c>
      <c r="U364" s="67">
        <v>0</v>
      </c>
      <c r="V364" s="65">
        <v>0</v>
      </c>
      <c r="W364" s="18" t="e">
        <f t="shared" ref="W364:W370" si="788">U364/V364</f>
        <v>#DIV/0!</v>
      </c>
      <c r="X364" s="9" t="e">
        <f t="shared" ref="X364:X370" si="789">W364/C364</f>
        <v>#DIV/0!</v>
      </c>
      <c r="Y364" s="67">
        <v>0</v>
      </c>
      <c r="Z364" s="69">
        <v>0</v>
      </c>
      <c r="AA364" s="34" t="e">
        <f t="shared" ref="AA364:AA370" si="790">Y364/Z364</f>
        <v>#DIV/0!</v>
      </c>
      <c r="AB364" s="10" t="e">
        <f t="shared" ref="AB364:AB370" si="791">AA364/C364</f>
        <v>#DIV/0!</v>
      </c>
      <c r="AC364" s="18">
        <v>8630</v>
      </c>
      <c r="AD364" s="33">
        <v>590</v>
      </c>
      <c r="AE364" s="34">
        <f t="shared" ref="AE364:AE370" si="792">AC364/AD364</f>
        <v>14.627118644067796</v>
      </c>
      <c r="AF364" s="9">
        <f t="shared" ref="AF364:AF370" si="793">AE364/C364</f>
        <v>0.31798084008843036</v>
      </c>
      <c r="AG364" s="67">
        <v>0</v>
      </c>
      <c r="AH364" s="65">
        <v>0</v>
      </c>
      <c r="AI364" s="34" t="e">
        <f t="shared" ref="AI364:AI370" si="794">AG364/AH364</f>
        <v>#DIV/0!</v>
      </c>
      <c r="AJ364" s="9" t="e">
        <f t="shared" ref="AJ364:AJ370" si="795">AI364/C364</f>
        <v>#DIV/0!</v>
      </c>
      <c r="AK364" s="67">
        <v>2190</v>
      </c>
      <c r="AL364" s="66">
        <v>260</v>
      </c>
      <c r="AM364" s="34">
        <f t="shared" ref="AM364:AM370" si="796">AK364/AL364</f>
        <v>8.4230769230769234</v>
      </c>
      <c r="AN364" s="9">
        <f t="shared" ref="AN364:AN370" si="797">AM364/C364</f>
        <v>0.18311036789297661</v>
      </c>
      <c r="AO364" s="67">
        <v>0</v>
      </c>
      <c r="AP364" s="65">
        <v>0</v>
      </c>
      <c r="AQ364" s="34" t="e">
        <f t="shared" ref="AQ364:AQ370" si="798">AO364/AP364</f>
        <v>#DIV/0!</v>
      </c>
      <c r="AR364" s="9" t="e">
        <f t="shared" ref="AR364:AR370" si="799">AQ364/C364</f>
        <v>#DIV/0!</v>
      </c>
      <c r="AS364" s="67">
        <v>0</v>
      </c>
      <c r="AT364" s="65">
        <v>0</v>
      </c>
      <c r="AU364" s="34" t="e">
        <f t="shared" ref="AU364:AU370" si="800">AS364/AT364</f>
        <v>#DIV/0!</v>
      </c>
      <c r="AV364" s="9" t="e">
        <f t="shared" ref="AV364:AV370" si="801">AU364/C364</f>
        <v>#DIV/0!</v>
      </c>
      <c r="AW364" s="67">
        <v>0</v>
      </c>
      <c r="AX364" s="65">
        <v>0</v>
      </c>
      <c r="AY364" s="34" t="e">
        <f t="shared" ref="AY364:AY370" si="802">AW364/AX364</f>
        <v>#DIV/0!</v>
      </c>
      <c r="AZ364" s="9" t="e">
        <f t="shared" ref="AZ364:AZ370" si="803">AY364/C364</f>
        <v>#DIV/0!</v>
      </c>
      <c r="BA364" s="67">
        <v>0</v>
      </c>
      <c r="BB364" s="65">
        <v>0</v>
      </c>
      <c r="BC364" s="34" t="e">
        <f t="shared" ref="BC364:BC370" si="804">BA364/BB364</f>
        <v>#DIV/0!</v>
      </c>
      <c r="BD364" s="10" t="e">
        <f t="shared" ref="BD364:BD370" si="805">BC364/C364</f>
        <v>#DIV/0!</v>
      </c>
    </row>
    <row r="365" spans="1:56" ht="15.75" thickBot="1" x14ac:dyDescent="0.3">
      <c r="A365" s="19" t="s">
        <v>16</v>
      </c>
      <c r="B365" s="8">
        <v>123280</v>
      </c>
      <c r="C365" s="35">
        <f>B365/F361</f>
        <v>54.070175438596493</v>
      </c>
      <c r="D365" s="8">
        <v>1525</v>
      </c>
      <c r="E365" s="68">
        <v>0</v>
      </c>
      <c r="F365" s="70">
        <v>0</v>
      </c>
      <c r="G365" s="35" t="e">
        <f t="shared" si="780"/>
        <v>#DIV/0!</v>
      </c>
      <c r="H365" s="11" t="e">
        <f t="shared" si="781"/>
        <v>#DIV/0!</v>
      </c>
      <c r="I365" s="35">
        <v>0</v>
      </c>
      <c r="J365" s="70">
        <v>0</v>
      </c>
      <c r="K365" s="35" t="e">
        <f t="shared" si="782"/>
        <v>#DIV/0!</v>
      </c>
      <c r="L365" s="6" t="e">
        <f t="shared" si="783"/>
        <v>#DIV/0!</v>
      </c>
      <c r="M365" s="68">
        <v>0</v>
      </c>
      <c r="N365" s="5">
        <v>0</v>
      </c>
      <c r="O365" s="35" t="e">
        <f t="shared" si="784"/>
        <v>#DIV/0!</v>
      </c>
      <c r="P365" s="11" t="e">
        <f t="shared" si="785"/>
        <v>#DIV/0!</v>
      </c>
      <c r="Q365" s="35">
        <v>0</v>
      </c>
      <c r="R365" s="66">
        <v>0</v>
      </c>
      <c r="S365" s="35" t="e">
        <f t="shared" si="786"/>
        <v>#DIV/0!</v>
      </c>
      <c r="T365" s="6" t="e">
        <f t="shared" si="787"/>
        <v>#DIV/0!</v>
      </c>
      <c r="U365" s="68">
        <v>0</v>
      </c>
      <c r="V365" s="66">
        <v>0</v>
      </c>
      <c r="W365" s="20" t="e">
        <f t="shared" si="788"/>
        <v>#DIV/0!</v>
      </c>
      <c r="X365" s="6" t="e">
        <f t="shared" si="789"/>
        <v>#DIV/0!</v>
      </c>
      <c r="Y365" s="68">
        <v>0</v>
      </c>
      <c r="Z365" s="70">
        <v>0</v>
      </c>
      <c r="AA365" s="35" t="e">
        <f t="shared" si="790"/>
        <v>#DIV/0!</v>
      </c>
      <c r="AB365" s="11" t="e">
        <f t="shared" si="791"/>
        <v>#DIV/0!</v>
      </c>
      <c r="AC365" s="20">
        <v>11660</v>
      </c>
      <c r="AD365" s="33">
        <v>590</v>
      </c>
      <c r="AE365" s="35">
        <f t="shared" si="792"/>
        <v>19.762711864406779</v>
      </c>
      <c r="AF365" s="6">
        <f t="shared" si="793"/>
        <v>0.36550116037351926</v>
      </c>
      <c r="AG365" s="68">
        <v>0</v>
      </c>
      <c r="AH365" s="66">
        <v>0</v>
      </c>
      <c r="AI365" s="35" t="e">
        <f t="shared" si="794"/>
        <v>#DIV/0!</v>
      </c>
      <c r="AJ365" s="6" t="e">
        <f t="shared" si="795"/>
        <v>#DIV/0!</v>
      </c>
      <c r="AK365" s="68">
        <v>3030</v>
      </c>
      <c r="AL365" s="66">
        <v>260</v>
      </c>
      <c r="AM365" s="35">
        <f t="shared" si="796"/>
        <v>11.653846153846153</v>
      </c>
      <c r="AN365" s="6">
        <f t="shared" si="797"/>
        <v>0.21553187241052263</v>
      </c>
      <c r="AO365" s="68">
        <v>0</v>
      </c>
      <c r="AP365" s="66">
        <v>0</v>
      </c>
      <c r="AQ365" s="35" t="e">
        <f t="shared" si="798"/>
        <v>#DIV/0!</v>
      </c>
      <c r="AR365" s="6" t="e">
        <f t="shared" si="799"/>
        <v>#DIV/0!</v>
      </c>
      <c r="AS365" s="68">
        <v>0</v>
      </c>
      <c r="AT365" s="66">
        <v>0</v>
      </c>
      <c r="AU365" s="35" t="e">
        <f t="shared" si="800"/>
        <v>#DIV/0!</v>
      </c>
      <c r="AV365" s="6" t="e">
        <f t="shared" si="801"/>
        <v>#DIV/0!</v>
      </c>
      <c r="AW365" s="68">
        <v>0</v>
      </c>
      <c r="AX365" s="66">
        <v>0</v>
      </c>
      <c r="AY365" s="35" t="e">
        <f t="shared" si="802"/>
        <v>#DIV/0!</v>
      </c>
      <c r="AZ365" s="6" t="e">
        <f t="shared" si="803"/>
        <v>#DIV/0!</v>
      </c>
      <c r="BA365" s="68">
        <v>0</v>
      </c>
      <c r="BB365" s="66">
        <v>0</v>
      </c>
      <c r="BC365" s="35" t="e">
        <f t="shared" si="804"/>
        <v>#DIV/0!</v>
      </c>
      <c r="BD365" s="11" t="e">
        <f t="shared" si="805"/>
        <v>#DIV/0!</v>
      </c>
    </row>
    <row r="366" spans="1:56" ht="15.75" thickBot="1" x14ac:dyDescent="0.3">
      <c r="A366" s="19" t="s">
        <v>2</v>
      </c>
      <c r="B366" s="8">
        <v>143480</v>
      </c>
      <c r="C366" s="35">
        <f>B366/F361</f>
        <v>62.929824561403507</v>
      </c>
      <c r="D366" s="8">
        <v>2100</v>
      </c>
      <c r="E366" s="68">
        <v>0</v>
      </c>
      <c r="F366" s="70">
        <v>0</v>
      </c>
      <c r="G366" s="35" t="e">
        <f t="shared" si="780"/>
        <v>#DIV/0!</v>
      </c>
      <c r="H366" s="11" t="e">
        <f t="shared" si="781"/>
        <v>#DIV/0!</v>
      </c>
      <c r="I366" s="35">
        <v>0</v>
      </c>
      <c r="J366" s="70">
        <v>0</v>
      </c>
      <c r="K366" s="35" t="e">
        <f t="shared" si="782"/>
        <v>#DIV/0!</v>
      </c>
      <c r="L366" s="6" t="e">
        <f t="shared" si="783"/>
        <v>#DIV/0!</v>
      </c>
      <c r="M366" s="68">
        <v>0</v>
      </c>
      <c r="N366" s="5">
        <v>0</v>
      </c>
      <c r="O366" s="35" t="e">
        <f t="shared" si="784"/>
        <v>#DIV/0!</v>
      </c>
      <c r="P366" s="11" t="e">
        <f t="shared" si="785"/>
        <v>#DIV/0!</v>
      </c>
      <c r="Q366" s="35">
        <v>0</v>
      </c>
      <c r="R366" s="66">
        <v>0</v>
      </c>
      <c r="S366" s="35" t="e">
        <f t="shared" si="786"/>
        <v>#DIV/0!</v>
      </c>
      <c r="T366" s="6" t="e">
        <f t="shared" si="787"/>
        <v>#DIV/0!</v>
      </c>
      <c r="U366" s="68">
        <v>0</v>
      </c>
      <c r="V366" s="66">
        <v>0</v>
      </c>
      <c r="W366" s="20" t="e">
        <f t="shared" si="788"/>
        <v>#DIV/0!</v>
      </c>
      <c r="X366" s="6" t="e">
        <f t="shared" si="789"/>
        <v>#DIV/0!</v>
      </c>
      <c r="Y366" s="68">
        <v>0</v>
      </c>
      <c r="Z366" s="70">
        <v>0</v>
      </c>
      <c r="AA366" s="35" t="e">
        <f t="shared" si="790"/>
        <v>#DIV/0!</v>
      </c>
      <c r="AB366" s="11" t="e">
        <f t="shared" si="791"/>
        <v>#DIV/0!</v>
      </c>
      <c r="AC366" s="20">
        <v>14750</v>
      </c>
      <c r="AD366" s="33">
        <v>590</v>
      </c>
      <c r="AE366" s="35">
        <f t="shared" si="792"/>
        <v>25</v>
      </c>
      <c r="AF366" s="6">
        <f t="shared" si="793"/>
        <v>0.39726791190409816</v>
      </c>
      <c r="AG366" s="68">
        <v>0</v>
      </c>
      <c r="AH366" s="66">
        <v>0</v>
      </c>
      <c r="AI366" s="35" t="e">
        <f t="shared" si="794"/>
        <v>#DIV/0!</v>
      </c>
      <c r="AJ366" s="6" t="e">
        <f t="shared" si="795"/>
        <v>#DIV/0!</v>
      </c>
      <c r="AK366" s="68">
        <v>3550</v>
      </c>
      <c r="AL366" s="66">
        <v>260</v>
      </c>
      <c r="AM366" s="35">
        <f t="shared" si="796"/>
        <v>13.653846153846153</v>
      </c>
      <c r="AN366" s="6">
        <f t="shared" si="797"/>
        <v>0.21696939803993051</v>
      </c>
      <c r="AO366" s="68">
        <v>0</v>
      </c>
      <c r="AP366" s="66">
        <v>0</v>
      </c>
      <c r="AQ366" s="35" t="e">
        <f t="shared" si="798"/>
        <v>#DIV/0!</v>
      </c>
      <c r="AR366" s="6" t="e">
        <f t="shared" si="799"/>
        <v>#DIV/0!</v>
      </c>
      <c r="AS366" s="68">
        <v>0</v>
      </c>
      <c r="AT366" s="66">
        <v>0</v>
      </c>
      <c r="AU366" s="35" t="e">
        <f t="shared" si="800"/>
        <v>#DIV/0!</v>
      </c>
      <c r="AV366" s="6" t="e">
        <f t="shared" si="801"/>
        <v>#DIV/0!</v>
      </c>
      <c r="AW366" s="68">
        <v>0</v>
      </c>
      <c r="AX366" s="66">
        <v>0</v>
      </c>
      <c r="AY366" s="35" t="e">
        <f t="shared" si="802"/>
        <v>#DIV/0!</v>
      </c>
      <c r="AZ366" s="6" t="e">
        <f t="shared" si="803"/>
        <v>#DIV/0!</v>
      </c>
      <c r="BA366" s="68">
        <v>0</v>
      </c>
      <c r="BB366" s="66">
        <v>0</v>
      </c>
      <c r="BC366" s="35" t="e">
        <f t="shared" si="804"/>
        <v>#DIV/0!</v>
      </c>
      <c r="BD366" s="11" t="e">
        <f t="shared" si="805"/>
        <v>#DIV/0!</v>
      </c>
    </row>
    <row r="367" spans="1:56" ht="15.75" thickBot="1" x14ac:dyDescent="0.3">
      <c r="A367" s="19" t="s">
        <v>3</v>
      </c>
      <c r="B367" s="8">
        <v>177710</v>
      </c>
      <c r="C367" s="35">
        <f>B367/F361</f>
        <v>77.942982456140356</v>
      </c>
      <c r="D367" s="8">
        <v>2700</v>
      </c>
      <c r="E367" s="68">
        <v>0</v>
      </c>
      <c r="F367" s="70">
        <v>0</v>
      </c>
      <c r="G367" s="35" t="e">
        <f t="shared" si="780"/>
        <v>#DIV/0!</v>
      </c>
      <c r="H367" s="11" t="e">
        <f t="shared" si="781"/>
        <v>#DIV/0!</v>
      </c>
      <c r="I367" s="35">
        <v>0</v>
      </c>
      <c r="J367" s="70">
        <v>0</v>
      </c>
      <c r="K367" s="35" t="e">
        <f t="shared" si="782"/>
        <v>#DIV/0!</v>
      </c>
      <c r="L367" s="6" t="e">
        <f t="shared" si="783"/>
        <v>#DIV/0!</v>
      </c>
      <c r="M367" s="68">
        <v>0</v>
      </c>
      <c r="N367" s="5">
        <v>0</v>
      </c>
      <c r="O367" s="35" t="e">
        <f t="shared" si="784"/>
        <v>#DIV/0!</v>
      </c>
      <c r="P367" s="11" t="e">
        <f t="shared" si="785"/>
        <v>#DIV/0!</v>
      </c>
      <c r="Q367" s="35">
        <v>0</v>
      </c>
      <c r="R367" s="66">
        <v>0</v>
      </c>
      <c r="S367" s="35" t="e">
        <f t="shared" si="786"/>
        <v>#DIV/0!</v>
      </c>
      <c r="T367" s="6" t="e">
        <f t="shared" si="787"/>
        <v>#DIV/0!</v>
      </c>
      <c r="U367" s="68">
        <v>0</v>
      </c>
      <c r="V367" s="66">
        <v>0</v>
      </c>
      <c r="W367" s="20" t="e">
        <f t="shared" si="788"/>
        <v>#DIV/0!</v>
      </c>
      <c r="X367" s="6" t="e">
        <f t="shared" si="789"/>
        <v>#DIV/0!</v>
      </c>
      <c r="Y367" s="68">
        <v>0</v>
      </c>
      <c r="Z367" s="70">
        <v>0</v>
      </c>
      <c r="AA367" s="35" t="e">
        <f t="shared" si="790"/>
        <v>#DIV/0!</v>
      </c>
      <c r="AB367" s="11" t="e">
        <f t="shared" si="791"/>
        <v>#DIV/0!</v>
      </c>
      <c r="AC367" s="20">
        <v>15710</v>
      </c>
      <c r="AD367" s="33">
        <v>590</v>
      </c>
      <c r="AE367" s="35">
        <f t="shared" si="792"/>
        <v>26.627118644067796</v>
      </c>
      <c r="AF367" s="6">
        <f t="shared" si="793"/>
        <v>0.34162304039431979</v>
      </c>
      <c r="AG367" s="68">
        <v>0</v>
      </c>
      <c r="AH367" s="66">
        <v>0</v>
      </c>
      <c r="AI367" s="35" t="e">
        <f t="shared" si="794"/>
        <v>#DIV/0!</v>
      </c>
      <c r="AJ367" s="6" t="e">
        <f t="shared" si="795"/>
        <v>#DIV/0!</v>
      </c>
      <c r="AK367" s="68">
        <v>4620</v>
      </c>
      <c r="AL367" s="66">
        <v>260</v>
      </c>
      <c r="AM367" s="35">
        <f t="shared" si="796"/>
        <v>17.76923076923077</v>
      </c>
      <c r="AN367" s="6">
        <f t="shared" si="797"/>
        <v>0.22797730096137614</v>
      </c>
      <c r="AO367" s="68">
        <v>0</v>
      </c>
      <c r="AP367" s="66">
        <v>0</v>
      </c>
      <c r="AQ367" s="35" t="e">
        <f t="shared" si="798"/>
        <v>#DIV/0!</v>
      </c>
      <c r="AR367" s="6" t="e">
        <f t="shared" si="799"/>
        <v>#DIV/0!</v>
      </c>
      <c r="AS367" s="68">
        <v>0</v>
      </c>
      <c r="AT367" s="66">
        <v>0</v>
      </c>
      <c r="AU367" s="35" t="e">
        <f t="shared" si="800"/>
        <v>#DIV/0!</v>
      </c>
      <c r="AV367" s="6" t="e">
        <f t="shared" si="801"/>
        <v>#DIV/0!</v>
      </c>
      <c r="AW367" s="68">
        <v>0</v>
      </c>
      <c r="AX367" s="66">
        <v>0</v>
      </c>
      <c r="AY367" s="35" t="e">
        <f t="shared" si="802"/>
        <v>#DIV/0!</v>
      </c>
      <c r="AZ367" s="6" t="e">
        <f t="shared" si="803"/>
        <v>#DIV/0!</v>
      </c>
      <c r="BA367" s="68">
        <v>0</v>
      </c>
      <c r="BB367" s="66">
        <v>0</v>
      </c>
      <c r="BC367" s="35" t="e">
        <f t="shared" si="804"/>
        <v>#DIV/0!</v>
      </c>
      <c r="BD367" s="11" t="e">
        <f t="shared" si="805"/>
        <v>#DIV/0!</v>
      </c>
    </row>
    <row r="368" spans="1:56" ht="15.75" thickBot="1" x14ac:dyDescent="0.3">
      <c r="A368" s="19" t="s">
        <v>4</v>
      </c>
      <c r="B368" s="8">
        <v>219360</v>
      </c>
      <c r="C368" s="35">
        <f>B368/F361</f>
        <v>96.21052631578948</v>
      </c>
      <c r="D368" s="8">
        <v>5250</v>
      </c>
      <c r="E368" s="68">
        <v>0</v>
      </c>
      <c r="F368" s="70">
        <v>0</v>
      </c>
      <c r="G368" s="35" t="e">
        <f t="shared" si="780"/>
        <v>#DIV/0!</v>
      </c>
      <c r="H368" s="11" t="e">
        <f t="shared" si="781"/>
        <v>#DIV/0!</v>
      </c>
      <c r="I368" s="35">
        <v>0</v>
      </c>
      <c r="J368" s="70">
        <v>0</v>
      </c>
      <c r="K368" s="35" t="e">
        <f t="shared" si="782"/>
        <v>#DIV/0!</v>
      </c>
      <c r="L368" s="6" t="e">
        <f t="shared" si="783"/>
        <v>#DIV/0!</v>
      </c>
      <c r="M368" s="68">
        <v>0</v>
      </c>
      <c r="N368" s="5">
        <v>0</v>
      </c>
      <c r="O368" s="35" t="e">
        <f t="shared" si="784"/>
        <v>#DIV/0!</v>
      </c>
      <c r="P368" s="11" t="e">
        <f t="shared" si="785"/>
        <v>#DIV/0!</v>
      </c>
      <c r="Q368" s="35">
        <v>0</v>
      </c>
      <c r="R368" s="66">
        <v>0</v>
      </c>
      <c r="S368" s="35" t="e">
        <f t="shared" si="786"/>
        <v>#DIV/0!</v>
      </c>
      <c r="T368" s="6" t="e">
        <f t="shared" si="787"/>
        <v>#DIV/0!</v>
      </c>
      <c r="U368" s="68">
        <v>0</v>
      </c>
      <c r="V368" s="66">
        <v>0</v>
      </c>
      <c r="W368" s="20" t="e">
        <f t="shared" si="788"/>
        <v>#DIV/0!</v>
      </c>
      <c r="X368" s="6" t="e">
        <f t="shared" si="789"/>
        <v>#DIV/0!</v>
      </c>
      <c r="Y368" s="68">
        <v>0</v>
      </c>
      <c r="Z368" s="70">
        <v>0</v>
      </c>
      <c r="AA368" s="35" t="e">
        <f t="shared" si="790"/>
        <v>#DIV/0!</v>
      </c>
      <c r="AB368" s="11" t="e">
        <f t="shared" si="791"/>
        <v>#DIV/0!</v>
      </c>
      <c r="AC368" s="20">
        <v>17880</v>
      </c>
      <c r="AD368" s="33">
        <v>590</v>
      </c>
      <c r="AE368" s="35">
        <f t="shared" si="792"/>
        <v>30.305084745762713</v>
      </c>
      <c r="AF368" s="6">
        <f t="shared" si="793"/>
        <v>0.31498720468790564</v>
      </c>
      <c r="AG368" s="68">
        <v>0</v>
      </c>
      <c r="AH368" s="66">
        <v>0</v>
      </c>
      <c r="AI368" s="35" t="e">
        <f t="shared" si="794"/>
        <v>#DIV/0!</v>
      </c>
      <c r="AJ368" s="6" t="e">
        <f t="shared" si="795"/>
        <v>#DIV/0!</v>
      </c>
      <c r="AK368" s="68">
        <v>5080</v>
      </c>
      <c r="AL368" s="66">
        <v>260</v>
      </c>
      <c r="AM368" s="35">
        <f t="shared" si="796"/>
        <v>19.53846153846154</v>
      </c>
      <c r="AN368" s="6">
        <f t="shared" si="797"/>
        <v>0.20308028951354992</v>
      </c>
      <c r="AO368" s="68">
        <v>0</v>
      </c>
      <c r="AP368" s="66">
        <v>0</v>
      </c>
      <c r="AQ368" s="35" t="e">
        <f t="shared" si="798"/>
        <v>#DIV/0!</v>
      </c>
      <c r="AR368" s="6" t="e">
        <f t="shared" si="799"/>
        <v>#DIV/0!</v>
      </c>
      <c r="AS368" s="68">
        <v>0</v>
      </c>
      <c r="AT368" s="66">
        <v>0</v>
      </c>
      <c r="AU368" s="35" t="e">
        <f t="shared" si="800"/>
        <v>#DIV/0!</v>
      </c>
      <c r="AV368" s="6" t="e">
        <f t="shared" si="801"/>
        <v>#DIV/0!</v>
      </c>
      <c r="AW368" s="68">
        <v>0</v>
      </c>
      <c r="AX368" s="66">
        <v>0</v>
      </c>
      <c r="AY368" s="35" t="e">
        <f t="shared" si="802"/>
        <v>#DIV/0!</v>
      </c>
      <c r="AZ368" s="6" t="e">
        <f t="shared" si="803"/>
        <v>#DIV/0!</v>
      </c>
      <c r="BA368" s="68">
        <v>0</v>
      </c>
      <c r="BB368" s="66">
        <v>0</v>
      </c>
      <c r="BC368" s="35" t="e">
        <f t="shared" si="804"/>
        <v>#DIV/0!</v>
      </c>
      <c r="BD368" s="11" t="e">
        <f t="shared" si="805"/>
        <v>#DIV/0!</v>
      </c>
    </row>
    <row r="369" spans="1:56" ht="15.75" thickBot="1" x14ac:dyDescent="0.3">
      <c r="A369" s="19" t="s">
        <v>5</v>
      </c>
      <c r="B369" s="8">
        <v>294330</v>
      </c>
      <c r="C369" s="35">
        <f>B369/F361</f>
        <v>129.09210526315789</v>
      </c>
      <c r="D369" s="8">
        <v>7050</v>
      </c>
      <c r="E369" s="68">
        <v>0</v>
      </c>
      <c r="F369" s="70">
        <v>0</v>
      </c>
      <c r="G369" s="35" t="e">
        <f t="shared" si="780"/>
        <v>#DIV/0!</v>
      </c>
      <c r="H369" s="11" t="e">
        <f t="shared" si="781"/>
        <v>#DIV/0!</v>
      </c>
      <c r="I369" s="35">
        <v>0</v>
      </c>
      <c r="J369" s="70">
        <v>0</v>
      </c>
      <c r="K369" s="35" t="e">
        <f t="shared" si="782"/>
        <v>#DIV/0!</v>
      </c>
      <c r="L369" s="6" t="e">
        <f t="shared" si="783"/>
        <v>#DIV/0!</v>
      </c>
      <c r="M369" s="68">
        <v>0</v>
      </c>
      <c r="N369" s="5">
        <v>0</v>
      </c>
      <c r="O369" s="35" t="e">
        <f t="shared" si="784"/>
        <v>#DIV/0!</v>
      </c>
      <c r="P369" s="11" t="e">
        <f t="shared" si="785"/>
        <v>#DIV/0!</v>
      </c>
      <c r="Q369" s="35">
        <v>0</v>
      </c>
      <c r="R369" s="66">
        <v>0</v>
      </c>
      <c r="S369" s="35" t="e">
        <f t="shared" si="786"/>
        <v>#DIV/0!</v>
      </c>
      <c r="T369" s="6" t="e">
        <f t="shared" si="787"/>
        <v>#DIV/0!</v>
      </c>
      <c r="U369" s="68">
        <v>0</v>
      </c>
      <c r="V369" s="66">
        <v>0</v>
      </c>
      <c r="W369" s="20" t="e">
        <f t="shared" si="788"/>
        <v>#DIV/0!</v>
      </c>
      <c r="X369" s="6" t="e">
        <f t="shared" si="789"/>
        <v>#DIV/0!</v>
      </c>
      <c r="Y369" s="68">
        <v>0</v>
      </c>
      <c r="Z369" s="70">
        <v>0</v>
      </c>
      <c r="AA369" s="35" t="e">
        <f t="shared" si="790"/>
        <v>#DIV/0!</v>
      </c>
      <c r="AB369" s="11" t="e">
        <f t="shared" si="791"/>
        <v>#DIV/0!</v>
      </c>
      <c r="AC369" s="20">
        <v>19930</v>
      </c>
      <c r="AD369" s="33">
        <v>590</v>
      </c>
      <c r="AE369" s="35">
        <f t="shared" si="792"/>
        <v>33.779661016949156</v>
      </c>
      <c r="AF369" s="6">
        <f t="shared" si="793"/>
        <v>0.26167100573724755</v>
      </c>
      <c r="AG369" s="68">
        <v>0</v>
      </c>
      <c r="AH369" s="66">
        <v>0</v>
      </c>
      <c r="AI369" s="35" t="e">
        <f t="shared" si="794"/>
        <v>#DIV/0!</v>
      </c>
      <c r="AJ369" s="6" t="e">
        <f t="shared" si="795"/>
        <v>#DIV/0!</v>
      </c>
      <c r="AK369" s="68">
        <v>6220</v>
      </c>
      <c r="AL369" s="66">
        <v>260</v>
      </c>
      <c r="AM369" s="35">
        <f t="shared" si="796"/>
        <v>23.923076923076923</v>
      </c>
      <c r="AN369" s="6">
        <f t="shared" si="797"/>
        <v>0.18531789278909858</v>
      </c>
      <c r="AO369" s="68">
        <v>0</v>
      </c>
      <c r="AP369" s="66">
        <v>0</v>
      </c>
      <c r="AQ369" s="35" t="e">
        <f t="shared" si="798"/>
        <v>#DIV/0!</v>
      </c>
      <c r="AR369" s="6" t="e">
        <f t="shared" si="799"/>
        <v>#DIV/0!</v>
      </c>
      <c r="AS369" s="68">
        <v>0</v>
      </c>
      <c r="AT369" s="66">
        <v>0</v>
      </c>
      <c r="AU369" s="35" t="e">
        <f t="shared" si="800"/>
        <v>#DIV/0!</v>
      </c>
      <c r="AV369" s="6" t="e">
        <f t="shared" si="801"/>
        <v>#DIV/0!</v>
      </c>
      <c r="AW369" s="68">
        <v>0</v>
      </c>
      <c r="AX369" s="66">
        <v>0</v>
      </c>
      <c r="AY369" s="35" t="e">
        <f t="shared" si="802"/>
        <v>#DIV/0!</v>
      </c>
      <c r="AZ369" s="6" t="e">
        <f t="shared" si="803"/>
        <v>#DIV/0!</v>
      </c>
      <c r="BA369" s="68">
        <v>0</v>
      </c>
      <c r="BB369" s="66">
        <v>0</v>
      </c>
      <c r="BC369" s="35" t="e">
        <f t="shared" si="804"/>
        <v>#DIV/0!</v>
      </c>
      <c r="BD369" s="11" t="e">
        <f t="shared" si="805"/>
        <v>#DIV/0!</v>
      </c>
    </row>
    <row r="370" spans="1:56" x14ac:dyDescent="0.25">
      <c r="A370" s="19" t="s">
        <v>6</v>
      </c>
      <c r="B370" s="8">
        <v>354360</v>
      </c>
      <c r="C370" s="35">
        <f>B370/F361</f>
        <v>155.42105263157896</v>
      </c>
      <c r="D370" s="8">
        <v>10950</v>
      </c>
      <c r="E370" s="68">
        <v>0</v>
      </c>
      <c r="F370" s="70">
        <v>0</v>
      </c>
      <c r="G370" s="35" t="e">
        <f t="shared" si="780"/>
        <v>#DIV/0!</v>
      </c>
      <c r="H370" s="11" t="e">
        <f t="shared" si="781"/>
        <v>#DIV/0!</v>
      </c>
      <c r="I370" s="35">
        <v>0</v>
      </c>
      <c r="J370" s="70">
        <v>0</v>
      </c>
      <c r="K370" s="35" t="e">
        <f t="shared" si="782"/>
        <v>#DIV/0!</v>
      </c>
      <c r="L370" s="6" t="e">
        <f t="shared" si="783"/>
        <v>#DIV/0!</v>
      </c>
      <c r="M370" s="68">
        <v>0</v>
      </c>
      <c r="N370" s="5">
        <v>0</v>
      </c>
      <c r="O370" s="35" t="e">
        <f t="shared" si="784"/>
        <v>#DIV/0!</v>
      </c>
      <c r="P370" s="11" t="e">
        <f t="shared" si="785"/>
        <v>#DIV/0!</v>
      </c>
      <c r="Q370" s="35">
        <v>0</v>
      </c>
      <c r="R370" s="66">
        <v>0</v>
      </c>
      <c r="S370" s="35" t="e">
        <f t="shared" si="786"/>
        <v>#DIV/0!</v>
      </c>
      <c r="T370" s="6" t="e">
        <f t="shared" si="787"/>
        <v>#DIV/0!</v>
      </c>
      <c r="U370" s="68">
        <v>0</v>
      </c>
      <c r="V370" s="66">
        <v>0</v>
      </c>
      <c r="W370" s="20" t="e">
        <f t="shared" si="788"/>
        <v>#DIV/0!</v>
      </c>
      <c r="X370" s="6" t="e">
        <f t="shared" si="789"/>
        <v>#DIV/0!</v>
      </c>
      <c r="Y370" s="68">
        <v>0</v>
      </c>
      <c r="Z370" s="70">
        <v>0</v>
      </c>
      <c r="AA370" s="35" t="e">
        <f t="shared" si="790"/>
        <v>#DIV/0!</v>
      </c>
      <c r="AB370" s="11" t="e">
        <f t="shared" si="791"/>
        <v>#DIV/0!</v>
      </c>
      <c r="AC370" s="20">
        <v>28600</v>
      </c>
      <c r="AD370" s="33">
        <v>590</v>
      </c>
      <c r="AE370" s="35">
        <f t="shared" si="792"/>
        <v>48.474576271186443</v>
      </c>
      <c r="AF370" s="6">
        <f t="shared" si="793"/>
        <v>0.31189195704454531</v>
      </c>
      <c r="AG370" s="68">
        <v>0</v>
      </c>
      <c r="AH370" s="66">
        <v>0</v>
      </c>
      <c r="AI370" s="35" t="e">
        <f t="shared" si="794"/>
        <v>#DIV/0!</v>
      </c>
      <c r="AJ370" s="6" t="e">
        <f t="shared" si="795"/>
        <v>#DIV/0!</v>
      </c>
      <c r="AK370" s="68">
        <v>7540</v>
      </c>
      <c r="AL370" s="66">
        <v>260</v>
      </c>
      <c r="AM370" s="35">
        <f t="shared" si="796"/>
        <v>29</v>
      </c>
      <c r="AN370" s="6">
        <f t="shared" si="797"/>
        <v>0.18658990856755839</v>
      </c>
      <c r="AO370" s="68">
        <v>0</v>
      </c>
      <c r="AP370" s="66">
        <v>0</v>
      </c>
      <c r="AQ370" s="35" t="e">
        <f t="shared" si="798"/>
        <v>#DIV/0!</v>
      </c>
      <c r="AR370" s="6" t="e">
        <f t="shared" si="799"/>
        <v>#DIV/0!</v>
      </c>
      <c r="AS370" s="68">
        <v>0</v>
      </c>
      <c r="AT370" s="66">
        <v>0</v>
      </c>
      <c r="AU370" s="35" t="e">
        <f t="shared" si="800"/>
        <v>#DIV/0!</v>
      </c>
      <c r="AV370" s="6" t="e">
        <f t="shared" si="801"/>
        <v>#DIV/0!</v>
      </c>
      <c r="AW370" s="68">
        <v>0</v>
      </c>
      <c r="AX370" s="66">
        <v>0</v>
      </c>
      <c r="AY370" s="35" t="e">
        <f t="shared" si="802"/>
        <v>#DIV/0!</v>
      </c>
      <c r="AZ370" s="6" t="e">
        <f t="shared" si="803"/>
        <v>#DIV/0!</v>
      </c>
      <c r="BA370" s="68">
        <v>0</v>
      </c>
      <c r="BB370" s="66">
        <v>0</v>
      </c>
      <c r="BC370" s="35" t="e">
        <f t="shared" si="804"/>
        <v>#DIV/0!</v>
      </c>
      <c r="BD370" s="11" t="e">
        <f t="shared" si="805"/>
        <v>#DIV/0!</v>
      </c>
    </row>
    <row r="371" spans="1:56" ht="15.75" thickBot="1" x14ac:dyDescent="0.3">
      <c r="A371" s="21"/>
      <c r="B371" s="22"/>
      <c r="C371" s="23">
        <f>AVERAGE(Table11027[MA $/Sq Ft])</f>
        <v>88.809523809523824</v>
      </c>
      <c r="D371" s="22">
        <f>AVERAGE(Table11027[Basic Allowance])</f>
        <v>4442.8571428571431</v>
      </c>
      <c r="E371" s="16"/>
      <c r="F371" s="22"/>
      <c r="G371" s="15"/>
      <c r="H371" s="24" t="e">
        <f>AVERAGE(Table11027[Bsmt % Base])</f>
        <v>#DIV/0!</v>
      </c>
      <c r="I371" s="15"/>
      <c r="J371" s="15"/>
      <c r="K371" s="15"/>
      <c r="L371" s="25" t="e">
        <f>AVERAGE(Table11027[[#Headers],[#Data],[UnfBsmt % Base]])</f>
        <v>#DIV/0!</v>
      </c>
      <c r="M371" s="44"/>
      <c r="N371" s="15"/>
      <c r="O371" s="23" t="e">
        <f>AVERAGE(Table11027[LowerVal/SqFt])</f>
        <v>#DIV/0!</v>
      </c>
      <c r="P371" s="24" t="e">
        <f>AVERAGE(Table11027[Lower % Base])</f>
        <v>#DIV/0!</v>
      </c>
      <c r="Q371" s="13"/>
      <c r="R371" s="13"/>
      <c r="S371" s="13"/>
      <c r="T371" s="25" t="e">
        <f>AVERAGE(Table11027[Unf Lower % Base])</f>
        <v>#DIV/0!</v>
      </c>
      <c r="U371" s="12"/>
      <c r="V371" s="13"/>
      <c r="W371" s="13"/>
      <c r="X371" s="25" t="e">
        <f>AVERAGE(Table11027[1/2 Story % Base])</f>
        <v>#DIV/0!</v>
      </c>
      <c r="Y371" s="12"/>
      <c r="Z371" s="13"/>
      <c r="AA371" s="13"/>
      <c r="AB371" s="24" t="e">
        <f>AVERAGE(Table11027[2nd Story % Base])</f>
        <v>#DIV/0!</v>
      </c>
      <c r="AC371" s="13"/>
      <c r="AD371" s="13"/>
      <c r="AE371" s="23">
        <f>AVERAGE(Table11027[AttGarVal/SqFt])</f>
        <v>28.368038740920095</v>
      </c>
      <c r="AF371" s="25">
        <f>AVERAGE(Table11027[Att Gar % Base])</f>
        <v>0.33013187431858088</v>
      </c>
      <c r="AG371" s="12"/>
      <c r="AH371" s="13"/>
      <c r="AI371" s="13"/>
      <c r="AJ371" s="25" t="e">
        <f>AVERAGE(Table11027[Porch % Base])</f>
        <v>#DIV/0!</v>
      </c>
      <c r="AK371" s="12"/>
      <c r="AL371" s="13"/>
      <c r="AM371" s="13"/>
      <c r="AN371" s="25">
        <f>AVERAGE(Table11027[Cov Porch % Base])</f>
        <v>0.20265386145357328</v>
      </c>
      <c r="AO371" s="12"/>
      <c r="AP371" s="13"/>
      <c r="AQ371" s="13"/>
      <c r="AR371" s="25" t="e">
        <f>AVERAGE(Table11027[Deck % Base])</f>
        <v>#DIV/0!</v>
      </c>
      <c r="AS371" s="12"/>
      <c r="AT371" s="13"/>
      <c r="AU371" s="23" t="e">
        <f>AVERAGE(Table11027[CovDeckVal/SqFt])</f>
        <v>#DIV/0!</v>
      </c>
      <c r="AV371" s="25" t="e">
        <f>AVERAGE(Table11027[CovDeck % Base])</f>
        <v>#DIV/0!</v>
      </c>
      <c r="AW371" s="12"/>
      <c r="AX371" s="13"/>
      <c r="AY371" s="13"/>
      <c r="AZ371" s="25" t="e">
        <f>AVERAGE(Table11027[CarP % Base])</f>
        <v>#DIV/0!</v>
      </c>
      <c r="BA371" s="12"/>
      <c r="BB371" s="13"/>
      <c r="BC371" s="13"/>
      <c r="BD371" s="24" t="e">
        <f>AVERAGE(Table11027[EFP % Base])</f>
        <v>#DIV/0!</v>
      </c>
    </row>
    <row r="373" spans="1:56" ht="15.75" thickBot="1" x14ac:dyDescent="0.3">
      <c r="A373" s="82"/>
      <c r="B373" t="s">
        <v>79</v>
      </c>
      <c r="C373" s="78" t="s">
        <v>120</v>
      </c>
      <c r="E373" t="s">
        <v>33</v>
      </c>
      <c r="F373" s="79">
        <v>1808</v>
      </c>
      <c r="H373" t="s">
        <v>80</v>
      </c>
      <c r="I373" t="s">
        <v>134</v>
      </c>
    </row>
    <row r="374" spans="1:56" x14ac:dyDescent="0.25">
      <c r="A374" s="112"/>
      <c r="B374" s="113"/>
      <c r="C374" s="113"/>
      <c r="D374" s="114"/>
      <c r="E374" s="115" t="s">
        <v>27</v>
      </c>
      <c r="F374" s="116"/>
      <c r="G374" s="116"/>
      <c r="H374" s="117"/>
      <c r="I374" s="118" t="s">
        <v>28</v>
      </c>
      <c r="J374" s="119"/>
      <c r="K374" s="119"/>
      <c r="L374" s="120"/>
      <c r="M374" s="121" t="s">
        <v>7</v>
      </c>
      <c r="N374" s="122"/>
      <c r="O374" s="122"/>
      <c r="P374" s="123"/>
      <c r="Q374" s="124" t="s">
        <v>29</v>
      </c>
      <c r="R374" s="125"/>
      <c r="S374" s="125"/>
      <c r="T374" s="126"/>
      <c r="U374" s="127" t="s">
        <v>8</v>
      </c>
      <c r="V374" s="128"/>
      <c r="W374" s="128"/>
      <c r="X374" s="129"/>
      <c r="Y374" s="130" t="s">
        <v>0</v>
      </c>
      <c r="Z374" s="131"/>
      <c r="AA374" s="131"/>
      <c r="AB374" s="132"/>
      <c r="AC374" s="133" t="s">
        <v>34</v>
      </c>
      <c r="AD374" s="134"/>
      <c r="AE374" s="134"/>
      <c r="AF374" s="135"/>
      <c r="AG374" s="115" t="s">
        <v>9</v>
      </c>
      <c r="AH374" s="116"/>
      <c r="AI374" s="116"/>
      <c r="AJ374" s="117"/>
      <c r="AK374" s="136" t="s">
        <v>35</v>
      </c>
      <c r="AL374" s="137"/>
      <c r="AM374" s="137"/>
      <c r="AN374" s="138"/>
      <c r="AO374" s="139" t="s">
        <v>10</v>
      </c>
      <c r="AP374" s="140"/>
      <c r="AQ374" s="140"/>
      <c r="AR374" s="141"/>
      <c r="AS374" s="124" t="s">
        <v>36</v>
      </c>
      <c r="AT374" s="125"/>
      <c r="AU374" s="125"/>
      <c r="AV374" s="126"/>
      <c r="AW374" s="142" t="s">
        <v>11</v>
      </c>
      <c r="AX374" s="143"/>
      <c r="AY374" s="143"/>
      <c r="AZ374" s="144"/>
      <c r="BA374" s="148" t="s">
        <v>17</v>
      </c>
      <c r="BB374" s="149"/>
      <c r="BC374" s="149"/>
      <c r="BD374" s="150"/>
    </row>
    <row r="375" spans="1:56" s="1" customFormat="1" ht="15.75" thickBot="1" x14ac:dyDescent="0.3">
      <c r="A375" s="41" t="s">
        <v>13</v>
      </c>
      <c r="B375" s="42" t="s">
        <v>15</v>
      </c>
      <c r="C375" s="42" t="s">
        <v>32</v>
      </c>
      <c r="D375" s="43" t="s">
        <v>18</v>
      </c>
      <c r="E375" s="30" t="s">
        <v>30</v>
      </c>
      <c r="F375" s="31" t="s">
        <v>61</v>
      </c>
      <c r="G375" s="31" t="s">
        <v>38</v>
      </c>
      <c r="H375" s="32" t="s">
        <v>62</v>
      </c>
      <c r="I375" s="37" t="s">
        <v>31</v>
      </c>
      <c r="J375" s="38" t="s">
        <v>39</v>
      </c>
      <c r="K375" s="38" t="s">
        <v>40</v>
      </c>
      <c r="L375" s="39" t="s">
        <v>63</v>
      </c>
      <c r="M375" s="40" t="s">
        <v>19</v>
      </c>
      <c r="N375" s="7" t="s">
        <v>41</v>
      </c>
      <c r="O375" s="7" t="s">
        <v>37</v>
      </c>
      <c r="P375" s="7" t="s">
        <v>64</v>
      </c>
      <c r="Q375" s="27" t="s">
        <v>20</v>
      </c>
      <c r="R375" s="28" t="s">
        <v>60</v>
      </c>
      <c r="S375" s="28" t="s">
        <v>59</v>
      </c>
      <c r="T375" s="29" t="s">
        <v>65</v>
      </c>
      <c r="U375" s="48" t="s">
        <v>21</v>
      </c>
      <c r="V375" s="48" t="s">
        <v>42</v>
      </c>
      <c r="W375" s="48" t="s">
        <v>43</v>
      </c>
      <c r="X375" s="49" t="s">
        <v>66</v>
      </c>
      <c r="Y375" s="50" t="s">
        <v>22</v>
      </c>
      <c r="Z375" s="51" t="s">
        <v>44</v>
      </c>
      <c r="AA375" s="51" t="s">
        <v>45</v>
      </c>
      <c r="AB375" s="52" t="s">
        <v>67</v>
      </c>
      <c r="AC375" s="45" t="s">
        <v>23</v>
      </c>
      <c r="AD375" s="46" t="s">
        <v>46</v>
      </c>
      <c r="AE375" s="46" t="s">
        <v>47</v>
      </c>
      <c r="AF375" s="47" t="s">
        <v>68</v>
      </c>
      <c r="AG375" s="30" t="s">
        <v>24</v>
      </c>
      <c r="AH375" s="31" t="s">
        <v>48</v>
      </c>
      <c r="AI375" s="31" t="s">
        <v>49</v>
      </c>
      <c r="AJ375" s="32" t="s">
        <v>69</v>
      </c>
      <c r="AK375" s="53" t="s">
        <v>25</v>
      </c>
      <c r="AL375" s="54" t="s">
        <v>50</v>
      </c>
      <c r="AM375" s="54" t="s">
        <v>51</v>
      </c>
      <c r="AN375" s="55" t="s">
        <v>70</v>
      </c>
      <c r="AO375" s="56" t="s">
        <v>26</v>
      </c>
      <c r="AP375" s="57" t="s">
        <v>52</v>
      </c>
      <c r="AQ375" s="57" t="s">
        <v>53</v>
      </c>
      <c r="AR375" s="58" t="s">
        <v>71</v>
      </c>
      <c r="AS375" s="59" t="s">
        <v>55</v>
      </c>
      <c r="AT375" s="60" t="s">
        <v>54</v>
      </c>
      <c r="AU375" s="60" t="s">
        <v>56</v>
      </c>
      <c r="AV375" s="61" t="s">
        <v>76</v>
      </c>
      <c r="AW375" s="62" t="s">
        <v>72</v>
      </c>
      <c r="AX375" s="63" t="s">
        <v>73</v>
      </c>
      <c r="AY375" s="63" t="s">
        <v>74</v>
      </c>
      <c r="AZ375" s="64" t="s">
        <v>75</v>
      </c>
      <c r="BA375" s="71" t="s">
        <v>77</v>
      </c>
      <c r="BB375" s="72" t="s">
        <v>57</v>
      </c>
      <c r="BC375" s="72" t="s">
        <v>58</v>
      </c>
      <c r="BD375" s="73" t="s">
        <v>78</v>
      </c>
    </row>
    <row r="376" spans="1:56" ht="15.75" thickBot="1" x14ac:dyDescent="0.3">
      <c r="A376" s="17" t="s">
        <v>1</v>
      </c>
      <c r="B376" s="14">
        <v>86610</v>
      </c>
      <c r="C376" s="34">
        <f>B376/F373</f>
        <v>47.903761061946902</v>
      </c>
      <c r="D376" s="14">
        <v>1525</v>
      </c>
      <c r="E376" s="67">
        <v>0</v>
      </c>
      <c r="F376" s="69">
        <v>0</v>
      </c>
      <c r="G376" s="34" t="e">
        <f t="shared" ref="G376:G382" si="806">E376/F376</f>
        <v>#DIV/0!</v>
      </c>
      <c r="H376" s="10" t="e">
        <f t="shared" ref="H376:H382" si="807">G376/C376</f>
        <v>#DIV/0!</v>
      </c>
      <c r="I376" s="34">
        <v>0</v>
      </c>
      <c r="J376" s="69">
        <v>0</v>
      </c>
      <c r="K376" s="34" t="e">
        <f t="shared" ref="K376:K382" si="808">I376/J376</f>
        <v>#DIV/0!</v>
      </c>
      <c r="L376" s="9" t="e">
        <f t="shared" ref="L376:L382" si="809">K376/C376</f>
        <v>#DIV/0!</v>
      </c>
      <c r="M376" s="67">
        <v>0</v>
      </c>
      <c r="N376" s="26">
        <v>0</v>
      </c>
      <c r="O376" s="34" t="e">
        <f t="shared" ref="O376:O382" si="810">M376/N376</f>
        <v>#DIV/0!</v>
      </c>
      <c r="P376" s="10" t="e">
        <f t="shared" ref="P376:P382" si="811">O376/C376</f>
        <v>#DIV/0!</v>
      </c>
      <c r="Q376" s="35">
        <v>0</v>
      </c>
      <c r="R376" s="66">
        <v>0</v>
      </c>
      <c r="S376" s="35" t="e">
        <f t="shared" ref="S376:S382" si="812">Q376/R376</f>
        <v>#DIV/0!</v>
      </c>
      <c r="T376" s="6" t="e">
        <f t="shared" ref="T376:T382" si="813">S376/C376</f>
        <v>#DIV/0!</v>
      </c>
      <c r="U376" s="67">
        <v>0</v>
      </c>
      <c r="V376" s="65">
        <v>0</v>
      </c>
      <c r="W376" s="18" t="e">
        <f t="shared" ref="W376:W382" si="814">U376/V376</f>
        <v>#DIV/0!</v>
      </c>
      <c r="X376" s="9" t="e">
        <f t="shared" ref="X376:X382" si="815">W376/C376</f>
        <v>#DIV/0!</v>
      </c>
      <c r="Y376" s="67">
        <v>0</v>
      </c>
      <c r="Z376" s="69">
        <v>0</v>
      </c>
      <c r="AA376" s="34" t="e">
        <f t="shared" ref="AA376:AA382" si="816">Y376/Z376</f>
        <v>#DIV/0!</v>
      </c>
      <c r="AB376" s="10" t="e">
        <f t="shared" ref="AB376:AB382" si="817">AA376/C376</f>
        <v>#DIV/0!</v>
      </c>
      <c r="AC376" s="18">
        <v>17160</v>
      </c>
      <c r="AD376" s="33">
        <v>1291</v>
      </c>
      <c r="AE376" s="34">
        <f t="shared" ref="AE376:AE382" si="818">AC376/AD376</f>
        <v>13.292021688613477</v>
      </c>
      <c r="AF376" s="9">
        <f t="shared" ref="AF376:AF382" si="819">AE376/C376</f>
        <v>0.27747344663448986</v>
      </c>
      <c r="AG376" s="67">
        <v>0</v>
      </c>
      <c r="AH376" s="65">
        <v>0</v>
      </c>
      <c r="AI376" s="34" t="e">
        <f t="shared" ref="AI376:AI382" si="820">AG376/AH376</f>
        <v>#DIV/0!</v>
      </c>
      <c r="AJ376" s="9" t="e">
        <f t="shared" ref="AJ376:AJ382" si="821">AI376/C376</f>
        <v>#DIV/0!</v>
      </c>
      <c r="AK376" s="67">
        <v>1570</v>
      </c>
      <c r="AL376" s="65">
        <v>186</v>
      </c>
      <c r="AM376" s="34">
        <f t="shared" ref="AM376:AM382" si="822">AK376/AL376</f>
        <v>8.4408602150537639</v>
      </c>
      <c r="AN376" s="9">
        <f t="shared" ref="AN376:AN382" si="823">AM376/C376</f>
        <v>0.1762045406860317</v>
      </c>
      <c r="AO376" s="67">
        <v>0</v>
      </c>
      <c r="AP376" s="65">
        <v>0</v>
      </c>
      <c r="AQ376" s="34" t="e">
        <f t="shared" ref="AQ376:AQ382" si="824">AO376/AP376</f>
        <v>#DIV/0!</v>
      </c>
      <c r="AR376" s="9" t="e">
        <f t="shared" ref="AR376:AR382" si="825">AQ376/C376</f>
        <v>#DIV/0!</v>
      </c>
      <c r="AS376" s="67">
        <v>0</v>
      </c>
      <c r="AT376" s="65">
        <v>0</v>
      </c>
      <c r="AU376" s="34" t="e">
        <f t="shared" ref="AU376:AU382" si="826">AS376/AT376</f>
        <v>#DIV/0!</v>
      </c>
      <c r="AV376" s="9" t="e">
        <f t="shared" ref="AV376:AV382" si="827">AU376/C376</f>
        <v>#DIV/0!</v>
      </c>
      <c r="AW376" s="67">
        <v>0</v>
      </c>
      <c r="AX376" s="65">
        <v>0</v>
      </c>
      <c r="AY376" s="34" t="e">
        <f t="shared" ref="AY376:AY382" si="828">AW376/AX376</f>
        <v>#DIV/0!</v>
      </c>
      <c r="AZ376" s="9" t="e">
        <f t="shared" ref="AZ376:AZ382" si="829">AY376/C376</f>
        <v>#DIV/0!</v>
      </c>
      <c r="BA376" s="67">
        <v>0</v>
      </c>
      <c r="BB376" s="65">
        <v>0</v>
      </c>
      <c r="BC376" s="34" t="e">
        <f t="shared" ref="BC376:BC382" si="830">BA376/BB376</f>
        <v>#DIV/0!</v>
      </c>
      <c r="BD376" s="10" t="e">
        <f t="shared" ref="BD376:BD382" si="831">BC376/C376</f>
        <v>#DIV/0!</v>
      </c>
    </row>
    <row r="377" spans="1:56" ht="15.75" thickBot="1" x14ac:dyDescent="0.3">
      <c r="A377" s="19" t="s">
        <v>16</v>
      </c>
      <c r="B377" s="8">
        <v>101880</v>
      </c>
      <c r="C377" s="35">
        <f>B377/F373</f>
        <v>56.349557522123895</v>
      </c>
      <c r="D377" s="8">
        <v>1525</v>
      </c>
      <c r="E377" s="68">
        <v>0</v>
      </c>
      <c r="F377" s="70">
        <v>0</v>
      </c>
      <c r="G377" s="35" t="e">
        <f t="shared" si="806"/>
        <v>#DIV/0!</v>
      </c>
      <c r="H377" s="11" t="e">
        <f t="shared" si="807"/>
        <v>#DIV/0!</v>
      </c>
      <c r="I377" s="35">
        <v>0</v>
      </c>
      <c r="J377" s="70">
        <v>0</v>
      </c>
      <c r="K377" s="35" t="e">
        <f t="shared" si="808"/>
        <v>#DIV/0!</v>
      </c>
      <c r="L377" s="6" t="e">
        <f t="shared" si="809"/>
        <v>#DIV/0!</v>
      </c>
      <c r="M377" s="68">
        <v>0</v>
      </c>
      <c r="N377" s="5">
        <v>0</v>
      </c>
      <c r="O377" s="35" t="e">
        <f t="shared" si="810"/>
        <v>#DIV/0!</v>
      </c>
      <c r="P377" s="11" t="e">
        <f t="shared" si="811"/>
        <v>#DIV/0!</v>
      </c>
      <c r="Q377" s="35">
        <v>0</v>
      </c>
      <c r="R377" s="66">
        <v>0</v>
      </c>
      <c r="S377" s="35" t="e">
        <f t="shared" si="812"/>
        <v>#DIV/0!</v>
      </c>
      <c r="T377" s="6" t="e">
        <f t="shared" si="813"/>
        <v>#DIV/0!</v>
      </c>
      <c r="U377" s="68">
        <v>0</v>
      </c>
      <c r="V377" s="66">
        <v>0</v>
      </c>
      <c r="W377" s="20" t="e">
        <f t="shared" si="814"/>
        <v>#DIV/0!</v>
      </c>
      <c r="X377" s="6" t="e">
        <f t="shared" si="815"/>
        <v>#DIV/0!</v>
      </c>
      <c r="Y377" s="68">
        <v>0</v>
      </c>
      <c r="Z377" s="70">
        <v>0</v>
      </c>
      <c r="AA377" s="35" t="e">
        <f t="shared" si="816"/>
        <v>#DIV/0!</v>
      </c>
      <c r="AB377" s="11" t="e">
        <f t="shared" si="817"/>
        <v>#DIV/0!</v>
      </c>
      <c r="AC377" s="20">
        <v>21860</v>
      </c>
      <c r="AD377" s="33">
        <v>1291</v>
      </c>
      <c r="AE377" s="35">
        <f t="shared" si="818"/>
        <v>16.932610379550734</v>
      </c>
      <c r="AF377" s="6">
        <f t="shared" si="819"/>
        <v>0.30049233967636169</v>
      </c>
      <c r="AG377" s="68">
        <v>0</v>
      </c>
      <c r="AH377" s="66">
        <v>0</v>
      </c>
      <c r="AI377" s="35" t="e">
        <f t="shared" si="820"/>
        <v>#DIV/0!</v>
      </c>
      <c r="AJ377" s="6" t="e">
        <f t="shared" si="821"/>
        <v>#DIV/0!</v>
      </c>
      <c r="AK377" s="68">
        <v>2170</v>
      </c>
      <c r="AL377" s="65">
        <v>186</v>
      </c>
      <c r="AM377" s="35">
        <f t="shared" si="822"/>
        <v>11.666666666666666</v>
      </c>
      <c r="AN377" s="6">
        <f t="shared" si="823"/>
        <v>0.2070409632247088</v>
      </c>
      <c r="AO377" s="68">
        <v>0</v>
      </c>
      <c r="AP377" s="66">
        <v>0</v>
      </c>
      <c r="AQ377" s="35" t="e">
        <f t="shared" si="824"/>
        <v>#DIV/0!</v>
      </c>
      <c r="AR377" s="6" t="e">
        <f t="shared" si="825"/>
        <v>#DIV/0!</v>
      </c>
      <c r="AS377" s="68">
        <v>0</v>
      </c>
      <c r="AT377" s="66">
        <v>0</v>
      </c>
      <c r="AU377" s="35" t="e">
        <f t="shared" si="826"/>
        <v>#DIV/0!</v>
      </c>
      <c r="AV377" s="6" t="e">
        <f t="shared" si="827"/>
        <v>#DIV/0!</v>
      </c>
      <c r="AW377" s="68">
        <v>0</v>
      </c>
      <c r="AX377" s="66">
        <v>0</v>
      </c>
      <c r="AY377" s="35" t="e">
        <f t="shared" si="828"/>
        <v>#DIV/0!</v>
      </c>
      <c r="AZ377" s="6" t="e">
        <f t="shared" si="829"/>
        <v>#DIV/0!</v>
      </c>
      <c r="BA377" s="68">
        <v>0</v>
      </c>
      <c r="BB377" s="66">
        <v>0</v>
      </c>
      <c r="BC377" s="35" t="e">
        <f t="shared" si="830"/>
        <v>#DIV/0!</v>
      </c>
      <c r="BD377" s="11" t="e">
        <f t="shared" si="831"/>
        <v>#DIV/0!</v>
      </c>
    </row>
    <row r="378" spans="1:56" ht="15.75" thickBot="1" x14ac:dyDescent="0.3">
      <c r="A378" s="19" t="s">
        <v>2</v>
      </c>
      <c r="B378" s="8">
        <v>118840</v>
      </c>
      <c r="C378" s="35">
        <f>B378/F373</f>
        <v>65.730088495575217</v>
      </c>
      <c r="D378" s="8">
        <v>2100</v>
      </c>
      <c r="E378" s="68">
        <v>0</v>
      </c>
      <c r="F378" s="70">
        <v>0</v>
      </c>
      <c r="G378" s="35" t="e">
        <f t="shared" si="806"/>
        <v>#DIV/0!</v>
      </c>
      <c r="H378" s="11" t="e">
        <f t="shared" si="807"/>
        <v>#DIV/0!</v>
      </c>
      <c r="I378" s="35">
        <v>0</v>
      </c>
      <c r="J378" s="70">
        <v>0</v>
      </c>
      <c r="K378" s="35" t="e">
        <f t="shared" si="808"/>
        <v>#DIV/0!</v>
      </c>
      <c r="L378" s="6" t="e">
        <f t="shared" si="809"/>
        <v>#DIV/0!</v>
      </c>
      <c r="M378" s="68">
        <v>0</v>
      </c>
      <c r="N378" s="5">
        <v>0</v>
      </c>
      <c r="O378" s="35" t="e">
        <f t="shared" si="810"/>
        <v>#DIV/0!</v>
      </c>
      <c r="P378" s="11" t="e">
        <f t="shared" si="811"/>
        <v>#DIV/0!</v>
      </c>
      <c r="Q378" s="35">
        <v>0</v>
      </c>
      <c r="R378" s="66">
        <v>0</v>
      </c>
      <c r="S378" s="35" t="e">
        <f t="shared" si="812"/>
        <v>#DIV/0!</v>
      </c>
      <c r="T378" s="6" t="e">
        <f t="shared" si="813"/>
        <v>#DIV/0!</v>
      </c>
      <c r="U378" s="68">
        <v>0</v>
      </c>
      <c r="V378" s="66">
        <v>0</v>
      </c>
      <c r="W378" s="20" t="e">
        <f t="shared" si="814"/>
        <v>#DIV/0!</v>
      </c>
      <c r="X378" s="6" t="e">
        <f t="shared" si="815"/>
        <v>#DIV/0!</v>
      </c>
      <c r="Y378" s="68">
        <v>0</v>
      </c>
      <c r="Z378" s="70">
        <v>0</v>
      </c>
      <c r="AA378" s="35" t="e">
        <f t="shared" si="816"/>
        <v>#DIV/0!</v>
      </c>
      <c r="AB378" s="11" t="e">
        <f t="shared" si="817"/>
        <v>#DIV/0!</v>
      </c>
      <c r="AC378" s="20">
        <v>28740</v>
      </c>
      <c r="AD378" s="33">
        <v>1291</v>
      </c>
      <c r="AE378" s="35">
        <f t="shared" si="818"/>
        <v>22.261812548412085</v>
      </c>
      <c r="AF378" s="6">
        <f t="shared" si="819"/>
        <v>0.33868526664026466</v>
      </c>
      <c r="AG378" s="68">
        <v>0</v>
      </c>
      <c r="AH378" s="66">
        <v>0</v>
      </c>
      <c r="AI378" s="35" t="e">
        <f t="shared" si="820"/>
        <v>#DIV/0!</v>
      </c>
      <c r="AJ378" s="6" t="e">
        <f t="shared" si="821"/>
        <v>#DIV/0!</v>
      </c>
      <c r="AK378" s="68">
        <v>2530</v>
      </c>
      <c r="AL378" s="65">
        <v>186</v>
      </c>
      <c r="AM378" s="35">
        <f t="shared" si="822"/>
        <v>13.602150537634408</v>
      </c>
      <c r="AN378" s="6">
        <f t="shared" si="823"/>
        <v>0.20693948310369414</v>
      </c>
      <c r="AO378" s="68">
        <v>0</v>
      </c>
      <c r="AP378" s="66">
        <v>0</v>
      </c>
      <c r="AQ378" s="35" t="e">
        <f t="shared" si="824"/>
        <v>#DIV/0!</v>
      </c>
      <c r="AR378" s="6" t="e">
        <f t="shared" si="825"/>
        <v>#DIV/0!</v>
      </c>
      <c r="AS378" s="68">
        <v>0</v>
      </c>
      <c r="AT378" s="66">
        <v>0</v>
      </c>
      <c r="AU378" s="35" t="e">
        <f t="shared" si="826"/>
        <v>#DIV/0!</v>
      </c>
      <c r="AV378" s="6" t="e">
        <f t="shared" si="827"/>
        <v>#DIV/0!</v>
      </c>
      <c r="AW378" s="68">
        <v>0</v>
      </c>
      <c r="AX378" s="66">
        <v>0</v>
      </c>
      <c r="AY378" s="35" t="e">
        <f t="shared" si="828"/>
        <v>#DIV/0!</v>
      </c>
      <c r="AZ378" s="6" t="e">
        <f t="shared" si="829"/>
        <v>#DIV/0!</v>
      </c>
      <c r="BA378" s="68">
        <v>0</v>
      </c>
      <c r="BB378" s="66">
        <v>0</v>
      </c>
      <c r="BC378" s="35" t="e">
        <f t="shared" si="830"/>
        <v>#DIV/0!</v>
      </c>
      <c r="BD378" s="11" t="e">
        <f t="shared" si="831"/>
        <v>#DIV/0!</v>
      </c>
    </row>
    <row r="379" spans="1:56" ht="15.75" thickBot="1" x14ac:dyDescent="0.3">
      <c r="A379" s="19" t="s">
        <v>3</v>
      </c>
      <c r="B379" s="8">
        <v>144030</v>
      </c>
      <c r="C379" s="35">
        <f>B379/F373</f>
        <v>79.662610619469021</v>
      </c>
      <c r="D379" s="8">
        <v>2700</v>
      </c>
      <c r="E379" s="68">
        <v>0</v>
      </c>
      <c r="F379" s="70">
        <v>0</v>
      </c>
      <c r="G379" s="35" t="e">
        <f t="shared" si="806"/>
        <v>#DIV/0!</v>
      </c>
      <c r="H379" s="11" t="e">
        <f t="shared" si="807"/>
        <v>#DIV/0!</v>
      </c>
      <c r="I379" s="35">
        <v>0</v>
      </c>
      <c r="J379" s="70">
        <v>0</v>
      </c>
      <c r="K379" s="35" t="e">
        <f t="shared" si="808"/>
        <v>#DIV/0!</v>
      </c>
      <c r="L379" s="6" t="e">
        <f t="shared" si="809"/>
        <v>#DIV/0!</v>
      </c>
      <c r="M379" s="68">
        <v>0</v>
      </c>
      <c r="N379" s="5">
        <v>0</v>
      </c>
      <c r="O379" s="35" t="e">
        <f t="shared" si="810"/>
        <v>#DIV/0!</v>
      </c>
      <c r="P379" s="11" t="e">
        <f t="shared" si="811"/>
        <v>#DIV/0!</v>
      </c>
      <c r="Q379" s="35">
        <v>0</v>
      </c>
      <c r="R379" s="66">
        <v>0</v>
      </c>
      <c r="S379" s="35" t="e">
        <f t="shared" si="812"/>
        <v>#DIV/0!</v>
      </c>
      <c r="T379" s="6" t="e">
        <f t="shared" si="813"/>
        <v>#DIV/0!</v>
      </c>
      <c r="U379" s="68">
        <v>0</v>
      </c>
      <c r="V379" s="66">
        <v>0</v>
      </c>
      <c r="W379" s="20" t="e">
        <f t="shared" si="814"/>
        <v>#DIV/0!</v>
      </c>
      <c r="X379" s="6" t="e">
        <f t="shared" si="815"/>
        <v>#DIV/0!</v>
      </c>
      <c r="Y379" s="68">
        <v>0</v>
      </c>
      <c r="Z379" s="70">
        <v>0</v>
      </c>
      <c r="AA379" s="35" t="e">
        <f t="shared" si="816"/>
        <v>#DIV/0!</v>
      </c>
      <c r="AB379" s="11" t="e">
        <f t="shared" si="817"/>
        <v>#DIV/0!</v>
      </c>
      <c r="AC379" s="20">
        <v>30580</v>
      </c>
      <c r="AD379" s="33">
        <v>1291</v>
      </c>
      <c r="AE379" s="35">
        <f t="shared" si="818"/>
        <v>23.687064291247097</v>
      </c>
      <c r="AF379" s="6">
        <f t="shared" si="819"/>
        <v>0.29734230534315598</v>
      </c>
      <c r="AG379" s="68">
        <v>0</v>
      </c>
      <c r="AH379" s="66">
        <v>0</v>
      </c>
      <c r="AI379" s="35" t="e">
        <f t="shared" si="820"/>
        <v>#DIV/0!</v>
      </c>
      <c r="AJ379" s="6" t="e">
        <f t="shared" si="821"/>
        <v>#DIV/0!</v>
      </c>
      <c r="AK379" s="68">
        <v>3310</v>
      </c>
      <c r="AL379" s="65">
        <v>186</v>
      </c>
      <c r="AM379" s="35">
        <f t="shared" si="822"/>
        <v>17.795698924731184</v>
      </c>
      <c r="AN379" s="6">
        <f t="shared" si="823"/>
        <v>0.22338834726039009</v>
      </c>
      <c r="AO379" s="68">
        <v>0</v>
      </c>
      <c r="AP379" s="66">
        <v>0</v>
      </c>
      <c r="AQ379" s="35" t="e">
        <f t="shared" si="824"/>
        <v>#DIV/0!</v>
      </c>
      <c r="AR379" s="6" t="e">
        <f t="shared" si="825"/>
        <v>#DIV/0!</v>
      </c>
      <c r="AS379" s="68">
        <v>0</v>
      </c>
      <c r="AT379" s="66">
        <v>0</v>
      </c>
      <c r="AU379" s="35" t="e">
        <f t="shared" si="826"/>
        <v>#DIV/0!</v>
      </c>
      <c r="AV379" s="6" t="e">
        <f t="shared" si="827"/>
        <v>#DIV/0!</v>
      </c>
      <c r="AW379" s="68">
        <v>0</v>
      </c>
      <c r="AX379" s="66">
        <v>0</v>
      </c>
      <c r="AY379" s="35" t="e">
        <f t="shared" si="828"/>
        <v>#DIV/0!</v>
      </c>
      <c r="AZ379" s="6" t="e">
        <f t="shared" si="829"/>
        <v>#DIV/0!</v>
      </c>
      <c r="BA379" s="68">
        <v>0</v>
      </c>
      <c r="BB379" s="66">
        <v>0</v>
      </c>
      <c r="BC379" s="35" t="e">
        <f t="shared" si="830"/>
        <v>#DIV/0!</v>
      </c>
      <c r="BD379" s="11" t="e">
        <f t="shared" si="831"/>
        <v>#DIV/0!</v>
      </c>
    </row>
    <row r="380" spans="1:56" ht="15.75" thickBot="1" x14ac:dyDescent="0.3">
      <c r="A380" s="19" t="s">
        <v>4</v>
      </c>
      <c r="B380" s="8">
        <v>178180</v>
      </c>
      <c r="C380" s="35">
        <f>B380/F373</f>
        <v>98.55088495575221</v>
      </c>
      <c r="D380" s="8">
        <v>5250</v>
      </c>
      <c r="E380" s="68">
        <v>0</v>
      </c>
      <c r="F380" s="70">
        <v>0</v>
      </c>
      <c r="G380" s="35" t="e">
        <f t="shared" si="806"/>
        <v>#DIV/0!</v>
      </c>
      <c r="H380" s="11" t="e">
        <f t="shared" si="807"/>
        <v>#DIV/0!</v>
      </c>
      <c r="I380" s="35">
        <v>0</v>
      </c>
      <c r="J380" s="70">
        <v>0</v>
      </c>
      <c r="K380" s="35" t="e">
        <f t="shared" si="808"/>
        <v>#DIV/0!</v>
      </c>
      <c r="L380" s="6" t="e">
        <f t="shared" si="809"/>
        <v>#DIV/0!</v>
      </c>
      <c r="M380" s="68">
        <v>0</v>
      </c>
      <c r="N380" s="5">
        <v>0</v>
      </c>
      <c r="O380" s="35" t="e">
        <f t="shared" si="810"/>
        <v>#DIV/0!</v>
      </c>
      <c r="P380" s="11" t="e">
        <f t="shared" si="811"/>
        <v>#DIV/0!</v>
      </c>
      <c r="Q380" s="35">
        <v>0</v>
      </c>
      <c r="R380" s="66">
        <v>0</v>
      </c>
      <c r="S380" s="35" t="e">
        <f t="shared" si="812"/>
        <v>#DIV/0!</v>
      </c>
      <c r="T380" s="6" t="e">
        <f t="shared" si="813"/>
        <v>#DIV/0!</v>
      </c>
      <c r="U380" s="68">
        <v>0</v>
      </c>
      <c r="V380" s="66">
        <v>0</v>
      </c>
      <c r="W380" s="20" t="e">
        <f t="shared" si="814"/>
        <v>#DIV/0!</v>
      </c>
      <c r="X380" s="6" t="e">
        <f t="shared" si="815"/>
        <v>#DIV/0!</v>
      </c>
      <c r="Y380" s="68">
        <v>0</v>
      </c>
      <c r="Z380" s="70">
        <v>0</v>
      </c>
      <c r="AA380" s="35" t="e">
        <f t="shared" si="816"/>
        <v>#DIV/0!</v>
      </c>
      <c r="AB380" s="11" t="e">
        <f t="shared" si="817"/>
        <v>#DIV/0!</v>
      </c>
      <c r="AC380" s="20">
        <v>34740</v>
      </c>
      <c r="AD380" s="33">
        <v>1291</v>
      </c>
      <c r="AE380" s="35">
        <f t="shared" si="818"/>
        <v>26.909372579395818</v>
      </c>
      <c r="AF380" s="6">
        <f t="shared" si="819"/>
        <v>0.27305054228054576</v>
      </c>
      <c r="AG380" s="68">
        <v>0</v>
      </c>
      <c r="AH380" s="66">
        <v>0</v>
      </c>
      <c r="AI380" s="35" t="e">
        <f t="shared" si="820"/>
        <v>#DIV/0!</v>
      </c>
      <c r="AJ380" s="6" t="e">
        <f t="shared" si="821"/>
        <v>#DIV/0!</v>
      </c>
      <c r="AK380" s="68">
        <v>3640</v>
      </c>
      <c r="AL380" s="65">
        <v>186</v>
      </c>
      <c r="AM380" s="35">
        <f t="shared" si="822"/>
        <v>19.56989247311828</v>
      </c>
      <c r="AN380" s="6">
        <f t="shared" si="823"/>
        <v>0.19857652705914161</v>
      </c>
      <c r="AO380" s="68">
        <v>0</v>
      </c>
      <c r="AP380" s="66">
        <v>0</v>
      </c>
      <c r="AQ380" s="35" t="e">
        <f t="shared" si="824"/>
        <v>#DIV/0!</v>
      </c>
      <c r="AR380" s="6" t="e">
        <f t="shared" si="825"/>
        <v>#DIV/0!</v>
      </c>
      <c r="AS380" s="68">
        <v>0</v>
      </c>
      <c r="AT380" s="66">
        <v>0</v>
      </c>
      <c r="AU380" s="35" t="e">
        <f t="shared" si="826"/>
        <v>#DIV/0!</v>
      </c>
      <c r="AV380" s="6" t="e">
        <f t="shared" si="827"/>
        <v>#DIV/0!</v>
      </c>
      <c r="AW380" s="68">
        <v>0</v>
      </c>
      <c r="AX380" s="66">
        <v>0</v>
      </c>
      <c r="AY380" s="35" t="e">
        <f t="shared" si="828"/>
        <v>#DIV/0!</v>
      </c>
      <c r="AZ380" s="6" t="e">
        <f t="shared" si="829"/>
        <v>#DIV/0!</v>
      </c>
      <c r="BA380" s="68">
        <v>0</v>
      </c>
      <c r="BB380" s="66">
        <v>0</v>
      </c>
      <c r="BC380" s="35" t="e">
        <f t="shared" si="830"/>
        <v>#DIV/0!</v>
      </c>
      <c r="BD380" s="11" t="e">
        <f t="shared" si="831"/>
        <v>#DIV/0!</v>
      </c>
    </row>
    <row r="381" spans="1:56" ht="15.75" thickBot="1" x14ac:dyDescent="0.3">
      <c r="A381" s="19" t="s">
        <v>5</v>
      </c>
      <c r="B381" s="8">
        <v>236750</v>
      </c>
      <c r="C381" s="35">
        <f>B381/F373</f>
        <v>130.94579646017698</v>
      </c>
      <c r="D381" s="8">
        <v>7050</v>
      </c>
      <c r="E381" s="68">
        <v>0</v>
      </c>
      <c r="F381" s="70">
        <v>0</v>
      </c>
      <c r="G381" s="35" t="e">
        <f t="shared" si="806"/>
        <v>#DIV/0!</v>
      </c>
      <c r="H381" s="11" t="e">
        <f t="shared" si="807"/>
        <v>#DIV/0!</v>
      </c>
      <c r="I381" s="35">
        <v>0</v>
      </c>
      <c r="J381" s="70">
        <v>0</v>
      </c>
      <c r="K381" s="35" t="e">
        <f t="shared" si="808"/>
        <v>#DIV/0!</v>
      </c>
      <c r="L381" s="6" t="e">
        <f t="shared" si="809"/>
        <v>#DIV/0!</v>
      </c>
      <c r="M381" s="68">
        <v>0</v>
      </c>
      <c r="N381" s="5">
        <v>0</v>
      </c>
      <c r="O381" s="35" t="e">
        <f t="shared" si="810"/>
        <v>#DIV/0!</v>
      </c>
      <c r="P381" s="11" t="e">
        <f t="shared" si="811"/>
        <v>#DIV/0!</v>
      </c>
      <c r="Q381" s="35">
        <v>0</v>
      </c>
      <c r="R381" s="66">
        <v>0</v>
      </c>
      <c r="S381" s="35" t="e">
        <f t="shared" si="812"/>
        <v>#DIV/0!</v>
      </c>
      <c r="T381" s="6" t="e">
        <f t="shared" si="813"/>
        <v>#DIV/0!</v>
      </c>
      <c r="U381" s="68">
        <v>0</v>
      </c>
      <c r="V381" s="66">
        <v>0</v>
      </c>
      <c r="W381" s="20" t="e">
        <f t="shared" si="814"/>
        <v>#DIV/0!</v>
      </c>
      <c r="X381" s="6" t="e">
        <f t="shared" si="815"/>
        <v>#DIV/0!</v>
      </c>
      <c r="Y381" s="68">
        <v>0</v>
      </c>
      <c r="Z381" s="70">
        <v>0</v>
      </c>
      <c r="AA381" s="35" t="e">
        <f t="shared" si="816"/>
        <v>#DIV/0!</v>
      </c>
      <c r="AB381" s="11" t="e">
        <f t="shared" si="817"/>
        <v>#DIV/0!</v>
      </c>
      <c r="AC381" s="20">
        <v>35940</v>
      </c>
      <c r="AD381" s="33">
        <v>1291</v>
      </c>
      <c r="AE381" s="35">
        <f t="shared" si="818"/>
        <v>27.838884585592563</v>
      </c>
      <c r="AF381" s="6">
        <f t="shared" si="819"/>
        <v>0.21259853571595083</v>
      </c>
      <c r="AG381" s="68">
        <v>0</v>
      </c>
      <c r="AH381" s="66">
        <v>0</v>
      </c>
      <c r="AI381" s="35" t="e">
        <f t="shared" si="820"/>
        <v>#DIV/0!</v>
      </c>
      <c r="AJ381" s="6" t="e">
        <f t="shared" si="821"/>
        <v>#DIV/0!</v>
      </c>
      <c r="AK381" s="68">
        <v>4440</v>
      </c>
      <c r="AL381" s="65">
        <v>186</v>
      </c>
      <c r="AM381" s="35">
        <f t="shared" si="822"/>
        <v>23.870967741935484</v>
      </c>
      <c r="AN381" s="6">
        <f t="shared" si="823"/>
        <v>0.18229655618762136</v>
      </c>
      <c r="AO381" s="68">
        <v>0</v>
      </c>
      <c r="AP381" s="66">
        <v>0</v>
      </c>
      <c r="AQ381" s="35" t="e">
        <f t="shared" si="824"/>
        <v>#DIV/0!</v>
      </c>
      <c r="AR381" s="6" t="e">
        <f t="shared" si="825"/>
        <v>#DIV/0!</v>
      </c>
      <c r="AS381" s="68">
        <v>0</v>
      </c>
      <c r="AT381" s="66">
        <v>0</v>
      </c>
      <c r="AU381" s="35" t="e">
        <f t="shared" si="826"/>
        <v>#DIV/0!</v>
      </c>
      <c r="AV381" s="6" t="e">
        <f t="shared" si="827"/>
        <v>#DIV/0!</v>
      </c>
      <c r="AW381" s="68">
        <v>0</v>
      </c>
      <c r="AX381" s="66">
        <v>0</v>
      </c>
      <c r="AY381" s="35" t="e">
        <f t="shared" si="828"/>
        <v>#DIV/0!</v>
      </c>
      <c r="AZ381" s="6" t="e">
        <f t="shared" si="829"/>
        <v>#DIV/0!</v>
      </c>
      <c r="BA381" s="68">
        <v>0</v>
      </c>
      <c r="BB381" s="66">
        <v>0</v>
      </c>
      <c r="BC381" s="35" t="e">
        <f t="shared" si="830"/>
        <v>#DIV/0!</v>
      </c>
      <c r="BD381" s="11" t="e">
        <f t="shared" si="831"/>
        <v>#DIV/0!</v>
      </c>
    </row>
    <row r="382" spans="1:56" x14ac:dyDescent="0.25">
      <c r="A382" s="19" t="s">
        <v>6</v>
      </c>
      <c r="B382" s="8">
        <v>288510</v>
      </c>
      <c r="C382" s="35">
        <f>B382/F373</f>
        <v>159.57411504424778</v>
      </c>
      <c r="D382" s="8">
        <v>10950</v>
      </c>
      <c r="E382" s="68">
        <v>0</v>
      </c>
      <c r="F382" s="70">
        <v>0</v>
      </c>
      <c r="G382" s="35" t="e">
        <f t="shared" si="806"/>
        <v>#DIV/0!</v>
      </c>
      <c r="H382" s="11" t="e">
        <f t="shared" si="807"/>
        <v>#DIV/0!</v>
      </c>
      <c r="I382" s="35">
        <v>0</v>
      </c>
      <c r="J382" s="70">
        <v>0</v>
      </c>
      <c r="K382" s="35" t="e">
        <f t="shared" si="808"/>
        <v>#DIV/0!</v>
      </c>
      <c r="L382" s="6" t="e">
        <f t="shared" si="809"/>
        <v>#DIV/0!</v>
      </c>
      <c r="M382" s="68">
        <v>0</v>
      </c>
      <c r="N382" s="5">
        <v>0</v>
      </c>
      <c r="O382" s="35" t="e">
        <f t="shared" si="810"/>
        <v>#DIV/0!</v>
      </c>
      <c r="P382" s="11" t="e">
        <f t="shared" si="811"/>
        <v>#DIV/0!</v>
      </c>
      <c r="Q382" s="35">
        <v>0</v>
      </c>
      <c r="R382" s="66">
        <v>0</v>
      </c>
      <c r="S382" s="35" t="e">
        <f t="shared" si="812"/>
        <v>#DIV/0!</v>
      </c>
      <c r="T382" s="6" t="e">
        <f t="shared" si="813"/>
        <v>#DIV/0!</v>
      </c>
      <c r="U382" s="68">
        <v>0</v>
      </c>
      <c r="V382" s="66">
        <v>0</v>
      </c>
      <c r="W382" s="20" t="e">
        <f t="shared" si="814"/>
        <v>#DIV/0!</v>
      </c>
      <c r="X382" s="6" t="e">
        <f t="shared" si="815"/>
        <v>#DIV/0!</v>
      </c>
      <c r="Y382" s="68">
        <v>0</v>
      </c>
      <c r="Z382" s="70">
        <v>0</v>
      </c>
      <c r="AA382" s="35" t="e">
        <f t="shared" si="816"/>
        <v>#DIV/0!</v>
      </c>
      <c r="AB382" s="11" t="e">
        <f t="shared" si="817"/>
        <v>#DIV/0!</v>
      </c>
      <c r="AC382" s="20">
        <v>52490</v>
      </c>
      <c r="AD382" s="33">
        <v>1291</v>
      </c>
      <c r="AE382" s="35">
        <f t="shared" si="818"/>
        <v>40.658404337722693</v>
      </c>
      <c r="AF382" s="6">
        <f t="shared" si="819"/>
        <v>0.25479323088490047</v>
      </c>
      <c r="AG382" s="68">
        <v>0</v>
      </c>
      <c r="AH382" s="66">
        <v>0</v>
      </c>
      <c r="AI382" s="35" t="e">
        <f t="shared" si="820"/>
        <v>#DIV/0!</v>
      </c>
      <c r="AJ382" s="6" t="e">
        <f t="shared" si="821"/>
        <v>#DIV/0!</v>
      </c>
      <c r="AK382" s="68">
        <v>5400</v>
      </c>
      <c r="AL382" s="65">
        <v>186</v>
      </c>
      <c r="AM382" s="35">
        <f t="shared" si="822"/>
        <v>29.032258064516128</v>
      </c>
      <c r="AN382" s="6">
        <f t="shared" si="823"/>
        <v>0.18193588638399072</v>
      </c>
      <c r="AO382" s="68">
        <v>0</v>
      </c>
      <c r="AP382" s="66">
        <v>0</v>
      </c>
      <c r="AQ382" s="35" t="e">
        <f t="shared" si="824"/>
        <v>#DIV/0!</v>
      </c>
      <c r="AR382" s="6" t="e">
        <f t="shared" si="825"/>
        <v>#DIV/0!</v>
      </c>
      <c r="AS382" s="68">
        <v>0</v>
      </c>
      <c r="AT382" s="66">
        <v>0</v>
      </c>
      <c r="AU382" s="35" t="e">
        <f t="shared" si="826"/>
        <v>#DIV/0!</v>
      </c>
      <c r="AV382" s="6" t="e">
        <f t="shared" si="827"/>
        <v>#DIV/0!</v>
      </c>
      <c r="AW382" s="68">
        <v>0</v>
      </c>
      <c r="AX382" s="66">
        <v>0</v>
      </c>
      <c r="AY382" s="35" t="e">
        <f t="shared" si="828"/>
        <v>#DIV/0!</v>
      </c>
      <c r="AZ382" s="6" t="e">
        <f t="shared" si="829"/>
        <v>#DIV/0!</v>
      </c>
      <c r="BA382" s="68">
        <v>0</v>
      </c>
      <c r="BB382" s="66">
        <v>0</v>
      </c>
      <c r="BC382" s="35" t="e">
        <f t="shared" si="830"/>
        <v>#DIV/0!</v>
      </c>
      <c r="BD382" s="11" t="e">
        <f t="shared" si="831"/>
        <v>#DIV/0!</v>
      </c>
    </row>
    <row r="383" spans="1:56" ht="15.75" thickBot="1" x14ac:dyDescent="0.3">
      <c r="A383" s="21"/>
      <c r="B383" s="22"/>
      <c r="C383" s="23">
        <f>AVERAGE(Table11028[MA $/Sq Ft])</f>
        <v>91.245259165613135</v>
      </c>
      <c r="D383" s="22">
        <f>AVERAGE(Table11028[Basic Allowance])</f>
        <v>4442.8571428571431</v>
      </c>
      <c r="E383" s="16"/>
      <c r="F383" s="22"/>
      <c r="G383" s="15"/>
      <c r="H383" s="24" t="e">
        <f>AVERAGE(Table11028[Bsmt % Base])</f>
        <v>#DIV/0!</v>
      </c>
      <c r="I383" s="15"/>
      <c r="J383" s="15"/>
      <c r="K383" s="15"/>
      <c r="L383" s="25" t="e">
        <f>AVERAGE(Table11028[[#Headers],[#Data],[UnfBsmt % Base]])</f>
        <v>#DIV/0!</v>
      </c>
      <c r="M383" s="44"/>
      <c r="N383" s="15"/>
      <c r="O383" s="23" t="e">
        <f>AVERAGE(Table11028[LowerVal/SqFt])</f>
        <v>#DIV/0!</v>
      </c>
      <c r="P383" s="24" t="e">
        <f>AVERAGE(Table11028[Lower % Base])</f>
        <v>#DIV/0!</v>
      </c>
      <c r="Q383" s="13"/>
      <c r="R383" s="13"/>
      <c r="S383" s="13"/>
      <c r="T383" s="25" t="e">
        <f>AVERAGE(Table11028[Unf Lower % Base])</f>
        <v>#DIV/0!</v>
      </c>
      <c r="U383" s="12"/>
      <c r="V383" s="13"/>
      <c r="W383" s="13"/>
      <c r="X383" s="25" t="e">
        <f>AVERAGE(Table11028[1/2 Story % Base])</f>
        <v>#DIV/0!</v>
      </c>
      <c r="Y383" s="12"/>
      <c r="Z383" s="13"/>
      <c r="AA383" s="13"/>
      <c r="AB383" s="24" t="e">
        <f>AVERAGE(Table11028[2nd Story % Base])</f>
        <v>#DIV/0!</v>
      </c>
      <c r="AC383" s="13"/>
      <c r="AD383" s="13"/>
      <c r="AE383" s="23">
        <f>AVERAGE(Table11028[AttGarVal/SqFt])</f>
        <v>24.511452915790638</v>
      </c>
      <c r="AF383" s="25">
        <f>AVERAGE(Table11028[Att Gar % Base])</f>
        <v>0.27920509531080995</v>
      </c>
      <c r="AG383" s="12"/>
      <c r="AH383" s="13"/>
      <c r="AI383" s="13"/>
      <c r="AJ383" s="25" t="e">
        <f>AVERAGE(Table11028[Porch % Base])</f>
        <v>#DIV/0!</v>
      </c>
      <c r="AK383" s="12"/>
      <c r="AL383" s="13"/>
      <c r="AM383" s="13"/>
      <c r="AN383" s="25">
        <f>AVERAGE(Table11028[Cov Porch % Base])</f>
        <v>0.19662604341508264</v>
      </c>
      <c r="AO383" s="12"/>
      <c r="AP383" s="13"/>
      <c r="AQ383" s="13"/>
      <c r="AR383" s="25" t="e">
        <f>AVERAGE(Table11028[Deck % Base])</f>
        <v>#DIV/0!</v>
      </c>
      <c r="AS383" s="12"/>
      <c r="AT383" s="13"/>
      <c r="AU383" s="23" t="e">
        <f>AVERAGE(Table11028[CovDeckVal/SqFt])</f>
        <v>#DIV/0!</v>
      </c>
      <c r="AV383" s="25" t="e">
        <f>AVERAGE(Table11028[CovDeck % Base])</f>
        <v>#DIV/0!</v>
      </c>
      <c r="AW383" s="12"/>
      <c r="AX383" s="13"/>
      <c r="AY383" s="13"/>
      <c r="AZ383" s="25" t="e">
        <f>AVERAGE(Table11028[CarP % Base])</f>
        <v>#DIV/0!</v>
      </c>
      <c r="BA383" s="12"/>
      <c r="BB383" s="13"/>
      <c r="BC383" s="13"/>
      <c r="BD383" s="24" t="e">
        <f>AVERAGE(Table11028[EFP % Base])</f>
        <v>#DIV/0!</v>
      </c>
    </row>
    <row r="385" spans="1:56" ht="15.75" thickBot="1" x14ac:dyDescent="0.3">
      <c r="A385" s="82"/>
      <c r="B385" t="s">
        <v>79</v>
      </c>
      <c r="C385" s="78" t="s">
        <v>121</v>
      </c>
      <c r="E385" t="s">
        <v>33</v>
      </c>
      <c r="F385" s="79">
        <v>854</v>
      </c>
      <c r="H385" t="s">
        <v>80</v>
      </c>
      <c r="I385" t="s">
        <v>194</v>
      </c>
    </row>
    <row r="386" spans="1:56" x14ac:dyDescent="0.25">
      <c r="A386" s="112"/>
      <c r="B386" s="113"/>
      <c r="C386" s="113"/>
      <c r="D386" s="114"/>
      <c r="E386" s="115" t="s">
        <v>27</v>
      </c>
      <c r="F386" s="116"/>
      <c r="G386" s="116"/>
      <c r="H386" s="117"/>
      <c r="I386" s="118" t="s">
        <v>28</v>
      </c>
      <c r="J386" s="119"/>
      <c r="K386" s="119"/>
      <c r="L386" s="120"/>
      <c r="M386" s="121" t="s">
        <v>7</v>
      </c>
      <c r="N386" s="122"/>
      <c r="O386" s="122"/>
      <c r="P386" s="123"/>
      <c r="Q386" s="124" t="s">
        <v>29</v>
      </c>
      <c r="R386" s="125"/>
      <c r="S386" s="125"/>
      <c r="T386" s="126"/>
      <c r="U386" s="127" t="s">
        <v>8</v>
      </c>
      <c r="V386" s="128"/>
      <c r="W386" s="128"/>
      <c r="X386" s="129"/>
      <c r="Y386" s="130" t="s">
        <v>0</v>
      </c>
      <c r="Z386" s="131"/>
      <c r="AA386" s="131"/>
      <c r="AB386" s="132"/>
      <c r="AC386" s="133" t="s">
        <v>34</v>
      </c>
      <c r="AD386" s="134"/>
      <c r="AE386" s="134"/>
      <c r="AF386" s="135"/>
      <c r="AG386" s="115" t="s">
        <v>9</v>
      </c>
      <c r="AH386" s="116"/>
      <c r="AI386" s="116"/>
      <c r="AJ386" s="117"/>
      <c r="AK386" s="136" t="s">
        <v>35</v>
      </c>
      <c r="AL386" s="137"/>
      <c r="AM386" s="137"/>
      <c r="AN386" s="138"/>
      <c r="AO386" s="139" t="s">
        <v>10</v>
      </c>
      <c r="AP386" s="140"/>
      <c r="AQ386" s="140"/>
      <c r="AR386" s="141"/>
      <c r="AS386" s="124" t="s">
        <v>36</v>
      </c>
      <c r="AT386" s="125"/>
      <c r="AU386" s="125"/>
      <c r="AV386" s="126"/>
      <c r="AW386" s="142" t="s">
        <v>11</v>
      </c>
      <c r="AX386" s="143"/>
      <c r="AY386" s="143"/>
      <c r="AZ386" s="144"/>
      <c r="BA386" s="148" t="s">
        <v>17</v>
      </c>
      <c r="BB386" s="149"/>
      <c r="BC386" s="149"/>
      <c r="BD386" s="150"/>
    </row>
    <row r="387" spans="1:56" s="1" customFormat="1" ht="15.75" thickBot="1" x14ac:dyDescent="0.3">
      <c r="A387" s="41" t="s">
        <v>13</v>
      </c>
      <c r="B387" s="42" t="s">
        <v>15</v>
      </c>
      <c r="C387" s="42" t="s">
        <v>32</v>
      </c>
      <c r="D387" s="43" t="s">
        <v>18</v>
      </c>
      <c r="E387" s="30" t="s">
        <v>30</v>
      </c>
      <c r="F387" s="31" t="s">
        <v>61</v>
      </c>
      <c r="G387" s="31" t="s">
        <v>38</v>
      </c>
      <c r="H387" s="32" t="s">
        <v>62</v>
      </c>
      <c r="I387" s="37" t="s">
        <v>31</v>
      </c>
      <c r="J387" s="38" t="s">
        <v>39</v>
      </c>
      <c r="K387" s="38" t="s">
        <v>40</v>
      </c>
      <c r="L387" s="39" t="s">
        <v>63</v>
      </c>
      <c r="M387" s="40" t="s">
        <v>19</v>
      </c>
      <c r="N387" s="7" t="s">
        <v>41</v>
      </c>
      <c r="O387" s="7" t="s">
        <v>37</v>
      </c>
      <c r="P387" s="7" t="s">
        <v>64</v>
      </c>
      <c r="Q387" s="27" t="s">
        <v>20</v>
      </c>
      <c r="R387" s="28" t="s">
        <v>60</v>
      </c>
      <c r="S387" s="28" t="s">
        <v>59</v>
      </c>
      <c r="T387" s="29" t="s">
        <v>65</v>
      </c>
      <c r="U387" s="48" t="s">
        <v>21</v>
      </c>
      <c r="V387" s="48" t="s">
        <v>42</v>
      </c>
      <c r="W387" s="48" t="s">
        <v>43</v>
      </c>
      <c r="X387" s="49" t="s">
        <v>66</v>
      </c>
      <c r="Y387" s="50" t="s">
        <v>22</v>
      </c>
      <c r="Z387" s="51" t="s">
        <v>44</v>
      </c>
      <c r="AA387" s="51" t="s">
        <v>45</v>
      </c>
      <c r="AB387" s="52" t="s">
        <v>67</v>
      </c>
      <c r="AC387" s="45" t="s">
        <v>23</v>
      </c>
      <c r="AD387" s="46" t="s">
        <v>46</v>
      </c>
      <c r="AE387" s="46" t="s">
        <v>47</v>
      </c>
      <c r="AF387" s="47" t="s">
        <v>68</v>
      </c>
      <c r="AG387" s="30" t="s">
        <v>24</v>
      </c>
      <c r="AH387" s="31" t="s">
        <v>48</v>
      </c>
      <c r="AI387" s="31" t="s">
        <v>49</v>
      </c>
      <c r="AJ387" s="32" t="s">
        <v>69</v>
      </c>
      <c r="AK387" s="53" t="s">
        <v>25</v>
      </c>
      <c r="AL387" s="54" t="s">
        <v>50</v>
      </c>
      <c r="AM387" s="54" t="s">
        <v>51</v>
      </c>
      <c r="AN387" s="55" t="s">
        <v>70</v>
      </c>
      <c r="AO387" s="56" t="s">
        <v>26</v>
      </c>
      <c r="AP387" s="57" t="s">
        <v>52</v>
      </c>
      <c r="AQ387" s="57" t="s">
        <v>53</v>
      </c>
      <c r="AR387" s="58" t="s">
        <v>71</v>
      </c>
      <c r="AS387" s="59" t="s">
        <v>55</v>
      </c>
      <c r="AT387" s="60" t="s">
        <v>54</v>
      </c>
      <c r="AU387" s="60" t="s">
        <v>56</v>
      </c>
      <c r="AV387" s="61" t="s">
        <v>76</v>
      </c>
      <c r="AW387" s="62" t="s">
        <v>72</v>
      </c>
      <c r="AX387" s="63" t="s">
        <v>73</v>
      </c>
      <c r="AY387" s="63" t="s">
        <v>74</v>
      </c>
      <c r="AZ387" s="64" t="s">
        <v>75</v>
      </c>
      <c r="BA387" s="71" t="s">
        <v>77</v>
      </c>
      <c r="BB387" s="72" t="s">
        <v>57</v>
      </c>
      <c r="BC387" s="72" t="s">
        <v>58</v>
      </c>
      <c r="BD387" s="73" t="s">
        <v>78</v>
      </c>
    </row>
    <row r="388" spans="1:56" ht="15.75" thickBot="1" x14ac:dyDescent="0.3">
      <c r="A388" s="17" t="s">
        <v>1</v>
      </c>
      <c r="B388" s="14">
        <v>46020</v>
      </c>
      <c r="C388" s="34">
        <f>B388/F385</f>
        <v>53.887587822014055</v>
      </c>
      <c r="D388" s="14">
        <v>1525</v>
      </c>
      <c r="E388" s="67">
        <v>0</v>
      </c>
      <c r="F388" s="69">
        <v>0</v>
      </c>
      <c r="G388" s="34" t="e">
        <f t="shared" ref="G388:G394" si="832">E388/F388</f>
        <v>#DIV/0!</v>
      </c>
      <c r="H388" s="10" t="e">
        <f t="shared" ref="H388:H394" si="833">G388/C388</f>
        <v>#DIV/0!</v>
      </c>
      <c r="I388" s="34">
        <v>0</v>
      </c>
      <c r="J388" s="69">
        <v>0</v>
      </c>
      <c r="K388" s="34" t="e">
        <f t="shared" ref="K388:K394" si="834">I388/J388</f>
        <v>#DIV/0!</v>
      </c>
      <c r="L388" s="9" t="e">
        <f t="shared" ref="L388:L394" si="835">K388/C388</f>
        <v>#DIV/0!</v>
      </c>
      <c r="M388" s="67">
        <v>0</v>
      </c>
      <c r="N388" s="26">
        <v>0</v>
      </c>
      <c r="O388" s="34" t="e">
        <f t="shared" ref="O388:O394" si="836">M388/N388</f>
        <v>#DIV/0!</v>
      </c>
      <c r="P388" s="10" t="e">
        <f t="shared" ref="P388:P394" si="837">O388/C388</f>
        <v>#DIV/0!</v>
      </c>
      <c r="Q388" s="35">
        <v>0</v>
      </c>
      <c r="R388" s="66">
        <v>0</v>
      </c>
      <c r="S388" s="35" t="e">
        <f t="shared" ref="S388:S394" si="838">Q388/R388</f>
        <v>#DIV/0!</v>
      </c>
      <c r="T388" s="6" t="e">
        <f t="shared" ref="T388:T394" si="839">S388/C388</f>
        <v>#DIV/0!</v>
      </c>
      <c r="U388" s="67">
        <v>0</v>
      </c>
      <c r="V388" s="65">
        <v>0</v>
      </c>
      <c r="W388" s="18" t="e">
        <f t="shared" ref="W388:W394" si="840">U388/V388</f>
        <v>#DIV/0!</v>
      </c>
      <c r="X388" s="9" t="e">
        <f t="shared" ref="X388:X394" si="841">W388/C388</f>
        <v>#DIV/0!</v>
      </c>
      <c r="Y388" s="67">
        <v>41740</v>
      </c>
      <c r="Z388" s="69">
        <v>1160</v>
      </c>
      <c r="AA388" s="34">
        <f t="shared" ref="AA388:AA394" si="842">Y388/Z388</f>
        <v>35.982758620689658</v>
      </c>
      <c r="AB388" s="10">
        <f t="shared" ref="AB388:AB394" si="843">AA388/C388</f>
        <v>0.66773741551649213</v>
      </c>
      <c r="AC388" s="18">
        <v>6170</v>
      </c>
      <c r="AD388" s="33">
        <v>400</v>
      </c>
      <c r="AE388" s="34">
        <f t="shared" ref="AE388:AE394" si="844">AC388/AD388</f>
        <v>15.425000000000001</v>
      </c>
      <c r="AF388" s="9">
        <f t="shared" ref="AF388:AF394" si="845">AE388/C388</f>
        <v>0.28624402433724466</v>
      </c>
      <c r="AG388" s="67">
        <v>0</v>
      </c>
      <c r="AH388" s="65">
        <v>0</v>
      </c>
      <c r="AI388" s="34" t="e">
        <f t="shared" ref="AI388:AI394" si="846">AG388/AH388</f>
        <v>#DIV/0!</v>
      </c>
      <c r="AJ388" s="9" t="e">
        <f t="shared" ref="AJ388:AJ394" si="847">AI388/C388</f>
        <v>#DIV/0!</v>
      </c>
      <c r="AK388" s="67">
        <v>940</v>
      </c>
      <c r="AL388" s="65">
        <v>126</v>
      </c>
      <c r="AM388" s="34">
        <f t="shared" ref="AM388:AM394" si="848">AK388/AL388</f>
        <v>7.4603174603174605</v>
      </c>
      <c r="AN388" s="9">
        <f t="shared" ref="AN388:AN394" si="849">AM388/C388</f>
        <v>0.13844222318798588</v>
      </c>
      <c r="AO388" s="67">
        <v>0</v>
      </c>
      <c r="AP388" s="65">
        <v>0</v>
      </c>
      <c r="AQ388" s="34" t="e">
        <f t="shared" ref="AQ388:AQ394" si="850">AO388/AP388</f>
        <v>#DIV/0!</v>
      </c>
      <c r="AR388" s="9" t="e">
        <f t="shared" ref="AR388:AR394" si="851">AQ388/C388</f>
        <v>#DIV/0!</v>
      </c>
      <c r="AS388" s="67">
        <v>0</v>
      </c>
      <c r="AT388" s="65">
        <v>0</v>
      </c>
      <c r="AU388" s="34" t="e">
        <f t="shared" ref="AU388:AU394" si="852">AS388/AT388</f>
        <v>#DIV/0!</v>
      </c>
      <c r="AV388" s="9" t="e">
        <f t="shared" ref="AV388:AV394" si="853">AU388/C388</f>
        <v>#DIV/0!</v>
      </c>
      <c r="AW388" s="67">
        <v>0</v>
      </c>
      <c r="AX388" s="65">
        <v>0</v>
      </c>
      <c r="AY388" s="34" t="e">
        <f t="shared" ref="AY388:AY394" si="854">AW388/AX388</f>
        <v>#DIV/0!</v>
      </c>
      <c r="AZ388" s="9" t="e">
        <f t="shared" ref="AZ388:AZ394" si="855">AY388/C388</f>
        <v>#DIV/0!</v>
      </c>
      <c r="BA388" s="67">
        <v>0</v>
      </c>
      <c r="BB388" s="65">
        <v>0</v>
      </c>
      <c r="BC388" s="34" t="e">
        <f t="shared" ref="BC388:BC394" si="856">BA388/BB388</f>
        <v>#DIV/0!</v>
      </c>
      <c r="BD388" s="10" t="e">
        <f t="shared" ref="BD388:BD394" si="857">BC388/C388</f>
        <v>#DIV/0!</v>
      </c>
    </row>
    <row r="389" spans="1:56" ht="15.75" thickBot="1" x14ac:dyDescent="0.3">
      <c r="A389" s="19" t="s">
        <v>16</v>
      </c>
      <c r="B389" s="8">
        <v>54150</v>
      </c>
      <c r="C389" s="35">
        <f>B389/F385</f>
        <v>63.40749414519906</v>
      </c>
      <c r="D389" s="8">
        <v>1525</v>
      </c>
      <c r="E389" s="68">
        <v>0</v>
      </c>
      <c r="F389" s="70">
        <v>0</v>
      </c>
      <c r="G389" s="35" t="e">
        <f t="shared" si="832"/>
        <v>#DIV/0!</v>
      </c>
      <c r="H389" s="11" t="e">
        <f t="shared" si="833"/>
        <v>#DIV/0!</v>
      </c>
      <c r="I389" s="35">
        <v>0</v>
      </c>
      <c r="J389" s="70">
        <v>0</v>
      </c>
      <c r="K389" s="35" t="e">
        <f t="shared" si="834"/>
        <v>#DIV/0!</v>
      </c>
      <c r="L389" s="6" t="e">
        <f t="shared" si="835"/>
        <v>#DIV/0!</v>
      </c>
      <c r="M389" s="68">
        <v>0</v>
      </c>
      <c r="N389" s="5">
        <v>0</v>
      </c>
      <c r="O389" s="35" t="e">
        <f t="shared" si="836"/>
        <v>#DIV/0!</v>
      </c>
      <c r="P389" s="11" t="e">
        <f t="shared" si="837"/>
        <v>#DIV/0!</v>
      </c>
      <c r="Q389" s="35">
        <v>0</v>
      </c>
      <c r="R389" s="66">
        <v>0</v>
      </c>
      <c r="S389" s="35" t="e">
        <f t="shared" si="838"/>
        <v>#DIV/0!</v>
      </c>
      <c r="T389" s="6" t="e">
        <f t="shared" si="839"/>
        <v>#DIV/0!</v>
      </c>
      <c r="U389" s="68">
        <v>0</v>
      </c>
      <c r="V389" s="66">
        <v>0</v>
      </c>
      <c r="W389" s="20" t="e">
        <f t="shared" si="840"/>
        <v>#DIV/0!</v>
      </c>
      <c r="X389" s="6" t="e">
        <f t="shared" si="841"/>
        <v>#DIV/0!</v>
      </c>
      <c r="Y389" s="68">
        <v>57200</v>
      </c>
      <c r="Z389" s="69">
        <v>1160</v>
      </c>
      <c r="AA389" s="35">
        <f t="shared" si="842"/>
        <v>49.310344827586206</v>
      </c>
      <c r="AB389" s="11">
        <f t="shared" si="843"/>
        <v>0.7776737669946191</v>
      </c>
      <c r="AC389" s="20">
        <v>8640</v>
      </c>
      <c r="AD389" s="33">
        <v>400</v>
      </c>
      <c r="AE389" s="35">
        <f t="shared" si="844"/>
        <v>21.6</v>
      </c>
      <c r="AF389" s="6">
        <f t="shared" si="845"/>
        <v>0.34065373961218842</v>
      </c>
      <c r="AG389" s="68">
        <v>0</v>
      </c>
      <c r="AH389" s="66">
        <v>0</v>
      </c>
      <c r="AI389" s="35" t="e">
        <f t="shared" si="846"/>
        <v>#DIV/0!</v>
      </c>
      <c r="AJ389" s="6" t="e">
        <f t="shared" si="847"/>
        <v>#DIV/0!</v>
      </c>
      <c r="AK389" s="68">
        <v>1280</v>
      </c>
      <c r="AL389" s="65">
        <v>126</v>
      </c>
      <c r="AM389" s="35">
        <f t="shared" si="848"/>
        <v>10.158730158730158</v>
      </c>
      <c r="AN389" s="6">
        <f t="shared" si="849"/>
        <v>0.16021339899456244</v>
      </c>
      <c r="AO389" s="68">
        <v>0</v>
      </c>
      <c r="AP389" s="66">
        <v>0</v>
      </c>
      <c r="AQ389" s="35" t="e">
        <f t="shared" si="850"/>
        <v>#DIV/0!</v>
      </c>
      <c r="AR389" s="6" t="e">
        <f t="shared" si="851"/>
        <v>#DIV/0!</v>
      </c>
      <c r="AS389" s="68">
        <v>0</v>
      </c>
      <c r="AT389" s="66">
        <v>0</v>
      </c>
      <c r="AU389" s="35" t="e">
        <f t="shared" si="852"/>
        <v>#DIV/0!</v>
      </c>
      <c r="AV389" s="6" t="e">
        <f t="shared" si="853"/>
        <v>#DIV/0!</v>
      </c>
      <c r="AW389" s="68">
        <v>0</v>
      </c>
      <c r="AX389" s="66">
        <v>0</v>
      </c>
      <c r="AY389" s="35" t="e">
        <f t="shared" si="854"/>
        <v>#DIV/0!</v>
      </c>
      <c r="AZ389" s="6" t="e">
        <f t="shared" si="855"/>
        <v>#DIV/0!</v>
      </c>
      <c r="BA389" s="68">
        <v>0</v>
      </c>
      <c r="BB389" s="66">
        <v>0</v>
      </c>
      <c r="BC389" s="35" t="e">
        <f t="shared" si="856"/>
        <v>#DIV/0!</v>
      </c>
      <c r="BD389" s="11" t="e">
        <f t="shared" si="857"/>
        <v>#DIV/0!</v>
      </c>
    </row>
    <row r="390" spans="1:56" ht="15.75" thickBot="1" x14ac:dyDescent="0.3">
      <c r="A390" s="19" t="s">
        <v>2</v>
      </c>
      <c r="B390" s="8">
        <v>63440</v>
      </c>
      <c r="C390" s="35">
        <f>B390/F385</f>
        <v>74.285714285714292</v>
      </c>
      <c r="D390" s="8">
        <v>2100</v>
      </c>
      <c r="E390" s="68">
        <v>0</v>
      </c>
      <c r="F390" s="70">
        <v>0</v>
      </c>
      <c r="G390" s="35" t="e">
        <f t="shared" si="832"/>
        <v>#DIV/0!</v>
      </c>
      <c r="H390" s="11" t="e">
        <f t="shared" si="833"/>
        <v>#DIV/0!</v>
      </c>
      <c r="I390" s="35">
        <v>0</v>
      </c>
      <c r="J390" s="70">
        <v>0</v>
      </c>
      <c r="K390" s="35" t="e">
        <f t="shared" si="834"/>
        <v>#DIV/0!</v>
      </c>
      <c r="L390" s="6" t="e">
        <f t="shared" si="835"/>
        <v>#DIV/0!</v>
      </c>
      <c r="M390" s="68">
        <v>0</v>
      </c>
      <c r="N390" s="5">
        <v>0</v>
      </c>
      <c r="O390" s="35" t="e">
        <f t="shared" si="836"/>
        <v>#DIV/0!</v>
      </c>
      <c r="P390" s="11" t="e">
        <f t="shared" si="837"/>
        <v>#DIV/0!</v>
      </c>
      <c r="Q390" s="35">
        <v>0</v>
      </c>
      <c r="R390" s="66">
        <v>0</v>
      </c>
      <c r="S390" s="35" t="e">
        <f t="shared" si="838"/>
        <v>#DIV/0!</v>
      </c>
      <c r="T390" s="6" t="e">
        <f t="shared" si="839"/>
        <v>#DIV/0!</v>
      </c>
      <c r="U390" s="68">
        <v>0</v>
      </c>
      <c r="V390" s="66">
        <v>0</v>
      </c>
      <c r="W390" s="20" t="e">
        <f t="shared" si="840"/>
        <v>#DIV/0!</v>
      </c>
      <c r="X390" s="6" t="e">
        <f t="shared" si="841"/>
        <v>#DIV/0!</v>
      </c>
      <c r="Y390" s="68">
        <v>65570</v>
      </c>
      <c r="Z390" s="69">
        <v>1160</v>
      </c>
      <c r="AA390" s="35">
        <f t="shared" si="842"/>
        <v>56.525862068965516</v>
      </c>
      <c r="AB390" s="11">
        <f t="shared" si="843"/>
        <v>0.76092506631299728</v>
      </c>
      <c r="AC390" s="20">
        <v>10350</v>
      </c>
      <c r="AD390" s="33">
        <v>400</v>
      </c>
      <c r="AE390" s="35">
        <f t="shared" si="844"/>
        <v>25.875</v>
      </c>
      <c r="AF390" s="6">
        <f t="shared" si="845"/>
        <v>0.34831730769230768</v>
      </c>
      <c r="AG390" s="68">
        <v>0</v>
      </c>
      <c r="AH390" s="66">
        <v>0</v>
      </c>
      <c r="AI390" s="35" t="e">
        <f t="shared" si="846"/>
        <v>#DIV/0!</v>
      </c>
      <c r="AJ390" s="6" t="e">
        <f t="shared" si="847"/>
        <v>#DIV/0!</v>
      </c>
      <c r="AK390" s="68">
        <v>1480</v>
      </c>
      <c r="AL390" s="65">
        <v>126</v>
      </c>
      <c r="AM390" s="35">
        <f t="shared" si="848"/>
        <v>11.746031746031745</v>
      </c>
      <c r="AN390" s="6">
        <f t="shared" si="849"/>
        <v>0.15811965811965809</v>
      </c>
      <c r="AO390" s="68">
        <v>0</v>
      </c>
      <c r="AP390" s="66">
        <v>0</v>
      </c>
      <c r="AQ390" s="35" t="e">
        <f t="shared" si="850"/>
        <v>#DIV/0!</v>
      </c>
      <c r="AR390" s="6" t="e">
        <f t="shared" si="851"/>
        <v>#DIV/0!</v>
      </c>
      <c r="AS390" s="68">
        <v>0</v>
      </c>
      <c r="AT390" s="66">
        <v>0</v>
      </c>
      <c r="AU390" s="35" t="e">
        <f t="shared" si="852"/>
        <v>#DIV/0!</v>
      </c>
      <c r="AV390" s="6" t="e">
        <f t="shared" si="853"/>
        <v>#DIV/0!</v>
      </c>
      <c r="AW390" s="68">
        <v>0</v>
      </c>
      <c r="AX390" s="66">
        <v>0</v>
      </c>
      <c r="AY390" s="35" t="e">
        <f t="shared" si="854"/>
        <v>#DIV/0!</v>
      </c>
      <c r="AZ390" s="6" t="e">
        <f t="shared" si="855"/>
        <v>#DIV/0!</v>
      </c>
      <c r="BA390" s="68">
        <v>0</v>
      </c>
      <c r="BB390" s="66">
        <v>0</v>
      </c>
      <c r="BC390" s="35" t="e">
        <f t="shared" si="856"/>
        <v>#DIV/0!</v>
      </c>
      <c r="BD390" s="11" t="e">
        <f t="shared" si="857"/>
        <v>#DIV/0!</v>
      </c>
    </row>
    <row r="391" spans="1:56" ht="15.75" thickBot="1" x14ac:dyDescent="0.3">
      <c r="A391" s="19" t="s">
        <v>3</v>
      </c>
      <c r="B391" s="8">
        <v>75990</v>
      </c>
      <c r="C391" s="35">
        <f>B391/F385</f>
        <v>88.98126463700234</v>
      </c>
      <c r="D391" s="8">
        <v>2700</v>
      </c>
      <c r="E391" s="68">
        <v>0</v>
      </c>
      <c r="F391" s="70">
        <v>0</v>
      </c>
      <c r="G391" s="35" t="e">
        <f t="shared" si="832"/>
        <v>#DIV/0!</v>
      </c>
      <c r="H391" s="11" t="e">
        <f t="shared" si="833"/>
        <v>#DIV/0!</v>
      </c>
      <c r="I391" s="35">
        <v>0</v>
      </c>
      <c r="J391" s="70">
        <v>0</v>
      </c>
      <c r="K391" s="35" t="e">
        <f t="shared" si="834"/>
        <v>#DIV/0!</v>
      </c>
      <c r="L391" s="6" t="e">
        <f t="shared" si="835"/>
        <v>#DIV/0!</v>
      </c>
      <c r="M391" s="68">
        <v>0</v>
      </c>
      <c r="N391" s="5">
        <v>0</v>
      </c>
      <c r="O391" s="35" t="e">
        <f t="shared" si="836"/>
        <v>#DIV/0!</v>
      </c>
      <c r="P391" s="11" t="e">
        <f t="shared" si="837"/>
        <v>#DIV/0!</v>
      </c>
      <c r="Q391" s="35">
        <v>0</v>
      </c>
      <c r="R391" s="66">
        <v>0</v>
      </c>
      <c r="S391" s="35" t="e">
        <f t="shared" si="838"/>
        <v>#DIV/0!</v>
      </c>
      <c r="T391" s="6" t="e">
        <f t="shared" si="839"/>
        <v>#DIV/0!</v>
      </c>
      <c r="U391" s="68">
        <v>0</v>
      </c>
      <c r="V391" s="66">
        <v>0</v>
      </c>
      <c r="W391" s="20" t="e">
        <f t="shared" si="840"/>
        <v>#DIV/0!</v>
      </c>
      <c r="X391" s="6" t="e">
        <f t="shared" si="841"/>
        <v>#DIV/0!</v>
      </c>
      <c r="Y391" s="68">
        <v>74230</v>
      </c>
      <c r="Z391" s="69">
        <v>1160</v>
      </c>
      <c r="AA391" s="35">
        <f t="shared" si="842"/>
        <v>63.991379310344826</v>
      </c>
      <c r="AB391" s="11">
        <f t="shared" si="843"/>
        <v>0.71915565115192104</v>
      </c>
      <c r="AC391" s="20">
        <v>10910</v>
      </c>
      <c r="AD391" s="33">
        <v>400</v>
      </c>
      <c r="AE391" s="35">
        <f t="shared" si="844"/>
        <v>27.274999999999999</v>
      </c>
      <c r="AF391" s="6">
        <f t="shared" si="845"/>
        <v>0.30652520068430056</v>
      </c>
      <c r="AG391" s="68">
        <v>0</v>
      </c>
      <c r="AH391" s="66">
        <v>0</v>
      </c>
      <c r="AI391" s="35" t="e">
        <f t="shared" si="846"/>
        <v>#DIV/0!</v>
      </c>
      <c r="AJ391" s="6" t="e">
        <f t="shared" si="847"/>
        <v>#DIV/0!</v>
      </c>
      <c r="AK391" s="68">
        <v>1930</v>
      </c>
      <c r="AL391" s="65">
        <v>126</v>
      </c>
      <c r="AM391" s="35">
        <f t="shared" si="848"/>
        <v>15.317460317460318</v>
      </c>
      <c r="AN391" s="6">
        <f t="shared" si="849"/>
        <v>0.1721425333742744</v>
      </c>
      <c r="AO391" s="68">
        <v>0</v>
      </c>
      <c r="AP391" s="66">
        <v>0</v>
      </c>
      <c r="AQ391" s="35" t="e">
        <f t="shared" si="850"/>
        <v>#DIV/0!</v>
      </c>
      <c r="AR391" s="6" t="e">
        <f t="shared" si="851"/>
        <v>#DIV/0!</v>
      </c>
      <c r="AS391" s="68">
        <v>0</v>
      </c>
      <c r="AT391" s="66">
        <v>0</v>
      </c>
      <c r="AU391" s="35" t="e">
        <f t="shared" si="852"/>
        <v>#DIV/0!</v>
      </c>
      <c r="AV391" s="6" t="e">
        <f t="shared" si="853"/>
        <v>#DIV/0!</v>
      </c>
      <c r="AW391" s="68">
        <v>0</v>
      </c>
      <c r="AX391" s="66">
        <v>0</v>
      </c>
      <c r="AY391" s="35" t="e">
        <f t="shared" si="854"/>
        <v>#DIV/0!</v>
      </c>
      <c r="AZ391" s="6" t="e">
        <f t="shared" si="855"/>
        <v>#DIV/0!</v>
      </c>
      <c r="BA391" s="68">
        <v>0</v>
      </c>
      <c r="BB391" s="66">
        <v>0</v>
      </c>
      <c r="BC391" s="35" t="e">
        <f t="shared" si="856"/>
        <v>#DIV/0!</v>
      </c>
      <c r="BD391" s="11" t="e">
        <f t="shared" si="857"/>
        <v>#DIV/0!</v>
      </c>
    </row>
    <row r="392" spans="1:56" ht="15.75" thickBot="1" x14ac:dyDescent="0.3">
      <c r="A392" s="19" t="s">
        <v>4</v>
      </c>
      <c r="B392" s="8">
        <v>95070</v>
      </c>
      <c r="C392" s="35">
        <f>B392/F385</f>
        <v>111.3231850117096</v>
      </c>
      <c r="D392" s="8">
        <v>5250</v>
      </c>
      <c r="E392" s="68">
        <v>0</v>
      </c>
      <c r="F392" s="70">
        <v>0</v>
      </c>
      <c r="G392" s="35" t="e">
        <f t="shared" si="832"/>
        <v>#DIV/0!</v>
      </c>
      <c r="H392" s="11" t="e">
        <f t="shared" si="833"/>
        <v>#DIV/0!</v>
      </c>
      <c r="I392" s="35">
        <v>0</v>
      </c>
      <c r="J392" s="70">
        <v>0</v>
      </c>
      <c r="K392" s="35" t="e">
        <f t="shared" si="834"/>
        <v>#DIV/0!</v>
      </c>
      <c r="L392" s="6" t="e">
        <f t="shared" si="835"/>
        <v>#DIV/0!</v>
      </c>
      <c r="M392" s="68">
        <v>0</v>
      </c>
      <c r="N392" s="5">
        <v>0</v>
      </c>
      <c r="O392" s="35" t="e">
        <f t="shared" si="836"/>
        <v>#DIV/0!</v>
      </c>
      <c r="P392" s="11" t="e">
        <f t="shared" si="837"/>
        <v>#DIV/0!</v>
      </c>
      <c r="Q392" s="35">
        <v>0</v>
      </c>
      <c r="R392" s="66">
        <v>0</v>
      </c>
      <c r="S392" s="35" t="e">
        <f t="shared" si="838"/>
        <v>#DIV/0!</v>
      </c>
      <c r="T392" s="6" t="e">
        <f t="shared" si="839"/>
        <v>#DIV/0!</v>
      </c>
      <c r="U392" s="68">
        <v>0</v>
      </c>
      <c r="V392" s="66">
        <v>0</v>
      </c>
      <c r="W392" s="20" t="e">
        <f t="shared" si="840"/>
        <v>#DIV/0!</v>
      </c>
      <c r="X392" s="6" t="e">
        <f t="shared" si="841"/>
        <v>#DIV/0!</v>
      </c>
      <c r="Y392" s="68">
        <v>95290</v>
      </c>
      <c r="Z392" s="69">
        <v>1160</v>
      </c>
      <c r="AA392" s="35">
        <f t="shared" si="842"/>
        <v>82.146551724137936</v>
      </c>
      <c r="AB392" s="11">
        <f t="shared" si="843"/>
        <v>0.73791054141594403</v>
      </c>
      <c r="AC392" s="20">
        <v>12460</v>
      </c>
      <c r="AD392" s="33">
        <v>400</v>
      </c>
      <c r="AE392" s="35">
        <f t="shared" si="844"/>
        <v>31.15</v>
      </c>
      <c r="AF392" s="6">
        <f t="shared" si="845"/>
        <v>0.27981592510781528</v>
      </c>
      <c r="AG392" s="68">
        <v>0</v>
      </c>
      <c r="AH392" s="66">
        <v>0</v>
      </c>
      <c r="AI392" s="35" t="e">
        <f t="shared" si="846"/>
        <v>#DIV/0!</v>
      </c>
      <c r="AJ392" s="6" t="e">
        <f t="shared" si="847"/>
        <v>#DIV/0!</v>
      </c>
      <c r="AK392" s="68">
        <v>2130</v>
      </c>
      <c r="AL392" s="65">
        <v>126</v>
      </c>
      <c r="AM392" s="35">
        <f t="shared" si="848"/>
        <v>16.904761904761905</v>
      </c>
      <c r="AN392" s="6">
        <f t="shared" si="849"/>
        <v>0.15185302058132605</v>
      </c>
      <c r="AO392" s="68">
        <v>0</v>
      </c>
      <c r="AP392" s="66">
        <v>0</v>
      </c>
      <c r="AQ392" s="35" t="e">
        <f t="shared" si="850"/>
        <v>#DIV/0!</v>
      </c>
      <c r="AR392" s="6" t="e">
        <f t="shared" si="851"/>
        <v>#DIV/0!</v>
      </c>
      <c r="AS392" s="68">
        <v>0</v>
      </c>
      <c r="AT392" s="66">
        <v>0</v>
      </c>
      <c r="AU392" s="35" t="e">
        <f t="shared" si="852"/>
        <v>#DIV/0!</v>
      </c>
      <c r="AV392" s="6" t="e">
        <f t="shared" si="853"/>
        <v>#DIV/0!</v>
      </c>
      <c r="AW392" s="68">
        <v>0</v>
      </c>
      <c r="AX392" s="66">
        <v>0</v>
      </c>
      <c r="AY392" s="35" t="e">
        <f t="shared" si="854"/>
        <v>#DIV/0!</v>
      </c>
      <c r="AZ392" s="6" t="e">
        <f t="shared" si="855"/>
        <v>#DIV/0!</v>
      </c>
      <c r="BA392" s="68">
        <v>0</v>
      </c>
      <c r="BB392" s="66">
        <v>0</v>
      </c>
      <c r="BC392" s="35" t="e">
        <f t="shared" si="856"/>
        <v>#DIV/0!</v>
      </c>
      <c r="BD392" s="11" t="e">
        <f t="shared" si="857"/>
        <v>#DIV/0!</v>
      </c>
    </row>
    <row r="393" spans="1:56" ht="15.75" thickBot="1" x14ac:dyDescent="0.3">
      <c r="A393" s="19" t="s">
        <v>5</v>
      </c>
      <c r="B393" s="8">
        <v>122170</v>
      </c>
      <c r="C393" s="35">
        <f>B393/F385</f>
        <v>143.05620608899298</v>
      </c>
      <c r="D393" s="8">
        <v>7050</v>
      </c>
      <c r="E393" s="68">
        <v>0</v>
      </c>
      <c r="F393" s="70">
        <v>0</v>
      </c>
      <c r="G393" s="35" t="e">
        <f t="shared" si="832"/>
        <v>#DIV/0!</v>
      </c>
      <c r="H393" s="11" t="e">
        <f t="shared" si="833"/>
        <v>#DIV/0!</v>
      </c>
      <c r="I393" s="35">
        <v>0</v>
      </c>
      <c r="J393" s="70">
        <v>0</v>
      </c>
      <c r="K393" s="35" t="e">
        <f t="shared" si="834"/>
        <v>#DIV/0!</v>
      </c>
      <c r="L393" s="6" t="e">
        <f t="shared" si="835"/>
        <v>#DIV/0!</v>
      </c>
      <c r="M393" s="68">
        <v>0</v>
      </c>
      <c r="N393" s="5">
        <v>0</v>
      </c>
      <c r="O393" s="35" t="e">
        <f t="shared" si="836"/>
        <v>#DIV/0!</v>
      </c>
      <c r="P393" s="11" t="e">
        <f t="shared" si="837"/>
        <v>#DIV/0!</v>
      </c>
      <c r="Q393" s="35">
        <v>0</v>
      </c>
      <c r="R393" s="66">
        <v>0</v>
      </c>
      <c r="S393" s="35" t="e">
        <f t="shared" si="838"/>
        <v>#DIV/0!</v>
      </c>
      <c r="T393" s="6" t="e">
        <f t="shared" si="839"/>
        <v>#DIV/0!</v>
      </c>
      <c r="U393" s="68">
        <v>0</v>
      </c>
      <c r="V393" s="66">
        <v>0</v>
      </c>
      <c r="W393" s="20" t="e">
        <f t="shared" si="840"/>
        <v>#DIV/0!</v>
      </c>
      <c r="X393" s="6" t="e">
        <f t="shared" si="841"/>
        <v>#DIV/0!</v>
      </c>
      <c r="Y393" s="68">
        <v>128650</v>
      </c>
      <c r="Z393" s="69">
        <v>1160</v>
      </c>
      <c r="AA393" s="35">
        <f t="shared" si="842"/>
        <v>110.90517241379311</v>
      </c>
      <c r="AB393" s="11">
        <f t="shared" si="843"/>
        <v>0.77525593223687739</v>
      </c>
      <c r="AC393" s="20">
        <v>14360</v>
      </c>
      <c r="AD393" s="33">
        <v>400</v>
      </c>
      <c r="AE393" s="35">
        <f t="shared" si="844"/>
        <v>35.9</v>
      </c>
      <c r="AF393" s="6">
        <f t="shared" si="845"/>
        <v>0.25095031513464844</v>
      </c>
      <c r="AG393" s="68">
        <v>0</v>
      </c>
      <c r="AH393" s="66">
        <v>0</v>
      </c>
      <c r="AI393" s="35" t="e">
        <f t="shared" si="846"/>
        <v>#DIV/0!</v>
      </c>
      <c r="AJ393" s="6" t="e">
        <f t="shared" si="847"/>
        <v>#DIV/0!</v>
      </c>
      <c r="AK393" s="68">
        <v>2640</v>
      </c>
      <c r="AL393" s="65">
        <v>126</v>
      </c>
      <c r="AM393" s="35">
        <f t="shared" si="848"/>
        <v>20.952380952380953</v>
      </c>
      <c r="AN393" s="6">
        <f t="shared" si="849"/>
        <v>0.14646257946577174</v>
      </c>
      <c r="AO393" s="68">
        <v>0</v>
      </c>
      <c r="AP393" s="66">
        <v>0</v>
      </c>
      <c r="AQ393" s="35" t="e">
        <f t="shared" si="850"/>
        <v>#DIV/0!</v>
      </c>
      <c r="AR393" s="6" t="e">
        <f t="shared" si="851"/>
        <v>#DIV/0!</v>
      </c>
      <c r="AS393" s="68">
        <v>0</v>
      </c>
      <c r="AT393" s="66">
        <v>0</v>
      </c>
      <c r="AU393" s="35" t="e">
        <f t="shared" si="852"/>
        <v>#DIV/0!</v>
      </c>
      <c r="AV393" s="6" t="e">
        <f t="shared" si="853"/>
        <v>#DIV/0!</v>
      </c>
      <c r="AW393" s="68">
        <v>0</v>
      </c>
      <c r="AX393" s="66">
        <v>0</v>
      </c>
      <c r="AY393" s="35" t="e">
        <f t="shared" si="854"/>
        <v>#DIV/0!</v>
      </c>
      <c r="AZ393" s="6" t="e">
        <f t="shared" si="855"/>
        <v>#DIV/0!</v>
      </c>
      <c r="BA393" s="68">
        <v>0</v>
      </c>
      <c r="BB393" s="66">
        <v>0</v>
      </c>
      <c r="BC393" s="35" t="e">
        <f t="shared" si="856"/>
        <v>#DIV/0!</v>
      </c>
      <c r="BD393" s="11" t="e">
        <f t="shared" si="857"/>
        <v>#DIV/0!</v>
      </c>
    </row>
    <row r="394" spans="1:56" x14ac:dyDescent="0.25">
      <c r="A394" s="19" t="s">
        <v>6</v>
      </c>
      <c r="B394" s="8">
        <v>139910</v>
      </c>
      <c r="C394" s="35">
        <f>B394/F385</f>
        <v>163.82903981264636</v>
      </c>
      <c r="D394" s="8">
        <v>10950</v>
      </c>
      <c r="E394" s="68">
        <v>0</v>
      </c>
      <c r="F394" s="70">
        <v>0</v>
      </c>
      <c r="G394" s="35" t="e">
        <f t="shared" si="832"/>
        <v>#DIV/0!</v>
      </c>
      <c r="H394" s="11" t="e">
        <f t="shared" si="833"/>
        <v>#DIV/0!</v>
      </c>
      <c r="I394" s="35">
        <v>0</v>
      </c>
      <c r="J394" s="70">
        <v>0</v>
      </c>
      <c r="K394" s="35" t="e">
        <f t="shared" si="834"/>
        <v>#DIV/0!</v>
      </c>
      <c r="L394" s="6" t="e">
        <f t="shared" si="835"/>
        <v>#DIV/0!</v>
      </c>
      <c r="M394" s="68">
        <v>0</v>
      </c>
      <c r="N394" s="5">
        <v>0</v>
      </c>
      <c r="O394" s="35" t="e">
        <f t="shared" si="836"/>
        <v>#DIV/0!</v>
      </c>
      <c r="P394" s="11" t="e">
        <f t="shared" si="837"/>
        <v>#DIV/0!</v>
      </c>
      <c r="Q394" s="35">
        <v>0</v>
      </c>
      <c r="R394" s="66">
        <v>0</v>
      </c>
      <c r="S394" s="35" t="e">
        <f t="shared" si="838"/>
        <v>#DIV/0!</v>
      </c>
      <c r="T394" s="6" t="e">
        <f t="shared" si="839"/>
        <v>#DIV/0!</v>
      </c>
      <c r="U394" s="68">
        <v>0</v>
      </c>
      <c r="V394" s="66">
        <v>0</v>
      </c>
      <c r="W394" s="20" t="e">
        <f t="shared" si="840"/>
        <v>#DIV/0!</v>
      </c>
      <c r="X394" s="6" t="e">
        <f t="shared" si="841"/>
        <v>#DIV/0!</v>
      </c>
      <c r="Y394" s="68">
        <v>145620</v>
      </c>
      <c r="Z394" s="69">
        <v>1160</v>
      </c>
      <c r="AA394" s="35">
        <f t="shared" si="842"/>
        <v>125.53448275862068</v>
      </c>
      <c r="AB394" s="11">
        <f t="shared" si="843"/>
        <v>0.76625293600072952</v>
      </c>
      <c r="AC394" s="20">
        <v>20450</v>
      </c>
      <c r="AD394" s="33">
        <v>400</v>
      </c>
      <c r="AE394" s="35">
        <f t="shared" si="844"/>
        <v>51.125</v>
      </c>
      <c r="AF394" s="6">
        <f t="shared" si="845"/>
        <v>0.3120631120005718</v>
      </c>
      <c r="AG394" s="68">
        <v>0</v>
      </c>
      <c r="AH394" s="66">
        <v>0</v>
      </c>
      <c r="AI394" s="35" t="e">
        <f t="shared" si="846"/>
        <v>#DIV/0!</v>
      </c>
      <c r="AJ394" s="6" t="e">
        <f t="shared" si="847"/>
        <v>#DIV/0!</v>
      </c>
      <c r="AK394" s="68">
        <v>3200</v>
      </c>
      <c r="AL394" s="65">
        <v>126</v>
      </c>
      <c r="AM394" s="35">
        <f t="shared" si="848"/>
        <v>25.396825396825395</v>
      </c>
      <c r="AN394" s="6">
        <f t="shared" si="849"/>
        <v>0.15502029082187757</v>
      </c>
      <c r="AO394" s="68">
        <v>0</v>
      </c>
      <c r="AP394" s="66">
        <v>0</v>
      </c>
      <c r="AQ394" s="35" t="e">
        <f t="shared" si="850"/>
        <v>#DIV/0!</v>
      </c>
      <c r="AR394" s="6" t="e">
        <f t="shared" si="851"/>
        <v>#DIV/0!</v>
      </c>
      <c r="AS394" s="68">
        <v>0</v>
      </c>
      <c r="AT394" s="66">
        <v>0</v>
      </c>
      <c r="AU394" s="35" t="e">
        <f t="shared" si="852"/>
        <v>#DIV/0!</v>
      </c>
      <c r="AV394" s="6" t="e">
        <f t="shared" si="853"/>
        <v>#DIV/0!</v>
      </c>
      <c r="AW394" s="68">
        <v>0</v>
      </c>
      <c r="AX394" s="66">
        <v>0</v>
      </c>
      <c r="AY394" s="35" t="e">
        <f t="shared" si="854"/>
        <v>#DIV/0!</v>
      </c>
      <c r="AZ394" s="6" t="e">
        <f t="shared" si="855"/>
        <v>#DIV/0!</v>
      </c>
      <c r="BA394" s="68">
        <v>0</v>
      </c>
      <c r="BB394" s="66">
        <v>0</v>
      </c>
      <c r="BC394" s="35" t="e">
        <f t="shared" si="856"/>
        <v>#DIV/0!</v>
      </c>
      <c r="BD394" s="11" t="e">
        <f t="shared" si="857"/>
        <v>#DIV/0!</v>
      </c>
    </row>
    <row r="395" spans="1:56" ht="15.75" thickBot="1" x14ac:dyDescent="0.3">
      <c r="A395" s="21"/>
      <c r="B395" s="22"/>
      <c r="C395" s="23">
        <f>AVERAGE(Table11029[MA $/Sq Ft])</f>
        <v>99.824355971896949</v>
      </c>
      <c r="D395" s="22">
        <f>AVERAGE(Table11029[Basic Allowance])</f>
        <v>4442.8571428571431</v>
      </c>
      <c r="E395" s="16"/>
      <c r="F395" s="22"/>
      <c r="G395" s="15"/>
      <c r="H395" s="24" t="e">
        <f>AVERAGE(Table11029[Bsmt % Base])</f>
        <v>#DIV/0!</v>
      </c>
      <c r="I395" s="15"/>
      <c r="J395" s="15"/>
      <c r="K395" s="15"/>
      <c r="L395" s="25" t="e">
        <f>AVERAGE(Table11029[[#Headers],[#Data],[UnfBsmt % Base]])</f>
        <v>#DIV/0!</v>
      </c>
      <c r="M395" s="44"/>
      <c r="N395" s="15"/>
      <c r="O395" s="23" t="e">
        <f>AVERAGE(Table11029[LowerVal/SqFt])</f>
        <v>#DIV/0!</v>
      </c>
      <c r="P395" s="24" t="e">
        <f>AVERAGE(Table11029[Lower % Base])</f>
        <v>#DIV/0!</v>
      </c>
      <c r="Q395" s="13"/>
      <c r="R395" s="13"/>
      <c r="S395" s="13"/>
      <c r="T395" s="25" t="e">
        <f>AVERAGE(Table11029[Unf Lower % Base])</f>
        <v>#DIV/0!</v>
      </c>
      <c r="U395" s="12"/>
      <c r="V395" s="13"/>
      <c r="W395" s="13"/>
      <c r="X395" s="25" t="e">
        <f>AVERAGE(Table11029[1/2 Story % Base])</f>
        <v>#DIV/0!</v>
      </c>
      <c r="Y395" s="12"/>
      <c r="Z395" s="13"/>
      <c r="AA395" s="13"/>
      <c r="AB395" s="24">
        <f>AVERAGE(Table11029[2nd Story % Base])</f>
        <v>0.74355875851851139</v>
      </c>
      <c r="AC395" s="13"/>
      <c r="AD395" s="13"/>
      <c r="AE395" s="23">
        <f>AVERAGE(Table11029[AttGarVal/SqFt])</f>
        <v>29.764285714285716</v>
      </c>
      <c r="AF395" s="25">
        <f>AVERAGE(Table11029[Att Gar % Base])</f>
        <v>0.30350994636701101</v>
      </c>
      <c r="AG395" s="12"/>
      <c r="AH395" s="13"/>
      <c r="AI395" s="13"/>
      <c r="AJ395" s="25" t="e">
        <f>AVERAGE(Table11029[Porch % Base])</f>
        <v>#DIV/0!</v>
      </c>
      <c r="AK395" s="12"/>
      <c r="AL395" s="13"/>
      <c r="AM395" s="13"/>
      <c r="AN395" s="25">
        <f>AVERAGE(Table11029[Cov Porch % Base])</f>
        <v>0.15460767207792231</v>
      </c>
      <c r="AO395" s="12"/>
      <c r="AP395" s="13"/>
      <c r="AQ395" s="13"/>
      <c r="AR395" s="25" t="e">
        <f>AVERAGE(Table11029[Deck % Base])</f>
        <v>#DIV/0!</v>
      </c>
      <c r="AS395" s="12"/>
      <c r="AT395" s="13"/>
      <c r="AU395" s="23" t="e">
        <f>AVERAGE(Table11029[CovDeckVal/SqFt])</f>
        <v>#DIV/0!</v>
      </c>
      <c r="AV395" s="25" t="e">
        <f>AVERAGE(Table11029[CovDeck % Base])</f>
        <v>#DIV/0!</v>
      </c>
      <c r="AW395" s="12"/>
      <c r="AX395" s="13"/>
      <c r="AY395" s="13"/>
      <c r="AZ395" s="25" t="e">
        <f>AVERAGE(Table11029[CarP % Base])</f>
        <v>#DIV/0!</v>
      </c>
      <c r="BA395" s="12"/>
      <c r="BB395" s="13"/>
      <c r="BC395" s="13"/>
      <c r="BD395" s="24" t="e">
        <f>AVERAGE(Table11029[EFP % Base])</f>
        <v>#DIV/0!</v>
      </c>
    </row>
    <row r="397" spans="1:56" ht="15.75" thickBot="1" x14ac:dyDescent="0.3">
      <c r="A397" s="82"/>
      <c r="B397" t="s">
        <v>79</v>
      </c>
      <c r="C397" s="78" t="s">
        <v>122</v>
      </c>
      <c r="E397" t="s">
        <v>33</v>
      </c>
      <c r="F397" s="79">
        <v>1412</v>
      </c>
      <c r="H397" t="s">
        <v>80</v>
      </c>
      <c r="I397" t="s">
        <v>134</v>
      </c>
    </row>
    <row r="398" spans="1:56" x14ac:dyDescent="0.25">
      <c r="A398" s="112"/>
      <c r="B398" s="113"/>
      <c r="C398" s="113"/>
      <c r="D398" s="114"/>
      <c r="E398" s="115" t="s">
        <v>27</v>
      </c>
      <c r="F398" s="116"/>
      <c r="G398" s="116"/>
      <c r="H398" s="117"/>
      <c r="I398" s="118" t="s">
        <v>28</v>
      </c>
      <c r="J398" s="119"/>
      <c r="K398" s="119"/>
      <c r="L398" s="120"/>
      <c r="M398" s="121" t="s">
        <v>7</v>
      </c>
      <c r="N398" s="122"/>
      <c r="O398" s="122"/>
      <c r="P398" s="123"/>
      <c r="Q398" s="124" t="s">
        <v>29</v>
      </c>
      <c r="R398" s="125"/>
      <c r="S398" s="125"/>
      <c r="T398" s="126"/>
      <c r="U398" s="127" t="s">
        <v>8</v>
      </c>
      <c r="V398" s="128"/>
      <c r="W398" s="128"/>
      <c r="X398" s="129"/>
      <c r="Y398" s="130" t="s">
        <v>0</v>
      </c>
      <c r="Z398" s="131"/>
      <c r="AA398" s="131"/>
      <c r="AB398" s="132"/>
      <c r="AC398" s="133" t="s">
        <v>34</v>
      </c>
      <c r="AD398" s="134"/>
      <c r="AE398" s="134"/>
      <c r="AF398" s="135"/>
      <c r="AG398" s="115" t="s">
        <v>9</v>
      </c>
      <c r="AH398" s="116"/>
      <c r="AI398" s="116"/>
      <c r="AJ398" s="117"/>
      <c r="AK398" s="136" t="s">
        <v>35</v>
      </c>
      <c r="AL398" s="137"/>
      <c r="AM398" s="137"/>
      <c r="AN398" s="138"/>
      <c r="AO398" s="139" t="s">
        <v>10</v>
      </c>
      <c r="AP398" s="140"/>
      <c r="AQ398" s="140"/>
      <c r="AR398" s="141"/>
      <c r="AS398" s="124" t="s">
        <v>36</v>
      </c>
      <c r="AT398" s="125"/>
      <c r="AU398" s="125"/>
      <c r="AV398" s="126"/>
      <c r="AW398" s="142" t="s">
        <v>11</v>
      </c>
      <c r="AX398" s="143"/>
      <c r="AY398" s="143"/>
      <c r="AZ398" s="144"/>
      <c r="BA398" s="148" t="s">
        <v>17</v>
      </c>
      <c r="BB398" s="149"/>
      <c r="BC398" s="149"/>
      <c r="BD398" s="150"/>
    </row>
    <row r="399" spans="1:56" s="1" customFormat="1" ht="15.75" thickBot="1" x14ac:dyDescent="0.3">
      <c r="A399" s="41" t="s">
        <v>13</v>
      </c>
      <c r="B399" s="42" t="s">
        <v>15</v>
      </c>
      <c r="C399" s="42" t="s">
        <v>32</v>
      </c>
      <c r="D399" s="43" t="s">
        <v>18</v>
      </c>
      <c r="E399" s="30" t="s">
        <v>30</v>
      </c>
      <c r="F399" s="31" t="s">
        <v>61</v>
      </c>
      <c r="G399" s="31" t="s">
        <v>38</v>
      </c>
      <c r="H399" s="32" t="s">
        <v>62</v>
      </c>
      <c r="I399" s="37" t="s">
        <v>31</v>
      </c>
      <c r="J399" s="38" t="s">
        <v>39</v>
      </c>
      <c r="K399" s="38" t="s">
        <v>40</v>
      </c>
      <c r="L399" s="39" t="s">
        <v>63</v>
      </c>
      <c r="M399" s="40" t="s">
        <v>19</v>
      </c>
      <c r="N399" s="7" t="s">
        <v>41</v>
      </c>
      <c r="O399" s="7" t="s">
        <v>37</v>
      </c>
      <c r="P399" s="7" t="s">
        <v>64</v>
      </c>
      <c r="Q399" s="27" t="s">
        <v>20</v>
      </c>
      <c r="R399" s="28" t="s">
        <v>60</v>
      </c>
      <c r="S399" s="28" t="s">
        <v>59</v>
      </c>
      <c r="T399" s="29" t="s">
        <v>65</v>
      </c>
      <c r="U399" s="48" t="s">
        <v>21</v>
      </c>
      <c r="V399" s="48" t="s">
        <v>42</v>
      </c>
      <c r="W399" s="48" t="s">
        <v>43</v>
      </c>
      <c r="X399" s="49" t="s">
        <v>66</v>
      </c>
      <c r="Y399" s="50" t="s">
        <v>22</v>
      </c>
      <c r="Z399" s="51" t="s">
        <v>44</v>
      </c>
      <c r="AA399" s="51" t="s">
        <v>45</v>
      </c>
      <c r="AB399" s="52" t="s">
        <v>67</v>
      </c>
      <c r="AC399" s="45" t="s">
        <v>23</v>
      </c>
      <c r="AD399" s="46" t="s">
        <v>46</v>
      </c>
      <c r="AE399" s="46" t="s">
        <v>47</v>
      </c>
      <c r="AF399" s="47" t="s">
        <v>68</v>
      </c>
      <c r="AG399" s="30" t="s">
        <v>24</v>
      </c>
      <c r="AH399" s="31" t="s">
        <v>48</v>
      </c>
      <c r="AI399" s="31" t="s">
        <v>49</v>
      </c>
      <c r="AJ399" s="32" t="s">
        <v>69</v>
      </c>
      <c r="AK399" s="53" t="s">
        <v>25</v>
      </c>
      <c r="AL399" s="54" t="s">
        <v>50</v>
      </c>
      <c r="AM399" s="54" t="s">
        <v>51</v>
      </c>
      <c r="AN399" s="55" t="s">
        <v>70</v>
      </c>
      <c r="AO399" s="56" t="s">
        <v>26</v>
      </c>
      <c r="AP399" s="57" t="s">
        <v>52</v>
      </c>
      <c r="AQ399" s="57" t="s">
        <v>53</v>
      </c>
      <c r="AR399" s="58" t="s">
        <v>71</v>
      </c>
      <c r="AS399" s="59" t="s">
        <v>55</v>
      </c>
      <c r="AT399" s="60" t="s">
        <v>54</v>
      </c>
      <c r="AU399" s="60" t="s">
        <v>56</v>
      </c>
      <c r="AV399" s="61" t="s">
        <v>76</v>
      </c>
      <c r="AW399" s="62" t="s">
        <v>72</v>
      </c>
      <c r="AX399" s="63" t="s">
        <v>73</v>
      </c>
      <c r="AY399" s="63" t="s">
        <v>74</v>
      </c>
      <c r="AZ399" s="64" t="s">
        <v>75</v>
      </c>
      <c r="BA399" s="71" t="s">
        <v>77</v>
      </c>
      <c r="BB399" s="72" t="s">
        <v>57</v>
      </c>
      <c r="BC399" s="72" t="s">
        <v>58</v>
      </c>
      <c r="BD399" s="73" t="s">
        <v>78</v>
      </c>
    </row>
    <row r="400" spans="1:56" ht="15.75" thickBot="1" x14ac:dyDescent="0.3">
      <c r="A400" s="17" t="s">
        <v>1</v>
      </c>
      <c r="B400" s="14">
        <v>69860</v>
      </c>
      <c r="C400" s="34">
        <f>B400/F397</f>
        <v>49.475920679886684</v>
      </c>
      <c r="D400" s="14">
        <v>1525</v>
      </c>
      <c r="E400" s="67">
        <v>0</v>
      </c>
      <c r="F400" s="69">
        <v>0</v>
      </c>
      <c r="G400" s="34" t="e">
        <f t="shared" ref="G400:G406" si="858">E400/F400</f>
        <v>#DIV/0!</v>
      </c>
      <c r="H400" s="10" t="e">
        <f t="shared" ref="H400:H406" si="859">G400/C400</f>
        <v>#DIV/0!</v>
      </c>
      <c r="I400" s="34">
        <v>0</v>
      </c>
      <c r="J400" s="69">
        <v>0</v>
      </c>
      <c r="K400" s="34" t="e">
        <f t="shared" ref="K400:K406" si="860">I400/J400</f>
        <v>#DIV/0!</v>
      </c>
      <c r="L400" s="9" t="e">
        <f t="shared" ref="L400:L406" si="861">K400/C400</f>
        <v>#DIV/0!</v>
      </c>
      <c r="M400" s="67">
        <v>0</v>
      </c>
      <c r="N400" s="26">
        <v>0</v>
      </c>
      <c r="O400" s="34" t="e">
        <f t="shared" ref="O400:O406" si="862">M400/N400</f>
        <v>#DIV/0!</v>
      </c>
      <c r="P400" s="10" t="e">
        <f t="shared" ref="P400:P406" si="863">O400/C400</f>
        <v>#DIV/0!</v>
      </c>
      <c r="Q400" s="35">
        <v>0</v>
      </c>
      <c r="R400" s="66">
        <v>0</v>
      </c>
      <c r="S400" s="35" t="e">
        <f t="shared" ref="S400:S406" si="864">Q400/R400</f>
        <v>#DIV/0!</v>
      </c>
      <c r="T400" s="6" t="e">
        <f t="shared" ref="T400:T406" si="865">S400/C400</f>
        <v>#DIV/0!</v>
      </c>
      <c r="U400" s="67">
        <v>0</v>
      </c>
      <c r="V400" s="65">
        <v>0</v>
      </c>
      <c r="W400" s="18" t="e">
        <f t="shared" ref="W400:W406" si="866">U400/V400</f>
        <v>#DIV/0!</v>
      </c>
      <c r="X400" s="9" t="e">
        <f t="shared" ref="X400:X406" si="867">W400/C400</f>
        <v>#DIV/0!</v>
      </c>
      <c r="Y400" s="67">
        <v>0</v>
      </c>
      <c r="Z400" s="69">
        <v>0</v>
      </c>
      <c r="AA400" s="34" t="e">
        <f t="shared" ref="AA400:AA406" si="868">Y400/Z400</f>
        <v>#DIV/0!</v>
      </c>
      <c r="AB400" s="10" t="e">
        <f t="shared" ref="AB400:AB406" si="869">AA400/C400</f>
        <v>#DIV/0!</v>
      </c>
      <c r="AC400" s="18">
        <v>6170</v>
      </c>
      <c r="AD400" s="33">
        <v>400</v>
      </c>
      <c r="AE400" s="34">
        <f t="shared" ref="AE400:AE406" si="870">AC400/AD400</f>
        <v>15.425000000000001</v>
      </c>
      <c r="AF400" s="9">
        <f t="shared" ref="AF400:AF406" si="871">AE400/C400</f>
        <v>0.31176782135699976</v>
      </c>
      <c r="AG400" s="67">
        <v>0</v>
      </c>
      <c r="AH400" s="65">
        <v>0</v>
      </c>
      <c r="AI400" s="34" t="e">
        <f t="shared" ref="AI400:AI406" si="872">AG400/AH400</f>
        <v>#DIV/0!</v>
      </c>
      <c r="AJ400" s="9" t="e">
        <f t="shared" ref="AJ400:AJ406" si="873">AI400/C400</f>
        <v>#DIV/0!</v>
      </c>
      <c r="AK400" s="67">
        <v>810</v>
      </c>
      <c r="AL400" s="65">
        <v>96</v>
      </c>
      <c r="AM400" s="34">
        <f t="shared" ref="AM400:AM406" si="874">AK400/AL400</f>
        <v>8.4375</v>
      </c>
      <c r="AN400" s="9">
        <f t="shared" ref="AN400:AN406" si="875">AM400/C400</f>
        <v>0.17053750357858574</v>
      </c>
      <c r="AO400" s="67">
        <v>0</v>
      </c>
      <c r="AP400" s="65">
        <v>0</v>
      </c>
      <c r="AQ400" s="34" t="e">
        <f t="shared" ref="AQ400:AQ406" si="876">AO400/AP400</f>
        <v>#DIV/0!</v>
      </c>
      <c r="AR400" s="9" t="e">
        <f t="shared" ref="AR400:AR406" si="877">AQ400/C400</f>
        <v>#DIV/0!</v>
      </c>
      <c r="AS400" s="67">
        <v>0</v>
      </c>
      <c r="AT400" s="65">
        <v>0</v>
      </c>
      <c r="AU400" s="34" t="e">
        <f t="shared" ref="AU400:AU406" si="878">AS400/AT400</f>
        <v>#DIV/0!</v>
      </c>
      <c r="AV400" s="9" t="e">
        <f t="shared" ref="AV400:AV406" si="879">AU400/C400</f>
        <v>#DIV/0!</v>
      </c>
      <c r="AW400" s="67">
        <v>0</v>
      </c>
      <c r="AX400" s="65">
        <v>0</v>
      </c>
      <c r="AY400" s="34" t="e">
        <f t="shared" ref="AY400:AY406" si="880">AW400/AX400</f>
        <v>#DIV/0!</v>
      </c>
      <c r="AZ400" s="9" t="e">
        <f t="shared" ref="AZ400:AZ406" si="881">AY400/C400</f>
        <v>#DIV/0!</v>
      </c>
      <c r="BA400" s="67">
        <v>0</v>
      </c>
      <c r="BB400" s="65">
        <v>0</v>
      </c>
      <c r="BC400" s="34" t="e">
        <f t="shared" ref="BC400:BC406" si="882">BA400/BB400</f>
        <v>#DIV/0!</v>
      </c>
      <c r="BD400" s="10" t="e">
        <f t="shared" ref="BD400:BD406" si="883">BC400/C400</f>
        <v>#DIV/0!</v>
      </c>
    </row>
    <row r="401" spans="1:56" ht="15.75" thickBot="1" x14ac:dyDescent="0.3">
      <c r="A401" s="19" t="s">
        <v>16</v>
      </c>
      <c r="B401" s="8">
        <v>82190</v>
      </c>
      <c r="C401" s="35">
        <f>B401/F397</f>
        <v>58.208215297450423</v>
      </c>
      <c r="D401" s="8">
        <v>1525</v>
      </c>
      <c r="E401" s="68">
        <v>0</v>
      </c>
      <c r="F401" s="70">
        <v>0</v>
      </c>
      <c r="G401" s="35" t="e">
        <f t="shared" si="858"/>
        <v>#DIV/0!</v>
      </c>
      <c r="H401" s="11" t="e">
        <f t="shared" si="859"/>
        <v>#DIV/0!</v>
      </c>
      <c r="I401" s="35">
        <v>0</v>
      </c>
      <c r="J401" s="70">
        <v>0</v>
      </c>
      <c r="K401" s="35" t="e">
        <f t="shared" si="860"/>
        <v>#DIV/0!</v>
      </c>
      <c r="L401" s="6" t="e">
        <f t="shared" si="861"/>
        <v>#DIV/0!</v>
      </c>
      <c r="M401" s="68">
        <v>0</v>
      </c>
      <c r="N401" s="5">
        <v>0</v>
      </c>
      <c r="O401" s="35" t="e">
        <f t="shared" si="862"/>
        <v>#DIV/0!</v>
      </c>
      <c r="P401" s="11" t="e">
        <f t="shared" si="863"/>
        <v>#DIV/0!</v>
      </c>
      <c r="Q401" s="35">
        <v>0</v>
      </c>
      <c r="R401" s="66">
        <v>0</v>
      </c>
      <c r="S401" s="35" t="e">
        <f t="shared" si="864"/>
        <v>#DIV/0!</v>
      </c>
      <c r="T401" s="6" t="e">
        <f t="shared" si="865"/>
        <v>#DIV/0!</v>
      </c>
      <c r="U401" s="68">
        <v>0</v>
      </c>
      <c r="V401" s="66">
        <v>0</v>
      </c>
      <c r="W401" s="20" t="e">
        <f t="shared" si="866"/>
        <v>#DIV/0!</v>
      </c>
      <c r="X401" s="6" t="e">
        <f t="shared" si="867"/>
        <v>#DIV/0!</v>
      </c>
      <c r="Y401" s="68">
        <v>0</v>
      </c>
      <c r="Z401" s="70">
        <v>0</v>
      </c>
      <c r="AA401" s="35" t="e">
        <f t="shared" si="868"/>
        <v>#DIV/0!</v>
      </c>
      <c r="AB401" s="11" t="e">
        <f t="shared" si="869"/>
        <v>#DIV/0!</v>
      </c>
      <c r="AC401" s="20">
        <v>8640</v>
      </c>
      <c r="AD401" s="33">
        <v>400</v>
      </c>
      <c r="AE401" s="35">
        <f t="shared" si="870"/>
        <v>21.6</v>
      </c>
      <c r="AF401" s="6">
        <f t="shared" si="871"/>
        <v>0.37108164010220224</v>
      </c>
      <c r="AG401" s="68">
        <v>0</v>
      </c>
      <c r="AH401" s="66">
        <v>0</v>
      </c>
      <c r="AI401" s="35" t="e">
        <f t="shared" si="872"/>
        <v>#DIV/0!</v>
      </c>
      <c r="AJ401" s="6" t="e">
        <f t="shared" si="873"/>
        <v>#DIV/0!</v>
      </c>
      <c r="AK401" s="68">
        <v>1110</v>
      </c>
      <c r="AL401" s="65">
        <v>96</v>
      </c>
      <c r="AM401" s="35">
        <f t="shared" si="874"/>
        <v>11.5625</v>
      </c>
      <c r="AN401" s="6">
        <f t="shared" si="875"/>
        <v>0.19864034554082005</v>
      </c>
      <c r="AO401" s="68">
        <v>0</v>
      </c>
      <c r="AP401" s="66">
        <v>0</v>
      </c>
      <c r="AQ401" s="35" t="e">
        <f t="shared" si="876"/>
        <v>#DIV/0!</v>
      </c>
      <c r="AR401" s="6" t="e">
        <f t="shared" si="877"/>
        <v>#DIV/0!</v>
      </c>
      <c r="AS401" s="68">
        <v>0</v>
      </c>
      <c r="AT401" s="66">
        <v>0</v>
      </c>
      <c r="AU401" s="35" t="e">
        <f t="shared" si="878"/>
        <v>#DIV/0!</v>
      </c>
      <c r="AV401" s="6" t="e">
        <f t="shared" si="879"/>
        <v>#DIV/0!</v>
      </c>
      <c r="AW401" s="68">
        <v>0</v>
      </c>
      <c r="AX401" s="66">
        <v>0</v>
      </c>
      <c r="AY401" s="35" t="e">
        <f t="shared" si="880"/>
        <v>#DIV/0!</v>
      </c>
      <c r="AZ401" s="6" t="e">
        <f t="shared" si="881"/>
        <v>#DIV/0!</v>
      </c>
      <c r="BA401" s="68">
        <v>0</v>
      </c>
      <c r="BB401" s="66">
        <v>0</v>
      </c>
      <c r="BC401" s="35" t="e">
        <f t="shared" si="882"/>
        <v>#DIV/0!</v>
      </c>
      <c r="BD401" s="11" t="e">
        <f t="shared" si="883"/>
        <v>#DIV/0!</v>
      </c>
    </row>
    <row r="402" spans="1:56" ht="15.75" thickBot="1" x14ac:dyDescent="0.3">
      <c r="A402" s="19" t="s">
        <v>2</v>
      </c>
      <c r="B402" s="8">
        <v>96070</v>
      </c>
      <c r="C402" s="35">
        <f>B402/F397</f>
        <v>68.038243626062325</v>
      </c>
      <c r="D402" s="8">
        <v>2100</v>
      </c>
      <c r="E402" s="68">
        <v>0</v>
      </c>
      <c r="F402" s="70">
        <v>0</v>
      </c>
      <c r="G402" s="35" t="e">
        <f t="shared" si="858"/>
        <v>#DIV/0!</v>
      </c>
      <c r="H402" s="11" t="e">
        <f t="shared" si="859"/>
        <v>#DIV/0!</v>
      </c>
      <c r="I402" s="35">
        <v>0</v>
      </c>
      <c r="J402" s="70">
        <v>0</v>
      </c>
      <c r="K402" s="35" t="e">
        <f t="shared" si="860"/>
        <v>#DIV/0!</v>
      </c>
      <c r="L402" s="6" t="e">
        <f t="shared" si="861"/>
        <v>#DIV/0!</v>
      </c>
      <c r="M402" s="68">
        <v>0</v>
      </c>
      <c r="N402" s="5">
        <v>0</v>
      </c>
      <c r="O402" s="35" t="e">
        <f t="shared" si="862"/>
        <v>#DIV/0!</v>
      </c>
      <c r="P402" s="11" t="e">
        <f t="shared" si="863"/>
        <v>#DIV/0!</v>
      </c>
      <c r="Q402" s="35">
        <v>0</v>
      </c>
      <c r="R402" s="66">
        <v>0</v>
      </c>
      <c r="S402" s="35" t="e">
        <f t="shared" si="864"/>
        <v>#DIV/0!</v>
      </c>
      <c r="T402" s="6" t="e">
        <f t="shared" si="865"/>
        <v>#DIV/0!</v>
      </c>
      <c r="U402" s="68">
        <v>0</v>
      </c>
      <c r="V402" s="66">
        <v>0</v>
      </c>
      <c r="W402" s="20" t="e">
        <f t="shared" si="866"/>
        <v>#DIV/0!</v>
      </c>
      <c r="X402" s="6" t="e">
        <f t="shared" si="867"/>
        <v>#DIV/0!</v>
      </c>
      <c r="Y402" s="68">
        <v>0</v>
      </c>
      <c r="Z402" s="70">
        <v>0</v>
      </c>
      <c r="AA402" s="35" t="e">
        <f t="shared" si="868"/>
        <v>#DIV/0!</v>
      </c>
      <c r="AB402" s="11" t="e">
        <f t="shared" si="869"/>
        <v>#DIV/0!</v>
      </c>
      <c r="AC402" s="20">
        <v>10350</v>
      </c>
      <c r="AD402" s="33">
        <v>400</v>
      </c>
      <c r="AE402" s="35">
        <f t="shared" si="870"/>
        <v>25.875</v>
      </c>
      <c r="AF402" s="6">
        <f t="shared" si="871"/>
        <v>0.38030082231706047</v>
      </c>
      <c r="AG402" s="68">
        <v>0</v>
      </c>
      <c r="AH402" s="66">
        <v>0</v>
      </c>
      <c r="AI402" s="35" t="e">
        <f t="shared" si="872"/>
        <v>#DIV/0!</v>
      </c>
      <c r="AJ402" s="6" t="e">
        <f t="shared" si="873"/>
        <v>#DIV/0!</v>
      </c>
      <c r="AK402" s="68">
        <v>1310</v>
      </c>
      <c r="AL402" s="65">
        <v>96</v>
      </c>
      <c r="AM402" s="35">
        <f t="shared" si="874"/>
        <v>13.645833333333334</v>
      </c>
      <c r="AN402" s="6">
        <f t="shared" si="875"/>
        <v>0.20056122271954477</v>
      </c>
      <c r="AO402" s="68">
        <v>0</v>
      </c>
      <c r="AP402" s="66">
        <v>0</v>
      </c>
      <c r="AQ402" s="35" t="e">
        <f t="shared" si="876"/>
        <v>#DIV/0!</v>
      </c>
      <c r="AR402" s="6" t="e">
        <f t="shared" si="877"/>
        <v>#DIV/0!</v>
      </c>
      <c r="AS402" s="68">
        <v>0</v>
      </c>
      <c r="AT402" s="66">
        <v>0</v>
      </c>
      <c r="AU402" s="35" t="e">
        <f t="shared" si="878"/>
        <v>#DIV/0!</v>
      </c>
      <c r="AV402" s="6" t="e">
        <f t="shared" si="879"/>
        <v>#DIV/0!</v>
      </c>
      <c r="AW402" s="68">
        <v>0</v>
      </c>
      <c r="AX402" s="66">
        <v>0</v>
      </c>
      <c r="AY402" s="35" t="e">
        <f t="shared" si="880"/>
        <v>#DIV/0!</v>
      </c>
      <c r="AZ402" s="6" t="e">
        <f t="shared" si="881"/>
        <v>#DIV/0!</v>
      </c>
      <c r="BA402" s="68">
        <v>0</v>
      </c>
      <c r="BB402" s="66">
        <v>0</v>
      </c>
      <c r="BC402" s="35" t="e">
        <f t="shared" si="882"/>
        <v>#DIV/0!</v>
      </c>
      <c r="BD402" s="11" t="e">
        <f t="shared" si="883"/>
        <v>#DIV/0!</v>
      </c>
    </row>
    <row r="403" spans="1:56" ht="15.75" thickBot="1" x14ac:dyDescent="0.3">
      <c r="A403" s="19" t="s">
        <v>3</v>
      </c>
      <c r="B403" s="8">
        <v>116220</v>
      </c>
      <c r="C403" s="35">
        <f>B403/F397</f>
        <v>82.308781869688389</v>
      </c>
      <c r="D403" s="8">
        <v>2700</v>
      </c>
      <c r="E403" s="68">
        <v>0</v>
      </c>
      <c r="F403" s="70">
        <v>0</v>
      </c>
      <c r="G403" s="35" t="e">
        <f t="shared" si="858"/>
        <v>#DIV/0!</v>
      </c>
      <c r="H403" s="11" t="e">
        <f t="shared" si="859"/>
        <v>#DIV/0!</v>
      </c>
      <c r="I403" s="35">
        <v>0</v>
      </c>
      <c r="J403" s="70">
        <v>0</v>
      </c>
      <c r="K403" s="35" t="e">
        <f t="shared" si="860"/>
        <v>#DIV/0!</v>
      </c>
      <c r="L403" s="6" t="e">
        <f t="shared" si="861"/>
        <v>#DIV/0!</v>
      </c>
      <c r="M403" s="68">
        <v>0</v>
      </c>
      <c r="N403" s="5">
        <v>0</v>
      </c>
      <c r="O403" s="35" t="e">
        <f t="shared" si="862"/>
        <v>#DIV/0!</v>
      </c>
      <c r="P403" s="11" t="e">
        <f t="shared" si="863"/>
        <v>#DIV/0!</v>
      </c>
      <c r="Q403" s="35">
        <v>0</v>
      </c>
      <c r="R403" s="66">
        <v>0</v>
      </c>
      <c r="S403" s="35" t="e">
        <f t="shared" si="864"/>
        <v>#DIV/0!</v>
      </c>
      <c r="T403" s="6" t="e">
        <f t="shared" si="865"/>
        <v>#DIV/0!</v>
      </c>
      <c r="U403" s="68">
        <v>0</v>
      </c>
      <c r="V403" s="66">
        <v>0</v>
      </c>
      <c r="W403" s="20" t="e">
        <f t="shared" si="866"/>
        <v>#DIV/0!</v>
      </c>
      <c r="X403" s="6" t="e">
        <f t="shared" si="867"/>
        <v>#DIV/0!</v>
      </c>
      <c r="Y403" s="68">
        <v>0</v>
      </c>
      <c r="Z403" s="70">
        <v>0</v>
      </c>
      <c r="AA403" s="35" t="e">
        <f t="shared" si="868"/>
        <v>#DIV/0!</v>
      </c>
      <c r="AB403" s="11" t="e">
        <f t="shared" si="869"/>
        <v>#DIV/0!</v>
      </c>
      <c r="AC403" s="20">
        <v>10910</v>
      </c>
      <c r="AD403" s="33">
        <v>400</v>
      </c>
      <c r="AE403" s="35">
        <f t="shared" si="870"/>
        <v>27.274999999999999</v>
      </c>
      <c r="AF403" s="6">
        <f t="shared" si="871"/>
        <v>0.33137411805197037</v>
      </c>
      <c r="AG403" s="68">
        <v>0</v>
      </c>
      <c r="AH403" s="66">
        <v>0</v>
      </c>
      <c r="AI403" s="35" t="e">
        <f t="shared" si="872"/>
        <v>#DIV/0!</v>
      </c>
      <c r="AJ403" s="6" t="e">
        <f t="shared" si="873"/>
        <v>#DIV/0!</v>
      </c>
      <c r="AK403" s="68">
        <v>1710</v>
      </c>
      <c r="AL403" s="65">
        <v>96</v>
      </c>
      <c r="AM403" s="35">
        <f t="shared" si="874"/>
        <v>17.8125</v>
      </c>
      <c r="AN403" s="6">
        <f t="shared" si="875"/>
        <v>0.21641068662880741</v>
      </c>
      <c r="AO403" s="68">
        <v>0</v>
      </c>
      <c r="AP403" s="66">
        <v>0</v>
      </c>
      <c r="AQ403" s="35" t="e">
        <f t="shared" si="876"/>
        <v>#DIV/0!</v>
      </c>
      <c r="AR403" s="6" t="e">
        <f t="shared" si="877"/>
        <v>#DIV/0!</v>
      </c>
      <c r="AS403" s="68">
        <v>0</v>
      </c>
      <c r="AT403" s="66">
        <v>0</v>
      </c>
      <c r="AU403" s="35" t="e">
        <f t="shared" si="878"/>
        <v>#DIV/0!</v>
      </c>
      <c r="AV403" s="6" t="e">
        <f t="shared" si="879"/>
        <v>#DIV/0!</v>
      </c>
      <c r="AW403" s="68">
        <v>0</v>
      </c>
      <c r="AX403" s="66">
        <v>0</v>
      </c>
      <c r="AY403" s="35" t="e">
        <f t="shared" si="880"/>
        <v>#DIV/0!</v>
      </c>
      <c r="AZ403" s="6" t="e">
        <f t="shared" si="881"/>
        <v>#DIV/0!</v>
      </c>
      <c r="BA403" s="68">
        <v>0</v>
      </c>
      <c r="BB403" s="66">
        <v>0</v>
      </c>
      <c r="BC403" s="35" t="e">
        <f t="shared" si="882"/>
        <v>#DIV/0!</v>
      </c>
      <c r="BD403" s="11" t="e">
        <f t="shared" si="883"/>
        <v>#DIV/0!</v>
      </c>
    </row>
    <row r="404" spans="1:56" ht="15.75" thickBot="1" x14ac:dyDescent="0.3">
      <c r="A404" s="19" t="s">
        <v>4</v>
      </c>
      <c r="B404" s="8">
        <v>144450</v>
      </c>
      <c r="C404" s="35">
        <f>B404/F397</f>
        <v>102.30169971671388</v>
      </c>
      <c r="D404" s="8">
        <v>5250</v>
      </c>
      <c r="E404" s="68">
        <v>0</v>
      </c>
      <c r="F404" s="70">
        <v>0</v>
      </c>
      <c r="G404" s="35" t="e">
        <f t="shared" si="858"/>
        <v>#DIV/0!</v>
      </c>
      <c r="H404" s="11" t="e">
        <f t="shared" si="859"/>
        <v>#DIV/0!</v>
      </c>
      <c r="I404" s="35">
        <v>0</v>
      </c>
      <c r="J404" s="70">
        <v>0</v>
      </c>
      <c r="K404" s="35" t="e">
        <f t="shared" si="860"/>
        <v>#DIV/0!</v>
      </c>
      <c r="L404" s="6" t="e">
        <f t="shared" si="861"/>
        <v>#DIV/0!</v>
      </c>
      <c r="M404" s="68">
        <v>0</v>
      </c>
      <c r="N404" s="5">
        <v>0</v>
      </c>
      <c r="O404" s="35" t="e">
        <f t="shared" si="862"/>
        <v>#DIV/0!</v>
      </c>
      <c r="P404" s="11" t="e">
        <f t="shared" si="863"/>
        <v>#DIV/0!</v>
      </c>
      <c r="Q404" s="35">
        <v>0</v>
      </c>
      <c r="R404" s="66">
        <v>0</v>
      </c>
      <c r="S404" s="35" t="e">
        <f t="shared" si="864"/>
        <v>#DIV/0!</v>
      </c>
      <c r="T404" s="6" t="e">
        <f t="shared" si="865"/>
        <v>#DIV/0!</v>
      </c>
      <c r="U404" s="68">
        <v>0</v>
      </c>
      <c r="V404" s="66">
        <v>0</v>
      </c>
      <c r="W404" s="20" t="e">
        <f t="shared" si="866"/>
        <v>#DIV/0!</v>
      </c>
      <c r="X404" s="6" t="e">
        <f t="shared" si="867"/>
        <v>#DIV/0!</v>
      </c>
      <c r="Y404" s="68">
        <v>0</v>
      </c>
      <c r="Z404" s="70">
        <v>0</v>
      </c>
      <c r="AA404" s="35" t="e">
        <f t="shared" si="868"/>
        <v>#DIV/0!</v>
      </c>
      <c r="AB404" s="11" t="e">
        <f t="shared" si="869"/>
        <v>#DIV/0!</v>
      </c>
      <c r="AC404" s="20">
        <v>12460</v>
      </c>
      <c r="AD404" s="33">
        <v>400</v>
      </c>
      <c r="AE404" s="35">
        <f t="shared" si="870"/>
        <v>31.15</v>
      </c>
      <c r="AF404" s="6">
        <f t="shared" si="871"/>
        <v>0.30449151955694009</v>
      </c>
      <c r="AG404" s="68">
        <v>0</v>
      </c>
      <c r="AH404" s="66">
        <v>0</v>
      </c>
      <c r="AI404" s="35" t="e">
        <f t="shared" si="872"/>
        <v>#DIV/0!</v>
      </c>
      <c r="AJ404" s="6" t="e">
        <f t="shared" si="873"/>
        <v>#DIV/0!</v>
      </c>
      <c r="AK404" s="68">
        <v>1880</v>
      </c>
      <c r="AL404" s="65">
        <v>96</v>
      </c>
      <c r="AM404" s="35">
        <f t="shared" si="874"/>
        <v>19.583333333333332</v>
      </c>
      <c r="AN404" s="6">
        <f t="shared" si="875"/>
        <v>0.19142725279796929</v>
      </c>
      <c r="AO404" s="68">
        <v>0</v>
      </c>
      <c r="AP404" s="66">
        <v>0</v>
      </c>
      <c r="AQ404" s="35" t="e">
        <f t="shared" si="876"/>
        <v>#DIV/0!</v>
      </c>
      <c r="AR404" s="6" t="e">
        <f t="shared" si="877"/>
        <v>#DIV/0!</v>
      </c>
      <c r="AS404" s="68">
        <v>0</v>
      </c>
      <c r="AT404" s="66">
        <v>0</v>
      </c>
      <c r="AU404" s="35" t="e">
        <f t="shared" si="878"/>
        <v>#DIV/0!</v>
      </c>
      <c r="AV404" s="6" t="e">
        <f t="shared" si="879"/>
        <v>#DIV/0!</v>
      </c>
      <c r="AW404" s="68">
        <v>0</v>
      </c>
      <c r="AX404" s="66">
        <v>0</v>
      </c>
      <c r="AY404" s="35" t="e">
        <f t="shared" si="880"/>
        <v>#DIV/0!</v>
      </c>
      <c r="AZ404" s="6" t="e">
        <f t="shared" si="881"/>
        <v>#DIV/0!</v>
      </c>
      <c r="BA404" s="68">
        <v>0</v>
      </c>
      <c r="BB404" s="66">
        <v>0</v>
      </c>
      <c r="BC404" s="35" t="e">
        <f t="shared" si="882"/>
        <v>#DIV/0!</v>
      </c>
      <c r="BD404" s="11" t="e">
        <f t="shared" si="883"/>
        <v>#DIV/0!</v>
      </c>
    </row>
    <row r="405" spans="1:56" ht="15.75" thickBot="1" x14ac:dyDescent="0.3">
      <c r="A405" s="19" t="s">
        <v>5</v>
      </c>
      <c r="B405" s="8">
        <v>190910</v>
      </c>
      <c r="C405" s="35">
        <f>B405/F397</f>
        <v>135.20538243626063</v>
      </c>
      <c r="D405" s="8">
        <v>7050</v>
      </c>
      <c r="E405" s="68">
        <v>0</v>
      </c>
      <c r="F405" s="70">
        <v>0</v>
      </c>
      <c r="G405" s="35" t="e">
        <f t="shared" si="858"/>
        <v>#DIV/0!</v>
      </c>
      <c r="H405" s="11" t="e">
        <f t="shared" si="859"/>
        <v>#DIV/0!</v>
      </c>
      <c r="I405" s="35">
        <v>0</v>
      </c>
      <c r="J405" s="70">
        <v>0</v>
      </c>
      <c r="K405" s="35" t="e">
        <f t="shared" si="860"/>
        <v>#DIV/0!</v>
      </c>
      <c r="L405" s="6" t="e">
        <f t="shared" si="861"/>
        <v>#DIV/0!</v>
      </c>
      <c r="M405" s="68">
        <v>0</v>
      </c>
      <c r="N405" s="5">
        <v>0</v>
      </c>
      <c r="O405" s="35" t="e">
        <f t="shared" si="862"/>
        <v>#DIV/0!</v>
      </c>
      <c r="P405" s="11" t="e">
        <f t="shared" si="863"/>
        <v>#DIV/0!</v>
      </c>
      <c r="Q405" s="35">
        <v>0</v>
      </c>
      <c r="R405" s="66">
        <v>0</v>
      </c>
      <c r="S405" s="35" t="e">
        <f t="shared" si="864"/>
        <v>#DIV/0!</v>
      </c>
      <c r="T405" s="6" t="e">
        <f t="shared" si="865"/>
        <v>#DIV/0!</v>
      </c>
      <c r="U405" s="68">
        <v>0</v>
      </c>
      <c r="V405" s="66">
        <v>0</v>
      </c>
      <c r="W405" s="20" t="e">
        <f t="shared" si="866"/>
        <v>#DIV/0!</v>
      </c>
      <c r="X405" s="6" t="e">
        <f t="shared" si="867"/>
        <v>#DIV/0!</v>
      </c>
      <c r="Y405" s="68">
        <v>0</v>
      </c>
      <c r="Z405" s="70">
        <v>0</v>
      </c>
      <c r="AA405" s="35" t="e">
        <f t="shared" si="868"/>
        <v>#DIV/0!</v>
      </c>
      <c r="AB405" s="11" t="e">
        <f t="shared" si="869"/>
        <v>#DIV/0!</v>
      </c>
      <c r="AC405" s="20">
        <v>14360</v>
      </c>
      <c r="AD405" s="33">
        <v>400</v>
      </c>
      <c r="AE405" s="35">
        <f t="shared" si="870"/>
        <v>35.9</v>
      </c>
      <c r="AF405" s="6">
        <f t="shared" si="871"/>
        <v>0.26552197370488706</v>
      </c>
      <c r="AG405" s="68">
        <v>0</v>
      </c>
      <c r="AH405" s="66">
        <v>0</v>
      </c>
      <c r="AI405" s="35" t="e">
        <f t="shared" si="872"/>
        <v>#DIV/0!</v>
      </c>
      <c r="AJ405" s="6" t="e">
        <f t="shared" si="873"/>
        <v>#DIV/0!</v>
      </c>
      <c r="AK405" s="68">
        <v>2300</v>
      </c>
      <c r="AL405" s="65">
        <v>96</v>
      </c>
      <c r="AM405" s="35">
        <f t="shared" si="874"/>
        <v>23.958333333333332</v>
      </c>
      <c r="AN405" s="6">
        <f t="shared" si="875"/>
        <v>0.17719955301800147</v>
      </c>
      <c r="AO405" s="68">
        <v>0</v>
      </c>
      <c r="AP405" s="66">
        <v>0</v>
      </c>
      <c r="AQ405" s="35" t="e">
        <f t="shared" si="876"/>
        <v>#DIV/0!</v>
      </c>
      <c r="AR405" s="6" t="e">
        <f t="shared" si="877"/>
        <v>#DIV/0!</v>
      </c>
      <c r="AS405" s="68">
        <v>0</v>
      </c>
      <c r="AT405" s="66">
        <v>0</v>
      </c>
      <c r="AU405" s="35" t="e">
        <f t="shared" si="878"/>
        <v>#DIV/0!</v>
      </c>
      <c r="AV405" s="6" t="e">
        <f t="shared" si="879"/>
        <v>#DIV/0!</v>
      </c>
      <c r="AW405" s="68">
        <v>0</v>
      </c>
      <c r="AX405" s="66">
        <v>0</v>
      </c>
      <c r="AY405" s="35" t="e">
        <f t="shared" si="880"/>
        <v>#DIV/0!</v>
      </c>
      <c r="AZ405" s="6" t="e">
        <f t="shared" si="881"/>
        <v>#DIV/0!</v>
      </c>
      <c r="BA405" s="68">
        <v>0</v>
      </c>
      <c r="BB405" s="66">
        <v>0</v>
      </c>
      <c r="BC405" s="35" t="e">
        <f t="shared" si="882"/>
        <v>#DIV/0!</v>
      </c>
      <c r="BD405" s="11" t="e">
        <f t="shared" si="883"/>
        <v>#DIV/0!</v>
      </c>
    </row>
    <row r="406" spans="1:56" x14ac:dyDescent="0.25">
      <c r="A406" s="19" t="s">
        <v>6</v>
      </c>
      <c r="B406" s="8">
        <v>231150</v>
      </c>
      <c r="C406" s="35">
        <f>B406/F397</f>
        <v>163.70396600566573</v>
      </c>
      <c r="D406" s="8">
        <v>10950</v>
      </c>
      <c r="E406" s="68">
        <v>0</v>
      </c>
      <c r="F406" s="70">
        <v>0</v>
      </c>
      <c r="G406" s="35" t="e">
        <f t="shared" si="858"/>
        <v>#DIV/0!</v>
      </c>
      <c r="H406" s="11" t="e">
        <f t="shared" si="859"/>
        <v>#DIV/0!</v>
      </c>
      <c r="I406" s="35">
        <v>0</v>
      </c>
      <c r="J406" s="70">
        <v>0</v>
      </c>
      <c r="K406" s="35" t="e">
        <f t="shared" si="860"/>
        <v>#DIV/0!</v>
      </c>
      <c r="L406" s="6" t="e">
        <f t="shared" si="861"/>
        <v>#DIV/0!</v>
      </c>
      <c r="M406" s="68">
        <v>0</v>
      </c>
      <c r="N406" s="5">
        <v>0</v>
      </c>
      <c r="O406" s="35" t="e">
        <f t="shared" si="862"/>
        <v>#DIV/0!</v>
      </c>
      <c r="P406" s="11" t="e">
        <f t="shared" si="863"/>
        <v>#DIV/0!</v>
      </c>
      <c r="Q406" s="35">
        <v>0</v>
      </c>
      <c r="R406" s="66">
        <v>0</v>
      </c>
      <c r="S406" s="35" t="e">
        <f t="shared" si="864"/>
        <v>#DIV/0!</v>
      </c>
      <c r="T406" s="6" t="e">
        <f t="shared" si="865"/>
        <v>#DIV/0!</v>
      </c>
      <c r="U406" s="68">
        <v>0</v>
      </c>
      <c r="V406" s="66">
        <v>0</v>
      </c>
      <c r="W406" s="20" t="e">
        <f t="shared" si="866"/>
        <v>#DIV/0!</v>
      </c>
      <c r="X406" s="6" t="e">
        <f t="shared" si="867"/>
        <v>#DIV/0!</v>
      </c>
      <c r="Y406" s="68">
        <v>0</v>
      </c>
      <c r="Z406" s="70">
        <v>0</v>
      </c>
      <c r="AA406" s="35" t="e">
        <f t="shared" si="868"/>
        <v>#DIV/0!</v>
      </c>
      <c r="AB406" s="11" t="e">
        <f t="shared" si="869"/>
        <v>#DIV/0!</v>
      </c>
      <c r="AC406" s="20">
        <v>20450</v>
      </c>
      <c r="AD406" s="33">
        <v>400</v>
      </c>
      <c r="AE406" s="35">
        <f t="shared" si="870"/>
        <v>51.125</v>
      </c>
      <c r="AF406" s="6">
        <f t="shared" si="871"/>
        <v>0.31230153579926451</v>
      </c>
      <c r="AG406" s="68">
        <v>0</v>
      </c>
      <c r="AH406" s="66">
        <v>0</v>
      </c>
      <c r="AI406" s="35" t="e">
        <f t="shared" si="872"/>
        <v>#DIV/0!</v>
      </c>
      <c r="AJ406" s="6" t="e">
        <f t="shared" si="873"/>
        <v>#DIV/0!</v>
      </c>
      <c r="AK406" s="68">
        <v>2790</v>
      </c>
      <c r="AL406" s="65">
        <v>96</v>
      </c>
      <c r="AM406" s="35">
        <f t="shared" si="874"/>
        <v>29.0625</v>
      </c>
      <c r="AN406" s="6">
        <f t="shared" si="875"/>
        <v>0.17753082414016871</v>
      </c>
      <c r="AO406" s="68">
        <v>0</v>
      </c>
      <c r="AP406" s="66">
        <v>0</v>
      </c>
      <c r="AQ406" s="35" t="e">
        <f t="shared" si="876"/>
        <v>#DIV/0!</v>
      </c>
      <c r="AR406" s="6" t="e">
        <f t="shared" si="877"/>
        <v>#DIV/0!</v>
      </c>
      <c r="AS406" s="68">
        <v>0</v>
      </c>
      <c r="AT406" s="66">
        <v>0</v>
      </c>
      <c r="AU406" s="35" t="e">
        <f t="shared" si="878"/>
        <v>#DIV/0!</v>
      </c>
      <c r="AV406" s="6" t="e">
        <f t="shared" si="879"/>
        <v>#DIV/0!</v>
      </c>
      <c r="AW406" s="68">
        <v>0</v>
      </c>
      <c r="AX406" s="66">
        <v>0</v>
      </c>
      <c r="AY406" s="35" t="e">
        <f t="shared" si="880"/>
        <v>#DIV/0!</v>
      </c>
      <c r="AZ406" s="6" t="e">
        <f t="shared" si="881"/>
        <v>#DIV/0!</v>
      </c>
      <c r="BA406" s="68">
        <v>0</v>
      </c>
      <c r="BB406" s="66">
        <v>0</v>
      </c>
      <c r="BC406" s="35" t="e">
        <f t="shared" si="882"/>
        <v>#DIV/0!</v>
      </c>
      <c r="BD406" s="11" t="e">
        <f t="shared" si="883"/>
        <v>#DIV/0!</v>
      </c>
    </row>
    <row r="407" spans="1:56" ht="15.75" thickBot="1" x14ac:dyDescent="0.3">
      <c r="A407" s="21"/>
      <c r="B407" s="22"/>
      <c r="C407" s="23">
        <f>AVERAGE(Table11030[MA $/Sq Ft])</f>
        <v>94.177458518818298</v>
      </c>
      <c r="D407" s="22">
        <f>AVERAGE(Table11030[Basic Allowance])</f>
        <v>4442.8571428571431</v>
      </c>
      <c r="E407" s="16"/>
      <c r="F407" s="22"/>
      <c r="G407" s="15"/>
      <c r="H407" s="24" t="e">
        <f>AVERAGE(Table11030[Bsmt % Base])</f>
        <v>#DIV/0!</v>
      </c>
      <c r="I407" s="15"/>
      <c r="J407" s="15"/>
      <c r="K407" s="15"/>
      <c r="L407" s="25" t="e">
        <f>AVERAGE(Table11030[[#Headers],[#Data],[UnfBsmt % Base]])</f>
        <v>#DIV/0!</v>
      </c>
      <c r="M407" s="44"/>
      <c r="N407" s="15"/>
      <c r="O407" s="23" t="e">
        <f>AVERAGE(Table11030[LowerVal/SqFt])</f>
        <v>#DIV/0!</v>
      </c>
      <c r="P407" s="24" t="e">
        <f>AVERAGE(Table11030[Lower % Base])</f>
        <v>#DIV/0!</v>
      </c>
      <c r="Q407" s="13"/>
      <c r="R407" s="13"/>
      <c r="S407" s="13"/>
      <c r="T407" s="25" t="e">
        <f>AVERAGE(Table11030[Unf Lower % Base])</f>
        <v>#DIV/0!</v>
      </c>
      <c r="U407" s="12"/>
      <c r="V407" s="13"/>
      <c r="W407" s="13"/>
      <c r="X407" s="25" t="e">
        <f>AVERAGE(Table11030[1/2 Story % Base])</f>
        <v>#DIV/0!</v>
      </c>
      <c r="Y407" s="12"/>
      <c r="Z407" s="13"/>
      <c r="AA407" s="13"/>
      <c r="AB407" s="24" t="e">
        <f>AVERAGE(Table11030[2nd Story % Base])</f>
        <v>#DIV/0!</v>
      </c>
      <c r="AC407" s="13"/>
      <c r="AD407" s="13"/>
      <c r="AE407" s="23">
        <f>AVERAGE(Table11030[AttGarVal/SqFt])</f>
        <v>29.764285714285716</v>
      </c>
      <c r="AF407" s="25">
        <f>AVERAGE(Table11030[Att Gar % Base])</f>
        <v>0.32526277584133212</v>
      </c>
      <c r="AG407" s="12"/>
      <c r="AH407" s="13"/>
      <c r="AI407" s="13"/>
      <c r="AJ407" s="25" t="e">
        <f>AVERAGE(Table11030[Porch % Base])</f>
        <v>#DIV/0!</v>
      </c>
      <c r="AK407" s="12"/>
      <c r="AL407" s="13"/>
      <c r="AM407" s="13"/>
      <c r="AN407" s="25">
        <f>AVERAGE(Table11030[Cov Porch % Base])</f>
        <v>0.19032962691769964</v>
      </c>
      <c r="AO407" s="12"/>
      <c r="AP407" s="13"/>
      <c r="AQ407" s="13"/>
      <c r="AR407" s="25" t="e">
        <f>AVERAGE(Table11030[Deck % Base])</f>
        <v>#DIV/0!</v>
      </c>
      <c r="AS407" s="12"/>
      <c r="AT407" s="13"/>
      <c r="AU407" s="23" t="e">
        <f>AVERAGE(Table11030[CovDeckVal/SqFt])</f>
        <v>#DIV/0!</v>
      </c>
      <c r="AV407" s="25" t="e">
        <f>AVERAGE(Table11030[CovDeck % Base])</f>
        <v>#DIV/0!</v>
      </c>
      <c r="AW407" s="12"/>
      <c r="AX407" s="13"/>
      <c r="AY407" s="13"/>
      <c r="AZ407" s="25" t="e">
        <f>AVERAGE(Table11030[CarP % Base])</f>
        <v>#DIV/0!</v>
      </c>
      <c r="BA407" s="12"/>
      <c r="BB407" s="13"/>
      <c r="BC407" s="13"/>
      <c r="BD407" s="24" t="e">
        <f>AVERAGE(Table11030[EFP % Base])</f>
        <v>#DIV/0!</v>
      </c>
    </row>
    <row r="409" spans="1:56" ht="15.75" thickBot="1" x14ac:dyDescent="0.3">
      <c r="A409" s="82"/>
      <c r="B409" t="s">
        <v>79</v>
      </c>
      <c r="C409" s="78" t="s">
        <v>123</v>
      </c>
      <c r="E409" t="s">
        <v>33</v>
      </c>
      <c r="F409" s="79">
        <v>1024</v>
      </c>
      <c r="H409" t="s">
        <v>80</v>
      </c>
      <c r="I409" t="s">
        <v>134</v>
      </c>
    </row>
    <row r="410" spans="1:56" x14ac:dyDescent="0.25">
      <c r="A410" s="112"/>
      <c r="B410" s="113"/>
      <c r="C410" s="113"/>
      <c r="D410" s="114"/>
      <c r="E410" s="115" t="s">
        <v>27</v>
      </c>
      <c r="F410" s="116"/>
      <c r="G410" s="116"/>
      <c r="H410" s="117"/>
      <c r="I410" s="118" t="s">
        <v>28</v>
      </c>
      <c r="J410" s="119"/>
      <c r="K410" s="119"/>
      <c r="L410" s="120"/>
      <c r="M410" s="121" t="s">
        <v>7</v>
      </c>
      <c r="N410" s="122"/>
      <c r="O410" s="122"/>
      <c r="P410" s="123"/>
      <c r="Q410" s="124" t="s">
        <v>29</v>
      </c>
      <c r="R410" s="125"/>
      <c r="S410" s="125"/>
      <c r="T410" s="126"/>
      <c r="U410" s="127" t="s">
        <v>8</v>
      </c>
      <c r="V410" s="128"/>
      <c r="W410" s="128"/>
      <c r="X410" s="129"/>
      <c r="Y410" s="130" t="s">
        <v>0</v>
      </c>
      <c r="Z410" s="131"/>
      <c r="AA410" s="131"/>
      <c r="AB410" s="132"/>
      <c r="AC410" s="133" t="s">
        <v>34</v>
      </c>
      <c r="AD410" s="134"/>
      <c r="AE410" s="134"/>
      <c r="AF410" s="135"/>
      <c r="AG410" s="115" t="s">
        <v>9</v>
      </c>
      <c r="AH410" s="116"/>
      <c r="AI410" s="116"/>
      <c r="AJ410" s="117"/>
      <c r="AK410" s="136" t="s">
        <v>35</v>
      </c>
      <c r="AL410" s="137"/>
      <c r="AM410" s="137"/>
      <c r="AN410" s="138"/>
      <c r="AO410" s="139" t="s">
        <v>10</v>
      </c>
      <c r="AP410" s="140"/>
      <c r="AQ410" s="140"/>
      <c r="AR410" s="141"/>
      <c r="AS410" s="124" t="s">
        <v>36</v>
      </c>
      <c r="AT410" s="125"/>
      <c r="AU410" s="125"/>
      <c r="AV410" s="126"/>
      <c r="AW410" s="142" t="s">
        <v>11</v>
      </c>
      <c r="AX410" s="143"/>
      <c r="AY410" s="143"/>
      <c r="AZ410" s="144"/>
      <c r="BA410" s="148" t="s">
        <v>17</v>
      </c>
      <c r="BB410" s="149"/>
      <c r="BC410" s="149"/>
      <c r="BD410" s="150"/>
    </row>
    <row r="411" spans="1:56" s="1" customFormat="1" ht="15.75" thickBot="1" x14ac:dyDescent="0.3">
      <c r="A411" s="41" t="s">
        <v>13</v>
      </c>
      <c r="B411" s="42" t="s">
        <v>15</v>
      </c>
      <c r="C411" s="42" t="s">
        <v>32</v>
      </c>
      <c r="D411" s="43" t="s">
        <v>18</v>
      </c>
      <c r="E411" s="30" t="s">
        <v>30</v>
      </c>
      <c r="F411" s="31" t="s">
        <v>61</v>
      </c>
      <c r="G411" s="31" t="s">
        <v>38</v>
      </c>
      <c r="H411" s="32" t="s">
        <v>62</v>
      </c>
      <c r="I411" s="37" t="s">
        <v>31</v>
      </c>
      <c r="J411" s="38" t="s">
        <v>39</v>
      </c>
      <c r="K411" s="38" t="s">
        <v>40</v>
      </c>
      <c r="L411" s="39" t="s">
        <v>63</v>
      </c>
      <c r="M411" s="40" t="s">
        <v>19</v>
      </c>
      <c r="N411" s="7" t="s">
        <v>41</v>
      </c>
      <c r="O411" s="7" t="s">
        <v>37</v>
      </c>
      <c r="P411" s="7" t="s">
        <v>64</v>
      </c>
      <c r="Q411" s="27" t="s">
        <v>20</v>
      </c>
      <c r="R411" s="28" t="s">
        <v>60</v>
      </c>
      <c r="S411" s="28" t="s">
        <v>59</v>
      </c>
      <c r="T411" s="29" t="s">
        <v>65</v>
      </c>
      <c r="U411" s="48" t="s">
        <v>21</v>
      </c>
      <c r="V411" s="48" t="s">
        <v>42</v>
      </c>
      <c r="W411" s="48" t="s">
        <v>43</v>
      </c>
      <c r="X411" s="49" t="s">
        <v>66</v>
      </c>
      <c r="Y411" s="50" t="s">
        <v>22</v>
      </c>
      <c r="Z411" s="51" t="s">
        <v>44</v>
      </c>
      <c r="AA411" s="51" t="s">
        <v>45</v>
      </c>
      <c r="AB411" s="52" t="s">
        <v>67</v>
      </c>
      <c r="AC411" s="45" t="s">
        <v>23</v>
      </c>
      <c r="AD411" s="46" t="s">
        <v>46</v>
      </c>
      <c r="AE411" s="46" t="s">
        <v>47</v>
      </c>
      <c r="AF411" s="47" t="s">
        <v>68</v>
      </c>
      <c r="AG411" s="30" t="s">
        <v>24</v>
      </c>
      <c r="AH411" s="31" t="s">
        <v>48</v>
      </c>
      <c r="AI411" s="31" t="s">
        <v>49</v>
      </c>
      <c r="AJ411" s="32" t="s">
        <v>69</v>
      </c>
      <c r="AK411" s="53" t="s">
        <v>25</v>
      </c>
      <c r="AL411" s="54" t="s">
        <v>50</v>
      </c>
      <c r="AM411" s="54" t="s">
        <v>51</v>
      </c>
      <c r="AN411" s="55" t="s">
        <v>70</v>
      </c>
      <c r="AO411" s="56" t="s">
        <v>26</v>
      </c>
      <c r="AP411" s="57" t="s">
        <v>52</v>
      </c>
      <c r="AQ411" s="57" t="s">
        <v>53</v>
      </c>
      <c r="AR411" s="58" t="s">
        <v>71</v>
      </c>
      <c r="AS411" s="59" t="s">
        <v>55</v>
      </c>
      <c r="AT411" s="60" t="s">
        <v>54</v>
      </c>
      <c r="AU411" s="60" t="s">
        <v>56</v>
      </c>
      <c r="AV411" s="61" t="s">
        <v>76</v>
      </c>
      <c r="AW411" s="62" t="s">
        <v>72</v>
      </c>
      <c r="AX411" s="63" t="s">
        <v>73</v>
      </c>
      <c r="AY411" s="63" t="s">
        <v>74</v>
      </c>
      <c r="AZ411" s="64" t="s">
        <v>75</v>
      </c>
      <c r="BA411" s="71" t="s">
        <v>77</v>
      </c>
      <c r="BB411" s="72" t="s">
        <v>57</v>
      </c>
      <c r="BC411" s="72" t="s">
        <v>58</v>
      </c>
      <c r="BD411" s="73" t="s">
        <v>78</v>
      </c>
    </row>
    <row r="412" spans="1:56" ht="15.75" thickBot="1" x14ac:dyDescent="0.3">
      <c r="A412" s="17" t="s">
        <v>1</v>
      </c>
      <c r="B412" s="14">
        <v>53360</v>
      </c>
      <c r="C412" s="34">
        <f>B412/F409</f>
        <v>52.109375</v>
      </c>
      <c r="D412" s="14">
        <v>1525</v>
      </c>
      <c r="E412" s="67">
        <v>0</v>
      </c>
      <c r="F412" s="69">
        <v>0</v>
      </c>
      <c r="G412" s="34" t="e">
        <f t="shared" ref="G412:G418" si="884">E412/F412</f>
        <v>#DIV/0!</v>
      </c>
      <c r="H412" s="10" t="e">
        <f t="shared" ref="H412:H418" si="885">G412/C412</f>
        <v>#DIV/0!</v>
      </c>
      <c r="I412" s="34">
        <v>0</v>
      </c>
      <c r="J412" s="69">
        <v>0</v>
      </c>
      <c r="K412" s="34" t="e">
        <f t="shared" ref="K412:K418" si="886">I412/J412</f>
        <v>#DIV/0!</v>
      </c>
      <c r="L412" s="9" t="e">
        <f t="shared" ref="L412:L418" si="887">K412/C412</f>
        <v>#DIV/0!</v>
      </c>
      <c r="M412" s="67">
        <v>0</v>
      </c>
      <c r="N412" s="26">
        <v>0</v>
      </c>
      <c r="O412" s="34" t="e">
        <f t="shared" ref="O412:O418" si="888">M412/N412</f>
        <v>#DIV/0!</v>
      </c>
      <c r="P412" s="10" t="e">
        <f t="shared" ref="P412:P418" si="889">O412/C412</f>
        <v>#DIV/0!</v>
      </c>
      <c r="Q412" s="35">
        <v>0</v>
      </c>
      <c r="R412" s="66">
        <v>0</v>
      </c>
      <c r="S412" s="35" t="e">
        <f t="shared" ref="S412:S418" si="890">Q412/R412</f>
        <v>#DIV/0!</v>
      </c>
      <c r="T412" s="6" t="e">
        <f t="shared" ref="T412:T418" si="891">S412/C412</f>
        <v>#DIV/0!</v>
      </c>
      <c r="U412" s="67">
        <v>0</v>
      </c>
      <c r="V412" s="65">
        <v>0</v>
      </c>
      <c r="W412" s="18" t="e">
        <f t="shared" ref="W412:W418" si="892">U412/V412</f>
        <v>#DIV/0!</v>
      </c>
      <c r="X412" s="9" t="e">
        <f t="shared" ref="X412:X418" si="893">W412/C412</f>
        <v>#DIV/0!</v>
      </c>
      <c r="Y412" s="67">
        <v>0</v>
      </c>
      <c r="Z412" s="69">
        <v>0</v>
      </c>
      <c r="AA412" s="34" t="e">
        <f t="shared" ref="AA412:AA418" si="894">Y412/Z412</f>
        <v>#DIV/0!</v>
      </c>
      <c r="AB412" s="10" t="e">
        <f t="shared" ref="AB412:AB418" si="895">AA412/C412</f>
        <v>#DIV/0!</v>
      </c>
      <c r="AC412" s="18">
        <v>0</v>
      </c>
      <c r="AD412" s="33">
        <v>0</v>
      </c>
      <c r="AE412" s="34" t="e">
        <f t="shared" ref="AE412:AE418" si="896">AC412/AD412</f>
        <v>#DIV/0!</v>
      </c>
      <c r="AF412" s="9" t="e">
        <f t="shared" ref="AF412:AF418" si="897">AE412/C412</f>
        <v>#DIV/0!</v>
      </c>
      <c r="AG412" s="67">
        <v>0</v>
      </c>
      <c r="AH412" s="65">
        <v>0</v>
      </c>
      <c r="AI412" s="34" t="e">
        <f t="shared" ref="AI412:AI418" si="898">AG412/AH412</f>
        <v>#DIV/0!</v>
      </c>
      <c r="AJ412" s="9" t="e">
        <f t="shared" ref="AJ412:AJ418" si="899">AI412/C412</f>
        <v>#DIV/0!</v>
      </c>
      <c r="AK412" s="67">
        <v>880</v>
      </c>
      <c r="AL412" s="65">
        <v>160</v>
      </c>
      <c r="AM412" s="34">
        <f t="shared" ref="AM412:AM418" si="900">AK412/AL412</f>
        <v>5.5</v>
      </c>
      <c r="AN412" s="9">
        <f t="shared" ref="AN412:AN418" si="901">AM412/C412</f>
        <v>0.10554722638680659</v>
      </c>
      <c r="AO412" s="67">
        <v>0</v>
      </c>
      <c r="AP412" s="65">
        <v>0</v>
      </c>
      <c r="AQ412" s="34" t="e">
        <f t="shared" ref="AQ412:AQ418" si="902">AO412/AP412</f>
        <v>#DIV/0!</v>
      </c>
      <c r="AR412" s="9" t="e">
        <f t="shared" ref="AR412:AR418" si="903">AQ412/C412</f>
        <v>#DIV/0!</v>
      </c>
      <c r="AS412" s="67">
        <v>0</v>
      </c>
      <c r="AT412" s="65">
        <v>0</v>
      </c>
      <c r="AU412" s="34" t="e">
        <f t="shared" ref="AU412:AU418" si="904">AS412/AT412</f>
        <v>#DIV/0!</v>
      </c>
      <c r="AV412" s="9" t="e">
        <f t="shared" ref="AV412:AV418" si="905">AU412/C412</f>
        <v>#DIV/0!</v>
      </c>
      <c r="AW412" s="67">
        <v>0</v>
      </c>
      <c r="AX412" s="65">
        <v>0</v>
      </c>
      <c r="AY412" s="34" t="e">
        <f t="shared" ref="AY412:AY418" si="906">AW412/AX412</f>
        <v>#DIV/0!</v>
      </c>
      <c r="AZ412" s="9" t="e">
        <f t="shared" ref="AZ412:AZ418" si="907">AY412/C412</f>
        <v>#DIV/0!</v>
      </c>
      <c r="BA412" s="67">
        <v>0</v>
      </c>
      <c r="BB412" s="65">
        <v>0</v>
      </c>
      <c r="BC412" s="34" t="e">
        <f t="shared" ref="BC412:BC418" si="908">BA412/BB412</f>
        <v>#DIV/0!</v>
      </c>
      <c r="BD412" s="10" t="e">
        <f t="shared" ref="BD412:BD418" si="909">BC412/C412</f>
        <v>#DIV/0!</v>
      </c>
    </row>
    <row r="413" spans="1:56" ht="15.75" thickBot="1" x14ac:dyDescent="0.3">
      <c r="A413" s="19" t="s">
        <v>16</v>
      </c>
      <c r="B413" s="8">
        <v>62780</v>
      </c>
      <c r="C413" s="35">
        <f>B413/F409</f>
        <v>61.30859375</v>
      </c>
      <c r="D413" s="8">
        <v>1525</v>
      </c>
      <c r="E413" s="68">
        <v>0</v>
      </c>
      <c r="F413" s="70">
        <v>0</v>
      </c>
      <c r="G413" s="35" t="e">
        <f t="shared" si="884"/>
        <v>#DIV/0!</v>
      </c>
      <c r="H413" s="11" t="e">
        <f t="shared" si="885"/>
        <v>#DIV/0!</v>
      </c>
      <c r="I413" s="35">
        <v>0</v>
      </c>
      <c r="J413" s="70">
        <v>0</v>
      </c>
      <c r="K413" s="35" t="e">
        <f t="shared" si="886"/>
        <v>#DIV/0!</v>
      </c>
      <c r="L413" s="6" t="e">
        <f t="shared" si="887"/>
        <v>#DIV/0!</v>
      </c>
      <c r="M413" s="68">
        <v>0</v>
      </c>
      <c r="N413" s="5">
        <v>0</v>
      </c>
      <c r="O413" s="35" t="e">
        <f t="shared" si="888"/>
        <v>#DIV/0!</v>
      </c>
      <c r="P413" s="11" t="e">
        <f t="shared" si="889"/>
        <v>#DIV/0!</v>
      </c>
      <c r="Q413" s="35">
        <v>0</v>
      </c>
      <c r="R413" s="66">
        <v>0</v>
      </c>
      <c r="S413" s="35" t="e">
        <f t="shared" si="890"/>
        <v>#DIV/0!</v>
      </c>
      <c r="T413" s="6" t="e">
        <f t="shared" si="891"/>
        <v>#DIV/0!</v>
      </c>
      <c r="U413" s="68">
        <v>0</v>
      </c>
      <c r="V413" s="66">
        <v>0</v>
      </c>
      <c r="W413" s="20" t="e">
        <f t="shared" si="892"/>
        <v>#DIV/0!</v>
      </c>
      <c r="X413" s="6" t="e">
        <f t="shared" si="893"/>
        <v>#DIV/0!</v>
      </c>
      <c r="Y413" s="68">
        <v>0</v>
      </c>
      <c r="Z413" s="70">
        <v>0</v>
      </c>
      <c r="AA413" s="35" t="e">
        <f t="shared" si="894"/>
        <v>#DIV/0!</v>
      </c>
      <c r="AB413" s="11" t="e">
        <f t="shared" si="895"/>
        <v>#DIV/0!</v>
      </c>
      <c r="AC413" s="20">
        <v>0</v>
      </c>
      <c r="AD413" s="36">
        <v>0</v>
      </c>
      <c r="AE413" s="35" t="e">
        <f t="shared" si="896"/>
        <v>#DIV/0!</v>
      </c>
      <c r="AF413" s="6" t="e">
        <f t="shared" si="897"/>
        <v>#DIV/0!</v>
      </c>
      <c r="AG413" s="68">
        <v>0</v>
      </c>
      <c r="AH413" s="66">
        <v>0</v>
      </c>
      <c r="AI413" s="35" t="e">
        <f t="shared" si="898"/>
        <v>#DIV/0!</v>
      </c>
      <c r="AJ413" s="6" t="e">
        <f t="shared" si="899"/>
        <v>#DIV/0!</v>
      </c>
      <c r="AK413" s="68">
        <v>1300</v>
      </c>
      <c r="AL413" s="65">
        <v>160</v>
      </c>
      <c r="AM413" s="35">
        <f t="shared" si="900"/>
        <v>8.125</v>
      </c>
      <c r="AN413" s="6">
        <f t="shared" si="901"/>
        <v>0.13252628225549537</v>
      </c>
      <c r="AO413" s="68">
        <v>0</v>
      </c>
      <c r="AP413" s="66">
        <v>0</v>
      </c>
      <c r="AQ413" s="35" t="e">
        <f t="shared" si="902"/>
        <v>#DIV/0!</v>
      </c>
      <c r="AR413" s="6" t="e">
        <f t="shared" si="903"/>
        <v>#DIV/0!</v>
      </c>
      <c r="AS413" s="68">
        <v>0</v>
      </c>
      <c r="AT413" s="66">
        <v>0</v>
      </c>
      <c r="AU413" s="35" t="e">
        <f t="shared" si="904"/>
        <v>#DIV/0!</v>
      </c>
      <c r="AV413" s="6" t="e">
        <f t="shared" si="905"/>
        <v>#DIV/0!</v>
      </c>
      <c r="AW413" s="68">
        <v>0</v>
      </c>
      <c r="AX413" s="66">
        <v>0</v>
      </c>
      <c r="AY413" s="35" t="e">
        <f t="shared" si="906"/>
        <v>#DIV/0!</v>
      </c>
      <c r="AZ413" s="6" t="e">
        <f t="shared" si="907"/>
        <v>#DIV/0!</v>
      </c>
      <c r="BA413" s="68">
        <v>0</v>
      </c>
      <c r="BB413" s="66">
        <v>0</v>
      </c>
      <c r="BC413" s="35" t="e">
        <f t="shared" si="908"/>
        <v>#DIV/0!</v>
      </c>
      <c r="BD413" s="11" t="e">
        <f t="shared" si="909"/>
        <v>#DIV/0!</v>
      </c>
    </row>
    <row r="414" spans="1:56" ht="15.75" thickBot="1" x14ac:dyDescent="0.3">
      <c r="A414" s="19" t="s">
        <v>2</v>
      </c>
      <c r="B414" s="8">
        <v>73500</v>
      </c>
      <c r="C414" s="35">
        <f>B414/F409</f>
        <v>71.77734375</v>
      </c>
      <c r="D414" s="8">
        <v>2100</v>
      </c>
      <c r="E414" s="68">
        <v>0</v>
      </c>
      <c r="F414" s="70">
        <v>0</v>
      </c>
      <c r="G414" s="35" t="e">
        <f t="shared" si="884"/>
        <v>#DIV/0!</v>
      </c>
      <c r="H414" s="11" t="e">
        <f t="shared" si="885"/>
        <v>#DIV/0!</v>
      </c>
      <c r="I414" s="35">
        <v>0</v>
      </c>
      <c r="J414" s="70">
        <v>0</v>
      </c>
      <c r="K414" s="35" t="e">
        <f t="shared" si="886"/>
        <v>#DIV/0!</v>
      </c>
      <c r="L414" s="6" t="e">
        <f t="shared" si="887"/>
        <v>#DIV/0!</v>
      </c>
      <c r="M414" s="68">
        <v>0</v>
      </c>
      <c r="N414" s="5">
        <v>0</v>
      </c>
      <c r="O414" s="35" t="e">
        <f t="shared" si="888"/>
        <v>#DIV/0!</v>
      </c>
      <c r="P414" s="11" t="e">
        <f t="shared" si="889"/>
        <v>#DIV/0!</v>
      </c>
      <c r="Q414" s="35">
        <v>0</v>
      </c>
      <c r="R414" s="66">
        <v>0</v>
      </c>
      <c r="S414" s="35" t="e">
        <f t="shared" si="890"/>
        <v>#DIV/0!</v>
      </c>
      <c r="T414" s="6" t="e">
        <f t="shared" si="891"/>
        <v>#DIV/0!</v>
      </c>
      <c r="U414" s="68">
        <v>0</v>
      </c>
      <c r="V414" s="66">
        <v>0</v>
      </c>
      <c r="W414" s="20" t="e">
        <f t="shared" si="892"/>
        <v>#DIV/0!</v>
      </c>
      <c r="X414" s="6" t="e">
        <f t="shared" si="893"/>
        <v>#DIV/0!</v>
      </c>
      <c r="Y414" s="68">
        <v>0</v>
      </c>
      <c r="Z414" s="70">
        <v>0</v>
      </c>
      <c r="AA414" s="35" t="e">
        <f t="shared" si="894"/>
        <v>#DIV/0!</v>
      </c>
      <c r="AB414" s="11" t="e">
        <f t="shared" si="895"/>
        <v>#DIV/0!</v>
      </c>
      <c r="AC414" s="20">
        <v>0</v>
      </c>
      <c r="AD414" s="36">
        <v>0</v>
      </c>
      <c r="AE414" s="35" t="e">
        <f t="shared" si="896"/>
        <v>#DIV/0!</v>
      </c>
      <c r="AF414" s="6" t="e">
        <f t="shared" si="897"/>
        <v>#DIV/0!</v>
      </c>
      <c r="AG414" s="68">
        <v>0</v>
      </c>
      <c r="AH414" s="66">
        <v>0</v>
      </c>
      <c r="AI414" s="35" t="e">
        <f t="shared" si="898"/>
        <v>#DIV/0!</v>
      </c>
      <c r="AJ414" s="6" t="e">
        <f t="shared" si="899"/>
        <v>#DIV/0!</v>
      </c>
      <c r="AK414" s="68">
        <v>1410</v>
      </c>
      <c r="AL414" s="65">
        <v>160</v>
      </c>
      <c r="AM414" s="35">
        <f t="shared" si="900"/>
        <v>8.8125</v>
      </c>
      <c r="AN414" s="6">
        <f t="shared" si="901"/>
        <v>0.12277551020408163</v>
      </c>
      <c r="AO414" s="68">
        <v>0</v>
      </c>
      <c r="AP414" s="66">
        <v>0</v>
      </c>
      <c r="AQ414" s="35" t="e">
        <f t="shared" si="902"/>
        <v>#DIV/0!</v>
      </c>
      <c r="AR414" s="6" t="e">
        <f t="shared" si="903"/>
        <v>#DIV/0!</v>
      </c>
      <c r="AS414" s="68">
        <v>0</v>
      </c>
      <c r="AT414" s="66">
        <v>0</v>
      </c>
      <c r="AU414" s="35" t="e">
        <f t="shared" si="904"/>
        <v>#DIV/0!</v>
      </c>
      <c r="AV414" s="6" t="e">
        <f t="shared" si="905"/>
        <v>#DIV/0!</v>
      </c>
      <c r="AW414" s="68">
        <v>0</v>
      </c>
      <c r="AX414" s="66">
        <v>0</v>
      </c>
      <c r="AY414" s="35" t="e">
        <f t="shared" si="906"/>
        <v>#DIV/0!</v>
      </c>
      <c r="AZ414" s="6" t="e">
        <f t="shared" si="907"/>
        <v>#DIV/0!</v>
      </c>
      <c r="BA414" s="68">
        <v>0</v>
      </c>
      <c r="BB414" s="66">
        <v>0</v>
      </c>
      <c r="BC414" s="35" t="e">
        <f t="shared" si="908"/>
        <v>#DIV/0!</v>
      </c>
      <c r="BD414" s="11" t="e">
        <f t="shared" si="909"/>
        <v>#DIV/0!</v>
      </c>
    </row>
    <row r="415" spans="1:56" ht="15.75" thickBot="1" x14ac:dyDescent="0.3">
      <c r="A415" s="19" t="s">
        <v>3</v>
      </c>
      <c r="B415" s="8">
        <v>88710</v>
      </c>
      <c r="C415" s="35">
        <f>B415/F409</f>
        <v>86.630859375</v>
      </c>
      <c r="D415" s="8">
        <v>2700</v>
      </c>
      <c r="E415" s="68">
        <v>0</v>
      </c>
      <c r="F415" s="70">
        <v>0</v>
      </c>
      <c r="G415" s="35" t="e">
        <f t="shared" si="884"/>
        <v>#DIV/0!</v>
      </c>
      <c r="H415" s="11" t="e">
        <f t="shared" si="885"/>
        <v>#DIV/0!</v>
      </c>
      <c r="I415" s="35">
        <v>0</v>
      </c>
      <c r="J415" s="70">
        <v>0</v>
      </c>
      <c r="K415" s="35" t="e">
        <f t="shared" si="886"/>
        <v>#DIV/0!</v>
      </c>
      <c r="L415" s="6" t="e">
        <f t="shared" si="887"/>
        <v>#DIV/0!</v>
      </c>
      <c r="M415" s="68">
        <v>0</v>
      </c>
      <c r="N415" s="5">
        <v>0</v>
      </c>
      <c r="O415" s="35" t="e">
        <f t="shared" si="888"/>
        <v>#DIV/0!</v>
      </c>
      <c r="P415" s="11" t="e">
        <f t="shared" si="889"/>
        <v>#DIV/0!</v>
      </c>
      <c r="Q415" s="35">
        <v>0</v>
      </c>
      <c r="R415" s="66">
        <v>0</v>
      </c>
      <c r="S415" s="35" t="e">
        <f t="shared" si="890"/>
        <v>#DIV/0!</v>
      </c>
      <c r="T415" s="6" t="e">
        <f t="shared" si="891"/>
        <v>#DIV/0!</v>
      </c>
      <c r="U415" s="68">
        <v>0</v>
      </c>
      <c r="V415" s="66">
        <v>0</v>
      </c>
      <c r="W415" s="20" t="e">
        <f t="shared" si="892"/>
        <v>#DIV/0!</v>
      </c>
      <c r="X415" s="6" t="e">
        <f t="shared" si="893"/>
        <v>#DIV/0!</v>
      </c>
      <c r="Y415" s="68">
        <v>0</v>
      </c>
      <c r="Z415" s="70">
        <v>0</v>
      </c>
      <c r="AA415" s="35" t="e">
        <f t="shared" si="894"/>
        <v>#DIV/0!</v>
      </c>
      <c r="AB415" s="11" t="e">
        <f t="shared" si="895"/>
        <v>#DIV/0!</v>
      </c>
      <c r="AC415" s="20">
        <v>0</v>
      </c>
      <c r="AD415" s="36">
        <v>0</v>
      </c>
      <c r="AE415" s="35" t="e">
        <f t="shared" si="896"/>
        <v>#DIV/0!</v>
      </c>
      <c r="AF415" s="6" t="e">
        <f t="shared" si="897"/>
        <v>#DIV/0!</v>
      </c>
      <c r="AG415" s="68">
        <v>0</v>
      </c>
      <c r="AH415" s="66">
        <v>0</v>
      </c>
      <c r="AI415" s="35" t="e">
        <f t="shared" si="898"/>
        <v>#DIV/0!</v>
      </c>
      <c r="AJ415" s="6" t="e">
        <f t="shared" si="899"/>
        <v>#DIV/0!</v>
      </c>
      <c r="AK415" s="68">
        <v>1530</v>
      </c>
      <c r="AL415" s="65">
        <v>160</v>
      </c>
      <c r="AM415" s="35">
        <f t="shared" si="900"/>
        <v>9.5625</v>
      </c>
      <c r="AN415" s="6">
        <f t="shared" si="901"/>
        <v>0.11038214406493067</v>
      </c>
      <c r="AO415" s="68">
        <v>0</v>
      </c>
      <c r="AP415" s="66">
        <v>0</v>
      </c>
      <c r="AQ415" s="35" t="e">
        <f t="shared" si="902"/>
        <v>#DIV/0!</v>
      </c>
      <c r="AR415" s="6" t="e">
        <f t="shared" si="903"/>
        <v>#DIV/0!</v>
      </c>
      <c r="AS415" s="68">
        <v>0</v>
      </c>
      <c r="AT415" s="66">
        <v>0</v>
      </c>
      <c r="AU415" s="35" t="e">
        <f t="shared" si="904"/>
        <v>#DIV/0!</v>
      </c>
      <c r="AV415" s="6" t="e">
        <f t="shared" si="905"/>
        <v>#DIV/0!</v>
      </c>
      <c r="AW415" s="68">
        <v>0</v>
      </c>
      <c r="AX415" s="66">
        <v>0</v>
      </c>
      <c r="AY415" s="35" t="e">
        <f t="shared" si="906"/>
        <v>#DIV/0!</v>
      </c>
      <c r="AZ415" s="6" t="e">
        <f t="shared" si="907"/>
        <v>#DIV/0!</v>
      </c>
      <c r="BA415" s="68">
        <v>0</v>
      </c>
      <c r="BB415" s="66">
        <v>0</v>
      </c>
      <c r="BC415" s="35" t="e">
        <f t="shared" si="908"/>
        <v>#DIV/0!</v>
      </c>
      <c r="BD415" s="11" t="e">
        <f t="shared" si="909"/>
        <v>#DIV/0!</v>
      </c>
    </row>
    <row r="416" spans="1:56" ht="15.75" thickBot="1" x14ac:dyDescent="0.3">
      <c r="A416" s="19" t="s">
        <v>4</v>
      </c>
      <c r="B416" s="8">
        <v>110630</v>
      </c>
      <c r="C416" s="35">
        <f>B416/F409</f>
        <v>108.037109375</v>
      </c>
      <c r="D416" s="8">
        <v>5250</v>
      </c>
      <c r="E416" s="68">
        <v>0</v>
      </c>
      <c r="F416" s="70">
        <v>0</v>
      </c>
      <c r="G416" s="35" t="e">
        <f t="shared" si="884"/>
        <v>#DIV/0!</v>
      </c>
      <c r="H416" s="11" t="e">
        <f t="shared" si="885"/>
        <v>#DIV/0!</v>
      </c>
      <c r="I416" s="35">
        <v>0</v>
      </c>
      <c r="J416" s="70">
        <v>0</v>
      </c>
      <c r="K416" s="35" t="e">
        <f t="shared" si="886"/>
        <v>#DIV/0!</v>
      </c>
      <c r="L416" s="6" t="e">
        <f t="shared" si="887"/>
        <v>#DIV/0!</v>
      </c>
      <c r="M416" s="68">
        <v>0</v>
      </c>
      <c r="N416" s="5">
        <v>0</v>
      </c>
      <c r="O416" s="35" t="e">
        <f t="shared" si="888"/>
        <v>#DIV/0!</v>
      </c>
      <c r="P416" s="11" t="e">
        <f t="shared" si="889"/>
        <v>#DIV/0!</v>
      </c>
      <c r="Q416" s="35">
        <v>0</v>
      </c>
      <c r="R416" s="66">
        <v>0</v>
      </c>
      <c r="S416" s="35" t="e">
        <f t="shared" si="890"/>
        <v>#DIV/0!</v>
      </c>
      <c r="T416" s="6" t="e">
        <f t="shared" si="891"/>
        <v>#DIV/0!</v>
      </c>
      <c r="U416" s="68">
        <v>0</v>
      </c>
      <c r="V416" s="66">
        <v>0</v>
      </c>
      <c r="W416" s="20" t="e">
        <f t="shared" si="892"/>
        <v>#DIV/0!</v>
      </c>
      <c r="X416" s="6" t="e">
        <f t="shared" si="893"/>
        <v>#DIV/0!</v>
      </c>
      <c r="Y416" s="68">
        <v>0</v>
      </c>
      <c r="Z416" s="70">
        <v>0</v>
      </c>
      <c r="AA416" s="35" t="e">
        <f t="shared" si="894"/>
        <v>#DIV/0!</v>
      </c>
      <c r="AB416" s="11" t="e">
        <f t="shared" si="895"/>
        <v>#DIV/0!</v>
      </c>
      <c r="AC416" s="20">
        <v>0</v>
      </c>
      <c r="AD416" s="36">
        <v>0</v>
      </c>
      <c r="AE416" s="35" t="e">
        <f t="shared" si="896"/>
        <v>#DIV/0!</v>
      </c>
      <c r="AF416" s="6" t="e">
        <f t="shared" si="897"/>
        <v>#DIV/0!</v>
      </c>
      <c r="AG416" s="68">
        <v>0</v>
      </c>
      <c r="AH416" s="66">
        <v>0</v>
      </c>
      <c r="AI416" s="35" t="e">
        <f t="shared" si="898"/>
        <v>#DIV/0!</v>
      </c>
      <c r="AJ416" s="6" t="e">
        <f t="shared" si="899"/>
        <v>#DIV/0!</v>
      </c>
      <c r="AK416" s="68">
        <v>1810</v>
      </c>
      <c r="AL416" s="65">
        <v>160</v>
      </c>
      <c r="AM416" s="35">
        <f t="shared" si="900"/>
        <v>11.3125</v>
      </c>
      <c r="AN416" s="6">
        <f t="shared" si="901"/>
        <v>0.10470939166591341</v>
      </c>
      <c r="AO416" s="68">
        <v>0</v>
      </c>
      <c r="AP416" s="66">
        <v>0</v>
      </c>
      <c r="AQ416" s="35" t="e">
        <f t="shared" si="902"/>
        <v>#DIV/0!</v>
      </c>
      <c r="AR416" s="6" t="e">
        <f t="shared" si="903"/>
        <v>#DIV/0!</v>
      </c>
      <c r="AS416" s="68">
        <v>0</v>
      </c>
      <c r="AT416" s="66">
        <v>0</v>
      </c>
      <c r="AU416" s="35" t="e">
        <f t="shared" si="904"/>
        <v>#DIV/0!</v>
      </c>
      <c r="AV416" s="6" t="e">
        <f t="shared" si="905"/>
        <v>#DIV/0!</v>
      </c>
      <c r="AW416" s="68">
        <v>0</v>
      </c>
      <c r="AX416" s="66">
        <v>0</v>
      </c>
      <c r="AY416" s="35" t="e">
        <f t="shared" si="906"/>
        <v>#DIV/0!</v>
      </c>
      <c r="AZ416" s="6" t="e">
        <f t="shared" si="907"/>
        <v>#DIV/0!</v>
      </c>
      <c r="BA416" s="68">
        <v>0</v>
      </c>
      <c r="BB416" s="66">
        <v>0</v>
      </c>
      <c r="BC416" s="35" t="e">
        <f t="shared" si="908"/>
        <v>#DIV/0!</v>
      </c>
      <c r="BD416" s="11" t="e">
        <f t="shared" si="909"/>
        <v>#DIV/0!</v>
      </c>
    </row>
    <row r="417" spans="1:56" ht="15.75" thickBot="1" x14ac:dyDescent="0.3">
      <c r="A417" s="19" t="s">
        <v>5</v>
      </c>
      <c r="B417" s="8">
        <v>145880</v>
      </c>
      <c r="C417" s="35">
        <f>B417/F409</f>
        <v>142.4609375</v>
      </c>
      <c r="D417" s="8">
        <v>7050</v>
      </c>
      <c r="E417" s="68">
        <v>0</v>
      </c>
      <c r="F417" s="70">
        <v>0</v>
      </c>
      <c r="G417" s="35" t="e">
        <f t="shared" si="884"/>
        <v>#DIV/0!</v>
      </c>
      <c r="H417" s="11" t="e">
        <f t="shared" si="885"/>
        <v>#DIV/0!</v>
      </c>
      <c r="I417" s="35">
        <v>0</v>
      </c>
      <c r="J417" s="70">
        <v>0</v>
      </c>
      <c r="K417" s="35" t="e">
        <f t="shared" si="886"/>
        <v>#DIV/0!</v>
      </c>
      <c r="L417" s="6" t="e">
        <f t="shared" si="887"/>
        <v>#DIV/0!</v>
      </c>
      <c r="M417" s="68">
        <v>0</v>
      </c>
      <c r="N417" s="5">
        <v>0</v>
      </c>
      <c r="O417" s="35" t="e">
        <f t="shared" si="888"/>
        <v>#DIV/0!</v>
      </c>
      <c r="P417" s="11" t="e">
        <f t="shared" si="889"/>
        <v>#DIV/0!</v>
      </c>
      <c r="Q417" s="35">
        <v>0</v>
      </c>
      <c r="R417" s="66">
        <v>0</v>
      </c>
      <c r="S417" s="35" t="e">
        <f t="shared" si="890"/>
        <v>#DIV/0!</v>
      </c>
      <c r="T417" s="6" t="e">
        <f t="shared" si="891"/>
        <v>#DIV/0!</v>
      </c>
      <c r="U417" s="68">
        <v>0</v>
      </c>
      <c r="V417" s="66">
        <v>0</v>
      </c>
      <c r="W417" s="20" t="e">
        <f t="shared" si="892"/>
        <v>#DIV/0!</v>
      </c>
      <c r="X417" s="6" t="e">
        <f t="shared" si="893"/>
        <v>#DIV/0!</v>
      </c>
      <c r="Y417" s="68">
        <v>0</v>
      </c>
      <c r="Z417" s="70">
        <v>0</v>
      </c>
      <c r="AA417" s="35" t="e">
        <f t="shared" si="894"/>
        <v>#DIV/0!</v>
      </c>
      <c r="AB417" s="11" t="e">
        <f t="shared" si="895"/>
        <v>#DIV/0!</v>
      </c>
      <c r="AC417" s="20">
        <v>0</v>
      </c>
      <c r="AD417" s="36">
        <v>0</v>
      </c>
      <c r="AE417" s="35" t="e">
        <f t="shared" si="896"/>
        <v>#DIV/0!</v>
      </c>
      <c r="AF417" s="6" t="e">
        <f t="shared" si="897"/>
        <v>#DIV/0!</v>
      </c>
      <c r="AG417" s="68">
        <v>0</v>
      </c>
      <c r="AH417" s="66">
        <v>0</v>
      </c>
      <c r="AI417" s="35" t="e">
        <f t="shared" si="898"/>
        <v>#DIV/0!</v>
      </c>
      <c r="AJ417" s="6" t="e">
        <f t="shared" si="899"/>
        <v>#DIV/0!</v>
      </c>
      <c r="AK417" s="68">
        <v>2000</v>
      </c>
      <c r="AL417" s="65">
        <v>160</v>
      </c>
      <c r="AM417" s="35">
        <f t="shared" si="900"/>
        <v>12.5</v>
      </c>
      <c r="AN417" s="6">
        <f t="shared" si="901"/>
        <v>8.7743350699204831E-2</v>
      </c>
      <c r="AO417" s="68">
        <v>0</v>
      </c>
      <c r="AP417" s="66">
        <v>0</v>
      </c>
      <c r="AQ417" s="35" t="e">
        <f t="shared" si="902"/>
        <v>#DIV/0!</v>
      </c>
      <c r="AR417" s="6" t="e">
        <f t="shared" si="903"/>
        <v>#DIV/0!</v>
      </c>
      <c r="AS417" s="68">
        <v>0</v>
      </c>
      <c r="AT417" s="66">
        <v>0</v>
      </c>
      <c r="AU417" s="35" t="e">
        <f t="shared" si="904"/>
        <v>#DIV/0!</v>
      </c>
      <c r="AV417" s="6" t="e">
        <f t="shared" si="905"/>
        <v>#DIV/0!</v>
      </c>
      <c r="AW417" s="68">
        <v>0</v>
      </c>
      <c r="AX417" s="66">
        <v>0</v>
      </c>
      <c r="AY417" s="35" t="e">
        <f t="shared" si="906"/>
        <v>#DIV/0!</v>
      </c>
      <c r="AZ417" s="6" t="e">
        <f t="shared" si="907"/>
        <v>#DIV/0!</v>
      </c>
      <c r="BA417" s="68">
        <v>0</v>
      </c>
      <c r="BB417" s="66">
        <v>0</v>
      </c>
      <c r="BC417" s="35" t="e">
        <f t="shared" si="908"/>
        <v>#DIV/0!</v>
      </c>
      <c r="BD417" s="11" t="e">
        <f t="shared" si="909"/>
        <v>#DIV/0!</v>
      </c>
    </row>
    <row r="418" spans="1:56" x14ac:dyDescent="0.25">
      <c r="A418" s="19" t="s">
        <v>6</v>
      </c>
      <c r="B418" s="8">
        <v>167760</v>
      </c>
      <c r="C418" s="35">
        <f>B418/F409</f>
        <v>163.828125</v>
      </c>
      <c r="D418" s="8">
        <v>10950</v>
      </c>
      <c r="E418" s="68">
        <v>0</v>
      </c>
      <c r="F418" s="70">
        <v>0</v>
      </c>
      <c r="G418" s="35" t="e">
        <f t="shared" si="884"/>
        <v>#DIV/0!</v>
      </c>
      <c r="H418" s="11" t="e">
        <f t="shared" si="885"/>
        <v>#DIV/0!</v>
      </c>
      <c r="I418" s="35">
        <v>0</v>
      </c>
      <c r="J418" s="70">
        <v>0</v>
      </c>
      <c r="K418" s="35" t="e">
        <f t="shared" si="886"/>
        <v>#DIV/0!</v>
      </c>
      <c r="L418" s="6" t="e">
        <f t="shared" si="887"/>
        <v>#DIV/0!</v>
      </c>
      <c r="M418" s="68">
        <v>0</v>
      </c>
      <c r="N418" s="5">
        <v>0</v>
      </c>
      <c r="O418" s="35" t="e">
        <f t="shared" si="888"/>
        <v>#DIV/0!</v>
      </c>
      <c r="P418" s="11" t="e">
        <f t="shared" si="889"/>
        <v>#DIV/0!</v>
      </c>
      <c r="Q418" s="35">
        <v>0</v>
      </c>
      <c r="R418" s="66">
        <v>0</v>
      </c>
      <c r="S418" s="35" t="e">
        <f t="shared" si="890"/>
        <v>#DIV/0!</v>
      </c>
      <c r="T418" s="6" t="e">
        <f t="shared" si="891"/>
        <v>#DIV/0!</v>
      </c>
      <c r="U418" s="68">
        <v>0</v>
      </c>
      <c r="V418" s="66">
        <v>0</v>
      </c>
      <c r="W418" s="20" t="e">
        <f t="shared" si="892"/>
        <v>#DIV/0!</v>
      </c>
      <c r="X418" s="6" t="e">
        <f t="shared" si="893"/>
        <v>#DIV/0!</v>
      </c>
      <c r="Y418" s="68">
        <v>0</v>
      </c>
      <c r="Z418" s="70">
        <v>0</v>
      </c>
      <c r="AA418" s="35" t="e">
        <f t="shared" si="894"/>
        <v>#DIV/0!</v>
      </c>
      <c r="AB418" s="11" t="e">
        <f t="shared" si="895"/>
        <v>#DIV/0!</v>
      </c>
      <c r="AC418" s="20">
        <v>0</v>
      </c>
      <c r="AD418" s="36">
        <v>0</v>
      </c>
      <c r="AE418" s="35" t="e">
        <f t="shared" si="896"/>
        <v>#DIV/0!</v>
      </c>
      <c r="AF418" s="6" t="e">
        <f t="shared" si="897"/>
        <v>#DIV/0!</v>
      </c>
      <c r="AG418" s="68">
        <v>0</v>
      </c>
      <c r="AH418" s="66">
        <v>0</v>
      </c>
      <c r="AI418" s="35" t="e">
        <f t="shared" si="898"/>
        <v>#DIV/0!</v>
      </c>
      <c r="AJ418" s="6" t="e">
        <f t="shared" si="899"/>
        <v>#DIV/0!</v>
      </c>
      <c r="AK418" s="68">
        <v>2230</v>
      </c>
      <c r="AL418" s="65">
        <v>160</v>
      </c>
      <c r="AM418" s="35">
        <f t="shared" si="900"/>
        <v>13.9375</v>
      </c>
      <c r="AN418" s="6">
        <f t="shared" si="901"/>
        <v>8.5073915116833571E-2</v>
      </c>
      <c r="AO418" s="68">
        <v>0</v>
      </c>
      <c r="AP418" s="66">
        <v>0</v>
      </c>
      <c r="AQ418" s="35" t="e">
        <f t="shared" si="902"/>
        <v>#DIV/0!</v>
      </c>
      <c r="AR418" s="6" t="e">
        <f t="shared" si="903"/>
        <v>#DIV/0!</v>
      </c>
      <c r="AS418" s="68">
        <v>0</v>
      </c>
      <c r="AT418" s="66">
        <v>0</v>
      </c>
      <c r="AU418" s="35" t="e">
        <f t="shared" si="904"/>
        <v>#DIV/0!</v>
      </c>
      <c r="AV418" s="6" t="e">
        <f t="shared" si="905"/>
        <v>#DIV/0!</v>
      </c>
      <c r="AW418" s="68">
        <v>0</v>
      </c>
      <c r="AX418" s="66">
        <v>0</v>
      </c>
      <c r="AY418" s="35" t="e">
        <f t="shared" si="906"/>
        <v>#DIV/0!</v>
      </c>
      <c r="AZ418" s="6" t="e">
        <f t="shared" si="907"/>
        <v>#DIV/0!</v>
      </c>
      <c r="BA418" s="68">
        <v>0</v>
      </c>
      <c r="BB418" s="66">
        <v>0</v>
      </c>
      <c r="BC418" s="35" t="e">
        <f t="shared" si="908"/>
        <v>#DIV/0!</v>
      </c>
      <c r="BD418" s="11" t="e">
        <f t="shared" si="909"/>
        <v>#DIV/0!</v>
      </c>
    </row>
    <row r="419" spans="1:56" ht="15.75" thickBot="1" x14ac:dyDescent="0.3">
      <c r="A419" s="21"/>
      <c r="B419" s="22"/>
      <c r="C419" s="23">
        <f>AVERAGE(Table11031[MA $/Sq Ft])</f>
        <v>98.021763392857139</v>
      </c>
      <c r="D419" s="22">
        <f>AVERAGE(Table11031[Basic Allowance])</f>
        <v>4442.8571428571431</v>
      </c>
      <c r="E419" s="16"/>
      <c r="F419" s="22"/>
      <c r="G419" s="15"/>
      <c r="H419" s="24" t="e">
        <f>AVERAGE(Table11031[Bsmt % Base])</f>
        <v>#DIV/0!</v>
      </c>
      <c r="I419" s="15"/>
      <c r="J419" s="15"/>
      <c r="K419" s="15"/>
      <c r="L419" s="25" t="e">
        <f>AVERAGE(Table11031[[#Headers],[#Data],[UnfBsmt % Base]])</f>
        <v>#DIV/0!</v>
      </c>
      <c r="M419" s="44"/>
      <c r="N419" s="15"/>
      <c r="O419" s="23" t="e">
        <f>AVERAGE(Table11031[LowerVal/SqFt])</f>
        <v>#DIV/0!</v>
      </c>
      <c r="P419" s="24" t="e">
        <f>AVERAGE(Table11031[Lower % Base])</f>
        <v>#DIV/0!</v>
      </c>
      <c r="Q419" s="13"/>
      <c r="R419" s="13"/>
      <c r="S419" s="13"/>
      <c r="T419" s="25" t="e">
        <f>AVERAGE(Table11031[Unf Lower % Base])</f>
        <v>#DIV/0!</v>
      </c>
      <c r="U419" s="12"/>
      <c r="V419" s="13"/>
      <c r="W419" s="13"/>
      <c r="X419" s="25" t="e">
        <f>AVERAGE(Table11031[1/2 Story % Base])</f>
        <v>#DIV/0!</v>
      </c>
      <c r="Y419" s="12"/>
      <c r="Z419" s="13"/>
      <c r="AA419" s="13"/>
      <c r="AB419" s="24" t="e">
        <f>AVERAGE(Table11031[2nd Story % Base])</f>
        <v>#DIV/0!</v>
      </c>
      <c r="AC419" s="13"/>
      <c r="AD419" s="13"/>
      <c r="AE419" s="23" t="e">
        <f>AVERAGE(Table11031[AttGarVal/SqFt])</f>
        <v>#DIV/0!</v>
      </c>
      <c r="AF419" s="25" t="e">
        <f>AVERAGE(Table11031[Att Gar % Base])</f>
        <v>#DIV/0!</v>
      </c>
      <c r="AG419" s="12"/>
      <c r="AH419" s="13"/>
      <c r="AI419" s="13"/>
      <c r="AJ419" s="25" t="e">
        <f>AVERAGE(Table11031[Porch % Base])</f>
        <v>#DIV/0!</v>
      </c>
      <c r="AK419" s="12"/>
      <c r="AL419" s="13"/>
      <c r="AM419" s="13"/>
      <c r="AN419" s="25">
        <f>AVERAGE(Table11031[Cov Porch % Base])</f>
        <v>0.10696540291332372</v>
      </c>
      <c r="AO419" s="12"/>
      <c r="AP419" s="13"/>
      <c r="AQ419" s="13"/>
      <c r="AR419" s="25" t="e">
        <f>AVERAGE(Table11031[Deck % Base])</f>
        <v>#DIV/0!</v>
      </c>
      <c r="AS419" s="12"/>
      <c r="AT419" s="13"/>
      <c r="AU419" s="23" t="e">
        <f>AVERAGE(Table11031[CovDeckVal/SqFt])</f>
        <v>#DIV/0!</v>
      </c>
      <c r="AV419" s="25" t="e">
        <f>AVERAGE(Table11031[CovDeck % Base])</f>
        <v>#DIV/0!</v>
      </c>
      <c r="AW419" s="12"/>
      <c r="AX419" s="13"/>
      <c r="AY419" s="13"/>
      <c r="AZ419" s="25" t="e">
        <f>AVERAGE(Table11031[CarP % Base])</f>
        <v>#DIV/0!</v>
      </c>
      <c r="BA419" s="12"/>
      <c r="BB419" s="13"/>
      <c r="BC419" s="13"/>
      <c r="BD419" s="24" t="e">
        <f>AVERAGE(Table11031[EFP % Base])</f>
        <v>#DIV/0!</v>
      </c>
    </row>
    <row r="421" spans="1:56" ht="15.75" thickBot="1" x14ac:dyDescent="0.3">
      <c r="A421" s="82"/>
      <c r="B421" t="s">
        <v>79</v>
      </c>
      <c r="C421" s="78" t="s">
        <v>124</v>
      </c>
      <c r="E421" t="s">
        <v>33</v>
      </c>
      <c r="F421" s="79">
        <v>1536</v>
      </c>
      <c r="H421" t="s">
        <v>80</v>
      </c>
      <c r="I421" t="s">
        <v>134</v>
      </c>
    </row>
    <row r="422" spans="1:56" x14ac:dyDescent="0.25">
      <c r="A422" s="112"/>
      <c r="B422" s="113"/>
      <c r="C422" s="113"/>
      <c r="D422" s="114"/>
      <c r="E422" s="115" t="s">
        <v>27</v>
      </c>
      <c r="F422" s="116"/>
      <c r="G422" s="116"/>
      <c r="H422" s="117"/>
      <c r="I422" s="118" t="s">
        <v>28</v>
      </c>
      <c r="J422" s="119"/>
      <c r="K422" s="119"/>
      <c r="L422" s="120"/>
      <c r="M422" s="121" t="s">
        <v>7</v>
      </c>
      <c r="N422" s="122"/>
      <c r="O422" s="122"/>
      <c r="P422" s="123"/>
      <c r="Q422" s="124" t="s">
        <v>29</v>
      </c>
      <c r="R422" s="125"/>
      <c r="S422" s="125"/>
      <c r="T422" s="126"/>
      <c r="U422" s="127" t="s">
        <v>8</v>
      </c>
      <c r="V422" s="128"/>
      <c r="W422" s="128"/>
      <c r="X422" s="129"/>
      <c r="Y422" s="130" t="s">
        <v>0</v>
      </c>
      <c r="Z422" s="131"/>
      <c r="AA422" s="131"/>
      <c r="AB422" s="132"/>
      <c r="AC422" s="133" t="s">
        <v>34</v>
      </c>
      <c r="AD422" s="134"/>
      <c r="AE422" s="134"/>
      <c r="AF422" s="135"/>
      <c r="AG422" s="115" t="s">
        <v>9</v>
      </c>
      <c r="AH422" s="116"/>
      <c r="AI422" s="116"/>
      <c r="AJ422" s="117"/>
      <c r="AK422" s="136" t="s">
        <v>35</v>
      </c>
      <c r="AL422" s="137"/>
      <c r="AM422" s="137"/>
      <c r="AN422" s="138"/>
      <c r="AO422" s="139" t="s">
        <v>10</v>
      </c>
      <c r="AP422" s="140"/>
      <c r="AQ422" s="140"/>
      <c r="AR422" s="141"/>
      <c r="AS422" s="124" t="s">
        <v>36</v>
      </c>
      <c r="AT422" s="125"/>
      <c r="AU422" s="125"/>
      <c r="AV422" s="126"/>
      <c r="AW422" s="142" t="s">
        <v>11</v>
      </c>
      <c r="AX422" s="143"/>
      <c r="AY422" s="143"/>
      <c r="AZ422" s="144"/>
      <c r="BA422" s="148" t="s">
        <v>17</v>
      </c>
      <c r="BB422" s="149"/>
      <c r="BC422" s="149"/>
      <c r="BD422" s="150"/>
    </row>
    <row r="423" spans="1:56" s="1" customFormat="1" ht="15.75" thickBot="1" x14ac:dyDescent="0.3">
      <c r="A423" s="41" t="s">
        <v>13</v>
      </c>
      <c r="B423" s="42" t="s">
        <v>15</v>
      </c>
      <c r="C423" s="42" t="s">
        <v>32</v>
      </c>
      <c r="D423" s="43" t="s">
        <v>18</v>
      </c>
      <c r="E423" s="30" t="s">
        <v>30</v>
      </c>
      <c r="F423" s="31" t="s">
        <v>61</v>
      </c>
      <c r="G423" s="31" t="s">
        <v>38</v>
      </c>
      <c r="H423" s="32" t="s">
        <v>62</v>
      </c>
      <c r="I423" s="37" t="s">
        <v>31</v>
      </c>
      <c r="J423" s="38" t="s">
        <v>39</v>
      </c>
      <c r="K423" s="38" t="s">
        <v>40</v>
      </c>
      <c r="L423" s="39" t="s">
        <v>63</v>
      </c>
      <c r="M423" s="40" t="s">
        <v>19</v>
      </c>
      <c r="N423" s="7" t="s">
        <v>41</v>
      </c>
      <c r="O423" s="7" t="s">
        <v>37</v>
      </c>
      <c r="P423" s="7" t="s">
        <v>64</v>
      </c>
      <c r="Q423" s="27" t="s">
        <v>20</v>
      </c>
      <c r="R423" s="28" t="s">
        <v>60</v>
      </c>
      <c r="S423" s="28" t="s">
        <v>59</v>
      </c>
      <c r="T423" s="29" t="s">
        <v>65</v>
      </c>
      <c r="U423" s="48" t="s">
        <v>21</v>
      </c>
      <c r="V423" s="48" t="s">
        <v>42</v>
      </c>
      <c r="W423" s="48" t="s">
        <v>43</v>
      </c>
      <c r="X423" s="49" t="s">
        <v>66</v>
      </c>
      <c r="Y423" s="50" t="s">
        <v>22</v>
      </c>
      <c r="Z423" s="51" t="s">
        <v>44</v>
      </c>
      <c r="AA423" s="51" t="s">
        <v>45</v>
      </c>
      <c r="AB423" s="52" t="s">
        <v>67</v>
      </c>
      <c r="AC423" s="45" t="s">
        <v>23</v>
      </c>
      <c r="AD423" s="46" t="s">
        <v>46</v>
      </c>
      <c r="AE423" s="46" t="s">
        <v>47</v>
      </c>
      <c r="AF423" s="47" t="s">
        <v>68</v>
      </c>
      <c r="AG423" s="30" t="s">
        <v>24</v>
      </c>
      <c r="AH423" s="31" t="s">
        <v>48</v>
      </c>
      <c r="AI423" s="31" t="s">
        <v>49</v>
      </c>
      <c r="AJ423" s="32" t="s">
        <v>69</v>
      </c>
      <c r="AK423" s="53" t="s">
        <v>25</v>
      </c>
      <c r="AL423" s="54" t="s">
        <v>50</v>
      </c>
      <c r="AM423" s="54" t="s">
        <v>51</v>
      </c>
      <c r="AN423" s="55" t="s">
        <v>70</v>
      </c>
      <c r="AO423" s="56" t="s">
        <v>26</v>
      </c>
      <c r="AP423" s="57" t="s">
        <v>52</v>
      </c>
      <c r="AQ423" s="57" t="s">
        <v>53</v>
      </c>
      <c r="AR423" s="58" t="s">
        <v>71</v>
      </c>
      <c r="AS423" s="59" t="s">
        <v>55</v>
      </c>
      <c r="AT423" s="60" t="s">
        <v>54</v>
      </c>
      <c r="AU423" s="60" t="s">
        <v>56</v>
      </c>
      <c r="AV423" s="61" t="s">
        <v>76</v>
      </c>
      <c r="AW423" s="62" t="s">
        <v>72</v>
      </c>
      <c r="AX423" s="63" t="s">
        <v>73</v>
      </c>
      <c r="AY423" s="63" t="s">
        <v>74</v>
      </c>
      <c r="AZ423" s="64" t="s">
        <v>75</v>
      </c>
      <c r="BA423" s="71" t="s">
        <v>77</v>
      </c>
      <c r="BB423" s="72" t="s">
        <v>57</v>
      </c>
      <c r="BC423" s="72" t="s">
        <v>58</v>
      </c>
      <c r="BD423" s="73" t="s">
        <v>78</v>
      </c>
    </row>
    <row r="424" spans="1:56" ht="15.75" thickBot="1" x14ac:dyDescent="0.3">
      <c r="A424" s="17" t="s">
        <v>1</v>
      </c>
      <c r="B424" s="14">
        <v>75150</v>
      </c>
      <c r="C424" s="34">
        <f>B424/F421</f>
        <v>48.92578125</v>
      </c>
      <c r="D424" s="14">
        <v>1525</v>
      </c>
      <c r="E424" s="67">
        <v>0</v>
      </c>
      <c r="F424" s="69">
        <v>0</v>
      </c>
      <c r="G424" s="34" t="e">
        <f t="shared" ref="G424:G430" si="910">E424/F424</f>
        <v>#DIV/0!</v>
      </c>
      <c r="H424" s="10" t="e">
        <f t="shared" ref="H424:H430" si="911">G424/C424</f>
        <v>#DIV/0!</v>
      </c>
      <c r="I424" s="34">
        <v>0</v>
      </c>
      <c r="J424" s="69">
        <v>0</v>
      </c>
      <c r="K424" s="34" t="e">
        <f t="shared" ref="K424:K430" si="912">I424/J424</f>
        <v>#DIV/0!</v>
      </c>
      <c r="L424" s="9" t="e">
        <f t="shared" ref="L424:L430" si="913">K424/C424</f>
        <v>#DIV/0!</v>
      </c>
      <c r="M424" s="67">
        <v>0</v>
      </c>
      <c r="N424" s="26">
        <v>0</v>
      </c>
      <c r="O424" s="34" t="e">
        <f t="shared" ref="O424:O430" si="914">M424/N424</f>
        <v>#DIV/0!</v>
      </c>
      <c r="P424" s="10" t="e">
        <f t="shared" ref="P424:P430" si="915">O424/C424</f>
        <v>#DIV/0!</v>
      </c>
      <c r="Q424" s="35">
        <v>0</v>
      </c>
      <c r="R424" s="66">
        <v>0</v>
      </c>
      <c r="S424" s="35" t="e">
        <f t="shared" ref="S424:S430" si="916">Q424/R424</f>
        <v>#DIV/0!</v>
      </c>
      <c r="T424" s="6" t="e">
        <f t="shared" ref="T424:T430" si="917">S424/C424</f>
        <v>#DIV/0!</v>
      </c>
      <c r="U424" s="67">
        <v>0</v>
      </c>
      <c r="V424" s="65">
        <v>0</v>
      </c>
      <c r="W424" s="18" t="e">
        <f t="shared" ref="W424:W430" si="918">U424/V424</f>
        <v>#DIV/0!</v>
      </c>
      <c r="X424" s="9" t="e">
        <f t="shared" ref="X424:X430" si="919">W424/C424</f>
        <v>#DIV/0!</v>
      </c>
      <c r="Y424" s="67">
        <v>0</v>
      </c>
      <c r="Z424" s="69">
        <v>0</v>
      </c>
      <c r="AA424" s="34" t="e">
        <f t="shared" ref="AA424:AA430" si="920">Y424/Z424</f>
        <v>#DIV/0!</v>
      </c>
      <c r="AB424" s="10" t="e">
        <f t="shared" ref="AB424:AB430" si="921">AA424/C424</f>
        <v>#DIV/0!</v>
      </c>
      <c r="AC424" s="18">
        <v>0</v>
      </c>
      <c r="AD424" s="33">
        <v>0</v>
      </c>
      <c r="AE424" s="34" t="e">
        <f t="shared" ref="AE424:AE430" si="922">AC424/AD424</f>
        <v>#DIV/0!</v>
      </c>
      <c r="AF424" s="9" t="e">
        <f t="shared" ref="AF424:AF430" si="923">AE424/C424</f>
        <v>#DIV/0!</v>
      </c>
      <c r="AG424" s="67">
        <v>0</v>
      </c>
      <c r="AH424" s="65">
        <v>0</v>
      </c>
      <c r="AI424" s="34" t="e">
        <f t="shared" ref="AI424:AI430" si="924">AG424/AH424</f>
        <v>#DIV/0!</v>
      </c>
      <c r="AJ424" s="9" t="e">
        <f t="shared" ref="AJ424:AJ430" si="925">AI424/C424</f>
        <v>#DIV/0!</v>
      </c>
      <c r="AK424" s="67">
        <v>410</v>
      </c>
      <c r="AL424" s="65">
        <v>48</v>
      </c>
      <c r="AM424" s="34">
        <f t="shared" ref="AM424:AM430" si="926">AK424/AL424</f>
        <v>8.5416666666666661</v>
      </c>
      <c r="AN424" s="9">
        <f t="shared" ref="AN424:AN430" si="927">AM424/C424</f>
        <v>0.17458416500332666</v>
      </c>
      <c r="AO424" s="67">
        <v>0</v>
      </c>
      <c r="AP424" s="65">
        <v>0</v>
      </c>
      <c r="AQ424" s="34" t="e">
        <f t="shared" ref="AQ424:AQ430" si="928">AO424/AP424</f>
        <v>#DIV/0!</v>
      </c>
      <c r="AR424" s="9" t="e">
        <f t="shared" ref="AR424:AR430" si="929">AQ424/C424</f>
        <v>#DIV/0!</v>
      </c>
      <c r="AS424" s="67">
        <v>0</v>
      </c>
      <c r="AT424" s="65">
        <v>0</v>
      </c>
      <c r="AU424" s="34" t="e">
        <f t="shared" ref="AU424:AU430" si="930">AS424/AT424</f>
        <v>#DIV/0!</v>
      </c>
      <c r="AV424" s="9" t="e">
        <f t="shared" ref="AV424:AV430" si="931">AU424/C424</f>
        <v>#DIV/0!</v>
      </c>
      <c r="AW424" s="67">
        <v>0</v>
      </c>
      <c r="AX424" s="65">
        <v>0</v>
      </c>
      <c r="AY424" s="34" t="e">
        <f t="shared" ref="AY424:AY430" si="932">AW424/AX424</f>
        <v>#DIV/0!</v>
      </c>
      <c r="AZ424" s="9" t="e">
        <f t="shared" ref="AZ424:AZ430" si="933">AY424/C424</f>
        <v>#DIV/0!</v>
      </c>
      <c r="BA424" s="67">
        <v>0</v>
      </c>
      <c r="BB424" s="65">
        <v>0</v>
      </c>
      <c r="BC424" s="34" t="e">
        <f t="shared" ref="BC424:BC430" si="934">BA424/BB424</f>
        <v>#DIV/0!</v>
      </c>
      <c r="BD424" s="10" t="e">
        <f t="shared" ref="BD424:BD430" si="935">BC424/C424</f>
        <v>#DIV/0!</v>
      </c>
    </row>
    <row r="425" spans="1:56" ht="15.75" thickBot="1" x14ac:dyDescent="0.3">
      <c r="A425" s="19" t="s">
        <v>16</v>
      </c>
      <c r="B425" s="8">
        <v>88420</v>
      </c>
      <c r="C425" s="35">
        <f>B425/F421</f>
        <v>57.565104166666664</v>
      </c>
      <c r="D425" s="8">
        <v>1525</v>
      </c>
      <c r="E425" s="68">
        <v>0</v>
      </c>
      <c r="F425" s="70">
        <v>0</v>
      </c>
      <c r="G425" s="35" t="e">
        <f t="shared" si="910"/>
        <v>#DIV/0!</v>
      </c>
      <c r="H425" s="11" t="e">
        <f t="shared" si="911"/>
        <v>#DIV/0!</v>
      </c>
      <c r="I425" s="35">
        <v>0</v>
      </c>
      <c r="J425" s="70">
        <v>0</v>
      </c>
      <c r="K425" s="35" t="e">
        <f t="shared" si="912"/>
        <v>#DIV/0!</v>
      </c>
      <c r="L425" s="6" t="e">
        <f t="shared" si="913"/>
        <v>#DIV/0!</v>
      </c>
      <c r="M425" s="68">
        <v>0</v>
      </c>
      <c r="N425" s="5">
        <v>0</v>
      </c>
      <c r="O425" s="35" t="e">
        <f t="shared" si="914"/>
        <v>#DIV/0!</v>
      </c>
      <c r="P425" s="11" t="e">
        <f t="shared" si="915"/>
        <v>#DIV/0!</v>
      </c>
      <c r="Q425" s="35">
        <v>0</v>
      </c>
      <c r="R425" s="66">
        <v>0</v>
      </c>
      <c r="S425" s="35" t="e">
        <f t="shared" si="916"/>
        <v>#DIV/0!</v>
      </c>
      <c r="T425" s="6" t="e">
        <f t="shared" si="917"/>
        <v>#DIV/0!</v>
      </c>
      <c r="U425" s="68">
        <v>0</v>
      </c>
      <c r="V425" s="66">
        <v>0</v>
      </c>
      <c r="W425" s="20" t="e">
        <f t="shared" si="918"/>
        <v>#DIV/0!</v>
      </c>
      <c r="X425" s="6" t="e">
        <f t="shared" si="919"/>
        <v>#DIV/0!</v>
      </c>
      <c r="Y425" s="68">
        <v>0</v>
      </c>
      <c r="Z425" s="70">
        <v>0</v>
      </c>
      <c r="AA425" s="35" t="e">
        <f t="shared" si="920"/>
        <v>#DIV/0!</v>
      </c>
      <c r="AB425" s="11" t="e">
        <f t="shared" si="921"/>
        <v>#DIV/0!</v>
      </c>
      <c r="AC425" s="20">
        <v>0</v>
      </c>
      <c r="AD425" s="36">
        <v>0</v>
      </c>
      <c r="AE425" s="35" t="e">
        <f t="shared" si="922"/>
        <v>#DIV/0!</v>
      </c>
      <c r="AF425" s="6" t="e">
        <f t="shared" si="923"/>
        <v>#DIV/0!</v>
      </c>
      <c r="AG425" s="68">
        <v>0</v>
      </c>
      <c r="AH425" s="66">
        <v>0</v>
      </c>
      <c r="AI425" s="35" t="e">
        <f t="shared" si="924"/>
        <v>#DIV/0!</v>
      </c>
      <c r="AJ425" s="6" t="e">
        <f t="shared" si="925"/>
        <v>#DIV/0!</v>
      </c>
      <c r="AK425" s="68">
        <v>560</v>
      </c>
      <c r="AL425" s="65">
        <v>48</v>
      </c>
      <c r="AM425" s="35">
        <f t="shared" si="926"/>
        <v>11.666666666666666</v>
      </c>
      <c r="AN425" s="6">
        <f t="shared" si="927"/>
        <v>0.2026690793938023</v>
      </c>
      <c r="AO425" s="68">
        <v>0</v>
      </c>
      <c r="AP425" s="66">
        <v>0</v>
      </c>
      <c r="AQ425" s="35" t="e">
        <f t="shared" si="928"/>
        <v>#DIV/0!</v>
      </c>
      <c r="AR425" s="6" t="e">
        <f t="shared" si="929"/>
        <v>#DIV/0!</v>
      </c>
      <c r="AS425" s="68">
        <v>0</v>
      </c>
      <c r="AT425" s="66">
        <v>0</v>
      </c>
      <c r="AU425" s="35" t="e">
        <f t="shared" si="930"/>
        <v>#DIV/0!</v>
      </c>
      <c r="AV425" s="6" t="e">
        <f t="shared" si="931"/>
        <v>#DIV/0!</v>
      </c>
      <c r="AW425" s="68">
        <v>0</v>
      </c>
      <c r="AX425" s="66">
        <v>0</v>
      </c>
      <c r="AY425" s="35" t="e">
        <f t="shared" si="932"/>
        <v>#DIV/0!</v>
      </c>
      <c r="AZ425" s="6" t="e">
        <f t="shared" si="933"/>
        <v>#DIV/0!</v>
      </c>
      <c r="BA425" s="68">
        <v>0</v>
      </c>
      <c r="BB425" s="66">
        <v>0</v>
      </c>
      <c r="BC425" s="35" t="e">
        <f t="shared" si="934"/>
        <v>#DIV/0!</v>
      </c>
      <c r="BD425" s="11" t="e">
        <f t="shared" si="935"/>
        <v>#DIV/0!</v>
      </c>
    </row>
    <row r="426" spans="1:56" ht="15.75" thickBot="1" x14ac:dyDescent="0.3">
      <c r="A426" s="19" t="s">
        <v>2</v>
      </c>
      <c r="B426" s="8">
        <v>103270</v>
      </c>
      <c r="C426" s="35">
        <f>B426/F421</f>
        <v>67.233072916666671</v>
      </c>
      <c r="D426" s="8">
        <v>2100</v>
      </c>
      <c r="E426" s="68">
        <v>0</v>
      </c>
      <c r="F426" s="70">
        <v>0</v>
      </c>
      <c r="G426" s="35" t="e">
        <f t="shared" si="910"/>
        <v>#DIV/0!</v>
      </c>
      <c r="H426" s="11" t="e">
        <f t="shared" si="911"/>
        <v>#DIV/0!</v>
      </c>
      <c r="I426" s="35">
        <v>0</v>
      </c>
      <c r="J426" s="70">
        <v>0</v>
      </c>
      <c r="K426" s="35" t="e">
        <f t="shared" si="912"/>
        <v>#DIV/0!</v>
      </c>
      <c r="L426" s="6" t="e">
        <f t="shared" si="913"/>
        <v>#DIV/0!</v>
      </c>
      <c r="M426" s="68">
        <v>0</v>
      </c>
      <c r="N426" s="5">
        <v>0</v>
      </c>
      <c r="O426" s="35" t="e">
        <f t="shared" si="914"/>
        <v>#DIV/0!</v>
      </c>
      <c r="P426" s="11" t="e">
        <f t="shared" si="915"/>
        <v>#DIV/0!</v>
      </c>
      <c r="Q426" s="35">
        <v>0</v>
      </c>
      <c r="R426" s="66">
        <v>0</v>
      </c>
      <c r="S426" s="35" t="e">
        <f t="shared" si="916"/>
        <v>#DIV/0!</v>
      </c>
      <c r="T426" s="6" t="e">
        <f t="shared" si="917"/>
        <v>#DIV/0!</v>
      </c>
      <c r="U426" s="68">
        <v>0</v>
      </c>
      <c r="V426" s="66">
        <v>0</v>
      </c>
      <c r="W426" s="20" t="e">
        <f t="shared" si="918"/>
        <v>#DIV/0!</v>
      </c>
      <c r="X426" s="6" t="e">
        <f t="shared" si="919"/>
        <v>#DIV/0!</v>
      </c>
      <c r="Y426" s="68">
        <v>0</v>
      </c>
      <c r="Z426" s="70">
        <v>0</v>
      </c>
      <c r="AA426" s="35" t="e">
        <f t="shared" si="920"/>
        <v>#DIV/0!</v>
      </c>
      <c r="AB426" s="11" t="e">
        <f t="shared" si="921"/>
        <v>#DIV/0!</v>
      </c>
      <c r="AC426" s="20">
        <v>0</v>
      </c>
      <c r="AD426" s="36">
        <v>0</v>
      </c>
      <c r="AE426" s="35" t="e">
        <f t="shared" si="922"/>
        <v>#DIV/0!</v>
      </c>
      <c r="AF426" s="6" t="e">
        <f t="shared" si="923"/>
        <v>#DIV/0!</v>
      </c>
      <c r="AG426" s="68">
        <v>0</v>
      </c>
      <c r="AH426" s="66">
        <v>0</v>
      </c>
      <c r="AI426" s="35" t="e">
        <f t="shared" si="924"/>
        <v>#DIV/0!</v>
      </c>
      <c r="AJ426" s="6" t="e">
        <f t="shared" si="925"/>
        <v>#DIV/0!</v>
      </c>
      <c r="AK426" s="68">
        <v>650</v>
      </c>
      <c r="AL426" s="65">
        <v>48</v>
      </c>
      <c r="AM426" s="35">
        <f t="shared" si="926"/>
        <v>13.541666666666666</v>
      </c>
      <c r="AN426" s="6">
        <f t="shared" si="927"/>
        <v>0.20141376972983438</v>
      </c>
      <c r="AO426" s="68">
        <v>0</v>
      </c>
      <c r="AP426" s="66">
        <v>0</v>
      </c>
      <c r="AQ426" s="35" t="e">
        <f t="shared" si="928"/>
        <v>#DIV/0!</v>
      </c>
      <c r="AR426" s="6" t="e">
        <f t="shared" si="929"/>
        <v>#DIV/0!</v>
      </c>
      <c r="AS426" s="68">
        <v>0</v>
      </c>
      <c r="AT426" s="66">
        <v>0</v>
      </c>
      <c r="AU426" s="35" t="e">
        <f t="shared" si="930"/>
        <v>#DIV/0!</v>
      </c>
      <c r="AV426" s="6" t="e">
        <f t="shared" si="931"/>
        <v>#DIV/0!</v>
      </c>
      <c r="AW426" s="68">
        <v>0</v>
      </c>
      <c r="AX426" s="66">
        <v>0</v>
      </c>
      <c r="AY426" s="35" t="e">
        <f t="shared" si="932"/>
        <v>#DIV/0!</v>
      </c>
      <c r="AZ426" s="6" t="e">
        <f t="shared" si="933"/>
        <v>#DIV/0!</v>
      </c>
      <c r="BA426" s="68">
        <v>0</v>
      </c>
      <c r="BB426" s="66">
        <v>0</v>
      </c>
      <c r="BC426" s="35" t="e">
        <f t="shared" si="934"/>
        <v>#DIV/0!</v>
      </c>
      <c r="BD426" s="11" t="e">
        <f t="shared" si="935"/>
        <v>#DIV/0!</v>
      </c>
    </row>
    <row r="427" spans="1:56" ht="15.75" thickBot="1" x14ac:dyDescent="0.3">
      <c r="A427" s="19" t="s">
        <v>3</v>
      </c>
      <c r="B427" s="8">
        <v>124970</v>
      </c>
      <c r="C427" s="35">
        <f>B427/F421</f>
        <v>81.360677083333329</v>
      </c>
      <c r="D427" s="8">
        <v>2700</v>
      </c>
      <c r="E427" s="68">
        <v>0</v>
      </c>
      <c r="F427" s="70">
        <v>0</v>
      </c>
      <c r="G427" s="35" t="e">
        <f t="shared" si="910"/>
        <v>#DIV/0!</v>
      </c>
      <c r="H427" s="11" t="e">
        <f t="shared" si="911"/>
        <v>#DIV/0!</v>
      </c>
      <c r="I427" s="35">
        <v>0</v>
      </c>
      <c r="J427" s="70">
        <v>0</v>
      </c>
      <c r="K427" s="35" t="e">
        <f t="shared" si="912"/>
        <v>#DIV/0!</v>
      </c>
      <c r="L427" s="6" t="e">
        <f t="shared" si="913"/>
        <v>#DIV/0!</v>
      </c>
      <c r="M427" s="68">
        <v>0</v>
      </c>
      <c r="N427" s="5">
        <v>0</v>
      </c>
      <c r="O427" s="35" t="e">
        <f t="shared" si="914"/>
        <v>#DIV/0!</v>
      </c>
      <c r="P427" s="11" t="e">
        <f t="shared" si="915"/>
        <v>#DIV/0!</v>
      </c>
      <c r="Q427" s="35">
        <v>0</v>
      </c>
      <c r="R427" s="66">
        <v>0</v>
      </c>
      <c r="S427" s="35" t="e">
        <f t="shared" si="916"/>
        <v>#DIV/0!</v>
      </c>
      <c r="T427" s="6" t="e">
        <f t="shared" si="917"/>
        <v>#DIV/0!</v>
      </c>
      <c r="U427" s="68">
        <v>0</v>
      </c>
      <c r="V427" s="66">
        <v>0</v>
      </c>
      <c r="W427" s="20" t="e">
        <f t="shared" si="918"/>
        <v>#DIV/0!</v>
      </c>
      <c r="X427" s="6" t="e">
        <f t="shared" si="919"/>
        <v>#DIV/0!</v>
      </c>
      <c r="Y427" s="68">
        <v>0</v>
      </c>
      <c r="Z427" s="70">
        <v>0</v>
      </c>
      <c r="AA427" s="35" t="e">
        <f t="shared" si="920"/>
        <v>#DIV/0!</v>
      </c>
      <c r="AB427" s="11" t="e">
        <f t="shared" si="921"/>
        <v>#DIV/0!</v>
      </c>
      <c r="AC427" s="20">
        <v>0</v>
      </c>
      <c r="AD427" s="36">
        <v>0</v>
      </c>
      <c r="AE427" s="35" t="e">
        <f t="shared" si="922"/>
        <v>#DIV/0!</v>
      </c>
      <c r="AF427" s="6" t="e">
        <f t="shared" si="923"/>
        <v>#DIV/0!</v>
      </c>
      <c r="AG427" s="68">
        <v>0</v>
      </c>
      <c r="AH427" s="66">
        <v>0</v>
      </c>
      <c r="AI427" s="35" t="e">
        <f t="shared" si="924"/>
        <v>#DIV/0!</v>
      </c>
      <c r="AJ427" s="6" t="e">
        <f t="shared" si="925"/>
        <v>#DIV/0!</v>
      </c>
      <c r="AK427" s="68">
        <v>860</v>
      </c>
      <c r="AL427" s="65">
        <v>48</v>
      </c>
      <c r="AM427" s="35">
        <f t="shared" si="926"/>
        <v>17.916666666666668</v>
      </c>
      <c r="AN427" s="6">
        <f t="shared" si="927"/>
        <v>0.22021285108426025</v>
      </c>
      <c r="AO427" s="68">
        <v>0</v>
      </c>
      <c r="AP427" s="66">
        <v>0</v>
      </c>
      <c r="AQ427" s="35" t="e">
        <f t="shared" si="928"/>
        <v>#DIV/0!</v>
      </c>
      <c r="AR427" s="6" t="e">
        <f t="shared" si="929"/>
        <v>#DIV/0!</v>
      </c>
      <c r="AS427" s="68">
        <v>0</v>
      </c>
      <c r="AT427" s="66">
        <v>0</v>
      </c>
      <c r="AU427" s="35" t="e">
        <f t="shared" si="930"/>
        <v>#DIV/0!</v>
      </c>
      <c r="AV427" s="6" t="e">
        <f t="shared" si="931"/>
        <v>#DIV/0!</v>
      </c>
      <c r="AW427" s="68">
        <v>0</v>
      </c>
      <c r="AX427" s="66">
        <v>0</v>
      </c>
      <c r="AY427" s="35" t="e">
        <f t="shared" si="932"/>
        <v>#DIV/0!</v>
      </c>
      <c r="AZ427" s="6" t="e">
        <f t="shared" si="933"/>
        <v>#DIV/0!</v>
      </c>
      <c r="BA427" s="68">
        <v>0</v>
      </c>
      <c r="BB427" s="66">
        <v>0</v>
      </c>
      <c r="BC427" s="35" t="e">
        <f t="shared" si="934"/>
        <v>#DIV/0!</v>
      </c>
      <c r="BD427" s="11" t="e">
        <f t="shared" si="935"/>
        <v>#DIV/0!</v>
      </c>
    </row>
    <row r="428" spans="1:56" ht="15.75" thickBot="1" x14ac:dyDescent="0.3">
      <c r="A428" s="19" t="s">
        <v>4</v>
      </c>
      <c r="B428" s="8">
        <v>155140</v>
      </c>
      <c r="C428" s="35">
        <f>B428/F421</f>
        <v>101.00260416666667</v>
      </c>
      <c r="D428" s="8">
        <v>5250</v>
      </c>
      <c r="E428" s="68">
        <v>0</v>
      </c>
      <c r="F428" s="70">
        <v>0</v>
      </c>
      <c r="G428" s="35" t="e">
        <f t="shared" si="910"/>
        <v>#DIV/0!</v>
      </c>
      <c r="H428" s="11" t="e">
        <f t="shared" si="911"/>
        <v>#DIV/0!</v>
      </c>
      <c r="I428" s="35">
        <v>0</v>
      </c>
      <c r="J428" s="70">
        <v>0</v>
      </c>
      <c r="K428" s="35" t="e">
        <f t="shared" si="912"/>
        <v>#DIV/0!</v>
      </c>
      <c r="L428" s="6" t="e">
        <f t="shared" si="913"/>
        <v>#DIV/0!</v>
      </c>
      <c r="M428" s="68">
        <v>0</v>
      </c>
      <c r="N428" s="5">
        <v>0</v>
      </c>
      <c r="O428" s="35" t="e">
        <f t="shared" si="914"/>
        <v>#DIV/0!</v>
      </c>
      <c r="P428" s="11" t="e">
        <f t="shared" si="915"/>
        <v>#DIV/0!</v>
      </c>
      <c r="Q428" s="35">
        <v>0</v>
      </c>
      <c r="R428" s="66">
        <v>0</v>
      </c>
      <c r="S428" s="35" t="e">
        <f t="shared" si="916"/>
        <v>#DIV/0!</v>
      </c>
      <c r="T428" s="6" t="e">
        <f t="shared" si="917"/>
        <v>#DIV/0!</v>
      </c>
      <c r="U428" s="68">
        <v>0</v>
      </c>
      <c r="V428" s="66">
        <v>0</v>
      </c>
      <c r="W428" s="20" t="e">
        <f t="shared" si="918"/>
        <v>#DIV/0!</v>
      </c>
      <c r="X428" s="6" t="e">
        <f t="shared" si="919"/>
        <v>#DIV/0!</v>
      </c>
      <c r="Y428" s="68">
        <v>0</v>
      </c>
      <c r="Z428" s="70">
        <v>0</v>
      </c>
      <c r="AA428" s="35" t="e">
        <f t="shared" si="920"/>
        <v>#DIV/0!</v>
      </c>
      <c r="AB428" s="11" t="e">
        <f t="shared" si="921"/>
        <v>#DIV/0!</v>
      </c>
      <c r="AC428" s="20">
        <v>0</v>
      </c>
      <c r="AD428" s="36">
        <v>0</v>
      </c>
      <c r="AE428" s="35" t="e">
        <f t="shared" si="922"/>
        <v>#DIV/0!</v>
      </c>
      <c r="AF428" s="6" t="e">
        <f t="shared" si="923"/>
        <v>#DIV/0!</v>
      </c>
      <c r="AG428" s="68">
        <v>0</v>
      </c>
      <c r="AH428" s="66">
        <v>0</v>
      </c>
      <c r="AI428" s="35" t="e">
        <f t="shared" si="924"/>
        <v>#DIV/0!</v>
      </c>
      <c r="AJ428" s="6" t="e">
        <f t="shared" si="925"/>
        <v>#DIV/0!</v>
      </c>
      <c r="AK428" s="68">
        <v>940</v>
      </c>
      <c r="AL428" s="65">
        <v>48</v>
      </c>
      <c r="AM428" s="35">
        <f t="shared" si="926"/>
        <v>19.583333333333332</v>
      </c>
      <c r="AN428" s="6">
        <f t="shared" si="927"/>
        <v>0.19388939022818097</v>
      </c>
      <c r="AO428" s="68">
        <v>0</v>
      </c>
      <c r="AP428" s="66">
        <v>0</v>
      </c>
      <c r="AQ428" s="35" t="e">
        <f t="shared" si="928"/>
        <v>#DIV/0!</v>
      </c>
      <c r="AR428" s="6" t="e">
        <f t="shared" si="929"/>
        <v>#DIV/0!</v>
      </c>
      <c r="AS428" s="68">
        <v>0</v>
      </c>
      <c r="AT428" s="66">
        <v>0</v>
      </c>
      <c r="AU428" s="35" t="e">
        <f t="shared" si="930"/>
        <v>#DIV/0!</v>
      </c>
      <c r="AV428" s="6" t="e">
        <f t="shared" si="931"/>
        <v>#DIV/0!</v>
      </c>
      <c r="AW428" s="68">
        <v>0</v>
      </c>
      <c r="AX428" s="66">
        <v>0</v>
      </c>
      <c r="AY428" s="35" t="e">
        <f t="shared" si="932"/>
        <v>#DIV/0!</v>
      </c>
      <c r="AZ428" s="6" t="e">
        <f t="shared" si="933"/>
        <v>#DIV/0!</v>
      </c>
      <c r="BA428" s="68">
        <v>0</v>
      </c>
      <c r="BB428" s="66">
        <v>0</v>
      </c>
      <c r="BC428" s="35" t="e">
        <f t="shared" si="934"/>
        <v>#DIV/0!</v>
      </c>
      <c r="BD428" s="11" t="e">
        <f t="shared" si="935"/>
        <v>#DIV/0!</v>
      </c>
    </row>
    <row r="429" spans="1:56" ht="15.75" thickBot="1" x14ac:dyDescent="0.3">
      <c r="A429" s="19" t="s">
        <v>5</v>
      </c>
      <c r="B429" s="8">
        <v>204730</v>
      </c>
      <c r="C429" s="35">
        <f>B429/F421</f>
        <v>133.28776041666666</v>
      </c>
      <c r="D429" s="8">
        <v>7050</v>
      </c>
      <c r="E429" s="68">
        <v>0</v>
      </c>
      <c r="F429" s="70">
        <v>0</v>
      </c>
      <c r="G429" s="35" t="e">
        <f t="shared" si="910"/>
        <v>#DIV/0!</v>
      </c>
      <c r="H429" s="11" t="e">
        <f t="shared" si="911"/>
        <v>#DIV/0!</v>
      </c>
      <c r="I429" s="35">
        <v>0</v>
      </c>
      <c r="J429" s="70">
        <v>0</v>
      </c>
      <c r="K429" s="35" t="e">
        <f t="shared" si="912"/>
        <v>#DIV/0!</v>
      </c>
      <c r="L429" s="6" t="e">
        <f t="shared" si="913"/>
        <v>#DIV/0!</v>
      </c>
      <c r="M429" s="68">
        <v>0</v>
      </c>
      <c r="N429" s="5">
        <v>0</v>
      </c>
      <c r="O429" s="35" t="e">
        <f t="shared" si="914"/>
        <v>#DIV/0!</v>
      </c>
      <c r="P429" s="11" t="e">
        <f t="shared" si="915"/>
        <v>#DIV/0!</v>
      </c>
      <c r="Q429" s="35">
        <v>0</v>
      </c>
      <c r="R429" s="66">
        <v>0</v>
      </c>
      <c r="S429" s="35" t="e">
        <f t="shared" si="916"/>
        <v>#DIV/0!</v>
      </c>
      <c r="T429" s="6" t="e">
        <f t="shared" si="917"/>
        <v>#DIV/0!</v>
      </c>
      <c r="U429" s="68">
        <v>0</v>
      </c>
      <c r="V429" s="66">
        <v>0</v>
      </c>
      <c r="W429" s="20" t="e">
        <f t="shared" si="918"/>
        <v>#DIV/0!</v>
      </c>
      <c r="X429" s="6" t="e">
        <f t="shared" si="919"/>
        <v>#DIV/0!</v>
      </c>
      <c r="Y429" s="68">
        <v>0</v>
      </c>
      <c r="Z429" s="70">
        <v>0</v>
      </c>
      <c r="AA429" s="35" t="e">
        <f t="shared" si="920"/>
        <v>#DIV/0!</v>
      </c>
      <c r="AB429" s="11" t="e">
        <f t="shared" si="921"/>
        <v>#DIV/0!</v>
      </c>
      <c r="AC429" s="20">
        <v>0</v>
      </c>
      <c r="AD429" s="36">
        <v>0</v>
      </c>
      <c r="AE429" s="35" t="e">
        <f t="shared" si="922"/>
        <v>#DIV/0!</v>
      </c>
      <c r="AF429" s="6" t="e">
        <f t="shared" si="923"/>
        <v>#DIV/0!</v>
      </c>
      <c r="AG429" s="68">
        <v>0</v>
      </c>
      <c r="AH429" s="66">
        <v>0</v>
      </c>
      <c r="AI429" s="35" t="e">
        <f t="shared" si="924"/>
        <v>#DIV/0!</v>
      </c>
      <c r="AJ429" s="6" t="e">
        <f t="shared" si="925"/>
        <v>#DIV/0!</v>
      </c>
      <c r="AK429" s="68">
        <v>1140</v>
      </c>
      <c r="AL429" s="65">
        <v>48</v>
      </c>
      <c r="AM429" s="35">
        <f t="shared" si="926"/>
        <v>23.75</v>
      </c>
      <c r="AN429" s="6">
        <f t="shared" si="927"/>
        <v>0.17818590338494603</v>
      </c>
      <c r="AO429" s="68">
        <v>0</v>
      </c>
      <c r="AP429" s="66">
        <v>0</v>
      </c>
      <c r="AQ429" s="35" t="e">
        <f t="shared" si="928"/>
        <v>#DIV/0!</v>
      </c>
      <c r="AR429" s="6" t="e">
        <f t="shared" si="929"/>
        <v>#DIV/0!</v>
      </c>
      <c r="AS429" s="68">
        <v>0</v>
      </c>
      <c r="AT429" s="66">
        <v>0</v>
      </c>
      <c r="AU429" s="35" t="e">
        <f t="shared" si="930"/>
        <v>#DIV/0!</v>
      </c>
      <c r="AV429" s="6" t="e">
        <f t="shared" si="931"/>
        <v>#DIV/0!</v>
      </c>
      <c r="AW429" s="68">
        <v>0</v>
      </c>
      <c r="AX429" s="66">
        <v>0</v>
      </c>
      <c r="AY429" s="35" t="e">
        <f t="shared" si="932"/>
        <v>#DIV/0!</v>
      </c>
      <c r="AZ429" s="6" t="e">
        <f t="shared" si="933"/>
        <v>#DIV/0!</v>
      </c>
      <c r="BA429" s="68">
        <v>0</v>
      </c>
      <c r="BB429" s="66">
        <v>0</v>
      </c>
      <c r="BC429" s="35" t="e">
        <f t="shared" si="934"/>
        <v>#DIV/0!</v>
      </c>
      <c r="BD429" s="11" t="e">
        <f t="shared" si="935"/>
        <v>#DIV/0!</v>
      </c>
    </row>
    <row r="430" spans="1:56" x14ac:dyDescent="0.25">
      <c r="A430" s="19" t="s">
        <v>6</v>
      </c>
      <c r="B430" s="8">
        <v>249460</v>
      </c>
      <c r="C430" s="35">
        <f>B430/F421</f>
        <v>162.40885416666666</v>
      </c>
      <c r="D430" s="8">
        <v>10950</v>
      </c>
      <c r="E430" s="68">
        <v>0</v>
      </c>
      <c r="F430" s="70">
        <v>0</v>
      </c>
      <c r="G430" s="35" t="e">
        <f t="shared" si="910"/>
        <v>#DIV/0!</v>
      </c>
      <c r="H430" s="11" t="e">
        <f t="shared" si="911"/>
        <v>#DIV/0!</v>
      </c>
      <c r="I430" s="35">
        <v>0</v>
      </c>
      <c r="J430" s="70">
        <v>0</v>
      </c>
      <c r="K430" s="35" t="e">
        <f t="shared" si="912"/>
        <v>#DIV/0!</v>
      </c>
      <c r="L430" s="6" t="e">
        <f t="shared" si="913"/>
        <v>#DIV/0!</v>
      </c>
      <c r="M430" s="68">
        <v>0</v>
      </c>
      <c r="N430" s="5">
        <v>0</v>
      </c>
      <c r="O430" s="35" t="e">
        <f t="shared" si="914"/>
        <v>#DIV/0!</v>
      </c>
      <c r="P430" s="11" t="e">
        <f t="shared" si="915"/>
        <v>#DIV/0!</v>
      </c>
      <c r="Q430" s="35">
        <v>0</v>
      </c>
      <c r="R430" s="66">
        <v>0</v>
      </c>
      <c r="S430" s="35" t="e">
        <f t="shared" si="916"/>
        <v>#DIV/0!</v>
      </c>
      <c r="T430" s="6" t="e">
        <f t="shared" si="917"/>
        <v>#DIV/0!</v>
      </c>
      <c r="U430" s="68">
        <v>0</v>
      </c>
      <c r="V430" s="66">
        <v>0</v>
      </c>
      <c r="W430" s="20" t="e">
        <f t="shared" si="918"/>
        <v>#DIV/0!</v>
      </c>
      <c r="X430" s="6" t="e">
        <f t="shared" si="919"/>
        <v>#DIV/0!</v>
      </c>
      <c r="Y430" s="68">
        <v>0</v>
      </c>
      <c r="Z430" s="70">
        <v>0</v>
      </c>
      <c r="AA430" s="35" t="e">
        <f t="shared" si="920"/>
        <v>#DIV/0!</v>
      </c>
      <c r="AB430" s="11" t="e">
        <f t="shared" si="921"/>
        <v>#DIV/0!</v>
      </c>
      <c r="AC430" s="20">
        <v>0</v>
      </c>
      <c r="AD430" s="36">
        <v>0</v>
      </c>
      <c r="AE430" s="35" t="e">
        <f t="shared" si="922"/>
        <v>#DIV/0!</v>
      </c>
      <c r="AF430" s="6" t="e">
        <f t="shared" si="923"/>
        <v>#DIV/0!</v>
      </c>
      <c r="AG430" s="68">
        <v>0</v>
      </c>
      <c r="AH430" s="66">
        <v>0</v>
      </c>
      <c r="AI430" s="35" t="e">
        <f t="shared" si="924"/>
        <v>#DIV/0!</v>
      </c>
      <c r="AJ430" s="6" t="e">
        <f t="shared" si="925"/>
        <v>#DIV/0!</v>
      </c>
      <c r="AK430" s="68">
        <v>1390</v>
      </c>
      <c r="AL430" s="65">
        <v>48</v>
      </c>
      <c r="AM430" s="35">
        <f t="shared" si="926"/>
        <v>28.958333333333332</v>
      </c>
      <c r="AN430" s="6">
        <f t="shared" si="927"/>
        <v>0.17830513910045698</v>
      </c>
      <c r="AO430" s="68">
        <v>0</v>
      </c>
      <c r="AP430" s="66">
        <v>0</v>
      </c>
      <c r="AQ430" s="35" t="e">
        <f t="shared" si="928"/>
        <v>#DIV/0!</v>
      </c>
      <c r="AR430" s="6" t="e">
        <f t="shared" si="929"/>
        <v>#DIV/0!</v>
      </c>
      <c r="AS430" s="68">
        <v>0</v>
      </c>
      <c r="AT430" s="66">
        <v>0</v>
      </c>
      <c r="AU430" s="35" t="e">
        <f t="shared" si="930"/>
        <v>#DIV/0!</v>
      </c>
      <c r="AV430" s="6" t="e">
        <f t="shared" si="931"/>
        <v>#DIV/0!</v>
      </c>
      <c r="AW430" s="68">
        <v>0</v>
      </c>
      <c r="AX430" s="66">
        <v>0</v>
      </c>
      <c r="AY430" s="35" t="e">
        <f t="shared" si="932"/>
        <v>#DIV/0!</v>
      </c>
      <c r="AZ430" s="6" t="e">
        <f t="shared" si="933"/>
        <v>#DIV/0!</v>
      </c>
      <c r="BA430" s="68">
        <v>0</v>
      </c>
      <c r="BB430" s="66">
        <v>0</v>
      </c>
      <c r="BC430" s="35" t="e">
        <f t="shared" si="934"/>
        <v>#DIV/0!</v>
      </c>
      <c r="BD430" s="11" t="e">
        <f t="shared" si="935"/>
        <v>#DIV/0!</v>
      </c>
    </row>
    <row r="431" spans="1:56" ht="15.75" thickBot="1" x14ac:dyDescent="0.3">
      <c r="A431" s="21"/>
      <c r="B431" s="22"/>
      <c r="C431" s="23">
        <f>AVERAGE(Table11032[MA $/Sq Ft])</f>
        <v>93.111979166666657</v>
      </c>
      <c r="D431" s="22">
        <f>AVERAGE(Table11032[Basic Allowance])</f>
        <v>4442.8571428571431</v>
      </c>
      <c r="E431" s="16"/>
      <c r="F431" s="22"/>
      <c r="G431" s="15"/>
      <c r="H431" s="24" t="e">
        <f>AVERAGE(Table11032[Bsmt % Base])</f>
        <v>#DIV/0!</v>
      </c>
      <c r="I431" s="15"/>
      <c r="J431" s="15"/>
      <c r="K431" s="15"/>
      <c r="L431" s="25" t="e">
        <f>AVERAGE(Table11032[[#Headers],[#Data],[UnfBsmt % Base]])</f>
        <v>#DIV/0!</v>
      </c>
      <c r="M431" s="44"/>
      <c r="N431" s="15"/>
      <c r="O431" s="23" t="e">
        <f>AVERAGE(Table11032[LowerVal/SqFt])</f>
        <v>#DIV/0!</v>
      </c>
      <c r="P431" s="24" t="e">
        <f>AVERAGE(Table11032[Lower % Base])</f>
        <v>#DIV/0!</v>
      </c>
      <c r="Q431" s="13"/>
      <c r="R431" s="13"/>
      <c r="S431" s="13"/>
      <c r="T431" s="25" t="e">
        <f>AVERAGE(Table11032[Unf Lower % Base])</f>
        <v>#DIV/0!</v>
      </c>
      <c r="U431" s="12"/>
      <c r="V431" s="13"/>
      <c r="W431" s="13"/>
      <c r="X431" s="25" t="e">
        <f>AVERAGE(Table11032[1/2 Story % Base])</f>
        <v>#DIV/0!</v>
      </c>
      <c r="Y431" s="12"/>
      <c r="Z431" s="13"/>
      <c r="AA431" s="13"/>
      <c r="AB431" s="24" t="e">
        <f>AVERAGE(Table11032[2nd Story % Base])</f>
        <v>#DIV/0!</v>
      </c>
      <c r="AC431" s="13"/>
      <c r="AD431" s="13"/>
      <c r="AE431" s="23" t="e">
        <f>AVERAGE(Table11032[AttGarVal/SqFt])</f>
        <v>#DIV/0!</v>
      </c>
      <c r="AF431" s="25" t="e">
        <f>AVERAGE(Table11032[Att Gar % Base])</f>
        <v>#DIV/0!</v>
      </c>
      <c r="AG431" s="12"/>
      <c r="AH431" s="13"/>
      <c r="AI431" s="13"/>
      <c r="AJ431" s="25" t="e">
        <f>AVERAGE(Table11032[Porch % Base])</f>
        <v>#DIV/0!</v>
      </c>
      <c r="AK431" s="12"/>
      <c r="AL431" s="13"/>
      <c r="AM431" s="13"/>
      <c r="AN431" s="25">
        <f>AVERAGE(Table11032[Cov Porch % Base])</f>
        <v>0.19275147113211538</v>
      </c>
      <c r="AO431" s="12"/>
      <c r="AP431" s="13"/>
      <c r="AQ431" s="13"/>
      <c r="AR431" s="25" t="e">
        <f>AVERAGE(Table11032[Deck % Base])</f>
        <v>#DIV/0!</v>
      </c>
      <c r="AS431" s="12"/>
      <c r="AT431" s="13"/>
      <c r="AU431" s="23" t="e">
        <f>AVERAGE(Table11032[CovDeckVal/SqFt])</f>
        <v>#DIV/0!</v>
      </c>
      <c r="AV431" s="25" t="e">
        <f>AVERAGE(Table11032[CovDeck % Base])</f>
        <v>#DIV/0!</v>
      </c>
      <c r="AW431" s="12"/>
      <c r="AX431" s="13"/>
      <c r="AY431" s="13"/>
      <c r="AZ431" s="25" t="e">
        <f>AVERAGE(Table11032[CarP % Base])</f>
        <v>#DIV/0!</v>
      </c>
      <c r="BA431" s="12"/>
      <c r="BB431" s="13"/>
      <c r="BC431" s="13"/>
      <c r="BD431" s="24" t="e">
        <f>AVERAGE(Table11032[EFP % Base])</f>
        <v>#DIV/0!</v>
      </c>
    </row>
    <row r="433" spans="1:56" ht="15.75" thickBot="1" x14ac:dyDescent="0.3">
      <c r="A433" s="82"/>
      <c r="B433" t="s">
        <v>79</v>
      </c>
      <c r="C433" s="78" t="s">
        <v>125</v>
      </c>
      <c r="E433" t="s">
        <v>33</v>
      </c>
      <c r="F433" s="79">
        <v>960</v>
      </c>
      <c r="H433" t="s">
        <v>80</v>
      </c>
      <c r="I433" t="s">
        <v>95</v>
      </c>
    </row>
    <row r="434" spans="1:56" x14ac:dyDescent="0.25">
      <c r="A434" s="112"/>
      <c r="B434" s="113"/>
      <c r="C434" s="113"/>
      <c r="D434" s="114"/>
      <c r="E434" s="115" t="s">
        <v>27</v>
      </c>
      <c r="F434" s="116"/>
      <c r="G434" s="116"/>
      <c r="H434" s="117"/>
      <c r="I434" s="118" t="s">
        <v>28</v>
      </c>
      <c r="J434" s="119"/>
      <c r="K434" s="119"/>
      <c r="L434" s="120"/>
      <c r="M434" s="121" t="s">
        <v>7</v>
      </c>
      <c r="N434" s="122"/>
      <c r="O434" s="122"/>
      <c r="P434" s="123"/>
      <c r="Q434" s="124" t="s">
        <v>29</v>
      </c>
      <c r="R434" s="125"/>
      <c r="S434" s="125"/>
      <c r="T434" s="126"/>
      <c r="U434" s="127" t="s">
        <v>8</v>
      </c>
      <c r="V434" s="128"/>
      <c r="W434" s="128"/>
      <c r="X434" s="129"/>
      <c r="Y434" s="130" t="s">
        <v>0</v>
      </c>
      <c r="Z434" s="131"/>
      <c r="AA434" s="131"/>
      <c r="AB434" s="132"/>
      <c r="AC434" s="133" t="s">
        <v>34</v>
      </c>
      <c r="AD434" s="134"/>
      <c r="AE434" s="134"/>
      <c r="AF434" s="135"/>
      <c r="AG434" s="115" t="s">
        <v>9</v>
      </c>
      <c r="AH434" s="116"/>
      <c r="AI434" s="116"/>
      <c r="AJ434" s="117"/>
      <c r="AK434" s="136" t="s">
        <v>35</v>
      </c>
      <c r="AL434" s="137"/>
      <c r="AM434" s="137"/>
      <c r="AN434" s="138"/>
      <c r="AO434" s="139" t="s">
        <v>10</v>
      </c>
      <c r="AP434" s="140"/>
      <c r="AQ434" s="140"/>
      <c r="AR434" s="141"/>
      <c r="AS434" s="124" t="s">
        <v>36</v>
      </c>
      <c r="AT434" s="125"/>
      <c r="AU434" s="125"/>
      <c r="AV434" s="126"/>
      <c r="AW434" s="142" t="s">
        <v>11</v>
      </c>
      <c r="AX434" s="143"/>
      <c r="AY434" s="143"/>
      <c r="AZ434" s="144"/>
      <c r="BA434" s="148" t="s">
        <v>17</v>
      </c>
      <c r="BB434" s="149"/>
      <c r="BC434" s="149"/>
      <c r="BD434" s="150"/>
    </row>
    <row r="435" spans="1:56" s="1" customFormat="1" ht="15.75" thickBot="1" x14ac:dyDescent="0.3">
      <c r="A435" s="41" t="s">
        <v>13</v>
      </c>
      <c r="B435" s="42" t="s">
        <v>15</v>
      </c>
      <c r="C435" s="42" t="s">
        <v>32</v>
      </c>
      <c r="D435" s="43" t="s">
        <v>18</v>
      </c>
      <c r="E435" s="30" t="s">
        <v>30</v>
      </c>
      <c r="F435" s="31" t="s">
        <v>61</v>
      </c>
      <c r="G435" s="31" t="s">
        <v>38</v>
      </c>
      <c r="H435" s="32" t="s">
        <v>62</v>
      </c>
      <c r="I435" s="37" t="s">
        <v>31</v>
      </c>
      <c r="J435" s="38" t="s">
        <v>39</v>
      </c>
      <c r="K435" s="38" t="s">
        <v>40</v>
      </c>
      <c r="L435" s="39" t="s">
        <v>63</v>
      </c>
      <c r="M435" s="40" t="s">
        <v>19</v>
      </c>
      <c r="N435" s="7" t="s">
        <v>41</v>
      </c>
      <c r="O435" s="7" t="s">
        <v>37</v>
      </c>
      <c r="P435" s="7" t="s">
        <v>64</v>
      </c>
      <c r="Q435" s="27" t="s">
        <v>20</v>
      </c>
      <c r="R435" s="28" t="s">
        <v>60</v>
      </c>
      <c r="S435" s="28" t="s">
        <v>59</v>
      </c>
      <c r="T435" s="29" t="s">
        <v>65</v>
      </c>
      <c r="U435" s="48" t="s">
        <v>21</v>
      </c>
      <c r="V435" s="48" t="s">
        <v>42</v>
      </c>
      <c r="W435" s="48" t="s">
        <v>43</v>
      </c>
      <c r="X435" s="49" t="s">
        <v>66</v>
      </c>
      <c r="Y435" s="50" t="s">
        <v>22</v>
      </c>
      <c r="Z435" s="51" t="s">
        <v>44</v>
      </c>
      <c r="AA435" s="51" t="s">
        <v>45</v>
      </c>
      <c r="AB435" s="52" t="s">
        <v>67</v>
      </c>
      <c r="AC435" s="45" t="s">
        <v>23</v>
      </c>
      <c r="AD435" s="46" t="s">
        <v>46</v>
      </c>
      <c r="AE435" s="46" t="s">
        <v>47</v>
      </c>
      <c r="AF435" s="47" t="s">
        <v>68</v>
      </c>
      <c r="AG435" s="30" t="s">
        <v>24</v>
      </c>
      <c r="AH435" s="31" t="s">
        <v>48</v>
      </c>
      <c r="AI435" s="31" t="s">
        <v>49</v>
      </c>
      <c r="AJ435" s="32" t="s">
        <v>69</v>
      </c>
      <c r="AK435" s="53" t="s">
        <v>25</v>
      </c>
      <c r="AL435" s="54" t="s">
        <v>50</v>
      </c>
      <c r="AM435" s="54" t="s">
        <v>51</v>
      </c>
      <c r="AN435" s="55" t="s">
        <v>70</v>
      </c>
      <c r="AO435" s="56" t="s">
        <v>26</v>
      </c>
      <c r="AP435" s="57" t="s">
        <v>52</v>
      </c>
      <c r="AQ435" s="57" t="s">
        <v>53</v>
      </c>
      <c r="AR435" s="58" t="s">
        <v>71</v>
      </c>
      <c r="AS435" s="59" t="s">
        <v>55</v>
      </c>
      <c r="AT435" s="60" t="s">
        <v>54</v>
      </c>
      <c r="AU435" s="60" t="s">
        <v>56</v>
      </c>
      <c r="AV435" s="61" t="s">
        <v>76</v>
      </c>
      <c r="AW435" s="62" t="s">
        <v>72</v>
      </c>
      <c r="AX435" s="63" t="s">
        <v>73</v>
      </c>
      <c r="AY435" s="63" t="s">
        <v>74</v>
      </c>
      <c r="AZ435" s="64" t="s">
        <v>75</v>
      </c>
      <c r="BA435" s="71" t="s">
        <v>77</v>
      </c>
      <c r="BB435" s="72" t="s">
        <v>57</v>
      </c>
      <c r="BC435" s="72" t="s">
        <v>58</v>
      </c>
      <c r="BD435" s="73" t="s">
        <v>78</v>
      </c>
    </row>
    <row r="436" spans="1:56" ht="15.75" thickBot="1" x14ac:dyDescent="0.3">
      <c r="A436" s="17" t="s">
        <v>1</v>
      </c>
      <c r="B436" s="14">
        <v>50630</v>
      </c>
      <c r="C436" s="34">
        <f>B436/F433</f>
        <v>52.739583333333336</v>
      </c>
      <c r="D436" s="14">
        <v>1525</v>
      </c>
      <c r="E436" s="67">
        <v>23710</v>
      </c>
      <c r="F436" s="69">
        <v>960</v>
      </c>
      <c r="G436" s="34">
        <f t="shared" ref="G436:G442" si="936">E436/F436</f>
        <v>24.697916666666668</v>
      </c>
      <c r="H436" s="10">
        <f t="shared" ref="H436:H442" si="937">G436/C436</f>
        <v>0.46829942721706497</v>
      </c>
      <c r="I436" s="34">
        <v>0</v>
      </c>
      <c r="J436" s="69">
        <v>0</v>
      </c>
      <c r="K436" s="34" t="e">
        <f t="shared" ref="K436:K442" si="938">I436/J436</f>
        <v>#DIV/0!</v>
      </c>
      <c r="L436" s="9" t="e">
        <f t="shared" ref="L436:L442" si="939">K436/C436</f>
        <v>#DIV/0!</v>
      </c>
      <c r="M436" s="67">
        <v>0</v>
      </c>
      <c r="N436" s="26">
        <v>0</v>
      </c>
      <c r="O436" s="34" t="e">
        <f t="shared" ref="O436:O442" si="940">M436/N436</f>
        <v>#DIV/0!</v>
      </c>
      <c r="P436" s="10" t="e">
        <f t="shared" ref="P436:P442" si="941">O436/C436</f>
        <v>#DIV/0!</v>
      </c>
      <c r="Q436" s="35">
        <v>0</v>
      </c>
      <c r="R436" s="66">
        <v>0</v>
      </c>
      <c r="S436" s="35" t="e">
        <f t="shared" ref="S436:S442" si="942">Q436/R436</f>
        <v>#DIV/0!</v>
      </c>
      <c r="T436" s="6" t="e">
        <f t="shared" ref="T436:T442" si="943">S436/C436</f>
        <v>#DIV/0!</v>
      </c>
      <c r="U436" s="67">
        <v>0</v>
      </c>
      <c r="V436" s="65">
        <v>0</v>
      </c>
      <c r="W436" s="18" t="e">
        <f t="shared" ref="W436:W442" si="944">U436/V436</f>
        <v>#DIV/0!</v>
      </c>
      <c r="X436" s="9" t="e">
        <f t="shared" ref="X436:X442" si="945">W436/C436</f>
        <v>#DIV/0!</v>
      </c>
      <c r="Y436" s="67">
        <v>0</v>
      </c>
      <c r="Z436" s="69">
        <v>0</v>
      </c>
      <c r="AA436" s="34" t="e">
        <f t="shared" ref="AA436:AA442" si="946">Y436/Z436</f>
        <v>#DIV/0!</v>
      </c>
      <c r="AB436" s="10" t="e">
        <f t="shared" ref="AB436:AB442" si="947">AA436/C436</f>
        <v>#DIV/0!</v>
      </c>
      <c r="AC436" s="18">
        <v>0</v>
      </c>
      <c r="AD436" s="33">
        <v>0</v>
      </c>
      <c r="AE436" s="34" t="e">
        <f t="shared" ref="AE436:AE442" si="948">AC436/AD436</f>
        <v>#DIV/0!</v>
      </c>
      <c r="AF436" s="9" t="e">
        <f t="shared" ref="AF436:AF442" si="949">AE436/C436</f>
        <v>#DIV/0!</v>
      </c>
      <c r="AG436" s="67">
        <v>0</v>
      </c>
      <c r="AH436" s="65">
        <v>0</v>
      </c>
      <c r="AI436" s="34" t="e">
        <f t="shared" ref="AI436:AI442" si="950">AG436/AH436</f>
        <v>#DIV/0!</v>
      </c>
      <c r="AJ436" s="9" t="e">
        <f t="shared" ref="AJ436:AJ442" si="951">AI436/C436</f>
        <v>#DIV/0!</v>
      </c>
      <c r="AK436" s="67">
        <v>0</v>
      </c>
      <c r="AL436" s="65">
        <v>0</v>
      </c>
      <c r="AM436" s="34" t="e">
        <f t="shared" ref="AM436:AM442" si="952">AK436/AL436</f>
        <v>#DIV/0!</v>
      </c>
      <c r="AN436" s="9" t="e">
        <f t="shared" ref="AN436:AN442" si="953">AM436/C436</f>
        <v>#DIV/0!</v>
      </c>
      <c r="AO436" s="67">
        <v>0</v>
      </c>
      <c r="AP436" s="65">
        <v>0</v>
      </c>
      <c r="AQ436" s="34" t="e">
        <f t="shared" ref="AQ436:AQ442" si="954">AO436/AP436</f>
        <v>#DIV/0!</v>
      </c>
      <c r="AR436" s="9" t="e">
        <f t="shared" ref="AR436:AR442" si="955">AQ436/C436</f>
        <v>#DIV/0!</v>
      </c>
      <c r="AS436" s="67">
        <v>0</v>
      </c>
      <c r="AT436" s="65">
        <v>0</v>
      </c>
      <c r="AU436" s="34" t="e">
        <f t="shared" ref="AU436:AU442" si="956">AS436/AT436</f>
        <v>#DIV/0!</v>
      </c>
      <c r="AV436" s="9" t="e">
        <f t="shared" ref="AV436:AV442" si="957">AU436/C436</f>
        <v>#DIV/0!</v>
      </c>
      <c r="AW436" s="67">
        <v>0</v>
      </c>
      <c r="AX436" s="65">
        <v>0</v>
      </c>
      <c r="AY436" s="34" t="e">
        <f t="shared" ref="AY436:AY442" si="958">AW436/AX436</f>
        <v>#DIV/0!</v>
      </c>
      <c r="AZ436" s="9" t="e">
        <f t="shared" ref="AZ436:AZ442" si="959">AY436/C436</f>
        <v>#DIV/0!</v>
      </c>
      <c r="BA436" s="67">
        <v>0</v>
      </c>
      <c r="BB436" s="65">
        <v>0</v>
      </c>
      <c r="BC436" s="34" t="e">
        <f t="shared" ref="BC436:BC442" si="960">BA436/BB436</f>
        <v>#DIV/0!</v>
      </c>
      <c r="BD436" s="10" t="e">
        <f t="shared" ref="BD436:BD442" si="961">BC436/C436</f>
        <v>#DIV/0!</v>
      </c>
    </row>
    <row r="437" spans="1:56" ht="15.75" thickBot="1" x14ac:dyDescent="0.3">
      <c r="A437" s="19" t="s">
        <v>16</v>
      </c>
      <c r="B437" s="8">
        <v>59560</v>
      </c>
      <c r="C437" s="35">
        <f>B437/F433</f>
        <v>62.041666666666664</v>
      </c>
      <c r="D437" s="8">
        <v>1525</v>
      </c>
      <c r="E437" s="68">
        <v>31720</v>
      </c>
      <c r="F437" s="69">
        <v>960</v>
      </c>
      <c r="G437" s="35">
        <f t="shared" si="936"/>
        <v>33.041666666666664</v>
      </c>
      <c r="H437" s="11">
        <f t="shared" si="937"/>
        <v>0.53257219610476825</v>
      </c>
      <c r="I437" s="35">
        <v>0</v>
      </c>
      <c r="J437" s="70">
        <v>0</v>
      </c>
      <c r="K437" s="35" t="e">
        <f t="shared" si="938"/>
        <v>#DIV/0!</v>
      </c>
      <c r="L437" s="6" t="e">
        <f t="shared" si="939"/>
        <v>#DIV/0!</v>
      </c>
      <c r="M437" s="68">
        <v>0</v>
      </c>
      <c r="N437" s="5">
        <v>0</v>
      </c>
      <c r="O437" s="35" t="e">
        <f t="shared" si="940"/>
        <v>#DIV/0!</v>
      </c>
      <c r="P437" s="11" t="e">
        <f t="shared" si="941"/>
        <v>#DIV/0!</v>
      </c>
      <c r="Q437" s="35">
        <v>0</v>
      </c>
      <c r="R437" s="66">
        <v>0</v>
      </c>
      <c r="S437" s="35" t="e">
        <f t="shared" si="942"/>
        <v>#DIV/0!</v>
      </c>
      <c r="T437" s="6" t="e">
        <f t="shared" si="943"/>
        <v>#DIV/0!</v>
      </c>
      <c r="U437" s="68">
        <v>0</v>
      </c>
      <c r="V437" s="66">
        <v>0</v>
      </c>
      <c r="W437" s="20" t="e">
        <f t="shared" si="944"/>
        <v>#DIV/0!</v>
      </c>
      <c r="X437" s="6" t="e">
        <f t="shared" si="945"/>
        <v>#DIV/0!</v>
      </c>
      <c r="Y437" s="68">
        <v>0</v>
      </c>
      <c r="Z437" s="70">
        <v>0</v>
      </c>
      <c r="AA437" s="35" t="e">
        <f t="shared" si="946"/>
        <v>#DIV/0!</v>
      </c>
      <c r="AB437" s="11" t="e">
        <f t="shared" si="947"/>
        <v>#DIV/0!</v>
      </c>
      <c r="AC437" s="20">
        <v>0</v>
      </c>
      <c r="AD437" s="36">
        <v>0</v>
      </c>
      <c r="AE437" s="35" t="e">
        <f t="shared" si="948"/>
        <v>#DIV/0!</v>
      </c>
      <c r="AF437" s="6" t="e">
        <f t="shared" si="949"/>
        <v>#DIV/0!</v>
      </c>
      <c r="AG437" s="68">
        <v>0</v>
      </c>
      <c r="AH437" s="66">
        <v>0</v>
      </c>
      <c r="AI437" s="35" t="e">
        <f t="shared" si="950"/>
        <v>#DIV/0!</v>
      </c>
      <c r="AJ437" s="6" t="e">
        <f t="shared" si="951"/>
        <v>#DIV/0!</v>
      </c>
      <c r="AK437" s="68">
        <v>0</v>
      </c>
      <c r="AL437" s="66">
        <v>0</v>
      </c>
      <c r="AM437" s="35" t="e">
        <f t="shared" si="952"/>
        <v>#DIV/0!</v>
      </c>
      <c r="AN437" s="6" t="e">
        <f t="shared" si="953"/>
        <v>#DIV/0!</v>
      </c>
      <c r="AO437" s="68">
        <v>0</v>
      </c>
      <c r="AP437" s="66">
        <v>0</v>
      </c>
      <c r="AQ437" s="35" t="e">
        <f t="shared" si="954"/>
        <v>#DIV/0!</v>
      </c>
      <c r="AR437" s="6" t="e">
        <f t="shared" si="955"/>
        <v>#DIV/0!</v>
      </c>
      <c r="AS437" s="68">
        <v>0</v>
      </c>
      <c r="AT437" s="66">
        <v>0</v>
      </c>
      <c r="AU437" s="35" t="e">
        <f t="shared" si="956"/>
        <v>#DIV/0!</v>
      </c>
      <c r="AV437" s="6" t="e">
        <f t="shared" si="957"/>
        <v>#DIV/0!</v>
      </c>
      <c r="AW437" s="68">
        <v>0</v>
      </c>
      <c r="AX437" s="66">
        <v>0</v>
      </c>
      <c r="AY437" s="35" t="e">
        <f t="shared" si="958"/>
        <v>#DIV/0!</v>
      </c>
      <c r="AZ437" s="6" t="e">
        <f t="shared" si="959"/>
        <v>#DIV/0!</v>
      </c>
      <c r="BA437" s="68">
        <v>0</v>
      </c>
      <c r="BB437" s="66">
        <v>0</v>
      </c>
      <c r="BC437" s="35" t="e">
        <f t="shared" si="960"/>
        <v>#DIV/0!</v>
      </c>
      <c r="BD437" s="11" t="e">
        <f t="shared" si="961"/>
        <v>#DIV/0!</v>
      </c>
    </row>
    <row r="438" spans="1:56" ht="15.75" thickBot="1" x14ac:dyDescent="0.3">
      <c r="A438" s="19" t="s">
        <v>2</v>
      </c>
      <c r="B438" s="8">
        <v>69750</v>
      </c>
      <c r="C438" s="35">
        <f>B438/F433</f>
        <v>72.65625</v>
      </c>
      <c r="D438" s="8">
        <v>2100</v>
      </c>
      <c r="E438" s="68">
        <v>36220</v>
      </c>
      <c r="F438" s="69">
        <v>960</v>
      </c>
      <c r="G438" s="35">
        <f t="shared" si="936"/>
        <v>37.729166666666664</v>
      </c>
      <c r="H438" s="11">
        <f t="shared" si="937"/>
        <v>0.51928315412186377</v>
      </c>
      <c r="I438" s="35">
        <v>0</v>
      </c>
      <c r="J438" s="70">
        <v>0</v>
      </c>
      <c r="K438" s="35" t="e">
        <f t="shared" si="938"/>
        <v>#DIV/0!</v>
      </c>
      <c r="L438" s="6" t="e">
        <f t="shared" si="939"/>
        <v>#DIV/0!</v>
      </c>
      <c r="M438" s="68">
        <v>0</v>
      </c>
      <c r="N438" s="5">
        <v>0</v>
      </c>
      <c r="O438" s="35" t="e">
        <f t="shared" si="940"/>
        <v>#DIV/0!</v>
      </c>
      <c r="P438" s="11" t="e">
        <f t="shared" si="941"/>
        <v>#DIV/0!</v>
      </c>
      <c r="Q438" s="35">
        <v>0</v>
      </c>
      <c r="R438" s="66">
        <v>0</v>
      </c>
      <c r="S438" s="35" t="e">
        <f t="shared" si="942"/>
        <v>#DIV/0!</v>
      </c>
      <c r="T438" s="6" t="e">
        <f t="shared" si="943"/>
        <v>#DIV/0!</v>
      </c>
      <c r="U438" s="68">
        <v>0</v>
      </c>
      <c r="V438" s="66">
        <v>0</v>
      </c>
      <c r="W438" s="20" t="e">
        <f t="shared" si="944"/>
        <v>#DIV/0!</v>
      </c>
      <c r="X438" s="6" t="e">
        <f t="shared" si="945"/>
        <v>#DIV/0!</v>
      </c>
      <c r="Y438" s="68">
        <v>0</v>
      </c>
      <c r="Z438" s="70">
        <v>0</v>
      </c>
      <c r="AA438" s="35" t="e">
        <f t="shared" si="946"/>
        <v>#DIV/0!</v>
      </c>
      <c r="AB438" s="11" t="e">
        <f t="shared" si="947"/>
        <v>#DIV/0!</v>
      </c>
      <c r="AC438" s="20">
        <v>0</v>
      </c>
      <c r="AD438" s="36">
        <v>0</v>
      </c>
      <c r="AE438" s="35" t="e">
        <f t="shared" si="948"/>
        <v>#DIV/0!</v>
      </c>
      <c r="AF438" s="6" t="e">
        <f t="shared" si="949"/>
        <v>#DIV/0!</v>
      </c>
      <c r="AG438" s="68">
        <v>0</v>
      </c>
      <c r="AH438" s="66">
        <v>0</v>
      </c>
      <c r="AI438" s="35" t="e">
        <f t="shared" si="950"/>
        <v>#DIV/0!</v>
      </c>
      <c r="AJ438" s="6" t="e">
        <f t="shared" si="951"/>
        <v>#DIV/0!</v>
      </c>
      <c r="AK438" s="68">
        <v>0</v>
      </c>
      <c r="AL438" s="66">
        <v>0</v>
      </c>
      <c r="AM438" s="35" t="e">
        <f t="shared" si="952"/>
        <v>#DIV/0!</v>
      </c>
      <c r="AN438" s="6" t="e">
        <f t="shared" si="953"/>
        <v>#DIV/0!</v>
      </c>
      <c r="AO438" s="68">
        <v>0</v>
      </c>
      <c r="AP438" s="66">
        <v>0</v>
      </c>
      <c r="AQ438" s="35" t="e">
        <f t="shared" si="954"/>
        <v>#DIV/0!</v>
      </c>
      <c r="AR438" s="6" t="e">
        <f t="shared" si="955"/>
        <v>#DIV/0!</v>
      </c>
      <c r="AS438" s="68">
        <v>0</v>
      </c>
      <c r="AT438" s="66">
        <v>0</v>
      </c>
      <c r="AU438" s="35" t="e">
        <f t="shared" si="956"/>
        <v>#DIV/0!</v>
      </c>
      <c r="AV438" s="6" t="e">
        <f t="shared" si="957"/>
        <v>#DIV/0!</v>
      </c>
      <c r="AW438" s="68">
        <v>0</v>
      </c>
      <c r="AX438" s="66">
        <v>0</v>
      </c>
      <c r="AY438" s="35" t="e">
        <f t="shared" si="958"/>
        <v>#DIV/0!</v>
      </c>
      <c r="AZ438" s="6" t="e">
        <f t="shared" si="959"/>
        <v>#DIV/0!</v>
      </c>
      <c r="BA438" s="68">
        <v>0</v>
      </c>
      <c r="BB438" s="66">
        <v>0</v>
      </c>
      <c r="BC438" s="35" t="e">
        <f t="shared" si="960"/>
        <v>#DIV/0!</v>
      </c>
      <c r="BD438" s="11" t="e">
        <f t="shared" si="961"/>
        <v>#DIV/0!</v>
      </c>
    </row>
    <row r="439" spans="1:56" ht="15.75" thickBot="1" x14ac:dyDescent="0.3">
      <c r="A439" s="19" t="s">
        <v>3</v>
      </c>
      <c r="B439" s="8">
        <v>84010</v>
      </c>
      <c r="C439" s="35">
        <f>B439/F433</f>
        <v>87.510416666666671</v>
      </c>
      <c r="D439" s="8">
        <v>2700</v>
      </c>
      <c r="E439" s="68">
        <v>41580</v>
      </c>
      <c r="F439" s="69">
        <v>960</v>
      </c>
      <c r="G439" s="35">
        <f t="shared" si="936"/>
        <v>43.3125</v>
      </c>
      <c r="H439" s="11">
        <f t="shared" si="937"/>
        <v>0.49494107844304247</v>
      </c>
      <c r="I439" s="35">
        <v>0</v>
      </c>
      <c r="J439" s="70">
        <v>0</v>
      </c>
      <c r="K439" s="35" t="e">
        <f t="shared" si="938"/>
        <v>#DIV/0!</v>
      </c>
      <c r="L439" s="6" t="e">
        <f t="shared" si="939"/>
        <v>#DIV/0!</v>
      </c>
      <c r="M439" s="68">
        <v>0</v>
      </c>
      <c r="N439" s="5">
        <v>0</v>
      </c>
      <c r="O439" s="35" t="e">
        <f t="shared" si="940"/>
        <v>#DIV/0!</v>
      </c>
      <c r="P439" s="11" t="e">
        <f t="shared" si="941"/>
        <v>#DIV/0!</v>
      </c>
      <c r="Q439" s="35">
        <v>0</v>
      </c>
      <c r="R439" s="66">
        <v>0</v>
      </c>
      <c r="S439" s="35" t="e">
        <f t="shared" si="942"/>
        <v>#DIV/0!</v>
      </c>
      <c r="T439" s="6" t="e">
        <f t="shared" si="943"/>
        <v>#DIV/0!</v>
      </c>
      <c r="U439" s="68">
        <v>0</v>
      </c>
      <c r="V439" s="66">
        <v>0</v>
      </c>
      <c r="W439" s="20" t="e">
        <f t="shared" si="944"/>
        <v>#DIV/0!</v>
      </c>
      <c r="X439" s="6" t="e">
        <f t="shared" si="945"/>
        <v>#DIV/0!</v>
      </c>
      <c r="Y439" s="68">
        <v>0</v>
      </c>
      <c r="Z439" s="70">
        <v>0</v>
      </c>
      <c r="AA439" s="35" t="e">
        <f t="shared" si="946"/>
        <v>#DIV/0!</v>
      </c>
      <c r="AB439" s="11" t="e">
        <f t="shared" si="947"/>
        <v>#DIV/0!</v>
      </c>
      <c r="AC439" s="20">
        <v>0</v>
      </c>
      <c r="AD439" s="36">
        <v>0</v>
      </c>
      <c r="AE439" s="35" t="e">
        <f t="shared" si="948"/>
        <v>#DIV/0!</v>
      </c>
      <c r="AF439" s="6" t="e">
        <f t="shared" si="949"/>
        <v>#DIV/0!</v>
      </c>
      <c r="AG439" s="68">
        <v>0</v>
      </c>
      <c r="AH439" s="66">
        <v>0</v>
      </c>
      <c r="AI439" s="35" t="e">
        <f t="shared" si="950"/>
        <v>#DIV/0!</v>
      </c>
      <c r="AJ439" s="6" t="e">
        <f t="shared" si="951"/>
        <v>#DIV/0!</v>
      </c>
      <c r="AK439" s="68">
        <v>0</v>
      </c>
      <c r="AL439" s="66">
        <v>0</v>
      </c>
      <c r="AM439" s="35" t="e">
        <f t="shared" si="952"/>
        <v>#DIV/0!</v>
      </c>
      <c r="AN439" s="6" t="e">
        <f t="shared" si="953"/>
        <v>#DIV/0!</v>
      </c>
      <c r="AO439" s="68">
        <v>0</v>
      </c>
      <c r="AP439" s="66">
        <v>0</v>
      </c>
      <c r="AQ439" s="35" t="e">
        <f t="shared" si="954"/>
        <v>#DIV/0!</v>
      </c>
      <c r="AR439" s="6" t="e">
        <f t="shared" si="955"/>
        <v>#DIV/0!</v>
      </c>
      <c r="AS439" s="68">
        <v>0</v>
      </c>
      <c r="AT439" s="66">
        <v>0</v>
      </c>
      <c r="AU439" s="35" t="e">
        <f t="shared" si="956"/>
        <v>#DIV/0!</v>
      </c>
      <c r="AV439" s="6" t="e">
        <f t="shared" si="957"/>
        <v>#DIV/0!</v>
      </c>
      <c r="AW439" s="68">
        <v>0</v>
      </c>
      <c r="AX439" s="66">
        <v>0</v>
      </c>
      <c r="AY439" s="35" t="e">
        <f t="shared" si="958"/>
        <v>#DIV/0!</v>
      </c>
      <c r="AZ439" s="6" t="e">
        <f t="shared" si="959"/>
        <v>#DIV/0!</v>
      </c>
      <c r="BA439" s="68">
        <v>0</v>
      </c>
      <c r="BB439" s="66">
        <v>0</v>
      </c>
      <c r="BC439" s="35" t="e">
        <f t="shared" si="960"/>
        <v>#DIV/0!</v>
      </c>
      <c r="BD439" s="11" t="e">
        <f t="shared" si="961"/>
        <v>#DIV/0!</v>
      </c>
    </row>
    <row r="440" spans="1:56" ht="15.75" thickBot="1" x14ac:dyDescent="0.3">
      <c r="A440" s="19" t="s">
        <v>4</v>
      </c>
      <c r="B440" s="8">
        <v>104850</v>
      </c>
      <c r="C440" s="35">
        <f>B440/F433</f>
        <v>109.21875</v>
      </c>
      <c r="D440" s="8">
        <v>5250</v>
      </c>
      <c r="E440" s="68">
        <v>59390</v>
      </c>
      <c r="F440" s="69">
        <v>960</v>
      </c>
      <c r="G440" s="35">
        <f t="shared" si="936"/>
        <v>61.864583333333336</v>
      </c>
      <c r="H440" s="11">
        <f t="shared" si="937"/>
        <v>0.5664282308059132</v>
      </c>
      <c r="I440" s="35">
        <v>0</v>
      </c>
      <c r="J440" s="70">
        <v>0</v>
      </c>
      <c r="K440" s="35" t="e">
        <f t="shared" si="938"/>
        <v>#DIV/0!</v>
      </c>
      <c r="L440" s="6" t="e">
        <f t="shared" si="939"/>
        <v>#DIV/0!</v>
      </c>
      <c r="M440" s="68">
        <v>0</v>
      </c>
      <c r="N440" s="5">
        <v>0</v>
      </c>
      <c r="O440" s="35" t="e">
        <f t="shared" si="940"/>
        <v>#DIV/0!</v>
      </c>
      <c r="P440" s="11" t="e">
        <f t="shared" si="941"/>
        <v>#DIV/0!</v>
      </c>
      <c r="Q440" s="35">
        <v>0</v>
      </c>
      <c r="R440" s="66">
        <v>0</v>
      </c>
      <c r="S440" s="35" t="e">
        <f t="shared" si="942"/>
        <v>#DIV/0!</v>
      </c>
      <c r="T440" s="6" t="e">
        <f t="shared" si="943"/>
        <v>#DIV/0!</v>
      </c>
      <c r="U440" s="68">
        <v>0</v>
      </c>
      <c r="V440" s="66">
        <v>0</v>
      </c>
      <c r="W440" s="20" t="e">
        <f t="shared" si="944"/>
        <v>#DIV/0!</v>
      </c>
      <c r="X440" s="6" t="e">
        <f t="shared" si="945"/>
        <v>#DIV/0!</v>
      </c>
      <c r="Y440" s="68">
        <v>0</v>
      </c>
      <c r="Z440" s="70">
        <v>0</v>
      </c>
      <c r="AA440" s="35" t="e">
        <f t="shared" si="946"/>
        <v>#DIV/0!</v>
      </c>
      <c r="AB440" s="11" t="e">
        <f t="shared" si="947"/>
        <v>#DIV/0!</v>
      </c>
      <c r="AC440" s="20">
        <v>0</v>
      </c>
      <c r="AD440" s="36">
        <v>0</v>
      </c>
      <c r="AE440" s="35" t="e">
        <f t="shared" si="948"/>
        <v>#DIV/0!</v>
      </c>
      <c r="AF440" s="6" t="e">
        <f t="shared" si="949"/>
        <v>#DIV/0!</v>
      </c>
      <c r="AG440" s="68">
        <v>0</v>
      </c>
      <c r="AH440" s="66">
        <v>0</v>
      </c>
      <c r="AI440" s="35" t="e">
        <f t="shared" si="950"/>
        <v>#DIV/0!</v>
      </c>
      <c r="AJ440" s="6" t="e">
        <f t="shared" si="951"/>
        <v>#DIV/0!</v>
      </c>
      <c r="AK440" s="68">
        <v>0</v>
      </c>
      <c r="AL440" s="66">
        <v>0</v>
      </c>
      <c r="AM440" s="35" t="e">
        <f t="shared" si="952"/>
        <v>#DIV/0!</v>
      </c>
      <c r="AN440" s="6" t="e">
        <f t="shared" si="953"/>
        <v>#DIV/0!</v>
      </c>
      <c r="AO440" s="68">
        <v>0</v>
      </c>
      <c r="AP440" s="66">
        <v>0</v>
      </c>
      <c r="AQ440" s="35" t="e">
        <f t="shared" si="954"/>
        <v>#DIV/0!</v>
      </c>
      <c r="AR440" s="6" t="e">
        <f t="shared" si="955"/>
        <v>#DIV/0!</v>
      </c>
      <c r="AS440" s="68">
        <v>0</v>
      </c>
      <c r="AT440" s="66">
        <v>0</v>
      </c>
      <c r="AU440" s="35" t="e">
        <f t="shared" si="956"/>
        <v>#DIV/0!</v>
      </c>
      <c r="AV440" s="6" t="e">
        <f t="shared" si="957"/>
        <v>#DIV/0!</v>
      </c>
      <c r="AW440" s="68">
        <v>0</v>
      </c>
      <c r="AX440" s="66">
        <v>0</v>
      </c>
      <c r="AY440" s="35" t="e">
        <f t="shared" si="958"/>
        <v>#DIV/0!</v>
      </c>
      <c r="AZ440" s="6" t="e">
        <f t="shared" si="959"/>
        <v>#DIV/0!</v>
      </c>
      <c r="BA440" s="68">
        <v>0</v>
      </c>
      <c r="BB440" s="66">
        <v>0</v>
      </c>
      <c r="BC440" s="35" t="e">
        <f t="shared" si="960"/>
        <v>#DIV/0!</v>
      </c>
      <c r="BD440" s="11" t="e">
        <f t="shared" si="961"/>
        <v>#DIV/0!</v>
      </c>
    </row>
    <row r="441" spans="1:56" ht="15.75" thickBot="1" x14ac:dyDescent="0.3">
      <c r="A441" s="19" t="s">
        <v>5</v>
      </c>
      <c r="B441" s="8">
        <v>137330</v>
      </c>
      <c r="C441" s="35">
        <f>B441/F433</f>
        <v>143.05208333333334</v>
      </c>
      <c r="D441" s="8">
        <v>7050</v>
      </c>
      <c r="E441" s="68">
        <v>66900</v>
      </c>
      <c r="F441" s="69">
        <v>960</v>
      </c>
      <c r="G441" s="35">
        <f t="shared" si="936"/>
        <v>69.6875</v>
      </c>
      <c r="H441" s="11">
        <f t="shared" si="937"/>
        <v>0.4871477463045219</v>
      </c>
      <c r="I441" s="35">
        <v>0</v>
      </c>
      <c r="J441" s="70">
        <v>0</v>
      </c>
      <c r="K441" s="35" t="e">
        <f t="shared" si="938"/>
        <v>#DIV/0!</v>
      </c>
      <c r="L441" s="6" t="e">
        <f t="shared" si="939"/>
        <v>#DIV/0!</v>
      </c>
      <c r="M441" s="68">
        <v>0</v>
      </c>
      <c r="N441" s="5">
        <v>0</v>
      </c>
      <c r="O441" s="35" t="e">
        <f t="shared" si="940"/>
        <v>#DIV/0!</v>
      </c>
      <c r="P441" s="11" t="e">
        <f t="shared" si="941"/>
        <v>#DIV/0!</v>
      </c>
      <c r="Q441" s="35">
        <v>0</v>
      </c>
      <c r="R441" s="66">
        <v>0</v>
      </c>
      <c r="S441" s="35" t="e">
        <f t="shared" si="942"/>
        <v>#DIV/0!</v>
      </c>
      <c r="T441" s="6" t="e">
        <f t="shared" si="943"/>
        <v>#DIV/0!</v>
      </c>
      <c r="U441" s="68">
        <v>0</v>
      </c>
      <c r="V441" s="66">
        <v>0</v>
      </c>
      <c r="W441" s="20" t="e">
        <f t="shared" si="944"/>
        <v>#DIV/0!</v>
      </c>
      <c r="X441" s="6" t="e">
        <f t="shared" si="945"/>
        <v>#DIV/0!</v>
      </c>
      <c r="Y441" s="68">
        <v>0</v>
      </c>
      <c r="Z441" s="70">
        <v>0</v>
      </c>
      <c r="AA441" s="35" t="e">
        <f t="shared" si="946"/>
        <v>#DIV/0!</v>
      </c>
      <c r="AB441" s="11" t="e">
        <f t="shared" si="947"/>
        <v>#DIV/0!</v>
      </c>
      <c r="AC441" s="20">
        <v>0</v>
      </c>
      <c r="AD441" s="36">
        <v>0</v>
      </c>
      <c r="AE441" s="35" t="e">
        <f t="shared" si="948"/>
        <v>#DIV/0!</v>
      </c>
      <c r="AF441" s="6" t="e">
        <f t="shared" si="949"/>
        <v>#DIV/0!</v>
      </c>
      <c r="AG441" s="68">
        <v>0</v>
      </c>
      <c r="AH441" s="66">
        <v>0</v>
      </c>
      <c r="AI441" s="35" t="e">
        <f t="shared" si="950"/>
        <v>#DIV/0!</v>
      </c>
      <c r="AJ441" s="6" t="e">
        <f t="shared" si="951"/>
        <v>#DIV/0!</v>
      </c>
      <c r="AK441" s="68">
        <v>0</v>
      </c>
      <c r="AL441" s="66">
        <v>0</v>
      </c>
      <c r="AM441" s="35" t="e">
        <f t="shared" si="952"/>
        <v>#DIV/0!</v>
      </c>
      <c r="AN441" s="6" t="e">
        <f t="shared" si="953"/>
        <v>#DIV/0!</v>
      </c>
      <c r="AO441" s="68">
        <v>0</v>
      </c>
      <c r="AP441" s="66">
        <v>0</v>
      </c>
      <c r="AQ441" s="35" t="e">
        <f t="shared" si="954"/>
        <v>#DIV/0!</v>
      </c>
      <c r="AR441" s="6" t="e">
        <f t="shared" si="955"/>
        <v>#DIV/0!</v>
      </c>
      <c r="AS441" s="68">
        <v>0</v>
      </c>
      <c r="AT441" s="66">
        <v>0</v>
      </c>
      <c r="AU441" s="35" t="e">
        <f t="shared" si="956"/>
        <v>#DIV/0!</v>
      </c>
      <c r="AV441" s="6" t="e">
        <f t="shared" si="957"/>
        <v>#DIV/0!</v>
      </c>
      <c r="AW441" s="68">
        <v>0</v>
      </c>
      <c r="AX441" s="66">
        <v>0</v>
      </c>
      <c r="AY441" s="35" t="e">
        <f t="shared" si="958"/>
        <v>#DIV/0!</v>
      </c>
      <c r="AZ441" s="6" t="e">
        <f t="shared" si="959"/>
        <v>#DIV/0!</v>
      </c>
      <c r="BA441" s="68">
        <v>0</v>
      </c>
      <c r="BB441" s="66">
        <v>0</v>
      </c>
      <c r="BC441" s="35" t="e">
        <f t="shared" si="960"/>
        <v>#DIV/0!</v>
      </c>
      <c r="BD441" s="11" t="e">
        <f t="shared" si="961"/>
        <v>#DIV/0!</v>
      </c>
    </row>
    <row r="442" spans="1:56" x14ac:dyDescent="0.25">
      <c r="A442" s="19" t="s">
        <v>6</v>
      </c>
      <c r="B442" s="8">
        <v>157280</v>
      </c>
      <c r="C442" s="35">
        <f>B442/F433</f>
        <v>163.83333333333334</v>
      </c>
      <c r="D442" s="8">
        <v>10950</v>
      </c>
      <c r="E442" s="68">
        <v>81460</v>
      </c>
      <c r="F442" s="69">
        <v>960</v>
      </c>
      <c r="G442" s="35">
        <f t="shared" si="936"/>
        <v>84.854166666666671</v>
      </c>
      <c r="H442" s="11">
        <f t="shared" si="937"/>
        <v>0.51792980671414035</v>
      </c>
      <c r="I442" s="35">
        <v>0</v>
      </c>
      <c r="J442" s="70">
        <v>0</v>
      </c>
      <c r="K442" s="35" t="e">
        <f t="shared" si="938"/>
        <v>#DIV/0!</v>
      </c>
      <c r="L442" s="6" t="e">
        <f t="shared" si="939"/>
        <v>#DIV/0!</v>
      </c>
      <c r="M442" s="68">
        <v>0</v>
      </c>
      <c r="N442" s="5">
        <v>0</v>
      </c>
      <c r="O442" s="35" t="e">
        <f t="shared" si="940"/>
        <v>#DIV/0!</v>
      </c>
      <c r="P442" s="11" t="e">
        <f t="shared" si="941"/>
        <v>#DIV/0!</v>
      </c>
      <c r="Q442" s="35">
        <v>0</v>
      </c>
      <c r="R442" s="66">
        <v>0</v>
      </c>
      <c r="S442" s="35" t="e">
        <f t="shared" si="942"/>
        <v>#DIV/0!</v>
      </c>
      <c r="T442" s="6" t="e">
        <f t="shared" si="943"/>
        <v>#DIV/0!</v>
      </c>
      <c r="U442" s="68">
        <v>0</v>
      </c>
      <c r="V442" s="66">
        <v>0</v>
      </c>
      <c r="W442" s="20" t="e">
        <f t="shared" si="944"/>
        <v>#DIV/0!</v>
      </c>
      <c r="X442" s="6" t="e">
        <f t="shared" si="945"/>
        <v>#DIV/0!</v>
      </c>
      <c r="Y442" s="68">
        <v>0</v>
      </c>
      <c r="Z442" s="70">
        <v>0</v>
      </c>
      <c r="AA442" s="35" t="e">
        <f t="shared" si="946"/>
        <v>#DIV/0!</v>
      </c>
      <c r="AB442" s="11" t="e">
        <f t="shared" si="947"/>
        <v>#DIV/0!</v>
      </c>
      <c r="AC442" s="20">
        <v>0</v>
      </c>
      <c r="AD442" s="36">
        <v>0</v>
      </c>
      <c r="AE442" s="35" t="e">
        <f t="shared" si="948"/>
        <v>#DIV/0!</v>
      </c>
      <c r="AF442" s="6" t="e">
        <f t="shared" si="949"/>
        <v>#DIV/0!</v>
      </c>
      <c r="AG442" s="68">
        <v>0</v>
      </c>
      <c r="AH442" s="66">
        <v>0</v>
      </c>
      <c r="AI442" s="35" t="e">
        <f t="shared" si="950"/>
        <v>#DIV/0!</v>
      </c>
      <c r="AJ442" s="6" t="e">
        <f t="shared" si="951"/>
        <v>#DIV/0!</v>
      </c>
      <c r="AK442" s="68">
        <v>0</v>
      </c>
      <c r="AL442" s="66">
        <v>0</v>
      </c>
      <c r="AM442" s="35" t="e">
        <f t="shared" si="952"/>
        <v>#DIV/0!</v>
      </c>
      <c r="AN442" s="6" t="e">
        <f t="shared" si="953"/>
        <v>#DIV/0!</v>
      </c>
      <c r="AO442" s="68">
        <v>0</v>
      </c>
      <c r="AP442" s="66">
        <v>0</v>
      </c>
      <c r="AQ442" s="35" t="e">
        <f t="shared" si="954"/>
        <v>#DIV/0!</v>
      </c>
      <c r="AR442" s="6" t="e">
        <f t="shared" si="955"/>
        <v>#DIV/0!</v>
      </c>
      <c r="AS442" s="68">
        <v>0</v>
      </c>
      <c r="AT442" s="66">
        <v>0</v>
      </c>
      <c r="AU442" s="35" t="e">
        <f t="shared" si="956"/>
        <v>#DIV/0!</v>
      </c>
      <c r="AV442" s="6" t="e">
        <f t="shared" si="957"/>
        <v>#DIV/0!</v>
      </c>
      <c r="AW442" s="68">
        <v>0</v>
      </c>
      <c r="AX442" s="66">
        <v>0</v>
      </c>
      <c r="AY442" s="35" t="e">
        <f t="shared" si="958"/>
        <v>#DIV/0!</v>
      </c>
      <c r="AZ442" s="6" t="e">
        <f t="shared" si="959"/>
        <v>#DIV/0!</v>
      </c>
      <c r="BA442" s="68">
        <v>0</v>
      </c>
      <c r="BB442" s="66">
        <v>0</v>
      </c>
      <c r="BC442" s="35" t="e">
        <f t="shared" si="960"/>
        <v>#DIV/0!</v>
      </c>
      <c r="BD442" s="11" t="e">
        <f t="shared" si="961"/>
        <v>#DIV/0!</v>
      </c>
    </row>
    <row r="443" spans="1:56" ht="15.75" thickBot="1" x14ac:dyDescent="0.3">
      <c r="A443" s="21"/>
      <c r="B443" s="22"/>
      <c r="C443" s="23">
        <f>AVERAGE(Table11033[MA $/Sq Ft])</f>
        <v>98.72172619047619</v>
      </c>
      <c r="D443" s="22">
        <f>AVERAGE(Table11033[Basic Allowance])</f>
        <v>4442.8571428571431</v>
      </c>
      <c r="E443" s="16"/>
      <c r="F443" s="22"/>
      <c r="G443" s="15"/>
      <c r="H443" s="24">
        <f>AVERAGE(Table11033[Bsmt % Base])</f>
        <v>0.51237166281590218</v>
      </c>
      <c r="I443" s="15"/>
      <c r="J443" s="15"/>
      <c r="K443" s="15"/>
      <c r="L443" s="25" t="e">
        <f>AVERAGE(Table11033[[#Headers],[#Data],[UnfBsmt % Base]])</f>
        <v>#DIV/0!</v>
      </c>
      <c r="M443" s="44"/>
      <c r="N443" s="15"/>
      <c r="O443" s="23" t="e">
        <f>AVERAGE(Table11033[LowerVal/SqFt])</f>
        <v>#DIV/0!</v>
      </c>
      <c r="P443" s="24" t="e">
        <f>AVERAGE(Table11033[Lower % Base])</f>
        <v>#DIV/0!</v>
      </c>
      <c r="Q443" s="13"/>
      <c r="R443" s="13"/>
      <c r="S443" s="13"/>
      <c r="T443" s="25" t="e">
        <f>AVERAGE(Table11033[Unf Lower % Base])</f>
        <v>#DIV/0!</v>
      </c>
      <c r="U443" s="12"/>
      <c r="V443" s="13"/>
      <c r="W443" s="13"/>
      <c r="X443" s="25" t="e">
        <f>AVERAGE(Table11033[1/2 Story % Base])</f>
        <v>#DIV/0!</v>
      </c>
      <c r="Y443" s="12"/>
      <c r="Z443" s="13"/>
      <c r="AA443" s="13"/>
      <c r="AB443" s="24" t="e">
        <f>AVERAGE(Table11033[2nd Story % Base])</f>
        <v>#DIV/0!</v>
      </c>
      <c r="AC443" s="13"/>
      <c r="AD443" s="13"/>
      <c r="AE443" s="23" t="e">
        <f>AVERAGE(Table11033[AttGarVal/SqFt])</f>
        <v>#DIV/0!</v>
      </c>
      <c r="AF443" s="25" t="e">
        <f>AVERAGE(Table11033[Att Gar % Base])</f>
        <v>#DIV/0!</v>
      </c>
      <c r="AG443" s="12"/>
      <c r="AH443" s="13"/>
      <c r="AI443" s="13"/>
      <c r="AJ443" s="25" t="e">
        <f>AVERAGE(Table11033[Porch % Base])</f>
        <v>#DIV/0!</v>
      </c>
      <c r="AK443" s="12"/>
      <c r="AL443" s="13"/>
      <c r="AM443" s="13"/>
      <c r="AN443" s="25" t="e">
        <f>AVERAGE(Table11033[Cov Porch % Base])</f>
        <v>#DIV/0!</v>
      </c>
      <c r="AO443" s="12"/>
      <c r="AP443" s="13"/>
      <c r="AQ443" s="13"/>
      <c r="AR443" s="25" t="e">
        <f>AVERAGE(Table11033[Deck % Base])</f>
        <v>#DIV/0!</v>
      </c>
      <c r="AS443" s="12"/>
      <c r="AT443" s="13"/>
      <c r="AU443" s="23" t="e">
        <f>AVERAGE(Table11033[CovDeckVal/SqFt])</f>
        <v>#DIV/0!</v>
      </c>
      <c r="AV443" s="25" t="e">
        <f>AVERAGE(Table11033[CovDeck % Base])</f>
        <v>#DIV/0!</v>
      </c>
      <c r="AW443" s="12"/>
      <c r="AX443" s="13"/>
      <c r="AY443" s="13"/>
      <c r="AZ443" s="25" t="e">
        <f>AVERAGE(Table11033[CarP % Base])</f>
        <v>#DIV/0!</v>
      </c>
      <c r="BA443" s="12"/>
      <c r="BB443" s="13"/>
      <c r="BC443" s="13"/>
      <c r="BD443" s="24" t="e">
        <f>AVERAGE(Table11033[EFP % Base])</f>
        <v>#DIV/0!</v>
      </c>
    </row>
    <row r="445" spans="1:56" ht="15.75" thickBot="1" x14ac:dyDescent="0.3">
      <c r="A445" s="82"/>
      <c r="B445" t="s">
        <v>79</v>
      </c>
      <c r="C445" s="78" t="s">
        <v>126</v>
      </c>
      <c r="E445" t="s">
        <v>33</v>
      </c>
      <c r="F445" s="79">
        <v>1856</v>
      </c>
      <c r="H445" t="s">
        <v>80</v>
      </c>
      <c r="I445" t="s">
        <v>134</v>
      </c>
    </row>
    <row r="446" spans="1:56" x14ac:dyDescent="0.25">
      <c r="A446" s="112"/>
      <c r="B446" s="113"/>
      <c r="C446" s="113"/>
      <c r="D446" s="114"/>
      <c r="E446" s="115" t="s">
        <v>27</v>
      </c>
      <c r="F446" s="116"/>
      <c r="G446" s="116"/>
      <c r="H446" s="117"/>
      <c r="I446" s="118" t="s">
        <v>28</v>
      </c>
      <c r="J446" s="119"/>
      <c r="K446" s="119"/>
      <c r="L446" s="120"/>
      <c r="M446" s="121" t="s">
        <v>7</v>
      </c>
      <c r="N446" s="122"/>
      <c r="O446" s="122"/>
      <c r="P446" s="123"/>
      <c r="Q446" s="124" t="s">
        <v>29</v>
      </c>
      <c r="R446" s="125"/>
      <c r="S446" s="125"/>
      <c r="T446" s="126"/>
      <c r="U446" s="127" t="s">
        <v>8</v>
      </c>
      <c r="V446" s="128"/>
      <c r="W446" s="128"/>
      <c r="X446" s="129"/>
      <c r="Y446" s="130" t="s">
        <v>0</v>
      </c>
      <c r="Z446" s="131"/>
      <c r="AA446" s="131"/>
      <c r="AB446" s="132"/>
      <c r="AC446" s="133" t="s">
        <v>34</v>
      </c>
      <c r="AD446" s="134"/>
      <c r="AE446" s="134"/>
      <c r="AF446" s="135"/>
      <c r="AG446" s="115" t="s">
        <v>9</v>
      </c>
      <c r="AH446" s="116"/>
      <c r="AI446" s="116"/>
      <c r="AJ446" s="117"/>
      <c r="AK446" s="136" t="s">
        <v>35</v>
      </c>
      <c r="AL446" s="137"/>
      <c r="AM446" s="137"/>
      <c r="AN446" s="138"/>
      <c r="AO446" s="139" t="s">
        <v>10</v>
      </c>
      <c r="AP446" s="140"/>
      <c r="AQ446" s="140"/>
      <c r="AR446" s="141"/>
      <c r="AS446" s="124" t="s">
        <v>36</v>
      </c>
      <c r="AT446" s="125"/>
      <c r="AU446" s="125"/>
      <c r="AV446" s="126"/>
      <c r="AW446" s="142" t="s">
        <v>11</v>
      </c>
      <c r="AX446" s="143"/>
      <c r="AY446" s="143"/>
      <c r="AZ446" s="144"/>
      <c r="BA446" s="148" t="s">
        <v>17</v>
      </c>
      <c r="BB446" s="149"/>
      <c r="BC446" s="149"/>
      <c r="BD446" s="150"/>
    </row>
    <row r="447" spans="1:56" s="1" customFormat="1" ht="15.75" thickBot="1" x14ac:dyDescent="0.3">
      <c r="A447" s="41" t="s">
        <v>13</v>
      </c>
      <c r="B447" s="42" t="s">
        <v>15</v>
      </c>
      <c r="C447" s="42" t="s">
        <v>32</v>
      </c>
      <c r="D447" s="43" t="s">
        <v>18</v>
      </c>
      <c r="E447" s="30" t="s">
        <v>30</v>
      </c>
      <c r="F447" s="31" t="s">
        <v>61</v>
      </c>
      <c r="G447" s="31" t="s">
        <v>38</v>
      </c>
      <c r="H447" s="32" t="s">
        <v>62</v>
      </c>
      <c r="I447" s="37" t="s">
        <v>31</v>
      </c>
      <c r="J447" s="38" t="s">
        <v>39</v>
      </c>
      <c r="K447" s="38" t="s">
        <v>40</v>
      </c>
      <c r="L447" s="39" t="s">
        <v>63</v>
      </c>
      <c r="M447" s="40" t="s">
        <v>19</v>
      </c>
      <c r="N447" s="7" t="s">
        <v>41</v>
      </c>
      <c r="O447" s="7" t="s">
        <v>37</v>
      </c>
      <c r="P447" s="7" t="s">
        <v>64</v>
      </c>
      <c r="Q447" s="27" t="s">
        <v>20</v>
      </c>
      <c r="R447" s="28" t="s">
        <v>60</v>
      </c>
      <c r="S447" s="28" t="s">
        <v>59</v>
      </c>
      <c r="T447" s="29" t="s">
        <v>65</v>
      </c>
      <c r="U447" s="48" t="s">
        <v>21</v>
      </c>
      <c r="V447" s="48" t="s">
        <v>42</v>
      </c>
      <c r="W447" s="48" t="s">
        <v>43</v>
      </c>
      <c r="X447" s="49" t="s">
        <v>66</v>
      </c>
      <c r="Y447" s="50" t="s">
        <v>22</v>
      </c>
      <c r="Z447" s="51" t="s">
        <v>44</v>
      </c>
      <c r="AA447" s="51" t="s">
        <v>45</v>
      </c>
      <c r="AB447" s="52" t="s">
        <v>67</v>
      </c>
      <c r="AC447" s="45" t="s">
        <v>23</v>
      </c>
      <c r="AD447" s="46" t="s">
        <v>46</v>
      </c>
      <c r="AE447" s="46" t="s">
        <v>47</v>
      </c>
      <c r="AF447" s="47" t="s">
        <v>68</v>
      </c>
      <c r="AG447" s="30" t="s">
        <v>24</v>
      </c>
      <c r="AH447" s="31" t="s">
        <v>48</v>
      </c>
      <c r="AI447" s="31" t="s">
        <v>49</v>
      </c>
      <c r="AJ447" s="32" t="s">
        <v>69</v>
      </c>
      <c r="AK447" s="53" t="s">
        <v>25</v>
      </c>
      <c r="AL447" s="54" t="s">
        <v>50</v>
      </c>
      <c r="AM447" s="54" t="s">
        <v>51</v>
      </c>
      <c r="AN447" s="55" t="s">
        <v>70</v>
      </c>
      <c r="AO447" s="56" t="s">
        <v>26</v>
      </c>
      <c r="AP447" s="57" t="s">
        <v>52</v>
      </c>
      <c r="AQ447" s="57" t="s">
        <v>53</v>
      </c>
      <c r="AR447" s="58" t="s">
        <v>71</v>
      </c>
      <c r="AS447" s="59" t="s">
        <v>55</v>
      </c>
      <c r="AT447" s="60" t="s">
        <v>54</v>
      </c>
      <c r="AU447" s="60" t="s">
        <v>56</v>
      </c>
      <c r="AV447" s="61" t="s">
        <v>76</v>
      </c>
      <c r="AW447" s="62" t="s">
        <v>72</v>
      </c>
      <c r="AX447" s="63" t="s">
        <v>73</v>
      </c>
      <c r="AY447" s="63" t="s">
        <v>74</v>
      </c>
      <c r="AZ447" s="64" t="s">
        <v>75</v>
      </c>
      <c r="BA447" s="71" t="s">
        <v>77</v>
      </c>
      <c r="BB447" s="72" t="s">
        <v>57</v>
      </c>
      <c r="BC447" s="72" t="s">
        <v>58</v>
      </c>
      <c r="BD447" s="73" t="s">
        <v>78</v>
      </c>
    </row>
    <row r="448" spans="1:56" ht="15.75" thickBot="1" x14ac:dyDescent="0.3">
      <c r="A448" s="17" t="s">
        <v>1</v>
      </c>
      <c r="B448" s="14">
        <v>88490</v>
      </c>
      <c r="C448" s="34">
        <f>B448/F445</f>
        <v>47.677801724137929</v>
      </c>
      <c r="D448" s="14">
        <v>1525</v>
      </c>
      <c r="E448" s="67">
        <v>0</v>
      </c>
      <c r="F448" s="69">
        <v>0</v>
      </c>
      <c r="G448" s="34" t="e">
        <f t="shared" ref="G448:G454" si="962">E448/F448</f>
        <v>#DIV/0!</v>
      </c>
      <c r="H448" s="10" t="e">
        <f t="shared" ref="H448:H454" si="963">G448/C448</f>
        <v>#DIV/0!</v>
      </c>
      <c r="I448" s="34">
        <v>0</v>
      </c>
      <c r="J448" s="69">
        <v>0</v>
      </c>
      <c r="K448" s="34" t="e">
        <f t="shared" ref="K448:K454" si="964">I448/J448</f>
        <v>#DIV/0!</v>
      </c>
      <c r="L448" s="9" t="e">
        <f t="shared" ref="L448:L454" si="965">K448/C448</f>
        <v>#DIV/0!</v>
      </c>
      <c r="M448" s="67">
        <v>0</v>
      </c>
      <c r="N448" s="26">
        <v>0</v>
      </c>
      <c r="O448" s="34" t="e">
        <f t="shared" ref="O448:O454" si="966">M448/N448</f>
        <v>#DIV/0!</v>
      </c>
      <c r="P448" s="10" t="e">
        <f t="shared" ref="P448:P454" si="967">O448/C448</f>
        <v>#DIV/0!</v>
      </c>
      <c r="Q448" s="35">
        <v>0</v>
      </c>
      <c r="R448" s="66">
        <v>0</v>
      </c>
      <c r="S448" s="35" t="e">
        <f t="shared" ref="S448:S454" si="968">Q448/R448</f>
        <v>#DIV/0!</v>
      </c>
      <c r="T448" s="6" t="e">
        <f t="shared" ref="T448:T454" si="969">S448/C448</f>
        <v>#DIV/0!</v>
      </c>
      <c r="U448" s="67">
        <v>0</v>
      </c>
      <c r="V448" s="65">
        <v>0</v>
      </c>
      <c r="W448" s="18" t="e">
        <f t="shared" ref="W448:W454" si="970">U448/V448</f>
        <v>#DIV/0!</v>
      </c>
      <c r="X448" s="9" t="e">
        <f t="shared" ref="X448:X454" si="971">W448/C448</f>
        <v>#DIV/0!</v>
      </c>
      <c r="Y448" s="67">
        <v>0</v>
      </c>
      <c r="Z448" s="69">
        <v>0</v>
      </c>
      <c r="AA448" s="34" t="e">
        <f t="shared" ref="AA448:AA454" si="972">Y448/Z448</f>
        <v>#DIV/0!</v>
      </c>
      <c r="AB448" s="10" t="e">
        <f t="shared" ref="AB448:AB454" si="973">AA448/C448</f>
        <v>#DIV/0!</v>
      </c>
      <c r="AC448" s="18">
        <v>6170</v>
      </c>
      <c r="AD448" s="33">
        <v>400</v>
      </c>
      <c r="AE448" s="34">
        <f t="shared" ref="AE448:AE454" si="974">AC448/AD448</f>
        <v>15.425000000000001</v>
      </c>
      <c r="AF448" s="9">
        <f t="shared" ref="AF448:AF454" si="975">AE448/C448</f>
        <v>0.32352582212679404</v>
      </c>
      <c r="AG448" s="67">
        <v>0</v>
      </c>
      <c r="AH448" s="65">
        <v>0</v>
      </c>
      <c r="AI448" s="34" t="e">
        <f t="shared" ref="AI448:AI454" si="976">AG448/AH448</f>
        <v>#DIV/0!</v>
      </c>
      <c r="AJ448" s="9" t="e">
        <f t="shared" ref="AJ448:AJ454" si="977">AI448/C448</f>
        <v>#DIV/0!</v>
      </c>
      <c r="AK448" s="67">
        <v>6200</v>
      </c>
      <c r="AL448" s="65">
        <v>520</v>
      </c>
      <c r="AM448" s="34">
        <f t="shared" ref="AM448:AM454" si="978">AK448/AL448</f>
        <v>11.923076923076923</v>
      </c>
      <c r="AN448" s="9">
        <f t="shared" ref="AN448:AN454" si="979">AM448/C448</f>
        <v>0.25007606248424424</v>
      </c>
      <c r="AO448" s="67">
        <v>0</v>
      </c>
      <c r="AP448" s="65">
        <v>0</v>
      </c>
      <c r="AQ448" s="34" t="e">
        <f t="shared" ref="AQ448:AQ454" si="980">AO448/AP448</f>
        <v>#DIV/0!</v>
      </c>
      <c r="AR448" s="9" t="e">
        <f t="shared" ref="AR448:AR454" si="981">AQ448/C448</f>
        <v>#DIV/0!</v>
      </c>
      <c r="AS448" s="67">
        <v>0</v>
      </c>
      <c r="AT448" s="65">
        <v>0</v>
      </c>
      <c r="AU448" s="34" t="e">
        <f t="shared" ref="AU448:AU454" si="982">AS448/AT448</f>
        <v>#DIV/0!</v>
      </c>
      <c r="AV448" s="9" t="e">
        <f t="shared" ref="AV448:AV454" si="983">AU448/C448</f>
        <v>#DIV/0!</v>
      </c>
      <c r="AW448" s="67">
        <v>0</v>
      </c>
      <c r="AX448" s="65">
        <v>0</v>
      </c>
      <c r="AY448" s="34" t="e">
        <f t="shared" ref="AY448:AY454" si="984">AW448/AX448</f>
        <v>#DIV/0!</v>
      </c>
      <c r="AZ448" s="9" t="e">
        <f t="shared" ref="AZ448:AZ454" si="985">AY448/C448</f>
        <v>#DIV/0!</v>
      </c>
      <c r="BA448" s="67">
        <v>0</v>
      </c>
      <c r="BB448" s="65">
        <v>0</v>
      </c>
      <c r="BC448" s="34" t="e">
        <f t="shared" ref="BC448:BC454" si="986">BA448/BB448</f>
        <v>#DIV/0!</v>
      </c>
      <c r="BD448" s="10" t="e">
        <f t="shared" ref="BD448:BD454" si="987">BC448/C448</f>
        <v>#DIV/0!</v>
      </c>
    </row>
    <row r="449" spans="1:56" ht="15.75" thickBot="1" x14ac:dyDescent="0.3">
      <c r="A449" s="19" t="s">
        <v>16</v>
      </c>
      <c r="B449" s="8">
        <v>104080</v>
      </c>
      <c r="C449" s="35">
        <f>B449/F445</f>
        <v>56.077586206896555</v>
      </c>
      <c r="D449" s="8">
        <v>1525</v>
      </c>
      <c r="E449" s="68">
        <v>0</v>
      </c>
      <c r="F449" s="70">
        <v>0</v>
      </c>
      <c r="G449" s="35" t="e">
        <f t="shared" si="962"/>
        <v>#DIV/0!</v>
      </c>
      <c r="H449" s="11" t="e">
        <f t="shared" si="963"/>
        <v>#DIV/0!</v>
      </c>
      <c r="I449" s="35">
        <v>0</v>
      </c>
      <c r="J449" s="70">
        <v>0</v>
      </c>
      <c r="K449" s="35" t="e">
        <f t="shared" si="964"/>
        <v>#DIV/0!</v>
      </c>
      <c r="L449" s="6" t="e">
        <f t="shared" si="965"/>
        <v>#DIV/0!</v>
      </c>
      <c r="M449" s="68">
        <v>0</v>
      </c>
      <c r="N449" s="5">
        <v>0</v>
      </c>
      <c r="O449" s="35" t="e">
        <f t="shared" si="966"/>
        <v>#DIV/0!</v>
      </c>
      <c r="P449" s="11" t="e">
        <f t="shared" si="967"/>
        <v>#DIV/0!</v>
      </c>
      <c r="Q449" s="35">
        <v>0</v>
      </c>
      <c r="R449" s="66">
        <v>0</v>
      </c>
      <c r="S449" s="35" t="e">
        <f t="shared" si="968"/>
        <v>#DIV/0!</v>
      </c>
      <c r="T449" s="6" t="e">
        <f t="shared" si="969"/>
        <v>#DIV/0!</v>
      </c>
      <c r="U449" s="68">
        <v>0</v>
      </c>
      <c r="V449" s="66">
        <v>0</v>
      </c>
      <c r="W449" s="20" t="e">
        <f t="shared" si="970"/>
        <v>#DIV/0!</v>
      </c>
      <c r="X449" s="6" t="e">
        <f t="shared" si="971"/>
        <v>#DIV/0!</v>
      </c>
      <c r="Y449" s="68">
        <v>0</v>
      </c>
      <c r="Z449" s="70">
        <v>0</v>
      </c>
      <c r="AA449" s="35" t="e">
        <f t="shared" si="972"/>
        <v>#DIV/0!</v>
      </c>
      <c r="AB449" s="11" t="e">
        <f t="shared" si="973"/>
        <v>#DIV/0!</v>
      </c>
      <c r="AC449" s="20">
        <v>8640</v>
      </c>
      <c r="AD449" s="33">
        <v>400</v>
      </c>
      <c r="AE449" s="35">
        <f t="shared" si="974"/>
        <v>21.6</v>
      </c>
      <c r="AF449" s="6">
        <f t="shared" si="975"/>
        <v>0.38518063028439664</v>
      </c>
      <c r="AG449" s="68">
        <v>0</v>
      </c>
      <c r="AH449" s="66">
        <v>0</v>
      </c>
      <c r="AI449" s="35" t="e">
        <f t="shared" si="976"/>
        <v>#DIV/0!</v>
      </c>
      <c r="AJ449" s="6" t="e">
        <f t="shared" si="977"/>
        <v>#DIV/0!</v>
      </c>
      <c r="AK449" s="68">
        <v>8620</v>
      </c>
      <c r="AL449" s="65">
        <v>520</v>
      </c>
      <c r="AM449" s="35">
        <f t="shared" si="978"/>
        <v>16.576923076923077</v>
      </c>
      <c r="AN449" s="6">
        <f t="shared" si="979"/>
        <v>0.29560692958079582</v>
      </c>
      <c r="AO449" s="68">
        <v>0</v>
      </c>
      <c r="AP449" s="66">
        <v>0</v>
      </c>
      <c r="AQ449" s="35" t="e">
        <f t="shared" si="980"/>
        <v>#DIV/0!</v>
      </c>
      <c r="AR449" s="6" t="e">
        <f t="shared" si="981"/>
        <v>#DIV/0!</v>
      </c>
      <c r="AS449" s="68">
        <v>0</v>
      </c>
      <c r="AT449" s="66">
        <v>0</v>
      </c>
      <c r="AU449" s="35" t="e">
        <f t="shared" si="982"/>
        <v>#DIV/0!</v>
      </c>
      <c r="AV449" s="6" t="e">
        <f t="shared" si="983"/>
        <v>#DIV/0!</v>
      </c>
      <c r="AW449" s="68">
        <v>0</v>
      </c>
      <c r="AX449" s="66">
        <v>0</v>
      </c>
      <c r="AY449" s="35" t="e">
        <f t="shared" si="984"/>
        <v>#DIV/0!</v>
      </c>
      <c r="AZ449" s="6" t="e">
        <f t="shared" si="985"/>
        <v>#DIV/0!</v>
      </c>
      <c r="BA449" s="68">
        <v>0</v>
      </c>
      <c r="BB449" s="66">
        <v>0</v>
      </c>
      <c r="BC449" s="35" t="e">
        <f t="shared" si="986"/>
        <v>#DIV/0!</v>
      </c>
      <c r="BD449" s="11" t="e">
        <f t="shared" si="987"/>
        <v>#DIV/0!</v>
      </c>
    </row>
    <row r="450" spans="1:56" ht="15.75" thickBot="1" x14ac:dyDescent="0.3">
      <c r="A450" s="19" t="s">
        <v>2</v>
      </c>
      <c r="B450" s="8">
        <v>121370</v>
      </c>
      <c r="C450" s="35">
        <f>B450/F445</f>
        <v>65.393318965517238</v>
      </c>
      <c r="D450" s="8">
        <v>2100</v>
      </c>
      <c r="E450" s="68">
        <v>0</v>
      </c>
      <c r="F450" s="70">
        <v>0</v>
      </c>
      <c r="G450" s="35" t="e">
        <f t="shared" si="962"/>
        <v>#DIV/0!</v>
      </c>
      <c r="H450" s="11" t="e">
        <f t="shared" si="963"/>
        <v>#DIV/0!</v>
      </c>
      <c r="I450" s="35">
        <v>0</v>
      </c>
      <c r="J450" s="70">
        <v>0</v>
      </c>
      <c r="K450" s="35" t="e">
        <f t="shared" si="964"/>
        <v>#DIV/0!</v>
      </c>
      <c r="L450" s="6" t="e">
        <f t="shared" si="965"/>
        <v>#DIV/0!</v>
      </c>
      <c r="M450" s="68">
        <v>0</v>
      </c>
      <c r="N450" s="5">
        <v>0</v>
      </c>
      <c r="O450" s="35" t="e">
        <f t="shared" si="966"/>
        <v>#DIV/0!</v>
      </c>
      <c r="P450" s="11" t="e">
        <f t="shared" si="967"/>
        <v>#DIV/0!</v>
      </c>
      <c r="Q450" s="35">
        <v>0</v>
      </c>
      <c r="R450" s="66">
        <v>0</v>
      </c>
      <c r="S450" s="35" t="e">
        <f t="shared" si="968"/>
        <v>#DIV/0!</v>
      </c>
      <c r="T450" s="6" t="e">
        <f t="shared" si="969"/>
        <v>#DIV/0!</v>
      </c>
      <c r="U450" s="68">
        <v>0</v>
      </c>
      <c r="V450" s="66">
        <v>0</v>
      </c>
      <c r="W450" s="20" t="e">
        <f t="shared" si="970"/>
        <v>#DIV/0!</v>
      </c>
      <c r="X450" s="6" t="e">
        <f t="shared" si="971"/>
        <v>#DIV/0!</v>
      </c>
      <c r="Y450" s="68">
        <v>0</v>
      </c>
      <c r="Z450" s="70">
        <v>0</v>
      </c>
      <c r="AA450" s="35" t="e">
        <f t="shared" si="972"/>
        <v>#DIV/0!</v>
      </c>
      <c r="AB450" s="11" t="e">
        <f t="shared" si="973"/>
        <v>#DIV/0!</v>
      </c>
      <c r="AC450" s="20">
        <v>10350</v>
      </c>
      <c r="AD450" s="33">
        <v>400</v>
      </c>
      <c r="AE450" s="35">
        <f t="shared" si="974"/>
        <v>25.875</v>
      </c>
      <c r="AF450" s="6">
        <f t="shared" si="975"/>
        <v>0.39568262338304361</v>
      </c>
      <c r="AG450" s="68">
        <v>0</v>
      </c>
      <c r="AH450" s="66">
        <v>0</v>
      </c>
      <c r="AI450" s="35" t="e">
        <f t="shared" si="976"/>
        <v>#DIV/0!</v>
      </c>
      <c r="AJ450" s="6" t="e">
        <f t="shared" si="977"/>
        <v>#DIV/0!</v>
      </c>
      <c r="AK450" s="68">
        <v>9740</v>
      </c>
      <c r="AL450" s="65">
        <v>520</v>
      </c>
      <c r="AM450" s="35">
        <f t="shared" si="978"/>
        <v>18.73076923076923</v>
      </c>
      <c r="AN450" s="6">
        <f t="shared" si="979"/>
        <v>0.28643246018215118</v>
      </c>
      <c r="AO450" s="68">
        <v>0</v>
      </c>
      <c r="AP450" s="66">
        <v>0</v>
      </c>
      <c r="AQ450" s="35" t="e">
        <f t="shared" si="980"/>
        <v>#DIV/0!</v>
      </c>
      <c r="AR450" s="6" t="e">
        <f t="shared" si="981"/>
        <v>#DIV/0!</v>
      </c>
      <c r="AS450" s="68">
        <v>0</v>
      </c>
      <c r="AT450" s="66">
        <v>0</v>
      </c>
      <c r="AU450" s="35" t="e">
        <f t="shared" si="982"/>
        <v>#DIV/0!</v>
      </c>
      <c r="AV450" s="6" t="e">
        <f t="shared" si="983"/>
        <v>#DIV/0!</v>
      </c>
      <c r="AW450" s="68">
        <v>0</v>
      </c>
      <c r="AX450" s="66">
        <v>0</v>
      </c>
      <c r="AY450" s="35" t="e">
        <f t="shared" si="984"/>
        <v>#DIV/0!</v>
      </c>
      <c r="AZ450" s="6" t="e">
        <f t="shared" si="985"/>
        <v>#DIV/0!</v>
      </c>
      <c r="BA450" s="68">
        <v>0</v>
      </c>
      <c r="BB450" s="66">
        <v>0</v>
      </c>
      <c r="BC450" s="35" t="e">
        <f t="shared" si="986"/>
        <v>#DIV/0!</v>
      </c>
      <c r="BD450" s="11" t="e">
        <f t="shared" si="987"/>
        <v>#DIV/0!</v>
      </c>
    </row>
    <row r="451" spans="1:56" ht="15.75" thickBot="1" x14ac:dyDescent="0.3">
      <c r="A451" s="19" t="s">
        <v>3</v>
      </c>
      <c r="B451" s="8">
        <v>147540</v>
      </c>
      <c r="C451" s="35">
        <f>B451/F445</f>
        <v>79.493534482758619</v>
      </c>
      <c r="D451" s="8">
        <v>2700</v>
      </c>
      <c r="E451" s="68">
        <v>0</v>
      </c>
      <c r="F451" s="70">
        <v>0</v>
      </c>
      <c r="G451" s="35" t="e">
        <f t="shared" si="962"/>
        <v>#DIV/0!</v>
      </c>
      <c r="H451" s="11" t="e">
        <f t="shared" si="963"/>
        <v>#DIV/0!</v>
      </c>
      <c r="I451" s="35">
        <v>0</v>
      </c>
      <c r="J451" s="70">
        <v>0</v>
      </c>
      <c r="K451" s="35" t="e">
        <f t="shared" si="964"/>
        <v>#DIV/0!</v>
      </c>
      <c r="L451" s="6" t="e">
        <f t="shared" si="965"/>
        <v>#DIV/0!</v>
      </c>
      <c r="M451" s="68">
        <v>0</v>
      </c>
      <c r="N451" s="5">
        <v>0</v>
      </c>
      <c r="O451" s="35" t="e">
        <f t="shared" si="966"/>
        <v>#DIV/0!</v>
      </c>
      <c r="P451" s="11" t="e">
        <f t="shared" si="967"/>
        <v>#DIV/0!</v>
      </c>
      <c r="Q451" s="35">
        <v>0</v>
      </c>
      <c r="R451" s="66">
        <v>0</v>
      </c>
      <c r="S451" s="35" t="e">
        <f t="shared" si="968"/>
        <v>#DIV/0!</v>
      </c>
      <c r="T451" s="6" t="e">
        <f t="shared" si="969"/>
        <v>#DIV/0!</v>
      </c>
      <c r="U451" s="68">
        <v>0</v>
      </c>
      <c r="V451" s="66">
        <v>0</v>
      </c>
      <c r="W451" s="20" t="e">
        <f t="shared" si="970"/>
        <v>#DIV/0!</v>
      </c>
      <c r="X451" s="6" t="e">
        <f t="shared" si="971"/>
        <v>#DIV/0!</v>
      </c>
      <c r="Y451" s="68">
        <v>0</v>
      </c>
      <c r="Z451" s="70">
        <v>0</v>
      </c>
      <c r="AA451" s="35" t="e">
        <f t="shared" si="972"/>
        <v>#DIV/0!</v>
      </c>
      <c r="AB451" s="11" t="e">
        <f t="shared" si="973"/>
        <v>#DIV/0!</v>
      </c>
      <c r="AC451" s="20">
        <v>10910</v>
      </c>
      <c r="AD451" s="33">
        <v>400</v>
      </c>
      <c r="AE451" s="35">
        <f t="shared" si="974"/>
        <v>27.274999999999999</v>
      </c>
      <c r="AF451" s="6">
        <f t="shared" si="975"/>
        <v>0.34310966517554559</v>
      </c>
      <c r="AG451" s="68">
        <v>0</v>
      </c>
      <c r="AH451" s="66">
        <v>0</v>
      </c>
      <c r="AI451" s="35" t="e">
        <f t="shared" si="976"/>
        <v>#DIV/0!</v>
      </c>
      <c r="AJ451" s="6" t="e">
        <f t="shared" si="977"/>
        <v>#DIV/0!</v>
      </c>
      <c r="AK451" s="68">
        <v>12000</v>
      </c>
      <c r="AL451" s="65">
        <v>520</v>
      </c>
      <c r="AM451" s="35">
        <f t="shared" si="978"/>
        <v>23.076923076923077</v>
      </c>
      <c r="AN451" s="6">
        <f t="shared" si="979"/>
        <v>0.2902993712265774</v>
      </c>
      <c r="AO451" s="68">
        <v>0</v>
      </c>
      <c r="AP451" s="66">
        <v>0</v>
      </c>
      <c r="AQ451" s="35" t="e">
        <f t="shared" si="980"/>
        <v>#DIV/0!</v>
      </c>
      <c r="AR451" s="6" t="e">
        <f t="shared" si="981"/>
        <v>#DIV/0!</v>
      </c>
      <c r="AS451" s="68">
        <v>0</v>
      </c>
      <c r="AT451" s="66">
        <v>0</v>
      </c>
      <c r="AU451" s="35" t="e">
        <f t="shared" si="982"/>
        <v>#DIV/0!</v>
      </c>
      <c r="AV451" s="6" t="e">
        <f t="shared" si="983"/>
        <v>#DIV/0!</v>
      </c>
      <c r="AW451" s="68">
        <v>0</v>
      </c>
      <c r="AX451" s="66">
        <v>0</v>
      </c>
      <c r="AY451" s="35" t="e">
        <f t="shared" si="984"/>
        <v>#DIV/0!</v>
      </c>
      <c r="AZ451" s="6" t="e">
        <f t="shared" si="985"/>
        <v>#DIV/0!</v>
      </c>
      <c r="BA451" s="68">
        <v>0</v>
      </c>
      <c r="BB451" s="66">
        <v>0</v>
      </c>
      <c r="BC451" s="35" t="e">
        <f t="shared" si="986"/>
        <v>#DIV/0!</v>
      </c>
      <c r="BD451" s="11" t="e">
        <f t="shared" si="987"/>
        <v>#DIV/0!</v>
      </c>
    </row>
    <row r="452" spans="1:56" ht="15.75" thickBot="1" x14ac:dyDescent="0.3">
      <c r="A452" s="19" t="s">
        <v>4</v>
      </c>
      <c r="B452" s="8">
        <v>182470</v>
      </c>
      <c r="C452" s="35">
        <f>B452/F445</f>
        <v>98.31357758620689</v>
      </c>
      <c r="D452" s="8">
        <v>5250</v>
      </c>
      <c r="E452" s="68">
        <v>0</v>
      </c>
      <c r="F452" s="70">
        <v>0</v>
      </c>
      <c r="G452" s="35" t="e">
        <f t="shared" si="962"/>
        <v>#DIV/0!</v>
      </c>
      <c r="H452" s="11" t="e">
        <f t="shared" si="963"/>
        <v>#DIV/0!</v>
      </c>
      <c r="I452" s="35">
        <v>0</v>
      </c>
      <c r="J452" s="70">
        <v>0</v>
      </c>
      <c r="K452" s="35" t="e">
        <f t="shared" si="964"/>
        <v>#DIV/0!</v>
      </c>
      <c r="L452" s="6" t="e">
        <f t="shared" si="965"/>
        <v>#DIV/0!</v>
      </c>
      <c r="M452" s="68">
        <v>0</v>
      </c>
      <c r="N452" s="5">
        <v>0</v>
      </c>
      <c r="O452" s="35" t="e">
        <f t="shared" si="966"/>
        <v>#DIV/0!</v>
      </c>
      <c r="P452" s="11" t="e">
        <f t="shared" si="967"/>
        <v>#DIV/0!</v>
      </c>
      <c r="Q452" s="35">
        <v>0</v>
      </c>
      <c r="R452" s="66">
        <v>0</v>
      </c>
      <c r="S452" s="35" t="e">
        <f t="shared" si="968"/>
        <v>#DIV/0!</v>
      </c>
      <c r="T452" s="6" t="e">
        <f t="shared" si="969"/>
        <v>#DIV/0!</v>
      </c>
      <c r="U452" s="68">
        <v>0</v>
      </c>
      <c r="V452" s="66">
        <v>0</v>
      </c>
      <c r="W452" s="20" t="e">
        <f t="shared" si="970"/>
        <v>#DIV/0!</v>
      </c>
      <c r="X452" s="6" t="e">
        <f t="shared" si="971"/>
        <v>#DIV/0!</v>
      </c>
      <c r="Y452" s="68">
        <v>0</v>
      </c>
      <c r="Z452" s="70">
        <v>0</v>
      </c>
      <c r="AA452" s="35" t="e">
        <f t="shared" si="972"/>
        <v>#DIV/0!</v>
      </c>
      <c r="AB452" s="11" t="e">
        <f t="shared" si="973"/>
        <v>#DIV/0!</v>
      </c>
      <c r="AC452" s="20">
        <v>12460</v>
      </c>
      <c r="AD452" s="33">
        <v>400</v>
      </c>
      <c r="AE452" s="35">
        <f t="shared" si="974"/>
        <v>31.15</v>
      </c>
      <c r="AF452" s="6">
        <f t="shared" si="975"/>
        <v>0.31684331670959609</v>
      </c>
      <c r="AG452" s="68">
        <v>0</v>
      </c>
      <c r="AH452" s="66">
        <v>0</v>
      </c>
      <c r="AI452" s="35" t="e">
        <f t="shared" si="976"/>
        <v>#DIV/0!</v>
      </c>
      <c r="AJ452" s="6" t="e">
        <f t="shared" si="977"/>
        <v>#DIV/0!</v>
      </c>
      <c r="AK452" s="68">
        <v>14100</v>
      </c>
      <c r="AL452" s="65">
        <v>520</v>
      </c>
      <c r="AM452" s="35">
        <f t="shared" si="978"/>
        <v>27.115384615384617</v>
      </c>
      <c r="AN452" s="6">
        <f t="shared" si="979"/>
        <v>0.27580508492439226</v>
      </c>
      <c r="AO452" s="68">
        <v>0</v>
      </c>
      <c r="AP452" s="66">
        <v>0</v>
      </c>
      <c r="AQ452" s="35" t="e">
        <f t="shared" si="980"/>
        <v>#DIV/0!</v>
      </c>
      <c r="AR452" s="6" t="e">
        <f t="shared" si="981"/>
        <v>#DIV/0!</v>
      </c>
      <c r="AS452" s="68">
        <v>0</v>
      </c>
      <c r="AT452" s="66">
        <v>0</v>
      </c>
      <c r="AU452" s="35" t="e">
        <f t="shared" si="982"/>
        <v>#DIV/0!</v>
      </c>
      <c r="AV452" s="6" t="e">
        <f t="shared" si="983"/>
        <v>#DIV/0!</v>
      </c>
      <c r="AW452" s="68">
        <v>0</v>
      </c>
      <c r="AX452" s="66">
        <v>0</v>
      </c>
      <c r="AY452" s="35" t="e">
        <f t="shared" si="984"/>
        <v>#DIV/0!</v>
      </c>
      <c r="AZ452" s="6" t="e">
        <f t="shared" si="985"/>
        <v>#DIV/0!</v>
      </c>
      <c r="BA452" s="68">
        <v>0</v>
      </c>
      <c r="BB452" s="66">
        <v>0</v>
      </c>
      <c r="BC452" s="35" t="e">
        <f t="shared" si="986"/>
        <v>#DIV/0!</v>
      </c>
      <c r="BD452" s="11" t="e">
        <f t="shared" si="987"/>
        <v>#DIV/0!</v>
      </c>
    </row>
    <row r="453" spans="1:56" ht="15.75" thickBot="1" x14ac:dyDescent="0.3">
      <c r="A453" s="19" t="s">
        <v>5</v>
      </c>
      <c r="B453" s="8">
        <v>242770</v>
      </c>
      <c r="C453" s="35">
        <f>B453/F445</f>
        <v>130.80280172413794</v>
      </c>
      <c r="D453" s="8">
        <v>7050</v>
      </c>
      <c r="E453" s="68">
        <v>0</v>
      </c>
      <c r="F453" s="70">
        <v>0</v>
      </c>
      <c r="G453" s="35" t="e">
        <f t="shared" si="962"/>
        <v>#DIV/0!</v>
      </c>
      <c r="H453" s="11" t="e">
        <f t="shared" si="963"/>
        <v>#DIV/0!</v>
      </c>
      <c r="I453" s="35">
        <v>0</v>
      </c>
      <c r="J453" s="70">
        <v>0</v>
      </c>
      <c r="K453" s="35" t="e">
        <f t="shared" si="964"/>
        <v>#DIV/0!</v>
      </c>
      <c r="L453" s="6" t="e">
        <f t="shared" si="965"/>
        <v>#DIV/0!</v>
      </c>
      <c r="M453" s="68">
        <v>0</v>
      </c>
      <c r="N453" s="5">
        <v>0</v>
      </c>
      <c r="O453" s="35" t="e">
        <f t="shared" si="966"/>
        <v>#DIV/0!</v>
      </c>
      <c r="P453" s="11" t="e">
        <f t="shared" si="967"/>
        <v>#DIV/0!</v>
      </c>
      <c r="Q453" s="35">
        <v>0</v>
      </c>
      <c r="R453" s="66">
        <v>0</v>
      </c>
      <c r="S453" s="35" t="e">
        <f t="shared" si="968"/>
        <v>#DIV/0!</v>
      </c>
      <c r="T453" s="6" t="e">
        <f t="shared" si="969"/>
        <v>#DIV/0!</v>
      </c>
      <c r="U453" s="68">
        <v>0</v>
      </c>
      <c r="V453" s="66">
        <v>0</v>
      </c>
      <c r="W453" s="20" t="e">
        <f t="shared" si="970"/>
        <v>#DIV/0!</v>
      </c>
      <c r="X453" s="6" t="e">
        <f t="shared" si="971"/>
        <v>#DIV/0!</v>
      </c>
      <c r="Y453" s="68">
        <v>0</v>
      </c>
      <c r="Z453" s="70">
        <v>0</v>
      </c>
      <c r="AA453" s="35" t="e">
        <f t="shared" si="972"/>
        <v>#DIV/0!</v>
      </c>
      <c r="AB453" s="11" t="e">
        <f t="shared" si="973"/>
        <v>#DIV/0!</v>
      </c>
      <c r="AC453" s="20">
        <v>14360</v>
      </c>
      <c r="AD453" s="33">
        <v>400</v>
      </c>
      <c r="AE453" s="35">
        <f t="shared" si="974"/>
        <v>35.9</v>
      </c>
      <c r="AF453" s="6">
        <f t="shared" si="975"/>
        <v>0.27445895291840011</v>
      </c>
      <c r="AG453" s="68">
        <v>0</v>
      </c>
      <c r="AH453" s="66">
        <v>0</v>
      </c>
      <c r="AI453" s="35" t="e">
        <f t="shared" si="976"/>
        <v>#DIV/0!</v>
      </c>
      <c r="AJ453" s="6" t="e">
        <f t="shared" si="977"/>
        <v>#DIV/0!</v>
      </c>
      <c r="AK453" s="68">
        <v>16670</v>
      </c>
      <c r="AL453" s="65">
        <v>520</v>
      </c>
      <c r="AM453" s="35">
        <f t="shared" si="978"/>
        <v>32.057692307692307</v>
      </c>
      <c r="AN453" s="6">
        <f t="shared" si="979"/>
        <v>0.24508414105151757</v>
      </c>
      <c r="AO453" s="68">
        <v>0</v>
      </c>
      <c r="AP453" s="66">
        <v>0</v>
      </c>
      <c r="AQ453" s="35" t="e">
        <f t="shared" si="980"/>
        <v>#DIV/0!</v>
      </c>
      <c r="AR453" s="6" t="e">
        <f t="shared" si="981"/>
        <v>#DIV/0!</v>
      </c>
      <c r="AS453" s="68">
        <v>0</v>
      </c>
      <c r="AT453" s="66">
        <v>0</v>
      </c>
      <c r="AU453" s="35" t="e">
        <f t="shared" si="982"/>
        <v>#DIV/0!</v>
      </c>
      <c r="AV453" s="6" t="e">
        <f t="shared" si="983"/>
        <v>#DIV/0!</v>
      </c>
      <c r="AW453" s="68">
        <v>0</v>
      </c>
      <c r="AX453" s="66">
        <v>0</v>
      </c>
      <c r="AY453" s="35" t="e">
        <f t="shared" si="984"/>
        <v>#DIV/0!</v>
      </c>
      <c r="AZ453" s="6" t="e">
        <f t="shared" si="985"/>
        <v>#DIV/0!</v>
      </c>
      <c r="BA453" s="68">
        <v>0</v>
      </c>
      <c r="BB453" s="66">
        <v>0</v>
      </c>
      <c r="BC453" s="35" t="e">
        <f t="shared" si="986"/>
        <v>#DIV/0!</v>
      </c>
      <c r="BD453" s="11" t="e">
        <f t="shared" si="987"/>
        <v>#DIV/0!</v>
      </c>
    </row>
    <row r="454" spans="1:56" x14ac:dyDescent="0.25">
      <c r="A454" s="19" t="s">
        <v>6</v>
      </c>
      <c r="B454" s="8">
        <v>295240</v>
      </c>
      <c r="C454" s="35">
        <f>B454/F445</f>
        <v>159.07327586206895</v>
      </c>
      <c r="D454" s="8">
        <v>10950</v>
      </c>
      <c r="E454" s="68">
        <v>0</v>
      </c>
      <c r="F454" s="70">
        <v>0</v>
      </c>
      <c r="G454" s="35" t="e">
        <f t="shared" si="962"/>
        <v>#DIV/0!</v>
      </c>
      <c r="H454" s="11" t="e">
        <f t="shared" si="963"/>
        <v>#DIV/0!</v>
      </c>
      <c r="I454" s="35">
        <v>0</v>
      </c>
      <c r="J454" s="70">
        <v>0</v>
      </c>
      <c r="K454" s="35" t="e">
        <f t="shared" si="964"/>
        <v>#DIV/0!</v>
      </c>
      <c r="L454" s="6" t="e">
        <f t="shared" si="965"/>
        <v>#DIV/0!</v>
      </c>
      <c r="M454" s="68">
        <v>0</v>
      </c>
      <c r="N454" s="5">
        <v>0</v>
      </c>
      <c r="O454" s="35" t="e">
        <f t="shared" si="966"/>
        <v>#DIV/0!</v>
      </c>
      <c r="P454" s="11" t="e">
        <f t="shared" si="967"/>
        <v>#DIV/0!</v>
      </c>
      <c r="Q454" s="35">
        <v>0</v>
      </c>
      <c r="R454" s="66">
        <v>0</v>
      </c>
      <c r="S454" s="35" t="e">
        <f t="shared" si="968"/>
        <v>#DIV/0!</v>
      </c>
      <c r="T454" s="6" t="e">
        <f t="shared" si="969"/>
        <v>#DIV/0!</v>
      </c>
      <c r="U454" s="68">
        <v>0</v>
      </c>
      <c r="V454" s="66">
        <v>0</v>
      </c>
      <c r="W454" s="20" t="e">
        <f t="shared" si="970"/>
        <v>#DIV/0!</v>
      </c>
      <c r="X454" s="6" t="e">
        <f t="shared" si="971"/>
        <v>#DIV/0!</v>
      </c>
      <c r="Y454" s="68">
        <v>0</v>
      </c>
      <c r="Z454" s="70">
        <v>0</v>
      </c>
      <c r="AA454" s="35" t="e">
        <f t="shared" si="972"/>
        <v>#DIV/0!</v>
      </c>
      <c r="AB454" s="11" t="e">
        <f t="shared" si="973"/>
        <v>#DIV/0!</v>
      </c>
      <c r="AC454" s="20">
        <v>20450</v>
      </c>
      <c r="AD454" s="33">
        <v>400</v>
      </c>
      <c r="AE454" s="35">
        <f t="shared" si="974"/>
        <v>51.125</v>
      </c>
      <c r="AF454" s="6">
        <f t="shared" si="975"/>
        <v>0.32139276520796645</v>
      </c>
      <c r="AG454" s="68">
        <v>0</v>
      </c>
      <c r="AH454" s="66">
        <v>0</v>
      </c>
      <c r="AI454" s="35" t="e">
        <f t="shared" si="976"/>
        <v>#DIV/0!</v>
      </c>
      <c r="AJ454" s="6" t="e">
        <f t="shared" si="977"/>
        <v>#DIV/0!</v>
      </c>
      <c r="AK454" s="68">
        <v>19060</v>
      </c>
      <c r="AL454" s="65">
        <v>520</v>
      </c>
      <c r="AM454" s="35">
        <f t="shared" si="978"/>
        <v>36.653846153846153</v>
      </c>
      <c r="AN454" s="6">
        <f t="shared" si="979"/>
        <v>0.23042114368492908</v>
      </c>
      <c r="AO454" s="68">
        <v>0</v>
      </c>
      <c r="AP454" s="66">
        <v>0</v>
      </c>
      <c r="AQ454" s="35" t="e">
        <f t="shared" si="980"/>
        <v>#DIV/0!</v>
      </c>
      <c r="AR454" s="6" t="e">
        <f t="shared" si="981"/>
        <v>#DIV/0!</v>
      </c>
      <c r="AS454" s="68">
        <v>0</v>
      </c>
      <c r="AT454" s="66">
        <v>0</v>
      </c>
      <c r="AU454" s="35" t="e">
        <f t="shared" si="982"/>
        <v>#DIV/0!</v>
      </c>
      <c r="AV454" s="6" t="e">
        <f t="shared" si="983"/>
        <v>#DIV/0!</v>
      </c>
      <c r="AW454" s="68">
        <v>0</v>
      </c>
      <c r="AX454" s="66">
        <v>0</v>
      </c>
      <c r="AY454" s="35" t="e">
        <f t="shared" si="984"/>
        <v>#DIV/0!</v>
      </c>
      <c r="AZ454" s="6" t="e">
        <f t="shared" si="985"/>
        <v>#DIV/0!</v>
      </c>
      <c r="BA454" s="68">
        <v>0</v>
      </c>
      <c r="BB454" s="66">
        <v>0</v>
      </c>
      <c r="BC454" s="35" t="e">
        <f t="shared" si="986"/>
        <v>#DIV/0!</v>
      </c>
      <c r="BD454" s="11" t="e">
        <f t="shared" si="987"/>
        <v>#DIV/0!</v>
      </c>
    </row>
    <row r="455" spans="1:56" ht="15.75" thickBot="1" x14ac:dyDescent="0.3">
      <c r="A455" s="21"/>
      <c r="B455" s="22"/>
      <c r="C455" s="23">
        <f>AVERAGE(Table11034[MA $/Sq Ft])</f>
        <v>90.975985221674861</v>
      </c>
      <c r="D455" s="22">
        <f>AVERAGE(Table11034[Basic Allowance])</f>
        <v>4442.8571428571431</v>
      </c>
      <c r="E455" s="16"/>
      <c r="F455" s="22"/>
      <c r="G455" s="15"/>
      <c r="H455" s="24" t="e">
        <f>AVERAGE(Table11034[Bsmt % Base])</f>
        <v>#DIV/0!</v>
      </c>
      <c r="I455" s="15"/>
      <c r="J455" s="15"/>
      <c r="K455" s="15"/>
      <c r="L455" s="25" t="e">
        <f>AVERAGE(Table11034[[#Headers],[#Data],[UnfBsmt % Base]])</f>
        <v>#DIV/0!</v>
      </c>
      <c r="M455" s="44"/>
      <c r="N455" s="15"/>
      <c r="O455" s="23" t="e">
        <f>AVERAGE(Table11034[LowerVal/SqFt])</f>
        <v>#DIV/0!</v>
      </c>
      <c r="P455" s="24" t="e">
        <f>AVERAGE(Table11034[Lower % Base])</f>
        <v>#DIV/0!</v>
      </c>
      <c r="Q455" s="13"/>
      <c r="R455" s="13"/>
      <c r="S455" s="13"/>
      <c r="T455" s="25" t="e">
        <f>AVERAGE(Table11034[Unf Lower % Base])</f>
        <v>#DIV/0!</v>
      </c>
      <c r="U455" s="12"/>
      <c r="V455" s="13"/>
      <c r="W455" s="13"/>
      <c r="X455" s="25" t="e">
        <f>AVERAGE(Table11034[1/2 Story % Base])</f>
        <v>#DIV/0!</v>
      </c>
      <c r="Y455" s="12"/>
      <c r="Z455" s="13"/>
      <c r="AA455" s="13"/>
      <c r="AB455" s="24" t="e">
        <f>AVERAGE(Table11034[2nd Story % Base])</f>
        <v>#DIV/0!</v>
      </c>
      <c r="AC455" s="13"/>
      <c r="AD455" s="13"/>
      <c r="AE455" s="23">
        <f>AVERAGE(Table11034[AttGarVal/SqFt])</f>
        <v>29.764285714285716</v>
      </c>
      <c r="AF455" s="25">
        <f>AVERAGE(Table11034[Att Gar % Base])</f>
        <v>0.33717053940082042</v>
      </c>
      <c r="AG455" s="12"/>
      <c r="AH455" s="13"/>
      <c r="AI455" s="13"/>
      <c r="AJ455" s="25" t="e">
        <f>AVERAGE(Table11034[Porch % Base])</f>
        <v>#DIV/0!</v>
      </c>
      <c r="AK455" s="12"/>
      <c r="AL455" s="13"/>
      <c r="AM455" s="13"/>
      <c r="AN455" s="25">
        <f>AVERAGE(Table11034[Cov Porch % Base])</f>
        <v>0.26767502759065825</v>
      </c>
      <c r="AO455" s="12"/>
      <c r="AP455" s="13"/>
      <c r="AQ455" s="13"/>
      <c r="AR455" s="25" t="e">
        <f>AVERAGE(Table11034[Deck % Base])</f>
        <v>#DIV/0!</v>
      </c>
      <c r="AS455" s="12"/>
      <c r="AT455" s="13"/>
      <c r="AU455" s="23" t="e">
        <f>AVERAGE(Table11034[CovDeckVal/SqFt])</f>
        <v>#DIV/0!</v>
      </c>
      <c r="AV455" s="25" t="e">
        <f>AVERAGE(Table11034[CovDeck % Base])</f>
        <v>#DIV/0!</v>
      </c>
      <c r="AW455" s="12"/>
      <c r="AX455" s="13"/>
      <c r="AY455" s="13"/>
      <c r="AZ455" s="25" t="e">
        <f>AVERAGE(Table11034[CarP % Base])</f>
        <v>#DIV/0!</v>
      </c>
      <c r="BA455" s="12"/>
      <c r="BB455" s="13"/>
      <c r="BC455" s="13"/>
      <c r="BD455" s="24" t="e">
        <f>AVERAGE(Table11034[EFP % Base])</f>
        <v>#DIV/0!</v>
      </c>
    </row>
    <row r="457" spans="1:56" ht="15.75" thickBot="1" x14ac:dyDescent="0.3">
      <c r="A457" s="82"/>
      <c r="B457" t="s">
        <v>79</v>
      </c>
      <c r="C457" s="78" t="s">
        <v>127</v>
      </c>
      <c r="E457" t="s">
        <v>33</v>
      </c>
      <c r="F457" s="79">
        <v>674</v>
      </c>
      <c r="H457" t="s">
        <v>80</v>
      </c>
      <c r="I457" t="s">
        <v>194</v>
      </c>
    </row>
    <row r="458" spans="1:56" x14ac:dyDescent="0.25">
      <c r="A458" s="112"/>
      <c r="B458" s="113"/>
      <c r="C458" s="113"/>
      <c r="D458" s="114"/>
      <c r="E458" s="115" t="s">
        <v>27</v>
      </c>
      <c r="F458" s="116"/>
      <c r="G458" s="116"/>
      <c r="H458" s="117"/>
      <c r="I458" s="118" t="s">
        <v>28</v>
      </c>
      <c r="J458" s="119"/>
      <c r="K458" s="119"/>
      <c r="L458" s="120"/>
      <c r="M458" s="121" t="s">
        <v>7</v>
      </c>
      <c r="N458" s="122"/>
      <c r="O458" s="122"/>
      <c r="P458" s="123"/>
      <c r="Q458" s="124" t="s">
        <v>29</v>
      </c>
      <c r="R458" s="125"/>
      <c r="S458" s="125"/>
      <c r="T458" s="126"/>
      <c r="U458" s="127" t="s">
        <v>8</v>
      </c>
      <c r="V458" s="128"/>
      <c r="W458" s="128"/>
      <c r="X458" s="129"/>
      <c r="Y458" s="130" t="s">
        <v>0</v>
      </c>
      <c r="Z458" s="131"/>
      <c r="AA458" s="131"/>
      <c r="AB458" s="132"/>
      <c r="AC458" s="133" t="s">
        <v>34</v>
      </c>
      <c r="AD458" s="134"/>
      <c r="AE458" s="134"/>
      <c r="AF458" s="135"/>
      <c r="AG458" s="115" t="s">
        <v>9</v>
      </c>
      <c r="AH458" s="116"/>
      <c r="AI458" s="116"/>
      <c r="AJ458" s="117"/>
      <c r="AK458" s="136" t="s">
        <v>35</v>
      </c>
      <c r="AL458" s="137"/>
      <c r="AM458" s="137"/>
      <c r="AN458" s="138"/>
      <c r="AO458" s="139" t="s">
        <v>10</v>
      </c>
      <c r="AP458" s="140"/>
      <c r="AQ458" s="140"/>
      <c r="AR458" s="141"/>
      <c r="AS458" s="124" t="s">
        <v>36</v>
      </c>
      <c r="AT458" s="125"/>
      <c r="AU458" s="125"/>
      <c r="AV458" s="126"/>
      <c r="AW458" s="142" t="s">
        <v>11</v>
      </c>
      <c r="AX458" s="143"/>
      <c r="AY458" s="143"/>
      <c r="AZ458" s="144"/>
      <c r="BA458" s="148" t="s">
        <v>17</v>
      </c>
      <c r="BB458" s="149"/>
      <c r="BC458" s="149"/>
      <c r="BD458" s="150"/>
    </row>
    <row r="459" spans="1:56" s="1" customFormat="1" ht="15.75" thickBot="1" x14ac:dyDescent="0.3">
      <c r="A459" s="41" t="s">
        <v>13</v>
      </c>
      <c r="B459" s="42" t="s">
        <v>15</v>
      </c>
      <c r="C459" s="42" t="s">
        <v>32</v>
      </c>
      <c r="D459" s="43" t="s">
        <v>18</v>
      </c>
      <c r="E459" s="30" t="s">
        <v>30</v>
      </c>
      <c r="F459" s="31" t="s">
        <v>61</v>
      </c>
      <c r="G459" s="31" t="s">
        <v>38</v>
      </c>
      <c r="H459" s="32" t="s">
        <v>62</v>
      </c>
      <c r="I459" s="37" t="s">
        <v>31</v>
      </c>
      <c r="J459" s="38" t="s">
        <v>39</v>
      </c>
      <c r="K459" s="38" t="s">
        <v>40</v>
      </c>
      <c r="L459" s="39" t="s">
        <v>63</v>
      </c>
      <c r="M459" s="40" t="s">
        <v>19</v>
      </c>
      <c r="N459" s="7" t="s">
        <v>41</v>
      </c>
      <c r="O459" s="7" t="s">
        <v>37</v>
      </c>
      <c r="P459" s="7" t="s">
        <v>64</v>
      </c>
      <c r="Q459" s="27" t="s">
        <v>20</v>
      </c>
      <c r="R459" s="28" t="s">
        <v>60</v>
      </c>
      <c r="S459" s="28" t="s">
        <v>59</v>
      </c>
      <c r="T459" s="29" t="s">
        <v>65</v>
      </c>
      <c r="U459" s="48" t="s">
        <v>21</v>
      </c>
      <c r="V459" s="48" t="s">
        <v>42</v>
      </c>
      <c r="W459" s="48" t="s">
        <v>43</v>
      </c>
      <c r="X459" s="49" t="s">
        <v>66</v>
      </c>
      <c r="Y459" s="50" t="s">
        <v>22</v>
      </c>
      <c r="Z459" s="51" t="s">
        <v>44</v>
      </c>
      <c r="AA459" s="51" t="s">
        <v>45</v>
      </c>
      <c r="AB459" s="52" t="s">
        <v>67</v>
      </c>
      <c r="AC459" s="45" t="s">
        <v>23</v>
      </c>
      <c r="AD459" s="46" t="s">
        <v>46</v>
      </c>
      <c r="AE459" s="46" t="s">
        <v>47</v>
      </c>
      <c r="AF459" s="47" t="s">
        <v>68</v>
      </c>
      <c r="AG459" s="30" t="s">
        <v>24</v>
      </c>
      <c r="AH459" s="31" t="s">
        <v>48</v>
      </c>
      <c r="AI459" s="31" t="s">
        <v>49</v>
      </c>
      <c r="AJ459" s="32" t="s">
        <v>69</v>
      </c>
      <c r="AK459" s="53" t="s">
        <v>25</v>
      </c>
      <c r="AL459" s="54" t="s">
        <v>50</v>
      </c>
      <c r="AM459" s="54" t="s">
        <v>51</v>
      </c>
      <c r="AN459" s="55" t="s">
        <v>70</v>
      </c>
      <c r="AO459" s="56" t="s">
        <v>26</v>
      </c>
      <c r="AP459" s="57" t="s">
        <v>52</v>
      </c>
      <c r="AQ459" s="57" t="s">
        <v>53</v>
      </c>
      <c r="AR459" s="58" t="s">
        <v>71</v>
      </c>
      <c r="AS459" s="59" t="s">
        <v>55</v>
      </c>
      <c r="AT459" s="60" t="s">
        <v>54</v>
      </c>
      <c r="AU459" s="60" t="s">
        <v>56</v>
      </c>
      <c r="AV459" s="61" t="s">
        <v>76</v>
      </c>
      <c r="AW459" s="62" t="s">
        <v>72</v>
      </c>
      <c r="AX459" s="63" t="s">
        <v>73</v>
      </c>
      <c r="AY459" s="63" t="s">
        <v>74</v>
      </c>
      <c r="AZ459" s="64" t="s">
        <v>75</v>
      </c>
      <c r="BA459" s="71" t="s">
        <v>77</v>
      </c>
      <c r="BB459" s="72" t="s">
        <v>57</v>
      </c>
      <c r="BC459" s="72" t="s">
        <v>58</v>
      </c>
      <c r="BD459" s="73" t="s">
        <v>78</v>
      </c>
    </row>
    <row r="460" spans="1:56" ht="15.75" thickBot="1" x14ac:dyDescent="0.3">
      <c r="A460" s="17" t="s">
        <v>1</v>
      </c>
      <c r="B460" s="14">
        <v>38110</v>
      </c>
      <c r="C460" s="34">
        <f>B460/F457</f>
        <v>56.543026706231451</v>
      </c>
      <c r="D460" s="14">
        <v>1525</v>
      </c>
      <c r="E460" s="67">
        <v>0</v>
      </c>
      <c r="F460" s="69">
        <v>0</v>
      </c>
      <c r="G460" s="34" t="e">
        <f t="shared" ref="G460:G466" si="988">E460/F460</f>
        <v>#DIV/0!</v>
      </c>
      <c r="H460" s="10" t="e">
        <f t="shared" ref="H460:H466" si="989">G460/C460</f>
        <v>#DIV/0!</v>
      </c>
      <c r="I460" s="34">
        <v>0</v>
      </c>
      <c r="J460" s="69">
        <v>0</v>
      </c>
      <c r="K460" s="34" t="e">
        <f t="shared" ref="K460:K466" si="990">I460/J460</f>
        <v>#DIV/0!</v>
      </c>
      <c r="L460" s="9" t="e">
        <f t="shared" ref="L460:L466" si="991">K460/C460</f>
        <v>#DIV/0!</v>
      </c>
      <c r="M460" s="67">
        <v>0</v>
      </c>
      <c r="N460" s="26">
        <v>0</v>
      </c>
      <c r="O460" s="34" t="e">
        <f t="shared" ref="O460:O466" si="992">M460/N460</f>
        <v>#DIV/0!</v>
      </c>
      <c r="P460" s="10" t="e">
        <f t="shared" ref="P460:P466" si="993">O460/C460</f>
        <v>#DIV/0!</v>
      </c>
      <c r="Q460" s="35">
        <v>0</v>
      </c>
      <c r="R460" s="66">
        <v>0</v>
      </c>
      <c r="S460" s="35" t="e">
        <f t="shared" ref="S460:S466" si="994">Q460/R460</f>
        <v>#DIV/0!</v>
      </c>
      <c r="T460" s="6" t="e">
        <f t="shared" ref="T460:T466" si="995">S460/C460</f>
        <v>#DIV/0!</v>
      </c>
      <c r="U460" s="67">
        <v>0</v>
      </c>
      <c r="V460" s="65">
        <v>0</v>
      </c>
      <c r="W460" s="18" t="e">
        <f t="shared" ref="W460:W466" si="996">U460/V460</f>
        <v>#DIV/0!</v>
      </c>
      <c r="X460" s="9" t="e">
        <f t="shared" ref="X460:X466" si="997">W460/C460</f>
        <v>#DIV/0!</v>
      </c>
      <c r="Y460" s="67">
        <v>37430</v>
      </c>
      <c r="Z460" s="69">
        <v>1019</v>
      </c>
      <c r="AA460" s="34">
        <f t="shared" ref="AA460:AA466" si="998">Y460/Z460</f>
        <v>36.732090284592736</v>
      </c>
      <c r="AB460" s="10">
        <f t="shared" ref="AB460:AB466" si="999">AA460/C460</f>
        <v>0.64963077543467607</v>
      </c>
      <c r="AC460" s="18">
        <v>8260</v>
      </c>
      <c r="AD460" s="33">
        <v>560</v>
      </c>
      <c r="AE460" s="34">
        <f t="shared" ref="AE460:AE466" si="1000">AC460/AD460</f>
        <v>14.75</v>
      </c>
      <c r="AF460" s="9">
        <f t="shared" ref="AF460:AF466" si="1001">AE460/C460</f>
        <v>0.26086329047494095</v>
      </c>
      <c r="AG460" s="67">
        <v>0</v>
      </c>
      <c r="AH460" s="65">
        <v>0</v>
      </c>
      <c r="AI460" s="34" t="e">
        <f t="shared" ref="AI460:AI466" si="1002">AG460/AH460</f>
        <v>#DIV/0!</v>
      </c>
      <c r="AJ460" s="9" t="e">
        <f t="shared" ref="AJ460:AJ466" si="1003">AI460/C460</f>
        <v>#DIV/0!</v>
      </c>
      <c r="AK460" s="67">
        <v>860</v>
      </c>
      <c r="AL460" s="65">
        <v>39</v>
      </c>
      <c r="AM460" s="34">
        <f t="shared" ref="AM460:AM466" si="1004">AK460/AL460</f>
        <v>22.051282051282051</v>
      </c>
      <c r="AN460" s="9">
        <f t="shared" ref="AN460:AN466" si="1005">AM460/C460</f>
        <v>0.38999118610769096</v>
      </c>
      <c r="AO460" s="67">
        <v>0</v>
      </c>
      <c r="AP460" s="65">
        <v>0</v>
      </c>
      <c r="AQ460" s="34" t="e">
        <f t="shared" ref="AQ460:AQ466" si="1006">AO460/AP460</f>
        <v>#DIV/0!</v>
      </c>
      <c r="AR460" s="9" t="e">
        <f t="shared" ref="AR460:AR466" si="1007">AQ460/C460</f>
        <v>#DIV/0!</v>
      </c>
      <c r="AS460" s="67">
        <v>0</v>
      </c>
      <c r="AT460" s="65">
        <v>0</v>
      </c>
      <c r="AU460" s="34" t="e">
        <f t="shared" ref="AU460:AU466" si="1008">AS460/AT460</f>
        <v>#DIV/0!</v>
      </c>
      <c r="AV460" s="9" t="e">
        <f t="shared" ref="AV460:AV466" si="1009">AU460/C460</f>
        <v>#DIV/0!</v>
      </c>
      <c r="AW460" s="67">
        <v>0</v>
      </c>
      <c r="AX460" s="65">
        <v>0</v>
      </c>
      <c r="AY460" s="34" t="e">
        <f t="shared" ref="AY460:AY466" si="1010">AW460/AX460</f>
        <v>#DIV/0!</v>
      </c>
      <c r="AZ460" s="9" t="e">
        <f t="shared" ref="AZ460:AZ466" si="1011">AY460/C460</f>
        <v>#DIV/0!</v>
      </c>
      <c r="BA460" s="67">
        <v>0</v>
      </c>
      <c r="BB460" s="65">
        <v>0</v>
      </c>
      <c r="BC460" s="34" t="e">
        <f t="shared" ref="BC460:BC466" si="1012">BA460/BB460</f>
        <v>#DIV/0!</v>
      </c>
      <c r="BD460" s="10" t="e">
        <f t="shared" ref="BD460:BD466" si="1013">BC460/C460</f>
        <v>#DIV/0!</v>
      </c>
    </row>
    <row r="461" spans="1:56" ht="15.75" thickBot="1" x14ac:dyDescent="0.3">
      <c r="A461" s="19" t="s">
        <v>16</v>
      </c>
      <c r="B461" s="8">
        <v>44840</v>
      </c>
      <c r="C461" s="35">
        <f>B461/F457</f>
        <v>66.528189910979222</v>
      </c>
      <c r="D461" s="8">
        <v>1525</v>
      </c>
      <c r="E461" s="68">
        <v>0</v>
      </c>
      <c r="F461" s="70">
        <v>0</v>
      </c>
      <c r="G461" s="35" t="e">
        <f t="shared" si="988"/>
        <v>#DIV/0!</v>
      </c>
      <c r="H461" s="11" t="e">
        <f t="shared" si="989"/>
        <v>#DIV/0!</v>
      </c>
      <c r="I461" s="35">
        <v>0</v>
      </c>
      <c r="J461" s="70">
        <v>0</v>
      </c>
      <c r="K461" s="35" t="e">
        <f t="shared" si="990"/>
        <v>#DIV/0!</v>
      </c>
      <c r="L461" s="6" t="e">
        <f t="shared" si="991"/>
        <v>#DIV/0!</v>
      </c>
      <c r="M461" s="68">
        <v>0</v>
      </c>
      <c r="N461" s="5">
        <v>0</v>
      </c>
      <c r="O461" s="35" t="e">
        <f t="shared" si="992"/>
        <v>#DIV/0!</v>
      </c>
      <c r="P461" s="11" t="e">
        <f t="shared" si="993"/>
        <v>#DIV/0!</v>
      </c>
      <c r="Q461" s="35">
        <v>0</v>
      </c>
      <c r="R461" s="66">
        <v>0</v>
      </c>
      <c r="S461" s="35" t="e">
        <f t="shared" si="994"/>
        <v>#DIV/0!</v>
      </c>
      <c r="T461" s="6" t="e">
        <f t="shared" si="995"/>
        <v>#DIV/0!</v>
      </c>
      <c r="U461" s="68">
        <v>0</v>
      </c>
      <c r="V461" s="66">
        <v>0</v>
      </c>
      <c r="W461" s="20" t="e">
        <f t="shared" si="996"/>
        <v>#DIV/0!</v>
      </c>
      <c r="X461" s="6" t="e">
        <f t="shared" si="997"/>
        <v>#DIV/0!</v>
      </c>
      <c r="Y461" s="68">
        <v>51420</v>
      </c>
      <c r="Z461" s="69">
        <v>1019</v>
      </c>
      <c r="AA461" s="35">
        <f t="shared" si="998"/>
        <v>50.461236506378803</v>
      </c>
      <c r="AB461" s="11">
        <f t="shared" si="999"/>
        <v>0.75849405453388308</v>
      </c>
      <c r="AC461" s="20">
        <v>11230</v>
      </c>
      <c r="AD461" s="33">
        <v>560</v>
      </c>
      <c r="AE461" s="35">
        <f t="shared" si="1000"/>
        <v>20.053571428571427</v>
      </c>
      <c r="AF461" s="6">
        <f t="shared" si="1001"/>
        <v>0.30142968650439661</v>
      </c>
      <c r="AG461" s="68">
        <v>0</v>
      </c>
      <c r="AH461" s="66">
        <v>0</v>
      </c>
      <c r="AI461" s="35" t="e">
        <f t="shared" si="1002"/>
        <v>#DIV/0!</v>
      </c>
      <c r="AJ461" s="6" t="e">
        <f t="shared" si="1003"/>
        <v>#DIV/0!</v>
      </c>
      <c r="AK461" s="68">
        <v>1280</v>
      </c>
      <c r="AL461" s="65">
        <v>39</v>
      </c>
      <c r="AM461" s="35">
        <f t="shared" si="1004"/>
        <v>32.820512820512818</v>
      </c>
      <c r="AN461" s="6">
        <f t="shared" si="1005"/>
        <v>0.49333241839932296</v>
      </c>
      <c r="AO461" s="68">
        <v>0</v>
      </c>
      <c r="AP461" s="66">
        <v>0</v>
      </c>
      <c r="AQ461" s="35" t="e">
        <f t="shared" si="1006"/>
        <v>#DIV/0!</v>
      </c>
      <c r="AR461" s="6" t="e">
        <f t="shared" si="1007"/>
        <v>#DIV/0!</v>
      </c>
      <c r="AS461" s="68">
        <v>0</v>
      </c>
      <c r="AT461" s="66">
        <v>0</v>
      </c>
      <c r="AU461" s="35" t="e">
        <f t="shared" si="1008"/>
        <v>#DIV/0!</v>
      </c>
      <c r="AV461" s="6" t="e">
        <f t="shared" si="1009"/>
        <v>#DIV/0!</v>
      </c>
      <c r="AW461" s="68">
        <v>0</v>
      </c>
      <c r="AX461" s="66">
        <v>0</v>
      </c>
      <c r="AY461" s="35" t="e">
        <f t="shared" si="1010"/>
        <v>#DIV/0!</v>
      </c>
      <c r="AZ461" s="6" t="e">
        <f t="shared" si="1011"/>
        <v>#DIV/0!</v>
      </c>
      <c r="BA461" s="68">
        <v>0</v>
      </c>
      <c r="BB461" s="66">
        <v>0</v>
      </c>
      <c r="BC461" s="35" t="e">
        <f t="shared" si="1012"/>
        <v>#DIV/0!</v>
      </c>
      <c r="BD461" s="11" t="e">
        <f t="shared" si="1013"/>
        <v>#DIV/0!</v>
      </c>
    </row>
    <row r="462" spans="1:56" ht="15.75" thickBot="1" x14ac:dyDescent="0.3">
      <c r="A462" s="19" t="s">
        <v>2</v>
      </c>
      <c r="B462" s="8">
        <v>52440</v>
      </c>
      <c r="C462" s="35">
        <f>B462/F457</f>
        <v>77.804154302670625</v>
      </c>
      <c r="D462" s="8">
        <v>2100</v>
      </c>
      <c r="E462" s="68">
        <v>0</v>
      </c>
      <c r="F462" s="70">
        <v>0</v>
      </c>
      <c r="G462" s="35" t="e">
        <f t="shared" si="988"/>
        <v>#DIV/0!</v>
      </c>
      <c r="H462" s="11" t="e">
        <f t="shared" si="989"/>
        <v>#DIV/0!</v>
      </c>
      <c r="I462" s="35">
        <v>0</v>
      </c>
      <c r="J462" s="70">
        <v>0</v>
      </c>
      <c r="K462" s="35" t="e">
        <f t="shared" si="990"/>
        <v>#DIV/0!</v>
      </c>
      <c r="L462" s="6" t="e">
        <f t="shared" si="991"/>
        <v>#DIV/0!</v>
      </c>
      <c r="M462" s="68">
        <v>0</v>
      </c>
      <c r="N462" s="5">
        <v>0</v>
      </c>
      <c r="O462" s="35" t="e">
        <f t="shared" si="992"/>
        <v>#DIV/0!</v>
      </c>
      <c r="P462" s="11" t="e">
        <f t="shared" si="993"/>
        <v>#DIV/0!</v>
      </c>
      <c r="Q462" s="35">
        <v>0</v>
      </c>
      <c r="R462" s="66">
        <v>0</v>
      </c>
      <c r="S462" s="35" t="e">
        <f t="shared" si="994"/>
        <v>#DIV/0!</v>
      </c>
      <c r="T462" s="6" t="e">
        <f t="shared" si="995"/>
        <v>#DIV/0!</v>
      </c>
      <c r="U462" s="68">
        <v>0</v>
      </c>
      <c r="V462" s="66">
        <v>0</v>
      </c>
      <c r="W462" s="20" t="e">
        <f t="shared" si="996"/>
        <v>#DIV/0!</v>
      </c>
      <c r="X462" s="6" t="e">
        <f t="shared" si="997"/>
        <v>#DIV/0!</v>
      </c>
      <c r="Y462" s="68">
        <v>58990</v>
      </c>
      <c r="Z462" s="69">
        <v>1019</v>
      </c>
      <c r="AA462" s="35">
        <f t="shared" si="998"/>
        <v>57.8900883218842</v>
      </c>
      <c r="AB462" s="11">
        <f t="shared" si="999"/>
        <v>0.74404880871376711</v>
      </c>
      <c r="AC462" s="20">
        <v>14080</v>
      </c>
      <c r="AD462" s="33">
        <v>560</v>
      </c>
      <c r="AE462" s="35">
        <f t="shared" si="1000"/>
        <v>25.142857142857142</v>
      </c>
      <c r="AF462" s="6">
        <f t="shared" si="1001"/>
        <v>0.323155715375395</v>
      </c>
      <c r="AG462" s="68">
        <v>0</v>
      </c>
      <c r="AH462" s="66">
        <v>0</v>
      </c>
      <c r="AI462" s="35" t="e">
        <f t="shared" si="1002"/>
        <v>#DIV/0!</v>
      </c>
      <c r="AJ462" s="6" t="e">
        <f t="shared" si="1003"/>
        <v>#DIV/0!</v>
      </c>
      <c r="AK462" s="68">
        <v>1390</v>
      </c>
      <c r="AL462" s="65">
        <v>39</v>
      </c>
      <c r="AM462" s="35">
        <f t="shared" si="1004"/>
        <v>35.641025641025642</v>
      </c>
      <c r="AN462" s="6">
        <f t="shared" si="1005"/>
        <v>0.45808640888732421</v>
      </c>
      <c r="AO462" s="68">
        <v>0</v>
      </c>
      <c r="AP462" s="66">
        <v>0</v>
      </c>
      <c r="AQ462" s="35" t="e">
        <f t="shared" si="1006"/>
        <v>#DIV/0!</v>
      </c>
      <c r="AR462" s="6" t="e">
        <f t="shared" si="1007"/>
        <v>#DIV/0!</v>
      </c>
      <c r="AS462" s="68">
        <v>0</v>
      </c>
      <c r="AT462" s="66">
        <v>0</v>
      </c>
      <c r="AU462" s="35" t="e">
        <f t="shared" si="1008"/>
        <v>#DIV/0!</v>
      </c>
      <c r="AV462" s="6" t="e">
        <f t="shared" si="1009"/>
        <v>#DIV/0!</v>
      </c>
      <c r="AW462" s="68">
        <v>0</v>
      </c>
      <c r="AX462" s="66">
        <v>0</v>
      </c>
      <c r="AY462" s="35" t="e">
        <f t="shared" si="1010"/>
        <v>#DIV/0!</v>
      </c>
      <c r="AZ462" s="6" t="e">
        <f t="shared" si="1011"/>
        <v>#DIV/0!</v>
      </c>
      <c r="BA462" s="68">
        <v>0</v>
      </c>
      <c r="BB462" s="66">
        <v>0</v>
      </c>
      <c r="BC462" s="35" t="e">
        <f t="shared" si="1012"/>
        <v>#DIV/0!</v>
      </c>
      <c r="BD462" s="11" t="e">
        <f t="shared" si="1013"/>
        <v>#DIV/0!</v>
      </c>
    </row>
    <row r="463" spans="1:56" ht="15.75" thickBot="1" x14ac:dyDescent="0.3">
      <c r="A463" s="19" t="s">
        <v>3</v>
      </c>
      <c r="B463" s="8">
        <v>62350</v>
      </c>
      <c r="C463" s="35">
        <f>B463/F457</f>
        <v>92.507418397626111</v>
      </c>
      <c r="D463" s="8">
        <v>2700</v>
      </c>
      <c r="E463" s="68">
        <v>0</v>
      </c>
      <c r="F463" s="70">
        <v>0</v>
      </c>
      <c r="G463" s="35" t="e">
        <f t="shared" si="988"/>
        <v>#DIV/0!</v>
      </c>
      <c r="H463" s="11" t="e">
        <f t="shared" si="989"/>
        <v>#DIV/0!</v>
      </c>
      <c r="I463" s="35">
        <v>0</v>
      </c>
      <c r="J463" s="70">
        <v>0</v>
      </c>
      <c r="K463" s="35" t="e">
        <f t="shared" si="990"/>
        <v>#DIV/0!</v>
      </c>
      <c r="L463" s="6" t="e">
        <f t="shared" si="991"/>
        <v>#DIV/0!</v>
      </c>
      <c r="M463" s="68">
        <v>0</v>
      </c>
      <c r="N463" s="5">
        <v>0</v>
      </c>
      <c r="O463" s="35" t="e">
        <f t="shared" si="992"/>
        <v>#DIV/0!</v>
      </c>
      <c r="P463" s="11" t="e">
        <f t="shared" si="993"/>
        <v>#DIV/0!</v>
      </c>
      <c r="Q463" s="35">
        <v>0</v>
      </c>
      <c r="R463" s="66">
        <v>0</v>
      </c>
      <c r="S463" s="35" t="e">
        <f t="shared" si="994"/>
        <v>#DIV/0!</v>
      </c>
      <c r="T463" s="6" t="e">
        <f t="shared" si="995"/>
        <v>#DIV/0!</v>
      </c>
      <c r="U463" s="68">
        <v>0</v>
      </c>
      <c r="V463" s="66">
        <v>0</v>
      </c>
      <c r="W463" s="20" t="e">
        <f t="shared" si="996"/>
        <v>#DIV/0!</v>
      </c>
      <c r="X463" s="6" t="e">
        <f t="shared" si="997"/>
        <v>#DIV/0!</v>
      </c>
      <c r="Y463" s="68">
        <v>66750</v>
      </c>
      <c r="Z463" s="69">
        <v>1019</v>
      </c>
      <c r="AA463" s="35">
        <f t="shared" si="998"/>
        <v>65.505397448478902</v>
      </c>
      <c r="AB463" s="11">
        <f t="shared" si="999"/>
        <v>0.70810966929069419</v>
      </c>
      <c r="AC463" s="20">
        <v>14970</v>
      </c>
      <c r="AD463" s="33">
        <v>560</v>
      </c>
      <c r="AE463" s="35">
        <f t="shared" si="1000"/>
        <v>26.732142857142858</v>
      </c>
      <c r="AF463" s="6">
        <f t="shared" si="1001"/>
        <v>0.28897296368427083</v>
      </c>
      <c r="AG463" s="68">
        <v>0</v>
      </c>
      <c r="AH463" s="66">
        <v>0</v>
      </c>
      <c r="AI463" s="35" t="e">
        <f t="shared" si="1002"/>
        <v>#DIV/0!</v>
      </c>
      <c r="AJ463" s="6" t="e">
        <f t="shared" si="1003"/>
        <v>#DIV/0!</v>
      </c>
      <c r="AK463" s="68">
        <v>1590</v>
      </c>
      <c r="AL463" s="65">
        <v>39</v>
      </c>
      <c r="AM463" s="35">
        <f t="shared" si="1004"/>
        <v>40.769230769230766</v>
      </c>
      <c r="AN463" s="6">
        <f t="shared" si="1005"/>
        <v>0.44071309604589476</v>
      </c>
      <c r="AO463" s="68">
        <v>0</v>
      </c>
      <c r="AP463" s="66">
        <v>0</v>
      </c>
      <c r="AQ463" s="35" t="e">
        <f t="shared" si="1006"/>
        <v>#DIV/0!</v>
      </c>
      <c r="AR463" s="6" t="e">
        <f t="shared" si="1007"/>
        <v>#DIV/0!</v>
      </c>
      <c r="AS463" s="68">
        <v>0</v>
      </c>
      <c r="AT463" s="66">
        <v>0</v>
      </c>
      <c r="AU463" s="35" t="e">
        <f t="shared" si="1008"/>
        <v>#DIV/0!</v>
      </c>
      <c r="AV463" s="6" t="e">
        <f t="shared" si="1009"/>
        <v>#DIV/0!</v>
      </c>
      <c r="AW463" s="68">
        <v>0</v>
      </c>
      <c r="AX463" s="66">
        <v>0</v>
      </c>
      <c r="AY463" s="35" t="e">
        <f t="shared" si="1010"/>
        <v>#DIV/0!</v>
      </c>
      <c r="AZ463" s="6" t="e">
        <f t="shared" si="1011"/>
        <v>#DIV/0!</v>
      </c>
      <c r="BA463" s="68">
        <v>0</v>
      </c>
      <c r="BB463" s="66">
        <v>0</v>
      </c>
      <c r="BC463" s="35" t="e">
        <f t="shared" si="1012"/>
        <v>#DIV/0!</v>
      </c>
      <c r="BD463" s="11" t="e">
        <f t="shared" si="1013"/>
        <v>#DIV/0!</v>
      </c>
    </row>
    <row r="464" spans="1:56" ht="15.75" thickBot="1" x14ac:dyDescent="0.3">
      <c r="A464" s="19" t="s">
        <v>4</v>
      </c>
      <c r="B464" s="8">
        <v>75760</v>
      </c>
      <c r="C464" s="35">
        <f>B464/F457</f>
        <v>112.40356083086053</v>
      </c>
      <c r="D464" s="8">
        <v>5250</v>
      </c>
      <c r="E464" s="68">
        <v>0</v>
      </c>
      <c r="F464" s="70">
        <v>0</v>
      </c>
      <c r="G464" s="35" t="e">
        <f t="shared" si="988"/>
        <v>#DIV/0!</v>
      </c>
      <c r="H464" s="11" t="e">
        <f t="shared" si="989"/>
        <v>#DIV/0!</v>
      </c>
      <c r="I464" s="35">
        <v>0</v>
      </c>
      <c r="J464" s="70">
        <v>0</v>
      </c>
      <c r="K464" s="35" t="e">
        <f t="shared" si="990"/>
        <v>#DIV/0!</v>
      </c>
      <c r="L464" s="6" t="e">
        <f t="shared" si="991"/>
        <v>#DIV/0!</v>
      </c>
      <c r="M464" s="68">
        <v>0</v>
      </c>
      <c r="N464" s="5">
        <v>0</v>
      </c>
      <c r="O464" s="35" t="e">
        <f t="shared" si="992"/>
        <v>#DIV/0!</v>
      </c>
      <c r="P464" s="11" t="e">
        <f t="shared" si="993"/>
        <v>#DIV/0!</v>
      </c>
      <c r="Q464" s="35">
        <v>0</v>
      </c>
      <c r="R464" s="66">
        <v>0</v>
      </c>
      <c r="S464" s="35" t="e">
        <f t="shared" si="994"/>
        <v>#DIV/0!</v>
      </c>
      <c r="T464" s="6" t="e">
        <f t="shared" si="995"/>
        <v>#DIV/0!</v>
      </c>
      <c r="U464" s="68">
        <v>0</v>
      </c>
      <c r="V464" s="66">
        <v>0</v>
      </c>
      <c r="W464" s="20" t="e">
        <f t="shared" si="996"/>
        <v>#DIV/0!</v>
      </c>
      <c r="X464" s="6" t="e">
        <f t="shared" si="997"/>
        <v>#DIV/0!</v>
      </c>
      <c r="Y464" s="68">
        <v>85890</v>
      </c>
      <c r="Z464" s="69">
        <v>1019</v>
      </c>
      <c r="AA464" s="35">
        <f t="shared" si="998"/>
        <v>84.288518155053978</v>
      </c>
      <c r="AB464" s="11">
        <f t="shared" si="999"/>
        <v>0.74987409235092906</v>
      </c>
      <c r="AC464" s="20">
        <v>17050</v>
      </c>
      <c r="AD464" s="33">
        <v>560</v>
      </c>
      <c r="AE464" s="35">
        <f t="shared" si="1000"/>
        <v>30.446428571428573</v>
      </c>
      <c r="AF464" s="6">
        <f t="shared" si="1001"/>
        <v>0.27086711796651081</v>
      </c>
      <c r="AG464" s="68">
        <v>0</v>
      </c>
      <c r="AH464" s="66">
        <v>0</v>
      </c>
      <c r="AI464" s="35" t="e">
        <f t="shared" si="1002"/>
        <v>#DIV/0!</v>
      </c>
      <c r="AJ464" s="6" t="e">
        <f t="shared" si="1003"/>
        <v>#DIV/0!</v>
      </c>
      <c r="AK464" s="68">
        <v>1840</v>
      </c>
      <c r="AL464" s="65">
        <v>39</v>
      </c>
      <c r="AM464" s="35">
        <f t="shared" si="1004"/>
        <v>47.179487179487182</v>
      </c>
      <c r="AN464" s="6">
        <f t="shared" si="1005"/>
        <v>0.41973303008149898</v>
      </c>
      <c r="AO464" s="68">
        <v>0</v>
      </c>
      <c r="AP464" s="66">
        <v>0</v>
      </c>
      <c r="AQ464" s="35" t="e">
        <f t="shared" si="1006"/>
        <v>#DIV/0!</v>
      </c>
      <c r="AR464" s="6" t="e">
        <f t="shared" si="1007"/>
        <v>#DIV/0!</v>
      </c>
      <c r="AS464" s="68">
        <v>0</v>
      </c>
      <c r="AT464" s="66">
        <v>0</v>
      </c>
      <c r="AU464" s="35" t="e">
        <f t="shared" si="1008"/>
        <v>#DIV/0!</v>
      </c>
      <c r="AV464" s="6" t="e">
        <f t="shared" si="1009"/>
        <v>#DIV/0!</v>
      </c>
      <c r="AW464" s="68">
        <v>0</v>
      </c>
      <c r="AX464" s="66">
        <v>0</v>
      </c>
      <c r="AY464" s="35" t="e">
        <f t="shared" si="1010"/>
        <v>#DIV/0!</v>
      </c>
      <c r="AZ464" s="6" t="e">
        <f t="shared" si="1011"/>
        <v>#DIV/0!</v>
      </c>
      <c r="BA464" s="68">
        <v>0</v>
      </c>
      <c r="BB464" s="66">
        <v>0</v>
      </c>
      <c r="BC464" s="35" t="e">
        <f t="shared" si="1012"/>
        <v>#DIV/0!</v>
      </c>
      <c r="BD464" s="11" t="e">
        <f t="shared" si="1013"/>
        <v>#DIV/0!</v>
      </c>
    </row>
    <row r="465" spans="1:56" ht="15.75" thickBot="1" x14ac:dyDescent="0.3">
      <c r="A465" s="19" t="s">
        <v>5</v>
      </c>
      <c r="B465" s="8">
        <v>96420</v>
      </c>
      <c r="C465" s="35">
        <f>B465/F457</f>
        <v>143.05637982195844</v>
      </c>
      <c r="D465" s="8">
        <v>7050</v>
      </c>
      <c r="E465" s="68">
        <v>0</v>
      </c>
      <c r="F465" s="70">
        <v>0</v>
      </c>
      <c r="G465" s="35" t="e">
        <f t="shared" si="988"/>
        <v>#DIV/0!</v>
      </c>
      <c r="H465" s="11" t="e">
        <f t="shared" si="989"/>
        <v>#DIV/0!</v>
      </c>
      <c r="I465" s="35">
        <v>0</v>
      </c>
      <c r="J465" s="70">
        <v>0</v>
      </c>
      <c r="K465" s="35" t="e">
        <f t="shared" si="990"/>
        <v>#DIV/0!</v>
      </c>
      <c r="L465" s="6" t="e">
        <f t="shared" si="991"/>
        <v>#DIV/0!</v>
      </c>
      <c r="M465" s="68">
        <v>0</v>
      </c>
      <c r="N465" s="5">
        <v>0</v>
      </c>
      <c r="O465" s="35" t="e">
        <f t="shared" si="992"/>
        <v>#DIV/0!</v>
      </c>
      <c r="P465" s="11" t="e">
        <f t="shared" si="993"/>
        <v>#DIV/0!</v>
      </c>
      <c r="Q465" s="35">
        <v>0</v>
      </c>
      <c r="R465" s="66">
        <v>0</v>
      </c>
      <c r="S465" s="35" t="e">
        <f t="shared" si="994"/>
        <v>#DIV/0!</v>
      </c>
      <c r="T465" s="6" t="e">
        <f t="shared" si="995"/>
        <v>#DIV/0!</v>
      </c>
      <c r="U465" s="68">
        <v>0</v>
      </c>
      <c r="V465" s="66">
        <v>0</v>
      </c>
      <c r="W465" s="20" t="e">
        <f t="shared" si="996"/>
        <v>#DIV/0!</v>
      </c>
      <c r="X465" s="6" t="e">
        <f t="shared" si="997"/>
        <v>#DIV/0!</v>
      </c>
      <c r="Y465" s="68">
        <v>116360</v>
      </c>
      <c r="Z465" s="69">
        <v>1019</v>
      </c>
      <c r="AA465" s="35">
        <f t="shared" si="998"/>
        <v>114.19038272816486</v>
      </c>
      <c r="AB465" s="11">
        <f t="shared" si="999"/>
        <v>0.79821943537422868</v>
      </c>
      <c r="AC465" s="20">
        <v>19100</v>
      </c>
      <c r="AD465" s="33">
        <v>560</v>
      </c>
      <c r="AE465" s="35">
        <f t="shared" si="1000"/>
        <v>34.107142857142854</v>
      </c>
      <c r="AF465" s="6">
        <f t="shared" si="1001"/>
        <v>0.23841748896198181</v>
      </c>
      <c r="AG465" s="68">
        <v>0</v>
      </c>
      <c r="AH465" s="66">
        <v>0</v>
      </c>
      <c r="AI465" s="35" t="e">
        <f t="shared" si="1002"/>
        <v>#DIV/0!</v>
      </c>
      <c r="AJ465" s="6" t="e">
        <f t="shared" si="1003"/>
        <v>#DIV/0!</v>
      </c>
      <c r="AK465" s="68">
        <v>2140</v>
      </c>
      <c r="AL465" s="65">
        <v>39</v>
      </c>
      <c r="AM465" s="35">
        <f t="shared" si="1004"/>
        <v>54.871794871794869</v>
      </c>
      <c r="AN465" s="6">
        <f t="shared" si="1005"/>
        <v>0.38356761816624918</v>
      </c>
      <c r="AO465" s="68">
        <v>0</v>
      </c>
      <c r="AP465" s="66">
        <v>0</v>
      </c>
      <c r="AQ465" s="35" t="e">
        <f t="shared" si="1006"/>
        <v>#DIV/0!</v>
      </c>
      <c r="AR465" s="6" t="e">
        <f t="shared" si="1007"/>
        <v>#DIV/0!</v>
      </c>
      <c r="AS465" s="68">
        <v>0</v>
      </c>
      <c r="AT465" s="66">
        <v>0</v>
      </c>
      <c r="AU465" s="35" t="e">
        <f t="shared" si="1008"/>
        <v>#DIV/0!</v>
      </c>
      <c r="AV465" s="6" t="e">
        <f t="shared" si="1009"/>
        <v>#DIV/0!</v>
      </c>
      <c r="AW465" s="68">
        <v>0</v>
      </c>
      <c r="AX465" s="66">
        <v>0</v>
      </c>
      <c r="AY465" s="35" t="e">
        <f t="shared" si="1010"/>
        <v>#DIV/0!</v>
      </c>
      <c r="AZ465" s="6" t="e">
        <f t="shared" si="1011"/>
        <v>#DIV/0!</v>
      </c>
      <c r="BA465" s="68">
        <v>0</v>
      </c>
      <c r="BB465" s="66">
        <v>0</v>
      </c>
      <c r="BC465" s="35" t="e">
        <f t="shared" si="1012"/>
        <v>#DIV/0!</v>
      </c>
      <c r="BD465" s="11" t="e">
        <f t="shared" si="1013"/>
        <v>#DIV/0!</v>
      </c>
    </row>
    <row r="466" spans="1:56" x14ac:dyDescent="0.25">
      <c r="A466" s="19" t="s">
        <v>6</v>
      </c>
      <c r="B466" s="8">
        <v>110420</v>
      </c>
      <c r="C466" s="35">
        <f>B466/F457</f>
        <v>163.82789317507419</v>
      </c>
      <c r="D466" s="8">
        <v>10950</v>
      </c>
      <c r="E466" s="68">
        <v>0</v>
      </c>
      <c r="F466" s="70">
        <v>0</v>
      </c>
      <c r="G466" s="35" t="e">
        <f t="shared" si="988"/>
        <v>#DIV/0!</v>
      </c>
      <c r="H466" s="11" t="e">
        <f t="shared" si="989"/>
        <v>#DIV/0!</v>
      </c>
      <c r="I466" s="35">
        <v>0</v>
      </c>
      <c r="J466" s="70">
        <v>0</v>
      </c>
      <c r="K466" s="35" t="e">
        <f t="shared" si="990"/>
        <v>#DIV/0!</v>
      </c>
      <c r="L466" s="6" t="e">
        <f t="shared" si="991"/>
        <v>#DIV/0!</v>
      </c>
      <c r="M466" s="68">
        <v>0</v>
      </c>
      <c r="N466" s="5">
        <v>0</v>
      </c>
      <c r="O466" s="35" t="e">
        <f t="shared" si="992"/>
        <v>#DIV/0!</v>
      </c>
      <c r="P466" s="11" t="e">
        <f t="shared" si="993"/>
        <v>#DIV/0!</v>
      </c>
      <c r="Q466" s="35">
        <v>0</v>
      </c>
      <c r="R466" s="66">
        <v>0</v>
      </c>
      <c r="S466" s="35" t="e">
        <f t="shared" si="994"/>
        <v>#DIV/0!</v>
      </c>
      <c r="T466" s="6" t="e">
        <f t="shared" si="995"/>
        <v>#DIV/0!</v>
      </c>
      <c r="U466" s="68">
        <v>0</v>
      </c>
      <c r="V466" s="66">
        <v>0</v>
      </c>
      <c r="W466" s="20" t="e">
        <f t="shared" si="996"/>
        <v>#DIV/0!</v>
      </c>
      <c r="X466" s="6" t="e">
        <f t="shared" si="997"/>
        <v>#DIV/0!</v>
      </c>
      <c r="Y466" s="68">
        <v>127920</v>
      </c>
      <c r="Z466" s="69">
        <v>1019</v>
      </c>
      <c r="AA466" s="35">
        <f t="shared" si="998"/>
        <v>125.53483807654564</v>
      </c>
      <c r="AB466" s="11">
        <f t="shared" si="999"/>
        <v>0.76626046788255531</v>
      </c>
      <c r="AC466" s="20">
        <v>27380</v>
      </c>
      <c r="AD466" s="33">
        <v>560</v>
      </c>
      <c r="AE466" s="35">
        <f t="shared" si="1000"/>
        <v>48.892857142857146</v>
      </c>
      <c r="AF466" s="6">
        <f t="shared" si="1001"/>
        <v>0.29844037053328848</v>
      </c>
      <c r="AG466" s="68">
        <v>0</v>
      </c>
      <c r="AH466" s="66">
        <v>0</v>
      </c>
      <c r="AI466" s="35" t="e">
        <f t="shared" si="1002"/>
        <v>#DIV/0!</v>
      </c>
      <c r="AJ466" s="6" t="e">
        <f t="shared" si="1003"/>
        <v>#DIV/0!</v>
      </c>
      <c r="AK466" s="68">
        <v>2430</v>
      </c>
      <c r="AL466" s="65">
        <v>39</v>
      </c>
      <c r="AM466" s="35">
        <f t="shared" si="1004"/>
        <v>62.307692307692307</v>
      </c>
      <c r="AN466" s="6">
        <f t="shared" si="1005"/>
        <v>0.38032407729926293</v>
      </c>
      <c r="AO466" s="68">
        <v>0</v>
      </c>
      <c r="AP466" s="66">
        <v>0</v>
      </c>
      <c r="AQ466" s="35" t="e">
        <f t="shared" si="1006"/>
        <v>#DIV/0!</v>
      </c>
      <c r="AR466" s="6" t="e">
        <f t="shared" si="1007"/>
        <v>#DIV/0!</v>
      </c>
      <c r="AS466" s="68">
        <v>0</v>
      </c>
      <c r="AT466" s="66">
        <v>0</v>
      </c>
      <c r="AU466" s="35" t="e">
        <f t="shared" si="1008"/>
        <v>#DIV/0!</v>
      </c>
      <c r="AV466" s="6" t="e">
        <f t="shared" si="1009"/>
        <v>#DIV/0!</v>
      </c>
      <c r="AW466" s="68">
        <v>0</v>
      </c>
      <c r="AX466" s="66">
        <v>0</v>
      </c>
      <c r="AY466" s="35" t="e">
        <f t="shared" si="1010"/>
        <v>#DIV/0!</v>
      </c>
      <c r="AZ466" s="6" t="e">
        <f t="shared" si="1011"/>
        <v>#DIV/0!</v>
      </c>
      <c r="BA466" s="68">
        <v>0</v>
      </c>
      <c r="BB466" s="66">
        <v>0</v>
      </c>
      <c r="BC466" s="35" t="e">
        <f t="shared" si="1012"/>
        <v>#DIV/0!</v>
      </c>
      <c r="BD466" s="11" t="e">
        <f t="shared" si="1013"/>
        <v>#DIV/0!</v>
      </c>
    </row>
    <row r="467" spans="1:56" ht="15.75" thickBot="1" x14ac:dyDescent="0.3">
      <c r="A467" s="21"/>
      <c r="B467" s="22"/>
      <c r="C467" s="23">
        <f>AVERAGE(Table11035[MA $/Sq Ft])</f>
        <v>101.81008902077151</v>
      </c>
      <c r="D467" s="22">
        <f>AVERAGE(Table11035[Basic Allowance])</f>
        <v>4442.8571428571431</v>
      </c>
      <c r="E467" s="16"/>
      <c r="F467" s="22"/>
      <c r="G467" s="15"/>
      <c r="H467" s="24" t="e">
        <f>AVERAGE(Table11035[Bsmt % Base])</f>
        <v>#DIV/0!</v>
      </c>
      <c r="I467" s="15"/>
      <c r="J467" s="15"/>
      <c r="K467" s="15"/>
      <c r="L467" s="25" t="e">
        <f>AVERAGE(Table11035[[#Headers],[#Data],[UnfBsmt % Base]])</f>
        <v>#DIV/0!</v>
      </c>
      <c r="M467" s="44"/>
      <c r="N467" s="15"/>
      <c r="O467" s="23" t="e">
        <f>AVERAGE(Table11035[LowerVal/SqFt])</f>
        <v>#DIV/0!</v>
      </c>
      <c r="P467" s="24" t="e">
        <f>AVERAGE(Table11035[Lower % Base])</f>
        <v>#DIV/0!</v>
      </c>
      <c r="Q467" s="13"/>
      <c r="R467" s="13"/>
      <c r="S467" s="13"/>
      <c r="T467" s="25" t="e">
        <f>AVERAGE(Table11035[Unf Lower % Base])</f>
        <v>#DIV/0!</v>
      </c>
      <c r="U467" s="12"/>
      <c r="V467" s="13"/>
      <c r="W467" s="13"/>
      <c r="X467" s="25" t="e">
        <f>AVERAGE(Table11035[1/2 Story % Base])</f>
        <v>#DIV/0!</v>
      </c>
      <c r="Y467" s="12"/>
      <c r="Z467" s="13"/>
      <c r="AA467" s="13"/>
      <c r="AB467" s="24">
        <f>AVERAGE(Table11035[2nd Story % Base])</f>
        <v>0.73923390051153326</v>
      </c>
      <c r="AC467" s="13"/>
      <c r="AD467" s="13"/>
      <c r="AE467" s="23">
        <f>AVERAGE(Table11035[AttGarVal/SqFt])</f>
        <v>28.589285714285715</v>
      </c>
      <c r="AF467" s="25">
        <f>AVERAGE(Table11035[Att Gar % Base])</f>
        <v>0.28316380478582637</v>
      </c>
      <c r="AG467" s="12"/>
      <c r="AH467" s="13"/>
      <c r="AI467" s="13"/>
      <c r="AJ467" s="25" t="e">
        <f>AVERAGE(Table11035[Porch % Base])</f>
        <v>#DIV/0!</v>
      </c>
      <c r="AK467" s="12"/>
      <c r="AL467" s="13"/>
      <c r="AM467" s="13"/>
      <c r="AN467" s="25">
        <f>AVERAGE(Table11035[Cov Porch % Base])</f>
        <v>0.42367826214103482</v>
      </c>
      <c r="AO467" s="12"/>
      <c r="AP467" s="13"/>
      <c r="AQ467" s="13"/>
      <c r="AR467" s="25" t="e">
        <f>AVERAGE(Table11035[Deck % Base])</f>
        <v>#DIV/0!</v>
      </c>
      <c r="AS467" s="12"/>
      <c r="AT467" s="13"/>
      <c r="AU467" s="23" t="e">
        <f>AVERAGE(Table11035[CovDeckVal/SqFt])</f>
        <v>#DIV/0!</v>
      </c>
      <c r="AV467" s="25" t="e">
        <f>AVERAGE(Table11035[CovDeck % Base])</f>
        <v>#DIV/0!</v>
      </c>
      <c r="AW467" s="12"/>
      <c r="AX467" s="13"/>
      <c r="AY467" s="13"/>
      <c r="AZ467" s="25" t="e">
        <f>AVERAGE(Table11035[CarP % Base])</f>
        <v>#DIV/0!</v>
      </c>
      <c r="BA467" s="12"/>
      <c r="BB467" s="13"/>
      <c r="BC467" s="13"/>
      <c r="BD467" s="24" t="e">
        <f>AVERAGE(Table11035[EFP % Base])</f>
        <v>#DIV/0!</v>
      </c>
    </row>
    <row r="469" spans="1:56" ht="15.75" thickBot="1" x14ac:dyDescent="0.3">
      <c r="A469" s="82"/>
      <c r="B469" t="s">
        <v>79</v>
      </c>
      <c r="C469" s="78" t="s">
        <v>128</v>
      </c>
      <c r="E469" t="s">
        <v>33</v>
      </c>
      <c r="F469" s="79">
        <v>1114</v>
      </c>
      <c r="H469" t="s">
        <v>80</v>
      </c>
      <c r="I469" t="s">
        <v>194</v>
      </c>
    </row>
    <row r="470" spans="1:56" x14ac:dyDescent="0.25">
      <c r="A470" s="112"/>
      <c r="B470" s="113"/>
      <c r="C470" s="113"/>
      <c r="D470" s="114"/>
      <c r="E470" s="115" t="s">
        <v>27</v>
      </c>
      <c r="F470" s="116"/>
      <c r="G470" s="116"/>
      <c r="H470" s="117"/>
      <c r="I470" s="118" t="s">
        <v>28</v>
      </c>
      <c r="J470" s="119"/>
      <c r="K470" s="119"/>
      <c r="L470" s="120"/>
      <c r="M470" s="121" t="s">
        <v>7</v>
      </c>
      <c r="N470" s="122"/>
      <c r="O470" s="122"/>
      <c r="P470" s="123"/>
      <c r="Q470" s="124" t="s">
        <v>29</v>
      </c>
      <c r="R470" s="125"/>
      <c r="S470" s="125"/>
      <c r="T470" s="126"/>
      <c r="U470" s="127" t="s">
        <v>8</v>
      </c>
      <c r="V470" s="128"/>
      <c r="W470" s="128"/>
      <c r="X470" s="129"/>
      <c r="Y470" s="130" t="s">
        <v>0</v>
      </c>
      <c r="Z470" s="131"/>
      <c r="AA470" s="131"/>
      <c r="AB470" s="132"/>
      <c r="AC470" s="133" t="s">
        <v>34</v>
      </c>
      <c r="AD470" s="134"/>
      <c r="AE470" s="134"/>
      <c r="AF470" s="135"/>
      <c r="AG470" s="115" t="s">
        <v>9</v>
      </c>
      <c r="AH470" s="116"/>
      <c r="AI470" s="116"/>
      <c r="AJ470" s="117"/>
      <c r="AK470" s="136" t="s">
        <v>35</v>
      </c>
      <c r="AL470" s="137"/>
      <c r="AM470" s="137"/>
      <c r="AN470" s="138"/>
      <c r="AO470" s="139" t="s">
        <v>10</v>
      </c>
      <c r="AP470" s="140"/>
      <c r="AQ470" s="140"/>
      <c r="AR470" s="141"/>
      <c r="AS470" s="124" t="s">
        <v>36</v>
      </c>
      <c r="AT470" s="125"/>
      <c r="AU470" s="125"/>
      <c r="AV470" s="126"/>
      <c r="AW470" s="142" t="s">
        <v>11</v>
      </c>
      <c r="AX470" s="143"/>
      <c r="AY470" s="143"/>
      <c r="AZ470" s="144"/>
      <c r="BA470" s="148" t="s">
        <v>17</v>
      </c>
      <c r="BB470" s="149"/>
      <c r="BC470" s="149"/>
      <c r="BD470" s="150"/>
    </row>
    <row r="471" spans="1:56" s="1" customFormat="1" ht="15.75" thickBot="1" x14ac:dyDescent="0.3">
      <c r="A471" s="41" t="s">
        <v>13</v>
      </c>
      <c r="B471" s="42" t="s">
        <v>15</v>
      </c>
      <c r="C471" s="42" t="s">
        <v>32</v>
      </c>
      <c r="D471" s="43" t="s">
        <v>18</v>
      </c>
      <c r="E471" s="30" t="s">
        <v>30</v>
      </c>
      <c r="F471" s="31" t="s">
        <v>61</v>
      </c>
      <c r="G471" s="31" t="s">
        <v>38</v>
      </c>
      <c r="H471" s="32" t="s">
        <v>62</v>
      </c>
      <c r="I471" s="37" t="s">
        <v>31</v>
      </c>
      <c r="J471" s="38" t="s">
        <v>39</v>
      </c>
      <c r="K471" s="38" t="s">
        <v>40</v>
      </c>
      <c r="L471" s="39" t="s">
        <v>63</v>
      </c>
      <c r="M471" s="40" t="s">
        <v>19</v>
      </c>
      <c r="N471" s="7" t="s">
        <v>41</v>
      </c>
      <c r="O471" s="7" t="s">
        <v>37</v>
      </c>
      <c r="P471" s="7" t="s">
        <v>64</v>
      </c>
      <c r="Q471" s="27" t="s">
        <v>20</v>
      </c>
      <c r="R471" s="28" t="s">
        <v>60</v>
      </c>
      <c r="S471" s="28" t="s">
        <v>59</v>
      </c>
      <c r="T471" s="29" t="s">
        <v>65</v>
      </c>
      <c r="U471" s="48" t="s">
        <v>21</v>
      </c>
      <c r="V471" s="48" t="s">
        <v>42</v>
      </c>
      <c r="W471" s="48" t="s">
        <v>43</v>
      </c>
      <c r="X471" s="49" t="s">
        <v>66</v>
      </c>
      <c r="Y471" s="50" t="s">
        <v>22</v>
      </c>
      <c r="Z471" s="51" t="s">
        <v>44</v>
      </c>
      <c r="AA471" s="51" t="s">
        <v>45</v>
      </c>
      <c r="AB471" s="52" t="s">
        <v>67</v>
      </c>
      <c r="AC471" s="45" t="s">
        <v>23</v>
      </c>
      <c r="AD471" s="46" t="s">
        <v>46</v>
      </c>
      <c r="AE471" s="46" t="s">
        <v>47</v>
      </c>
      <c r="AF471" s="47" t="s">
        <v>68</v>
      </c>
      <c r="AG471" s="30" t="s">
        <v>24</v>
      </c>
      <c r="AH471" s="31" t="s">
        <v>48</v>
      </c>
      <c r="AI471" s="31" t="s">
        <v>49</v>
      </c>
      <c r="AJ471" s="32" t="s">
        <v>69</v>
      </c>
      <c r="AK471" s="53" t="s">
        <v>25</v>
      </c>
      <c r="AL471" s="54" t="s">
        <v>50</v>
      </c>
      <c r="AM471" s="54" t="s">
        <v>51</v>
      </c>
      <c r="AN471" s="55" t="s">
        <v>70</v>
      </c>
      <c r="AO471" s="56" t="s">
        <v>26</v>
      </c>
      <c r="AP471" s="57" t="s">
        <v>52</v>
      </c>
      <c r="AQ471" s="57" t="s">
        <v>53</v>
      </c>
      <c r="AR471" s="58" t="s">
        <v>71</v>
      </c>
      <c r="AS471" s="59" t="s">
        <v>55</v>
      </c>
      <c r="AT471" s="60" t="s">
        <v>54</v>
      </c>
      <c r="AU471" s="60" t="s">
        <v>56</v>
      </c>
      <c r="AV471" s="61" t="s">
        <v>76</v>
      </c>
      <c r="AW471" s="62" t="s">
        <v>72</v>
      </c>
      <c r="AX471" s="63" t="s">
        <v>73</v>
      </c>
      <c r="AY471" s="63" t="s">
        <v>74</v>
      </c>
      <c r="AZ471" s="64" t="s">
        <v>75</v>
      </c>
      <c r="BA471" s="71" t="s">
        <v>77</v>
      </c>
      <c r="BB471" s="72" t="s">
        <v>57</v>
      </c>
      <c r="BC471" s="72" t="s">
        <v>58</v>
      </c>
      <c r="BD471" s="73" t="s">
        <v>78</v>
      </c>
    </row>
    <row r="472" spans="1:56" ht="15.75" thickBot="1" x14ac:dyDescent="0.3">
      <c r="A472" s="17" t="s">
        <v>1</v>
      </c>
      <c r="B472" s="14">
        <v>57270</v>
      </c>
      <c r="C472" s="34">
        <f>B472/F469</f>
        <v>51.409335727109514</v>
      </c>
      <c r="D472" s="14">
        <v>1525</v>
      </c>
      <c r="E472" s="67">
        <v>0</v>
      </c>
      <c r="F472" s="69">
        <v>0</v>
      </c>
      <c r="G472" s="34" t="e">
        <f t="shared" ref="G472:G478" si="1014">E472/F472</f>
        <v>#DIV/0!</v>
      </c>
      <c r="H472" s="10" t="e">
        <f t="shared" ref="H472:H478" si="1015">G472/C472</f>
        <v>#DIV/0!</v>
      </c>
      <c r="I472" s="34">
        <v>0</v>
      </c>
      <c r="J472" s="69">
        <v>0</v>
      </c>
      <c r="K472" s="34" t="e">
        <f t="shared" ref="K472:K478" si="1016">I472/J472</f>
        <v>#DIV/0!</v>
      </c>
      <c r="L472" s="9" t="e">
        <f t="shared" ref="L472:L478" si="1017">K472/C472</f>
        <v>#DIV/0!</v>
      </c>
      <c r="M472" s="67">
        <v>0</v>
      </c>
      <c r="N472" s="26">
        <v>0</v>
      </c>
      <c r="O472" s="34" t="e">
        <f t="shared" ref="O472:O478" si="1018">M472/N472</f>
        <v>#DIV/0!</v>
      </c>
      <c r="P472" s="10" t="e">
        <f t="shared" ref="P472:P478" si="1019">O472/C472</f>
        <v>#DIV/0!</v>
      </c>
      <c r="Q472" s="35">
        <v>0</v>
      </c>
      <c r="R472" s="66">
        <v>0</v>
      </c>
      <c r="S472" s="35" t="e">
        <f t="shared" ref="S472:S478" si="1020">Q472/R472</f>
        <v>#DIV/0!</v>
      </c>
      <c r="T472" s="6" t="e">
        <f t="shared" ref="T472:T478" si="1021">S472/C472</f>
        <v>#DIV/0!</v>
      </c>
      <c r="U472" s="67">
        <v>0</v>
      </c>
      <c r="V472" s="65">
        <v>0</v>
      </c>
      <c r="W472" s="18" t="e">
        <f t="shared" ref="W472:W478" si="1022">U472/V472</f>
        <v>#DIV/0!</v>
      </c>
      <c r="X472" s="9" t="e">
        <f t="shared" ref="X472:X478" si="1023">W472/C472</f>
        <v>#DIV/0!</v>
      </c>
      <c r="Y472" s="67">
        <v>46970</v>
      </c>
      <c r="Z472" s="69">
        <v>1334</v>
      </c>
      <c r="AA472" s="34">
        <f t="shared" ref="AA472:AA478" si="1024">Y472/Z472</f>
        <v>35.209895052473762</v>
      </c>
      <c r="AB472" s="10">
        <f t="shared" ref="AB472:AB478" si="1025">AA472/C472</f>
        <v>0.68489301708496197</v>
      </c>
      <c r="AC472" s="18">
        <v>9120</v>
      </c>
      <c r="AD472" s="33">
        <v>630</v>
      </c>
      <c r="AE472" s="34">
        <f t="shared" ref="AE472:AE478" si="1026">AC472/AD472</f>
        <v>14.476190476190476</v>
      </c>
      <c r="AF472" s="9">
        <f t="shared" ref="AF472:AF478" si="1027">AE472/C472</f>
        <v>0.28158680269733177</v>
      </c>
      <c r="AG472" s="67">
        <v>0</v>
      </c>
      <c r="AH472" s="65">
        <v>0</v>
      </c>
      <c r="AI472" s="34" t="e">
        <f t="shared" ref="AI472:AI478" si="1028">AG472/AH472</f>
        <v>#DIV/0!</v>
      </c>
      <c r="AJ472" s="9" t="e">
        <f t="shared" ref="AJ472:AJ478" si="1029">AI472/C472</f>
        <v>#DIV/0!</v>
      </c>
      <c r="AK472" s="67">
        <v>1400</v>
      </c>
      <c r="AL472" s="65">
        <v>80</v>
      </c>
      <c r="AM472" s="34">
        <f t="shared" ref="AM472:AM478" si="1030">AK472/AL472</f>
        <v>17.5</v>
      </c>
      <c r="AN472" s="9">
        <f t="shared" ref="AN472:AN478" si="1031">AM472/C472</f>
        <v>0.34040509865549151</v>
      </c>
      <c r="AO472" s="67">
        <v>0</v>
      </c>
      <c r="AP472" s="65">
        <v>0</v>
      </c>
      <c r="AQ472" s="34" t="e">
        <f t="shared" ref="AQ472:AQ478" si="1032">AO472/AP472</f>
        <v>#DIV/0!</v>
      </c>
      <c r="AR472" s="9" t="e">
        <f t="shared" ref="AR472:AR478" si="1033">AQ472/C472</f>
        <v>#DIV/0!</v>
      </c>
      <c r="AS472" s="67">
        <v>0</v>
      </c>
      <c r="AT472" s="65">
        <v>0</v>
      </c>
      <c r="AU472" s="34" t="e">
        <f t="shared" ref="AU472:AU478" si="1034">AS472/AT472</f>
        <v>#DIV/0!</v>
      </c>
      <c r="AV472" s="9" t="e">
        <f t="shared" ref="AV472:AV478" si="1035">AU472/C472</f>
        <v>#DIV/0!</v>
      </c>
      <c r="AW472" s="67">
        <v>0</v>
      </c>
      <c r="AX472" s="65">
        <v>0</v>
      </c>
      <c r="AY472" s="34" t="e">
        <f t="shared" ref="AY472:AY478" si="1036">AW472/AX472</f>
        <v>#DIV/0!</v>
      </c>
      <c r="AZ472" s="9" t="e">
        <f t="shared" ref="AZ472:AZ478" si="1037">AY472/C472</f>
        <v>#DIV/0!</v>
      </c>
      <c r="BA472" s="67">
        <v>0</v>
      </c>
      <c r="BB472" s="65">
        <v>0</v>
      </c>
      <c r="BC472" s="34" t="e">
        <f t="shared" ref="BC472:BC478" si="1038">BA472/BB472</f>
        <v>#DIV/0!</v>
      </c>
      <c r="BD472" s="10" t="e">
        <f t="shared" ref="BD472:BD478" si="1039">BC472/C472</f>
        <v>#DIV/0!</v>
      </c>
    </row>
    <row r="473" spans="1:56" ht="15.75" thickBot="1" x14ac:dyDescent="0.3">
      <c r="A473" s="19" t="s">
        <v>16</v>
      </c>
      <c r="B473" s="8">
        <v>67380</v>
      </c>
      <c r="C473" s="35">
        <f>B473/F469</f>
        <v>60.484739676840213</v>
      </c>
      <c r="D473" s="8">
        <v>1525</v>
      </c>
      <c r="E473" s="68">
        <v>0</v>
      </c>
      <c r="F473" s="70">
        <v>0</v>
      </c>
      <c r="G473" s="35" t="e">
        <f t="shared" si="1014"/>
        <v>#DIV/0!</v>
      </c>
      <c r="H473" s="11" t="e">
        <f t="shared" si="1015"/>
        <v>#DIV/0!</v>
      </c>
      <c r="I473" s="35">
        <v>0</v>
      </c>
      <c r="J473" s="70">
        <v>0</v>
      </c>
      <c r="K473" s="35" t="e">
        <f t="shared" si="1016"/>
        <v>#DIV/0!</v>
      </c>
      <c r="L473" s="6" t="e">
        <f t="shared" si="1017"/>
        <v>#DIV/0!</v>
      </c>
      <c r="M473" s="68">
        <v>0</v>
      </c>
      <c r="N473" s="5">
        <v>0</v>
      </c>
      <c r="O473" s="35" t="e">
        <f t="shared" si="1018"/>
        <v>#DIV/0!</v>
      </c>
      <c r="P473" s="11" t="e">
        <f t="shared" si="1019"/>
        <v>#DIV/0!</v>
      </c>
      <c r="Q473" s="35">
        <v>0</v>
      </c>
      <c r="R473" s="66">
        <v>0</v>
      </c>
      <c r="S473" s="35" t="e">
        <f t="shared" si="1020"/>
        <v>#DIV/0!</v>
      </c>
      <c r="T473" s="6" t="e">
        <f t="shared" si="1021"/>
        <v>#DIV/0!</v>
      </c>
      <c r="U473" s="68">
        <v>0</v>
      </c>
      <c r="V473" s="66">
        <v>0</v>
      </c>
      <c r="W473" s="20" t="e">
        <f t="shared" si="1022"/>
        <v>#DIV/0!</v>
      </c>
      <c r="X473" s="6" t="e">
        <f t="shared" si="1023"/>
        <v>#DIV/0!</v>
      </c>
      <c r="Y473" s="68">
        <v>64190</v>
      </c>
      <c r="Z473" s="69">
        <v>1334</v>
      </c>
      <c r="AA473" s="35">
        <f t="shared" si="1024"/>
        <v>48.118440779610197</v>
      </c>
      <c r="AB473" s="11">
        <f t="shared" si="1025"/>
        <v>0.79554679472374235</v>
      </c>
      <c r="AC473" s="20">
        <v>12210</v>
      </c>
      <c r="AD473" s="33">
        <v>630</v>
      </c>
      <c r="AE473" s="35">
        <f t="shared" si="1026"/>
        <v>19.38095238095238</v>
      </c>
      <c r="AF473" s="6">
        <f t="shared" si="1027"/>
        <v>0.32042714384655613</v>
      </c>
      <c r="AG473" s="68">
        <v>0</v>
      </c>
      <c r="AH473" s="66">
        <v>0</v>
      </c>
      <c r="AI473" s="35" t="e">
        <f t="shared" si="1028"/>
        <v>#DIV/0!</v>
      </c>
      <c r="AJ473" s="6" t="e">
        <f t="shared" si="1029"/>
        <v>#DIV/0!</v>
      </c>
      <c r="AK473" s="68">
        <v>2010</v>
      </c>
      <c r="AL473" s="65">
        <v>80</v>
      </c>
      <c r="AM473" s="35">
        <f t="shared" si="1030"/>
        <v>25.125</v>
      </c>
      <c r="AN473" s="6">
        <f t="shared" si="1031"/>
        <v>0.41539403383793411</v>
      </c>
      <c r="AO473" s="68">
        <v>0</v>
      </c>
      <c r="AP473" s="66">
        <v>0</v>
      </c>
      <c r="AQ473" s="35" t="e">
        <f t="shared" si="1032"/>
        <v>#DIV/0!</v>
      </c>
      <c r="AR473" s="6" t="e">
        <f t="shared" si="1033"/>
        <v>#DIV/0!</v>
      </c>
      <c r="AS473" s="68">
        <v>0</v>
      </c>
      <c r="AT473" s="66">
        <v>0</v>
      </c>
      <c r="AU473" s="35" t="e">
        <f t="shared" si="1034"/>
        <v>#DIV/0!</v>
      </c>
      <c r="AV473" s="6" t="e">
        <f t="shared" si="1035"/>
        <v>#DIV/0!</v>
      </c>
      <c r="AW473" s="68">
        <v>0</v>
      </c>
      <c r="AX473" s="66">
        <v>0</v>
      </c>
      <c r="AY473" s="35" t="e">
        <f t="shared" si="1036"/>
        <v>#DIV/0!</v>
      </c>
      <c r="AZ473" s="6" t="e">
        <f t="shared" si="1037"/>
        <v>#DIV/0!</v>
      </c>
      <c r="BA473" s="68">
        <v>0</v>
      </c>
      <c r="BB473" s="66">
        <v>0</v>
      </c>
      <c r="BC473" s="35" t="e">
        <f t="shared" si="1038"/>
        <v>#DIV/0!</v>
      </c>
      <c r="BD473" s="11" t="e">
        <f t="shared" si="1039"/>
        <v>#DIV/0!</v>
      </c>
    </row>
    <row r="474" spans="1:56" ht="15.75" thickBot="1" x14ac:dyDescent="0.3">
      <c r="A474" s="19" t="s">
        <v>2</v>
      </c>
      <c r="B474" s="8">
        <v>78840</v>
      </c>
      <c r="C474" s="35">
        <f>B474/F469</f>
        <v>70.77199281867145</v>
      </c>
      <c r="D474" s="8">
        <v>2100</v>
      </c>
      <c r="E474" s="68">
        <v>0</v>
      </c>
      <c r="F474" s="70">
        <v>0</v>
      </c>
      <c r="G474" s="35" t="e">
        <f t="shared" si="1014"/>
        <v>#DIV/0!</v>
      </c>
      <c r="H474" s="11" t="e">
        <f t="shared" si="1015"/>
        <v>#DIV/0!</v>
      </c>
      <c r="I474" s="35">
        <v>0</v>
      </c>
      <c r="J474" s="70">
        <v>0</v>
      </c>
      <c r="K474" s="35" t="e">
        <f t="shared" si="1016"/>
        <v>#DIV/0!</v>
      </c>
      <c r="L474" s="6" t="e">
        <f t="shared" si="1017"/>
        <v>#DIV/0!</v>
      </c>
      <c r="M474" s="68">
        <v>0</v>
      </c>
      <c r="N474" s="5">
        <v>0</v>
      </c>
      <c r="O474" s="35" t="e">
        <f t="shared" si="1018"/>
        <v>#DIV/0!</v>
      </c>
      <c r="P474" s="11" t="e">
        <f t="shared" si="1019"/>
        <v>#DIV/0!</v>
      </c>
      <c r="Q474" s="35">
        <v>0</v>
      </c>
      <c r="R474" s="66">
        <v>0</v>
      </c>
      <c r="S474" s="35" t="e">
        <f t="shared" si="1020"/>
        <v>#DIV/0!</v>
      </c>
      <c r="T474" s="6" t="e">
        <f t="shared" si="1021"/>
        <v>#DIV/0!</v>
      </c>
      <c r="U474" s="68">
        <v>0</v>
      </c>
      <c r="V474" s="66">
        <v>0</v>
      </c>
      <c r="W474" s="20" t="e">
        <f t="shared" si="1022"/>
        <v>#DIV/0!</v>
      </c>
      <c r="X474" s="6" t="e">
        <f t="shared" si="1023"/>
        <v>#DIV/0!</v>
      </c>
      <c r="Y474" s="68">
        <v>73560</v>
      </c>
      <c r="Z474" s="69">
        <v>1334</v>
      </c>
      <c r="AA474" s="35">
        <f t="shared" si="1024"/>
        <v>55.142428785607194</v>
      </c>
      <c r="AB474" s="11">
        <f t="shared" si="1025"/>
        <v>0.7791560840584274</v>
      </c>
      <c r="AC474" s="20">
        <v>15570</v>
      </c>
      <c r="AD474" s="33">
        <v>630</v>
      </c>
      <c r="AE474" s="35">
        <f t="shared" si="1026"/>
        <v>24.714285714285715</v>
      </c>
      <c r="AF474" s="6">
        <f t="shared" si="1027"/>
        <v>0.34920997318257596</v>
      </c>
      <c r="AG474" s="68">
        <v>0</v>
      </c>
      <c r="AH474" s="66">
        <v>0</v>
      </c>
      <c r="AI474" s="35" t="e">
        <f t="shared" si="1028"/>
        <v>#DIV/0!</v>
      </c>
      <c r="AJ474" s="6" t="e">
        <f t="shared" si="1029"/>
        <v>#DIV/0!</v>
      </c>
      <c r="AK474" s="68">
        <v>2210</v>
      </c>
      <c r="AL474" s="65">
        <v>80</v>
      </c>
      <c r="AM474" s="35">
        <f t="shared" si="1030"/>
        <v>27.625</v>
      </c>
      <c r="AN474" s="6">
        <f t="shared" si="1031"/>
        <v>0.39033802638254694</v>
      </c>
      <c r="AO474" s="68">
        <v>0</v>
      </c>
      <c r="AP474" s="66">
        <v>0</v>
      </c>
      <c r="AQ474" s="35" t="e">
        <f t="shared" si="1032"/>
        <v>#DIV/0!</v>
      </c>
      <c r="AR474" s="6" t="e">
        <f t="shared" si="1033"/>
        <v>#DIV/0!</v>
      </c>
      <c r="AS474" s="68">
        <v>0</v>
      </c>
      <c r="AT474" s="66">
        <v>0</v>
      </c>
      <c r="AU474" s="35" t="e">
        <f t="shared" si="1034"/>
        <v>#DIV/0!</v>
      </c>
      <c r="AV474" s="6" t="e">
        <f t="shared" si="1035"/>
        <v>#DIV/0!</v>
      </c>
      <c r="AW474" s="68">
        <v>0</v>
      </c>
      <c r="AX474" s="66">
        <v>0</v>
      </c>
      <c r="AY474" s="35" t="e">
        <f t="shared" si="1036"/>
        <v>#DIV/0!</v>
      </c>
      <c r="AZ474" s="6" t="e">
        <f t="shared" si="1037"/>
        <v>#DIV/0!</v>
      </c>
      <c r="BA474" s="68">
        <v>0</v>
      </c>
      <c r="BB474" s="66">
        <v>0</v>
      </c>
      <c r="BC474" s="35" t="e">
        <f t="shared" si="1038"/>
        <v>#DIV/0!</v>
      </c>
      <c r="BD474" s="11" t="e">
        <f t="shared" si="1039"/>
        <v>#DIV/0!</v>
      </c>
    </row>
    <row r="475" spans="1:56" ht="15.75" thickBot="1" x14ac:dyDescent="0.3">
      <c r="A475" s="19" t="s">
        <v>3</v>
      </c>
      <c r="B475" s="8">
        <v>95170</v>
      </c>
      <c r="C475" s="35">
        <f>B475/F469</f>
        <v>85.430879712746858</v>
      </c>
      <c r="D475" s="8">
        <v>2700</v>
      </c>
      <c r="E475" s="68">
        <v>0</v>
      </c>
      <c r="F475" s="70">
        <v>0</v>
      </c>
      <c r="G475" s="35" t="e">
        <f t="shared" si="1014"/>
        <v>#DIV/0!</v>
      </c>
      <c r="H475" s="11" t="e">
        <f t="shared" si="1015"/>
        <v>#DIV/0!</v>
      </c>
      <c r="I475" s="35">
        <v>0</v>
      </c>
      <c r="J475" s="70">
        <v>0</v>
      </c>
      <c r="K475" s="35" t="e">
        <f t="shared" si="1016"/>
        <v>#DIV/0!</v>
      </c>
      <c r="L475" s="6" t="e">
        <f t="shared" si="1017"/>
        <v>#DIV/0!</v>
      </c>
      <c r="M475" s="68">
        <v>0</v>
      </c>
      <c r="N475" s="5">
        <v>0</v>
      </c>
      <c r="O475" s="35" t="e">
        <f t="shared" si="1018"/>
        <v>#DIV/0!</v>
      </c>
      <c r="P475" s="11" t="e">
        <f t="shared" si="1019"/>
        <v>#DIV/0!</v>
      </c>
      <c r="Q475" s="35">
        <v>0</v>
      </c>
      <c r="R475" s="66">
        <v>0</v>
      </c>
      <c r="S475" s="35" t="e">
        <f t="shared" si="1020"/>
        <v>#DIV/0!</v>
      </c>
      <c r="T475" s="6" t="e">
        <f t="shared" si="1021"/>
        <v>#DIV/0!</v>
      </c>
      <c r="U475" s="68">
        <v>0</v>
      </c>
      <c r="V475" s="66">
        <v>0</v>
      </c>
      <c r="W475" s="20" t="e">
        <f t="shared" si="1022"/>
        <v>#DIV/0!</v>
      </c>
      <c r="X475" s="6" t="e">
        <f t="shared" si="1023"/>
        <v>#DIV/0!</v>
      </c>
      <c r="Y475" s="68">
        <v>83400</v>
      </c>
      <c r="Z475" s="69">
        <v>1334</v>
      </c>
      <c r="AA475" s="35">
        <f t="shared" si="1024"/>
        <v>62.518740629685155</v>
      </c>
      <c r="AB475" s="11">
        <f t="shared" si="1025"/>
        <v>0.73180494968445164</v>
      </c>
      <c r="AC475" s="20">
        <v>16600</v>
      </c>
      <c r="AD475" s="33">
        <v>630</v>
      </c>
      <c r="AE475" s="35">
        <f t="shared" si="1026"/>
        <v>26.349206349206348</v>
      </c>
      <c r="AF475" s="6">
        <f t="shared" si="1027"/>
        <v>0.30842719210902458</v>
      </c>
      <c r="AG475" s="68">
        <v>0</v>
      </c>
      <c r="AH475" s="66">
        <v>0</v>
      </c>
      <c r="AI475" s="35" t="e">
        <f t="shared" si="1028"/>
        <v>#DIV/0!</v>
      </c>
      <c r="AJ475" s="6" t="e">
        <f t="shared" si="1029"/>
        <v>#DIV/0!</v>
      </c>
      <c r="AK475" s="68">
        <v>2580</v>
      </c>
      <c r="AL475" s="65">
        <v>80</v>
      </c>
      <c r="AM475" s="35">
        <f t="shared" si="1030"/>
        <v>32.25</v>
      </c>
      <c r="AN475" s="6">
        <f t="shared" si="1031"/>
        <v>0.37749816118524743</v>
      </c>
      <c r="AO475" s="68">
        <v>0</v>
      </c>
      <c r="AP475" s="66">
        <v>0</v>
      </c>
      <c r="AQ475" s="35" t="e">
        <f t="shared" si="1032"/>
        <v>#DIV/0!</v>
      </c>
      <c r="AR475" s="6" t="e">
        <f t="shared" si="1033"/>
        <v>#DIV/0!</v>
      </c>
      <c r="AS475" s="68">
        <v>0</v>
      </c>
      <c r="AT475" s="66">
        <v>0</v>
      </c>
      <c r="AU475" s="35" t="e">
        <f t="shared" si="1034"/>
        <v>#DIV/0!</v>
      </c>
      <c r="AV475" s="6" t="e">
        <f t="shared" si="1035"/>
        <v>#DIV/0!</v>
      </c>
      <c r="AW475" s="68">
        <v>0</v>
      </c>
      <c r="AX475" s="66">
        <v>0</v>
      </c>
      <c r="AY475" s="35" t="e">
        <f t="shared" si="1036"/>
        <v>#DIV/0!</v>
      </c>
      <c r="AZ475" s="6" t="e">
        <f t="shared" si="1037"/>
        <v>#DIV/0!</v>
      </c>
      <c r="BA475" s="68">
        <v>0</v>
      </c>
      <c r="BB475" s="66">
        <v>0</v>
      </c>
      <c r="BC475" s="35" t="e">
        <f t="shared" si="1038"/>
        <v>#DIV/0!</v>
      </c>
      <c r="BD475" s="11" t="e">
        <f t="shared" si="1039"/>
        <v>#DIV/0!</v>
      </c>
    </row>
    <row r="476" spans="1:56" ht="15.75" thickBot="1" x14ac:dyDescent="0.3">
      <c r="A476" s="19" t="s">
        <v>4</v>
      </c>
      <c r="B476" s="8">
        <v>118730</v>
      </c>
      <c r="C476" s="35">
        <f>B476/F469</f>
        <v>106.57989228007182</v>
      </c>
      <c r="D476" s="8">
        <v>5250</v>
      </c>
      <c r="E476" s="68">
        <v>0</v>
      </c>
      <c r="F476" s="70">
        <v>0</v>
      </c>
      <c r="G476" s="35" t="e">
        <f t="shared" si="1014"/>
        <v>#DIV/0!</v>
      </c>
      <c r="H476" s="11" t="e">
        <f t="shared" si="1015"/>
        <v>#DIV/0!</v>
      </c>
      <c r="I476" s="35">
        <v>0</v>
      </c>
      <c r="J476" s="70">
        <v>0</v>
      </c>
      <c r="K476" s="35" t="e">
        <f t="shared" si="1016"/>
        <v>#DIV/0!</v>
      </c>
      <c r="L476" s="6" t="e">
        <f t="shared" si="1017"/>
        <v>#DIV/0!</v>
      </c>
      <c r="M476" s="68">
        <v>0</v>
      </c>
      <c r="N476" s="5">
        <v>0</v>
      </c>
      <c r="O476" s="35" t="e">
        <f t="shared" si="1018"/>
        <v>#DIV/0!</v>
      </c>
      <c r="P476" s="11" t="e">
        <f t="shared" si="1019"/>
        <v>#DIV/0!</v>
      </c>
      <c r="Q476" s="35">
        <v>0</v>
      </c>
      <c r="R476" s="66">
        <v>0</v>
      </c>
      <c r="S476" s="35" t="e">
        <f t="shared" si="1020"/>
        <v>#DIV/0!</v>
      </c>
      <c r="T476" s="6" t="e">
        <f t="shared" si="1021"/>
        <v>#DIV/0!</v>
      </c>
      <c r="U476" s="68">
        <v>0</v>
      </c>
      <c r="V476" s="66">
        <v>0</v>
      </c>
      <c r="W476" s="20" t="e">
        <f t="shared" si="1022"/>
        <v>#DIV/0!</v>
      </c>
      <c r="X476" s="6" t="e">
        <f t="shared" si="1023"/>
        <v>#DIV/0!</v>
      </c>
      <c r="Y476" s="68">
        <v>106840</v>
      </c>
      <c r="Z476" s="69">
        <v>1334</v>
      </c>
      <c r="AA476" s="35">
        <f t="shared" si="1024"/>
        <v>80.089955022488752</v>
      </c>
      <c r="AB476" s="11">
        <f t="shared" si="1025"/>
        <v>0.75145464410892338</v>
      </c>
      <c r="AC476" s="20">
        <v>18880</v>
      </c>
      <c r="AD476" s="33">
        <v>630</v>
      </c>
      <c r="AE476" s="35">
        <f t="shared" si="1026"/>
        <v>29.968253968253968</v>
      </c>
      <c r="AF476" s="6">
        <f t="shared" si="1027"/>
        <v>0.28118112457369593</v>
      </c>
      <c r="AG476" s="68">
        <v>0</v>
      </c>
      <c r="AH476" s="66">
        <v>0</v>
      </c>
      <c r="AI476" s="35" t="e">
        <f t="shared" si="1028"/>
        <v>#DIV/0!</v>
      </c>
      <c r="AJ476" s="6" t="e">
        <f t="shared" si="1029"/>
        <v>#DIV/0!</v>
      </c>
      <c r="AK476" s="68">
        <v>3030</v>
      </c>
      <c r="AL476" s="65">
        <v>80</v>
      </c>
      <c r="AM476" s="35">
        <f t="shared" si="1030"/>
        <v>37.875</v>
      </c>
      <c r="AN476" s="6">
        <f t="shared" si="1031"/>
        <v>0.35536721974227237</v>
      </c>
      <c r="AO476" s="68">
        <v>0</v>
      </c>
      <c r="AP476" s="66">
        <v>0</v>
      </c>
      <c r="AQ476" s="35" t="e">
        <f t="shared" si="1032"/>
        <v>#DIV/0!</v>
      </c>
      <c r="AR476" s="6" t="e">
        <f t="shared" si="1033"/>
        <v>#DIV/0!</v>
      </c>
      <c r="AS476" s="68">
        <v>0</v>
      </c>
      <c r="AT476" s="66">
        <v>0</v>
      </c>
      <c r="AU476" s="35" t="e">
        <f t="shared" si="1034"/>
        <v>#DIV/0!</v>
      </c>
      <c r="AV476" s="6" t="e">
        <f t="shared" si="1035"/>
        <v>#DIV/0!</v>
      </c>
      <c r="AW476" s="68">
        <v>0</v>
      </c>
      <c r="AX476" s="66">
        <v>0</v>
      </c>
      <c r="AY476" s="35" t="e">
        <f t="shared" si="1036"/>
        <v>#DIV/0!</v>
      </c>
      <c r="AZ476" s="6" t="e">
        <f t="shared" si="1037"/>
        <v>#DIV/0!</v>
      </c>
      <c r="BA476" s="68">
        <v>0</v>
      </c>
      <c r="BB476" s="66">
        <v>0</v>
      </c>
      <c r="BC476" s="35" t="e">
        <f t="shared" si="1038"/>
        <v>#DIV/0!</v>
      </c>
      <c r="BD476" s="11" t="e">
        <f t="shared" si="1039"/>
        <v>#DIV/0!</v>
      </c>
    </row>
    <row r="477" spans="1:56" ht="15.75" thickBot="1" x14ac:dyDescent="0.3">
      <c r="A477" s="19" t="s">
        <v>5</v>
      </c>
      <c r="B477" s="8">
        <v>156260</v>
      </c>
      <c r="C477" s="35">
        <f>B477/F469</f>
        <v>140.26929982046678</v>
      </c>
      <c r="D477" s="8">
        <v>7050</v>
      </c>
      <c r="E477" s="68">
        <v>0</v>
      </c>
      <c r="F477" s="70">
        <v>0</v>
      </c>
      <c r="G477" s="35" t="e">
        <f t="shared" si="1014"/>
        <v>#DIV/0!</v>
      </c>
      <c r="H477" s="11" t="e">
        <f t="shared" si="1015"/>
        <v>#DIV/0!</v>
      </c>
      <c r="I477" s="35">
        <v>0</v>
      </c>
      <c r="J477" s="70">
        <v>0</v>
      </c>
      <c r="K477" s="35" t="e">
        <f t="shared" si="1016"/>
        <v>#DIV/0!</v>
      </c>
      <c r="L477" s="6" t="e">
        <f t="shared" si="1017"/>
        <v>#DIV/0!</v>
      </c>
      <c r="M477" s="68">
        <v>0</v>
      </c>
      <c r="N477" s="5">
        <v>0</v>
      </c>
      <c r="O477" s="35" t="e">
        <f t="shared" si="1018"/>
        <v>#DIV/0!</v>
      </c>
      <c r="P477" s="11" t="e">
        <f t="shared" si="1019"/>
        <v>#DIV/0!</v>
      </c>
      <c r="Q477" s="35">
        <v>0</v>
      </c>
      <c r="R477" s="66">
        <v>0</v>
      </c>
      <c r="S477" s="35" t="e">
        <f t="shared" si="1020"/>
        <v>#DIV/0!</v>
      </c>
      <c r="T477" s="6" t="e">
        <f t="shared" si="1021"/>
        <v>#DIV/0!</v>
      </c>
      <c r="U477" s="68">
        <v>0</v>
      </c>
      <c r="V477" s="66">
        <v>0</v>
      </c>
      <c r="W477" s="20" t="e">
        <f t="shared" si="1022"/>
        <v>#DIV/0!</v>
      </c>
      <c r="X477" s="6" t="e">
        <f t="shared" si="1023"/>
        <v>#DIV/0!</v>
      </c>
      <c r="Y477" s="68">
        <v>144840</v>
      </c>
      <c r="Z477" s="69">
        <v>1334</v>
      </c>
      <c r="AA477" s="35">
        <f t="shared" si="1024"/>
        <v>108.57571214392803</v>
      </c>
      <c r="AB477" s="11">
        <f t="shared" si="1025"/>
        <v>0.77405185798243836</v>
      </c>
      <c r="AC477" s="20">
        <v>20800</v>
      </c>
      <c r="AD477" s="33">
        <v>630</v>
      </c>
      <c r="AE477" s="35">
        <f t="shared" si="1026"/>
        <v>33.015873015873019</v>
      </c>
      <c r="AF477" s="6">
        <f t="shared" si="1027"/>
        <v>0.23537490426009564</v>
      </c>
      <c r="AG477" s="68">
        <v>0</v>
      </c>
      <c r="AH477" s="66">
        <v>0</v>
      </c>
      <c r="AI477" s="35" t="e">
        <f t="shared" si="1028"/>
        <v>#DIV/0!</v>
      </c>
      <c r="AJ477" s="6" t="e">
        <f t="shared" si="1029"/>
        <v>#DIV/0!</v>
      </c>
      <c r="AK477" s="68">
        <v>3530</v>
      </c>
      <c r="AL477" s="65">
        <v>80</v>
      </c>
      <c r="AM477" s="35">
        <f t="shared" si="1030"/>
        <v>44.125</v>
      </c>
      <c r="AN477" s="6">
        <f t="shared" si="1031"/>
        <v>0.31457346729809293</v>
      </c>
      <c r="AO477" s="68">
        <v>0</v>
      </c>
      <c r="AP477" s="66">
        <v>0</v>
      </c>
      <c r="AQ477" s="35" t="e">
        <f t="shared" si="1032"/>
        <v>#DIV/0!</v>
      </c>
      <c r="AR477" s="6" t="e">
        <f t="shared" si="1033"/>
        <v>#DIV/0!</v>
      </c>
      <c r="AS477" s="68">
        <v>0</v>
      </c>
      <c r="AT477" s="66">
        <v>0</v>
      </c>
      <c r="AU477" s="35" t="e">
        <f t="shared" si="1034"/>
        <v>#DIV/0!</v>
      </c>
      <c r="AV477" s="6" t="e">
        <f t="shared" si="1035"/>
        <v>#DIV/0!</v>
      </c>
      <c r="AW477" s="68">
        <v>0</v>
      </c>
      <c r="AX477" s="66">
        <v>0</v>
      </c>
      <c r="AY477" s="35" t="e">
        <f t="shared" si="1036"/>
        <v>#DIV/0!</v>
      </c>
      <c r="AZ477" s="6" t="e">
        <f t="shared" si="1037"/>
        <v>#DIV/0!</v>
      </c>
      <c r="BA477" s="68">
        <v>0</v>
      </c>
      <c r="BB477" s="66">
        <v>0</v>
      </c>
      <c r="BC477" s="35" t="e">
        <f t="shared" si="1038"/>
        <v>#DIV/0!</v>
      </c>
      <c r="BD477" s="11" t="e">
        <f t="shared" si="1039"/>
        <v>#DIV/0!</v>
      </c>
    </row>
    <row r="478" spans="1:56" x14ac:dyDescent="0.25">
      <c r="A478" s="19" t="s">
        <v>6</v>
      </c>
      <c r="B478" s="8">
        <v>182510</v>
      </c>
      <c r="C478" s="35">
        <f>B478/F469</f>
        <v>163.83303411131058</v>
      </c>
      <c r="D478" s="8">
        <v>10950</v>
      </c>
      <c r="E478" s="68">
        <v>0</v>
      </c>
      <c r="F478" s="70">
        <v>0</v>
      </c>
      <c r="G478" s="35" t="e">
        <f t="shared" si="1014"/>
        <v>#DIV/0!</v>
      </c>
      <c r="H478" s="11" t="e">
        <f t="shared" si="1015"/>
        <v>#DIV/0!</v>
      </c>
      <c r="I478" s="35">
        <v>0</v>
      </c>
      <c r="J478" s="70">
        <v>0</v>
      </c>
      <c r="K478" s="35" t="e">
        <f t="shared" si="1016"/>
        <v>#DIV/0!</v>
      </c>
      <c r="L478" s="6" t="e">
        <f t="shared" si="1017"/>
        <v>#DIV/0!</v>
      </c>
      <c r="M478" s="68">
        <v>0</v>
      </c>
      <c r="N478" s="5">
        <v>0</v>
      </c>
      <c r="O478" s="35" t="e">
        <f t="shared" si="1018"/>
        <v>#DIV/0!</v>
      </c>
      <c r="P478" s="11" t="e">
        <f t="shared" si="1019"/>
        <v>#DIV/0!</v>
      </c>
      <c r="Q478" s="35">
        <v>0</v>
      </c>
      <c r="R478" s="66">
        <v>0</v>
      </c>
      <c r="S478" s="35" t="e">
        <f t="shared" si="1020"/>
        <v>#DIV/0!</v>
      </c>
      <c r="T478" s="6" t="e">
        <f t="shared" si="1021"/>
        <v>#DIV/0!</v>
      </c>
      <c r="U478" s="68">
        <v>0</v>
      </c>
      <c r="V478" s="66">
        <v>0</v>
      </c>
      <c r="W478" s="20" t="e">
        <f t="shared" si="1022"/>
        <v>#DIV/0!</v>
      </c>
      <c r="X478" s="6" t="e">
        <f t="shared" si="1023"/>
        <v>#DIV/0!</v>
      </c>
      <c r="Y478" s="68">
        <v>167460</v>
      </c>
      <c r="Z478" s="69">
        <v>1334</v>
      </c>
      <c r="AA478" s="35">
        <f t="shared" si="1024"/>
        <v>125.53223388305847</v>
      </c>
      <c r="AB478" s="11">
        <f t="shared" si="1025"/>
        <v>0.76622052789286688</v>
      </c>
      <c r="AC478" s="20">
        <v>29930</v>
      </c>
      <c r="AD478" s="33">
        <v>630</v>
      </c>
      <c r="AE478" s="35">
        <f t="shared" si="1026"/>
        <v>47.507936507936506</v>
      </c>
      <c r="AF478" s="6">
        <f t="shared" si="1027"/>
        <v>0.28997776160123429</v>
      </c>
      <c r="AG478" s="68">
        <v>0</v>
      </c>
      <c r="AH478" s="66">
        <v>0</v>
      </c>
      <c r="AI478" s="35" t="e">
        <f t="shared" si="1028"/>
        <v>#DIV/0!</v>
      </c>
      <c r="AJ478" s="6" t="e">
        <f t="shared" si="1029"/>
        <v>#DIV/0!</v>
      </c>
      <c r="AK478" s="68">
        <v>4000</v>
      </c>
      <c r="AL478" s="65">
        <v>80</v>
      </c>
      <c r="AM478" s="35">
        <f t="shared" si="1030"/>
        <v>50</v>
      </c>
      <c r="AN478" s="6">
        <f t="shared" si="1031"/>
        <v>0.30518875678045043</v>
      </c>
      <c r="AO478" s="68">
        <v>0</v>
      </c>
      <c r="AP478" s="66">
        <v>0</v>
      </c>
      <c r="AQ478" s="35" t="e">
        <f t="shared" si="1032"/>
        <v>#DIV/0!</v>
      </c>
      <c r="AR478" s="6" t="e">
        <f t="shared" si="1033"/>
        <v>#DIV/0!</v>
      </c>
      <c r="AS478" s="68">
        <v>0</v>
      </c>
      <c r="AT478" s="66">
        <v>0</v>
      </c>
      <c r="AU478" s="35" t="e">
        <f t="shared" si="1034"/>
        <v>#DIV/0!</v>
      </c>
      <c r="AV478" s="6" t="e">
        <f t="shared" si="1035"/>
        <v>#DIV/0!</v>
      </c>
      <c r="AW478" s="68">
        <v>0</v>
      </c>
      <c r="AX478" s="66">
        <v>0</v>
      </c>
      <c r="AY478" s="35" t="e">
        <f t="shared" si="1036"/>
        <v>#DIV/0!</v>
      </c>
      <c r="AZ478" s="6" t="e">
        <f t="shared" si="1037"/>
        <v>#DIV/0!</v>
      </c>
      <c r="BA478" s="68">
        <v>0</v>
      </c>
      <c r="BB478" s="66">
        <v>0</v>
      </c>
      <c r="BC478" s="35" t="e">
        <f t="shared" si="1038"/>
        <v>#DIV/0!</v>
      </c>
      <c r="BD478" s="11" t="e">
        <f t="shared" si="1039"/>
        <v>#DIV/0!</v>
      </c>
    </row>
    <row r="479" spans="1:56" ht="15.75" thickBot="1" x14ac:dyDescent="0.3">
      <c r="A479" s="21"/>
      <c r="B479" s="22"/>
      <c r="C479" s="23">
        <f>AVERAGE(Table11036[MA $/Sq Ft])</f>
        <v>96.96845344960245</v>
      </c>
      <c r="D479" s="22">
        <f>AVERAGE(Table11036[Basic Allowance])</f>
        <v>4442.8571428571431</v>
      </c>
      <c r="E479" s="16"/>
      <c r="F479" s="22"/>
      <c r="G479" s="15"/>
      <c r="H479" s="24" t="e">
        <f>AVERAGE(Table11036[Bsmt % Base])</f>
        <v>#DIV/0!</v>
      </c>
      <c r="I479" s="15"/>
      <c r="J479" s="15"/>
      <c r="K479" s="15"/>
      <c r="L479" s="25" t="e">
        <f>AVERAGE(Table11036[[#Headers],[#Data],[UnfBsmt % Base]])</f>
        <v>#DIV/0!</v>
      </c>
      <c r="M479" s="44"/>
      <c r="N479" s="15"/>
      <c r="O479" s="23" t="e">
        <f>AVERAGE(Table11036[LowerVal/SqFt])</f>
        <v>#DIV/0!</v>
      </c>
      <c r="P479" s="24" t="e">
        <f>AVERAGE(Table11036[Lower % Base])</f>
        <v>#DIV/0!</v>
      </c>
      <c r="Q479" s="13"/>
      <c r="R479" s="13"/>
      <c r="S479" s="13"/>
      <c r="T479" s="25" t="e">
        <f>AVERAGE(Table11036[Unf Lower % Base])</f>
        <v>#DIV/0!</v>
      </c>
      <c r="U479" s="12"/>
      <c r="V479" s="13"/>
      <c r="W479" s="13"/>
      <c r="X479" s="25" t="e">
        <f>AVERAGE(Table11036[1/2 Story % Base])</f>
        <v>#DIV/0!</v>
      </c>
      <c r="Y479" s="12"/>
      <c r="Z479" s="13"/>
      <c r="AA479" s="13"/>
      <c r="AB479" s="24">
        <f>AVERAGE(Table11036[2nd Story % Base])</f>
        <v>0.75473255364797309</v>
      </c>
      <c r="AC479" s="13"/>
      <c r="AD479" s="13"/>
      <c r="AE479" s="23">
        <f>AVERAGE(Table11036[AttGarVal/SqFt])</f>
        <v>27.916099773242628</v>
      </c>
      <c r="AF479" s="25">
        <f>AVERAGE(Table11036[Att Gar % Base])</f>
        <v>0.29516927175293056</v>
      </c>
      <c r="AG479" s="12"/>
      <c r="AH479" s="13"/>
      <c r="AI479" s="13"/>
      <c r="AJ479" s="25" t="e">
        <f>AVERAGE(Table11036[Porch % Base])</f>
        <v>#DIV/0!</v>
      </c>
      <c r="AK479" s="12"/>
      <c r="AL479" s="13"/>
      <c r="AM479" s="13"/>
      <c r="AN479" s="25">
        <f>AVERAGE(Table11036[Cov Porch % Base])</f>
        <v>0.35696639484029086</v>
      </c>
      <c r="AO479" s="12"/>
      <c r="AP479" s="13"/>
      <c r="AQ479" s="13"/>
      <c r="AR479" s="25" t="e">
        <f>AVERAGE(Table11036[Deck % Base])</f>
        <v>#DIV/0!</v>
      </c>
      <c r="AS479" s="12"/>
      <c r="AT479" s="13"/>
      <c r="AU479" s="23" t="e">
        <f>AVERAGE(Table11036[CovDeckVal/SqFt])</f>
        <v>#DIV/0!</v>
      </c>
      <c r="AV479" s="25" t="e">
        <f>AVERAGE(Table11036[CovDeck % Base])</f>
        <v>#DIV/0!</v>
      </c>
      <c r="AW479" s="12"/>
      <c r="AX479" s="13"/>
      <c r="AY479" s="13"/>
      <c r="AZ479" s="25" t="e">
        <f>AVERAGE(Table11036[CarP % Base])</f>
        <v>#DIV/0!</v>
      </c>
      <c r="BA479" s="12"/>
      <c r="BB479" s="13"/>
      <c r="BC479" s="13"/>
      <c r="BD479" s="24" t="e">
        <f>AVERAGE(Table11036[EFP % Base])</f>
        <v>#DIV/0!</v>
      </c>
    </row>
    <row r="481" spans="1:56" ht="15.75" thickBot="1" x14ac:dyDescent="0.3">
      <c r="A481" s="82"/>
      <c r="B481" t="s">
        <v>79</v>
      </c>
      <c r="C481" s="78" t="s">
        <v>129</v>
      </c>
      <c r="E481" t="s">
        <v>33</v>
      </c>
      <c r="F481" s="79">
        <v>1496</v>
      </c>
      <c r="H481" t="s">
        <v>80</v>
      </c>
      <c r="I481" t="s">
        <v>95</v>
      </c>
    </row>
    <row r="482" spans="1:56" x14ac:dyDescent="0.25">
      <c r="A482" s="112"/>
      <c r="B482" s="113"/>
      <c r="C482" s="113"/>
      <c r="D482" s="114"/>
      <c r="E482" s="115" t="s">
        <v>27</v>
      </c>
      <c r="F482" s="116"/>
      <c r="G482" s="116"/>
      <c r="H482" s="117"/>
      <c r="I482" s="118" t="s">
        <v>28</v>
      </c>
      <c r="J482" s="119"/>
      <c r="K482" s="119"/>
      <c r="L482" s="120"/>
      <c r="M482" s="121" t="s">
        <v>7</v>
      </c>
      <c r="N482" s="122"/>
      <c r="O482" s="122"/>
      <c r="P482" s="123"/>
      <c r="Q482" s="124" t="s">
        <v>29</v>
      </c>
      <c r="R482" s="125"/>
      <c r="S482" s="125"/>
      <c r="T482" s="126"/>
      <c r="U482" s="127" t="s">
        <v>8</v>
      </c>
      <c r="V482" s="128"/>
      <c r="W482" s="128"/>
      <c r="X482" s="129"/>
      <c r="Y482" s="130" t="s">
        <v>0</v>
      </c>
      <c r="Z482" s="131"/>
      <c r="AA482" s="131"/>
      <c r="AB482" s="132"/>
      <c r="AC482" s="133" t="s">
        <v>34</v>
      </c>
      <c r="AD482" s="134"/>
      <c r="AE482" s="134"/>
      <c r="AF482" s="135"/>
      <c r="AG482" s="115" t="s">
        <v>9</v>
      </c>
      <c r="AH482" s="116"/>
      <c r="AI482" s="116"/>
      <c r="AJ482" s="117"/>
      <c r="AK482" s="136" t="s">
        <v>35</v>
      </c>
      <c r="AL482" s="137"/>
      <c r="AM482" s="137"/>
      <c r="AN482" s="138"/>
      <c r="AO482" s="139" t="s">
        <v>10</v>
      </c>
      <c r="AP482" s="140"/>
      <c r="AQ482" s="140"/>
      <c r="AR482" s="141"/>
      <c r="AS482" s="124" t="s">
        <v>36</v>
      </c>
      <c r="AT482" s="125"/>
      <c r="AU482" s="125"/>
      <c r="AV482" s="126"/>
      <c r="AW482" s="142" t="s">
        <v>11</v>
      </c>
      <c r="AX482" s="143"/>
      <c r="AY482" s="143"/>
      <c r="AZ482" s="144"/>
      <c r="BA482" s="148" t="s">
        <v>130</v>
      </c>
      <c r="BB482" s="149"/>
      <c r="BC482" s="149"/>
      <c r="BD482" s="150"/>
    </row>
    <row r="483" spans="1:56" s="1" customFormat="1" ht="15.75" thickBot="1" x14ac:dyDescent="0.3">
      <c r="A483" s="41" t="s">
        <v>13</v>
      </c>
      <c r="B483" s="42" t="s">
        <v>15</v>
      </c>
      <c r="C483" s="42" t="s">
        <v>32</v>
      </c>
      <c r="D483" s="43" t="s">
        <v>18</v>
      </c>
      <c r="E483" s="30" t="s">
        <v>30</v>
      </c>
      <c r="F483" s="31" t="s">
        <v>61</v>
      </c>
      <c r="G483" s="31" t="s">
        <v>38</v>
      </c>
      <c r="H483" s="32" t="s">
        <v>62</v>
      </c>
      <c r="I483" s="37" t="s">
        <v>31</v>
      </c>
      <c r="J483" s="38" t="s">
        <v>39</v>
      </c>
      <c r="K483" s="38" t="s">
        <v>40</v>
      </c>
      <c r="L483" s="39" t="s">
        <v>63</v>
      </c>
      <c r="M483" s="40" t="s">
        <v>19</v>
      </c>
      <c r="N483" s="7" t="s">
        <v>41</v>
      </c>
      <c r="O483" s="7" t="s">
        <v>37</v>
      </c>
      <c r="P483" s="7" t="s">
        <v>64</v>
      </c>
      <c r="Q483" s="27" t="s">
        <v>20</v>
      </c>
      <c r="R483" s="28" t="s">
        <v>60</v>
      </c>
      <c r="S483" s="28" t="s">
        <v>59</v>
      </c>
      <c r="T483" s="29" t="s">
        <v>65</v>
      </c>
      <c r="U483" s="48" t="s">
        <v>21</v>
      </c>
      <c r="V483" s="48" t="s">
        <v>42</v>
      </c>
      <c r="W483" s="48" t="s">
        <v>43</v>
      </c>
      <c r="X483" s="49" t="s">
        <v>66</v>
      </c>
      <c r="Y483" s="50" t="s">
        <v>22</v>
      </c>
      <c r="Z483" s="51" t="s">
        <v>44</v>
      </c>
      <c r="AA483" s="51" t="s">
        <v>45</v>
      </c>
      <c r="AB483" s="52" t="s">
        <v>67</v>
      </c>
      <c r="AC483" s="45" t="s">
        <v>23</v>
      </c>
      <c r="AD483" s="46" t="s">
        <v>46</v>
      </c>
      <c r="AE483" s="46" t="s">
        <v>47</v>
      </c>
      <c r="AF483" s="47" t="s">
        <v>68</v>
      </c>
      <c r="AG483" s="30" t="s">
        <v>24</v>
      </c>
      <c r="AH483" s="31" t="s">
        <v>48</v>
      </c>
      <c r="AI483" s="31" t="s">
        <v>49</v>
      </c>
      <c r="AJ483" s="32" t="s">
        <v>69</v>
      </c>
      <c r="AK483" s="53" t="s">
        <v>25</v>
      </c>
      <c r="AL483" s="54" t="s">
        <v>50</v>
      </c>
      <c r="AM483" s="54" t="s">
        <v>51</v>
      </c>
      <c r="AN483" s="55" t="s">
        <v>70</v>
      </c>
      <c r="AO483" s="56" t="s">
        <v>26</v>
      </c>
      <c r="AP483" s="57" t="s">
        <v>52</v>
      </c>
      <c r="AQ483" s="57" t="s">
        <v>53</v>
      </c>
      <c r="AR483" s="58" t="s">
        <v>71</v>
      </c>
      <c r="AS483" s="59" t="s">
        <v>55</v>
      </c>
      <c r="AT483" s="60" t="s">
        <v>54</v>
      </c>
      <c r="AU483" s="60" t="s">
        <v>56</v>
      </c>
      <c r="AV483" s="61" t="s">
        <v>76</v>
      </c>
      <c r="AW483" s="62" t="s">
        <v>72</v>
      </c>
      <c r="AX483" s="63" t="s">
        <v>73</v>
      </c>
      <c r="AY483" s="63" t="s">
        <v>74</v>
      </c>
      <c r="AZ483" s="64" t="s">
        <v>75</v>
      </c>
      <c r="BA483" s="71" t="s">
        <v>77</v>
      </c>
      <c r="BB483" s="72" t="s">
        <v>57</v>
      </c>
      <c r="BC483" s="72" t="s">
        <v>58</v>
      </c>
      <c r="BD483" s="73" t="s">
        <v>78</v>
      </c>
    </row>
    <row r="484" spans="1:56" ht="15.75" thickBot="1" x14ac:dyDescent="0.3">
      <c r="A484" s="17" t="s">
        <v>1</v>
      </c>
      <c r="B484" s="14">
        <v>73460</v>
      </c>
      <c r="C484" s="34">
        <f>B484/F481</f>
        <v>49.104278074866308</v>
      </c>
      <c r="D484" s="14">
        <v>1525</v>
      </c>
      <c r="E484" s="67">
        <v>0</v>
      </c>
      <c r="F484" s="69">
        <v>0</v>
      </c>
      <c r="G484" s="34" t="e">
        <f t="shared" ref="G484:G490" si="1040">E484/F484</f>
        <v>#DIV/0!</v>
      </c>
      <c r="H484" s="10" t="e">
        <f t="shared" ref="H484:H490" si="1041">G484/C484</f>
        <v>#DIV/0!</v>
      </c>
      <c r="I484" s="34">
        <v>10080</v>
      </c>
      <c r="J484" s="69">
        <v>832</v>
      </c>
      <c r="K484" s="34">
        <f t="shared" ref="K484:K490" si="1042">I484/J484</f>
        <v>12.115384615384615</v>
      </c>
      <c r="L484" s="9">
        <f t="shared" ref="L484:L490" si="1043">K484/C484</f>
        <v>0.24672768016084107</v>
      </c>
      <c r="M484" s="67">
        <v>0</v>
      </c>
      <c r="N484" s="26">
        <v>0</v>
      </c>
      <c r="O484" s="34" t="e">
        <f t="shared" ref="O484:O490" si="1044">M484/N484</f>
        <v>#DIV/0!</v>
      </c>
      <c r="P484" s="10" t="e">
        <f t="shared" ref="P484:P490" si="1045">O484/C484</f>
        <v>#DIV/0!</v>
      </c>
      <c r="Q484" s="35">
        <v>0</v>
      </c>
      <c r="R484" s="66">
        <v>0</v>
      </c>
      <c r="S484" s="35" t="e">
        <f t="shared" ref="S484:S490" si="1046">Q484/R484</f>
        <v>#DIV/0!</v>
      </c>
      <c r="T484" s="6" t="e">
        <f t="shared" ref="T484:T490" si="1047">S484/C484</f>
        <v>#DIV/0!</v>
      </c>
      <c r="U484" s="67">
        <v>0</v>
      </c>
      <c r="V484" s="65">
        <v>0</v>
      </c>
      <c r="W484" s="18" t="e">
        <f t="shared" ref="W484:W490" si="1048">U484/V484</f>
        <v>#DIV/0!</v>
      </c>
      <c r="X484" s="9" t="e">
        <f t="shared" ref="X484:X490" si="1049">W484/C484</f>
        <v>#DIV/0!</v>
      </c>
      <c r="Y484" s="67">
        <v>0</v>
      </c>
      <c r="Z484" s="69">
        <v>0</v>
      </c>
      <c r="AA484" s="34" t="e">
        <f t="shared" ref="AA484:AA490" si="1050">Y484/Z484</f>
        <v>#DIV/0!</v>
      </c>
      <c r="AB484" s="10" t="e">
        <f t="shared" ref="AB484:AB490" si="1051">AA484/C484</f>
        <v>#DIV/0!</v>
      </c>
      <c r="AC484" s="18">
        <v>0</v>
      </c>
      <c r="AD484" s="33">
        <v>0</v>
      </c>
      <c r="AE484" s="34" t="e">
        <f t="shared" ref="AE484:AE490" si="1052">AC484/AD484</f>
        <v>#DIV/0!</v>
      </c>
      <c r="AF484" s="9" t="e">
        <f t="shared" ref="AF484:AF490" si="1053">AE484/C484</f>
        <v>#DIV/0!</v>
      </c>
      <c r="AG484" s="67">
        <v>0</v>
      </c>
      <c r="AH484" s="65">
        <v>0</v>
      </c>
      <c r="AI484" s="34" t="e">
        <f t="shared" ref="AI484:AI490" si="1054">AG484/AH484</f>
        <v>#DIV/0!</v>
      </c>
      <c r="AJ484" s="9" t="e">
        <f t="shared" ref="AJ484:AJ490" si="1055">AI484/C484</f>
        <v>#DIV/0!</v>
      </c>
      <c r="AK484" s="67">
        <v>510</v>
      </c>
      <c r="AL484" s="65">
        <v>60</v>
      </c>
      <c r="AM484" s="34">
        <f t="shared" ref="AM484:AM490" si="1056">AK484/AL484</f>
        <v>8.5</v>
      </c>
      <c r="AN484" s="9">
        <f t="shared" ref="AN484:AN490" si="1057">AM484/C484</f>
        <v>0.17310100735093931</v>
      </c>
      <c r="AO484" s="67">
        <v>0</v>
      </c>
      <c r="AP484" s="65">
        <v>0</v>
      </c>
      <c r="AQ484" s="34" t="e">
        <f t="shared" ref="AQ484:AQ490" si="1058">AO484/AP484</f>
        <v>#DIV/0!</v>
      </c>
      <c r="AR484" s="9" t="e">
        <f t="shared" ref="AR484:AR490" si="1059">AQ484/C484</f>
        <v>#DIV/0!</v>
      </c>
      <c r="AS484" s="67">
        <v>0</v>
      </c>
      <c r="AT484" s="65">
        <v>0</v>
      </c>
      <c r="AU484" s="34" t="e">
        <f t="shared" ref="AU484:AU490" si="1060">AS484/AT484</f>
        <v>#DIV/0!</v>
      </c>
      <c r="AV484" s="9" t="e">
        <f t="shared" ref="AV484:AV490" si="1061">AU484/C484</f>
        <v>#DIV/0!</v>
      </c>
      <c r="AW484" s="67">
        <v>0</v>
      </c>
      <c r="AX484" s="65">
        <v>0</v>
      </c>
      <c r="AY484" s="34" t="e">
        <f t="shared" ref="AY484:AY490" si="1062">AW484/AX484</f>
        <v>#DIV/0!</v>
      </c>
      <c r="AZ484" s="9" t="e">
        <f t="shared" ref="AZ484:AZ490" si="1063">AY484/C484</f>
        <v>#DIV/0!</v>
      </c>
      <c r="BA484" s="67">
        <v>5680</v>
      </c>
      <c r="BB484" s="65">
        <v>324</v>
      </c>
      <c r="BC484" s="34">
        <f t="shared" ref="BC484:BC490" si="1064">BA484/BB484</f>
        <v>17.530864197530864</v>
      </c>
      <c r="BD484" s="10">
        <f t="shared" ref="BD484:BD490" si="1065">BC484/C484</f>
        <v>0.35701297086177747</v>
      </c>
    </row>
    <row r="485" spans="1:56" ht="15.75" thickBot="1" x14ac:dyDescent="0.3">
      <c r="A485" s="19" t="s">
        <v>16</v>
      </c>
      <c r="B485" s="8">
        <v>86430</v>
      </c>
      <c r="C485" s="35">
        <f>B485/F481</f>
        <v>57.774064171122994</v>
      </c>
      <c r="D485" s="8">
        <v>1525</v>
      </c>
      <c r="E485" s="68">
        <v>0</v>
      </c>
      <c r="F485" s="70">
        <v>0</v>
      </c>
      <c r="G485" s="35" t="e">
        <f t="shared" si="1040"/>
        <v>#DIV/0!</v>
      </c>
      <c r="H485" s="11" t="e">
        <f t="shared" si="1041"/>
        <v>#DIV/0!</v>
      </c>
      <c r="I485" s="35">
        <v>13470</v>
      </c>
      <c r="J485" s="69">
        <v>832</v>
      </c>
      <c r="K485" s="35">
        <f t="shared" si="1042"/>
        <v>16.189903846153847</v>
      </c>
      <c r="L485" s="6">
        <f t="shared" si="1043"/>
        <v>0.28022788561663953</v>
      </c>
      <c r="M485" s="68">
        <v>0</v>
      </c>
      <c r="N485" s="5">
        <v>0</v>
      </c>
      <c r="O485" s="35" t="e">
        <f t="shared" si="1044"/>
        <v>#DIV/0!</v>
      </c>
      <c r="P485" s="11" t="e">
        <f t="shared" si="1045"/>
        <v>#DIV/0!</v>
      </c>
      <c r="Q485" s="35">
        <v>0</v>
      </c>
      <c r="R485" s="66">
        <v>0</v>
      </c>
      <c r="S485" s="35" t="e">
        <f t="shared" si="1046"/>
        <v>#DIV/0!</v>
      </c>
      <c r="T485" s="6" t="e">
        <f t="shared" si="1047"/>
        <v>#DIV/0!</v>
      </c>
      <c r="U485" s="68">
        <v>0</v>
      </c>
      <c r="V485" s="66">
        <v>0</v>
      </c>
      <c r="W485" s="20" t="e">
        <f t="shared" si="1048"/>
        <v>#DIV/0!</v>
      </c>
      <c r="X485" s="6" t="e">
        <f t="shared" si="1049"/>
        <v>#DIV/0!</v>
      </c>
      <c r="Y485" s="68">
        <v>0</v>
      </c>
      <c r="Z485" s="70">
        <v>0</v>
      </c>
      <c r="AA485" s="35" t="e">
        <f t="shared" si="1050"/>
        <v>#DIV/0!</v>
      </c>
      <c r="AB485" s="11" t="e">
        <f t="shared" si="1051"/>
        <v>#DIV/0!</v>
      </c>
      <c r="AC485" s="20">
        <v>0</v>
      </c>
      <c r="AD485" s="36">
        <v>0</v>
      </c>
      <c r="AE485" s="35" t="e">
        <f t="shared" si="1052"/>
        <v>#DIV/0!</v>
      </c>
      <c r="AF485" s="6" t="e">
        <f t="shared" si="1053"/>
        <v>#DIV/0!</v>
      </c>
      <c r="AG485" s="68">
        <v>0</v>
      </c>
      <c r="AH485" s="66">
        <v>0</v>
      </c>
      <c r="AI485" s="35" t="e">
        <f t="shared" si="1054"/>
        <v>#DIV/0!</v>
      </c>
      <c r="AJ485" s="6" t="e">
        <f t="shared" si="1055"/>
        <v>#DIV/0!</v>
      </c>
      <c r="AK485" s="68">
        <v>700</v>
      </c>
      <c r="AL485" s="65">
        <v>60</v>
      </c>
      <c r="AM485" s="35">
        <f t="shared" si="1056"/>
        <v>11.666666666666666</v>
      </c>
      <c r="AN485" s="6">
        <f t="shared" si="1057"/>
        <v>0.20193605615334181</v>
      </c>
      <c r="AO485" s="68">
        <v>0</v>
      </c>
      <c r="AP485" s="66">
        <v>0</v>
      </c>
      <c r="AQ485" s="35" t="e">
        <f t="shared" si="1058"/>
        <v>#DIV/0!</v>
      </c>
      <c r="AR485" s="6" t="e">
        <f t="shared" si="1059"/>
        <v>#DIV/0!</v>
      </c>
      <c r="AS485" s="68">
        <v>0</v>
      </c>
      <c r="AT485" s="66">
        <v>0</v>
      </c>
      <c r="AU485" s="35" t="e">
        <f t="shared" si="1060"/>
        <v>#DIV/0!</v>
      </c>
      <c r="AV485" s="6" t="e">
        <f t="shared" si="1061"/>
        <v>#DIV/0!</v>
      </c>
      <c r="AW485" s="68">
        <v>0</v>
      </c>
      <c r="AX485" s="66">
        <v>0</v>
      </c>
      <c r="AY485" s="35" t="e">
        <f t="shared" si="1062"/>
        <v>#DIV/0!</v>
      </c>
      <c r="AZ485" s="6" t="e">
        <f t="shared" si="1063"/>
        <v>#DIV/0!</v>
      </c>
      <c r="BA485" s="68">
        <v>8190</v>
      </c>
      <c r="BB485" s="65">
        <v>324</v>
      </c>
      <c r="BC485" s="35">
        <f t="shared" si="1064"/>
        <v>25.277777777777779</v>
      </c>
      <c r="BD485" s="11">
        <f t="shared" si="1065"/>
        <v>0.43752812166557398</v>
      </c>
    </row>
    <row r="486" spans="1:56" ht="15.75" thickBot="1" x14ac:dyDescent="0.3">
      <c r="A486" s="19" t="s">
        <v>2</v>
      </c>
      <c r="B486" s="8">
        <v>100970</v>
      </c>
      <c r="C486" s="35">
        <f>B486/F481</f>
        <v>67.493315508021396</v>
      </c>
      <c r="D486" s="8">
        <v>2100</v>
      </c>
      <c r="E486" s="68">
        <v>0</v>
      </c>
      <c r="F486" s="70">
        <v>0</v>
      </c>
      <c r="G486" s="35" t="e">
        <f t="shared" si="1040"/>
        <v>#DIV/0!</v>
      </c>
      <c r="H486" s="11" t="e">
        <f t="shared" si="1041"/>
        <v>#DIV/0!</v>
      </c>
      <c r="I486" s="35">
        <v>15320</v>
      </c>
      <c r="J486" s="69">
        <v>832</v>
      </c>
      <c r="K486" s="35">
        <f t="shared" si="1042"/>
        <v>18.41346153846154</v>
      </c>
      <c r="L486" s="6">
        <f t="shared" si="1043"/>
        <v>0.27281903992808221</v>
      </c>
      <c r="M486" s="68">
        <v>0</v>
      </c>
      <c r="N486" s="5">
        <v>0</v>
      </c>
      <c r="O486" s="35" t="e">
        <f t="shared" si="1044"/>
        <v>#DIV/0!</v>
      </c>
      <c r="P486" s="11" t="e">
        <f t="shared" si="1045"/>
        <v>#DIV/0!</v>
      </c>
      <c r="Q486" s="35">
        <v>0</v>
      </c>
      <c r="R486" s="66">
        <v>0</v>
      </c>
      <c r="S486" s="35" t="e">
        <f t="shared" si="1046"/>
        <v>#DIV/0!</v>
      </c>
      <c r="T486" s="6" t="e">
        <f t="shared" si="1047"/>
        <v>#DIV/0!</v>
      </c>
      <c r="U486" s="68">
        <v>0</v>
      </c>
      <c r="V486" s="66">
        <v>0</v>
      </c>
      <c r="W486" s="20" t="e">
        <f t="shared" si="1048"/>
        <v>#DIV/0!</v>
      </c>
      <c r="X486" s="6" t="e">
        <f t="shared" si="1049"/>
        <v>#DIV/0!</v>
      </c>
      <c r="Y486" s="68">
        <v>0</v>
      </c>
      <c r="Z486" s="70">
        <v>0</v>
      </c>
      <c r="AA486" s="35" t="e">
        <f t="shared" si="1050"/>
        <v>#DIV/0!</v>
      </c>
      <c r="AB486" s="11" t="e">
        <f t="shared" si="1051"/>
        <v>#DIV/0!</v>
      </c>
      <c r="AC486" s="20">
        <v>0</v>
      </c>
      <c r="AD486" s="36">
        <v>0</v>
      </c>
      <c r="AE486" s="35" t="e">
        <f t="shared" si="1052"/>
        <v>#DIV/0!</v>
      </c>
      <c r="AF486" s="6" t="e">
        <f t="shared" si="1053"/>
        <v>#DIV/0!</v>
      </c>
      <c r="AG486" s="68">
        <v>0</v>
      </c>
      <c r="AH486" s="66">
        <v>0</v>
      </c>
      <c r="AI486" s="35" t="e">
        <f t="shared" si="1054"/>
        <v>#DIV/0!</v>
      </c>
      <c r="AJ486" s="6" t="e">
        <f t="shared" si="1055"/>
        <v>#DIV/0!</v>
      </c>
      <c r="AK486" s="68">
        <v>810</v>
      </c>
      <c r="AL486" s="65">
        <v>60</v>
      </c>
      <c r="AM486" s="35">
        <f t="shared" si="1056"/>
        <v>13.5</v>
      </c>
      <c r="AN486" s="6">
        <f t="shared" si="1057"/>
        <v>0.20001980786372187</v>
      </c>
      <c r="AO486" s="68">
        <v>0</v>
      </c>
      <c r="AP486" s="66">
        <v>0</v>
      </c>
      <c r="AQ486" s="35" t="e">
        <f t="shared" si="1058"/>
        <v>#DIV/0!</v>
      </c>
      <c r="AR486" s="6" t="e">
        <f t="shared" si="1059"/>
        <v>#DIV/0!</v>
      </c>
      <c r="AS486" s="68">
        <v>0</v>
      </c>
      <c r="AT486" s="66">
        <v>0</v>
      </c>
      <c r="AU486" s="35" t="e">
        <f t="shared" si="1060"/>
        <v>#DIV/0!</v>
      </c>
      <c r="AV486" s="6" t="e">
        <f t="shared" si="1061"/>
        <v>#DIV/0!</v>
      </c>
      <c r="AW486" s="68">
        <v>0</v>
      </c>
      <c r="AX486" s="66">
        <v>0</v>
      </c>
      <c r="AY486" s="35" t="e">
        <f t="shared" si="1062"/>
        <v>#DIV/0!</v>
      </c>
      <c r="AZ486" s="6" t="e">
        <f t="shared" si="1063"/>
        <v>#DIV/0!</v>
      </c>
      <c r="BA486" s="68">
        <v>9310</v>
      </c>
      <c r="BB486" s="65">
        <v>324</v>
      </c>
      <c r="BC486" s="35">
        <f t="shared" si="1064"/>
        <v>28.734567901234566</v>
      </c>
      <c r="BD486" s="11">
        <f t="shared" si="1065"/>
        <v>0.42573946301125987</v>
      </c>
    </row>
    <row r="487" spans="1:56" ht="15.75" thickBot="1" x14ac:dyDescent="0.3">
      <c r="A487" s="19" t="s">
        <v>3</v>
      </c>
      <c r="B487" s="8">
        <v>122170</v>
      </c>
      <c r="C487" s="35">
        <f>B487/F481</f>
        <v>81.664438502673804</v>
      </c>
      <c r="D487" s="8">
        <v>2700</v>
      </c>
      <c r="E487" s="68">
        <v>0</v>
      </c>
      <c r="F487" s="70">
        <v>0</v>
      </c>
      <c r="G487" s="35" t="e">
        <f t="shared" si="1040"/>
        <v>#DIV/0!</v>
      </c>
      <c r="H487" s="11" t="e">
        <f t="shared" si="1041"/>
        <v>#DIV/0!</v>
      </c>
      <c r="I487" s="35">
        <v>17390</v>
      </c>
      <c r="J487" s="69">
        <v>832</v>
      </c>
      <c r="K487" s="35">
        <f t="shared" si="1042"/>
        <v>20.901442307692307</v>
      </c>
      <c r="L487" s="6">
        <f t="shared" si="1043"/>
        <v>0.2559430113146246</v>
      </c>
      <c r="M487" s="68">
        <v>0</v>
      </c>
      <c r="N487" s="5">
        <v>0</v>
      </c>
      <c r="O487" s="35" t="e">
        <f t="shared" si="1044"/>
        <v>#DIV/0!</v>
      </c>
      <c r="P487" s="11" t="e">
        <f t="shared" si="1045"/>
        <v>#DIV/0!</v>
      </c>
      <c r="Q487" s="35">
        <v>0</v>
      </c>
      <c r="R487" s="66">
        <v>0</v>
      </c>
      <c r="S487" s="35" t="e">
        <f t="shared" si="1046"/>
        <v>#DIV/0!</v>
      </c>
      <c r="T487" s="6" t="e">
        <f t="shared" si="1047"/>
        <v>#DIV/0!</v>
      </c>
      <c r="U487" s="68">
        <v>0</v>
      </c>
      <c r="V487" s="66">
        <v>0</v>
      </c>
      <c r="W487" s="20" t="e">
        <f t="shared" si="1048"/>
        <v>#DIV/0!</v>
      </c>
      <c r="X487" s="6" t="e">
        <f t="shared" si="1049"/>
        <v>#DIV/0!</v>
      </c>
      <c r="Y487" s="68">
        <v>0</v>
      </c>
      <c r="Z487" s="70">
        <v>0</v>
      </c>
      <c r="AA487" s="35" t="e">
        <f t="shared" si="1050"/>
        <v>#DIV/0!</v>
      </c>
      <c r="AB487" s="11" t="e">
        <f t="shared" si="1051"/>
        <v>#DIV/0!</v>
      </c>
      <c r="AC487" s="20">
        <v>0</v>
      </c>
      <c r="AD487" s="36">
        <v>0</v>
      </c>
      <c r="AE487" s="35" t="e">
        <f t="shared" si="1052"/>
        <v>#DIV/0!</v>
      </c>
      <c r="AF487" s="6" t="e">
        <f t="shared" si="1053"/>
        <v>#DIV/0!</v>
      </c>
      <c r="AG487" s="68">
        <v>0</v>
      </c>
      <c r="AH487" s="66">
        <v>0</v>
      </c>
      <c r="AI487" s="35" t="e">
        <f t="shared" si="1054"/>
        <v>#DIV/0!</v>
      </c>
      <c r="AJ487" s="6" t="e">
        <f t="shared" si="1055"/>
        <v>#DIV/0!</v>
      </c>
      <c r="AK487" s="68">
        <v>1070</v>
      </c>
      <c r="AL487" s="65">
        <v>60</v>
      </c>
      <c r="AM487" s="35">
        <f t="shared" si="1056"/>
        <v>17.833333333333332</v>
      </c>
      <c r="AN487" s="6">
        <f t="shared" si="1057"/>
        <v>0.21837330495757276</v>
      </c>
      <c r="AO487" s="68">
        <v>0</v>
      </c>
      <c r="AP487" s="66">
        <v>0</v>
      </c>
      <c r="AQ487" s="35" t="e">
        <f t="shared" si="1058"/>
        <v>#DIV/0!</v>
      </c>
      <c r="AR487" s="6" t="e">
        <f t="shared" si="1059"/>
        <v>#DIV/0!</v>
      </c>
      <c r="AS487" s="68">
        <v>0</v>
      </c>
      <c r="AT487" s="66">
        <v>0</v>
      </c>
      <c r="AU487" s="35" t="e">
        <f t="shared" si="1060"/>
        <v>#DIV/0!</v>
      </c>
      <c r="AV487" s="6" t="e">
        <f t="shared" si="1061"/>
        <v>#DIV/0!</v>
      </c>
      <c r="AW487" s="68">
        <v>0</v>
      </c>
      <c r="AX487" s="66">
        <v>0</v>
      </c>
      <c r="AY487" s="35" t="e">
        <f t="shared" si="1062"/>
        <v>#DIV/0!</v>
      </c>
      <c r="AZ487" s="6" t="e">
        <f t="shared" si="1063"/>
        <v>#DIV/0!</v>
      </c>
      <c r="BA487" s="68">
        <v>11200</v>
      </c>
      <c r="BB487" s="65">
        <v>324</v>
      </c>
      <c r="BC487" s="35">
        <f t="shared" si="1064"/>
        <v>34.567901234567898</v>
      </c>
      <c r="BD487" s="11">
        <f t="shared" si="1065"/>
        <v>0.42329197222651693</v>
      </c>
    </row>
    <row r="488" spans="1:56" ht="15.75" thickBot="1" x14ac:dyDescent="0.3">
      <c r="A488" s="19" t="s">
        <v>4</v>
      </c>
      <c r="B488" s="8">
        <v>151730</v>
      </c>
      <c r="C488" s="35">
        <f>B488/F481</f>
        <v>101.42379679144385</v>
      </c>
      <c r="D488" s="8">
        <v>5250</v>
      </c>
      <c r="E488" s="68">
        <v>0</v>
      </c>
      <c r="F488" s="70">
        <v>0</v>
      </c>
      <c r="G488" s="35" t="e">
        <f t="shared" si="1040"/>
        <v>#DIV/0!</v>
      </c>
      <c r="H488" s="11" t="e">
        <f t="shared" si="1041"/>
        <v>#DIV/0!</v>
      </c>
      <c r="I488" s="35">
        <v>23210</v>
      </c>
      <c r="J488" s="69">
        <v>832</v>
      </c>
      <c r="K488" s="35">
        <f t="shared" si="1042"/>
        <v>27.896634615384617</v>
      </c>
      <c r="L488" s="6">
        <f t="shared" si="1043"/>
        <v>0.27505019036851902</v>
      </c>
      <c r="M488" s="68">
        <v>0</v>
      </c>
      <c r="N488" s="5">
        <v>0</v>
      </c>
      <c r="O488" s="35" t="e">
        <f t="shared" si="1044"/>
        <v>#DIV/0!</v>
      </c>
      <c r="P488" s="11" t="e">
        <f t="shared" si="1045"/>
        <v>#DIV/0!</v>
      </c>
      <c r="Q488" s="35">
        <v>0</v>
      </c>
      <c r="R488" s="66">
        <v>0</v>
      </c>
      <c r="S488" s="35" t="e">
        <f t="shared" si="1046"/>
        <v>#DIV/0!</v>
      </c>
      <c r="T488" s="6" t="e">
        <f t="shared" si="1047"/>
        <v>#DIV/0!</v>
      </c>
      <c r="U488" s="68">
        <v>0</v>
      </c>
      <c r="V488" s="66">
        <v>0</v>
      </c>
      <c r="W488" s="20" t="e">
        <f t="shared" si="1048"/>
        <v>#DIV/0!</v>
      </c>
      <c r="X488" s="6" t="e">
        <f t="shared" si="1049"/>
        <v>#DIV/0!</v>
      </c>
      <c r="Y488" s="68">
        <v>0</v>
      </c>
      <c r="Z488" s="70">
        <v>0</v>
      </c>
      <c r="AA488" s="35" t="e">
        <f t="shared" si="1050"/>
        <v>#DIV/0!</v>
      </c>
      <c r="AB488" s="11" t="e">
        <f t="shared" si="1051"/>
        <v>#DIV/0!</v>
      </c>
      <c r="AC488" s="20">
        <v>0</v>
      </c>
      <c r="AD488" s="36">
        <v>0</v>
      </c>
      <c r="AE488" s="35" t="e">
        <f t="shared" si="1052"/>
        <v>#DIV/0!</v>
      </c>
      <c r="AF488" s="6" t="e">
        <f t="shared" si="1053"/>
        <v>#DIV/0!</v>
      </c>
      <c r="AG488" s="68">
        <v>0</v>
      </c>
      <c r="AH488" s="66">
        <v>0</v>
      </c>
      <c r="AI488" s="35" t="e">
        <f t="shared" si="1054"/>
        <v>#DIV/0!</v>
      </c>
      <c r="AJ488" s="6" t="e">
        <f t="shared" si="1055"/>
        <v>#DIV/0!</v>
      </c>
      <c r="AK488" s="68">
        <v>1170</v>
      </c>
      <c r="AL488" s="65">
        <v>60</v>
      </c>
      <c r="AM488" s="35">
        <f t="shared" si="1056"/>
        <v>19.5</v>
      </c>
      <c r="AN488" s="6">
        <f t="shared" si="1057"/>
        <v>0.19226257167336716</v>
      </c>
      <c r="AO488" s="68">
        <v>0</v>
      </c>
      <c r="AP488" s="66">
        <v>0</v>
      </c>
      <c r="AQ488" s="35" t="e">
        <f t="shared" si="1058"/>
        <v>#DIV/0!</v>
      </c>
      <c r="AR488" s="6" t="e">
        <f t="shared" si="1059"/>
        <v>#DIV/0!</v>
      </c>
      <c r="AS488" s="68">
        <v>0</v>
      </c>
      <c r="AT488" s="66">
        <v>0</v>
      </c>
      <c r="AU488" s="35" t="e">
        <f t="shared" si="1060"/>
        <v>#DIV/0!</v>
      </c>
      <c r="AV488" s="6" t="e">
        <f t="shared" si="1061"/>
        <v>#DIV/0!</v>
      </c>
      <c r="AW488" s="68">
        <v>0</v>
      </c>
      <c r="AX488" s="66">
        <v>0</v>
      </c>
      <c r="AY488" s="35" t="e">
        <f t="shared" si="1062"/>
        <v>#DIV/0!</v>
      </c>
      <c r="AZ488" s="6" t="e">
        <f t="shared" si="1063"/>
        <v>#DIV/0!</v>
      </c>
      <c r="BA488" s="68">
        <v>13770</v>
      </c>
      <c r="BB488" s="65">
        <v>324</v>
      </c>
      <c r="BC488" s="35">
        <f t="shared" si="1064"/>
        <v>42.5</v>
      </c>
      <c r="BD488" s="11">
        <f t="shared" si="1065"/>
        <v>0.4190338100573387</v>
      </c>
    </row>
    <row r="489" spans="1:56" ht="15.75" thickBot="1" x14ac:dyDescent="0.3">
      <c r="A489" s="19" t="s">
        <v>5</v>
      </c>
      <c r="B489" s="8">
        <v>200330</v>
      </c>
      <c r="C489" s="35">
        <f>B489/F481</f>
        <v>133.91042780748663</v>
      </c>
      <c r="D489" s="8">
        <v>7050</v>
      </c>
      <c r="E489" s="68">
        <v>0</v>
      </c>
      <c r="F489" s="70">
        <v>0</v>
      </c>
      <c r="G489" s="35" t="e">
        <f t="shared" si="1040"/>
        <v>#DIV/0!</v>
      </c>
      <c r="H489" s="11" t="e">
        <f t="shared" si="1041"/>
        <v>#DIV/0!</v>
      </c>
      <c r="I489" s="35">
        <v>26110</v>
      </c>
      <c r="J489" s="69">
        <v>832</v>
      </c>
      <c r="K489" s="35">
        <f t="shared" si="1042"/>
        <v>31.38221153846154</v>
      </c>
      <c r="L489" s="6">
        <f t="shared" si="1043"/>
        <v>0.23435226107691542</v>
      </c>
      <c r="M489" s="68">
        <v>0</v>
      </c>
      <c r="N489" s="5">
        <v>0</v>
      </c>
      <c r="O489" s="35" t="e">
        <f t="shared" si="1044"/>
        <v>#DIV/0!</v>
      </c>
      <c r="P489" s="11" t="e">
        <f t="shared" si="1045"/>
        <v>#DIV/0!</v>
      </c>
      <c r="Q489" s="35">
        <v>0</v>
      </c>
      <c r="R489" s="66">
        <v>0</v>
      </c>
      <c r="S489" s="35" t="e">
        <f t="shared" si="1046"/>
        <v>#DIV/0!</v>
      </c>
      <c r="T489" s="6" t="e">
        <f t="shared" si="1047"/>
        <v>#DIV/0!</v>
      </c>
      <c r="U489" s="68">
        <v>0</v>
      </c>
      <c r="V489" s="66">
        <v>0</v>
      </c>
      <c r="W489" s="20" t="e">
        <f t="shared" si="1048"/>
        <v>#DIV/0!</v>
      </c>
      <c r="X489" s="6" t="e">
        <f t="shared" si="1049"/>
        <v>#DIV/0!</v>
      </c>
      <c r="Y489" s="68">
        <v>0</v>
      </c>
      <c r="Z489" s="70">
        <v>0</v>
      </c>
      <c r="AA489" s="35" t="e">
        <f t="shared" si="1050"/>
        <v>#DIV/0!</v>
      </c>
      <c r="AB489" s="11" t="e">
        <f t="shared" si="1051"/>
        <v>#DIV/0!</v>
      </c>
      <c r="AC489" s="20">
        <v>0</v>
      </c>
      <c r="AD489" s="36">
        <v>0</v>
      </c>
      <c r="AE489" s="35" t="e">
        <f t="shared" si="1052"/>
        <v>#DIV/0!</v>
      </c>
      <c r="AF489" s="6" t="e">
        <f t="shared" si="1053"/>
        <v>#DIV/0!</v>
      </c>
      <c r="AG489" s="68">
        <v>0</v>
      </c>
      <c r="AH489" s="66">
        <v>0</v>
      </c>
      <c r="AI489" s="35" t="e">
        <f t="shared" si="1054"/>
        <v>#DIV/0!</v>
      </c>
      <c r="AJ489" s="6" t="e">
        <f t="shared" si="1055"/>
        <v>#DIV/0!</v>
      </c>
      <c r="AK489" s="68">
        <v>1430</v>
      </c>
      <c r="AL489" s="65">
        <v>60</v>
      </c>
      <c r="AM489" s="35">
        <f t="shared" si="1056"/>
        <v>23.833333333333332</v>
      </c>
      <c r="AN489" s="6">
        <f t="shared" si="1057"/>
        <v>0.17797966688297642</v>
      </c>
      <c r="AO489" s="68">
        <v>0</v>
      </c>
      <c r="AP489" s="66">
        <v>0</v>
      </c>
      <c r="AQ489" s="35" t="e">
        <f t="shared" si="1058"/>
        <v>#DIV/0!</v>
      </c>
      <c r="AR489" s="6" t="e">
        <f t="shared" si="1059"/>
        <v>#DIV/0!</v>
      </c>
      <c r="AS489" s="68">
        <v>0</v>
      </c>
      <c r="AT489" s="66">
        <v>0</v>
      </c>
      <c r="AU489" s="35" t="e">
        <f t="shared" si="1060"/>
        <v>#DIV/0!</v>
      </c>
      <c r="AV489" s="6" t="e">
        <f t="shared" si="1061"/>
        <v>#DIV/0!</v>
      </c>
      <c r="AW489" s="68">
        <v>0</v>
      </c>
      <c r="AX489" s="66">
        <v>0</v>
      </c>
      <c r="AY489" s="35" t="e">
        <f t="shared" si="1062"/>
        <v>#DIV/0!</v>
      </c>
      <c r="AZ489" s="6" t="e">
        <f t="shared" si="1063"/>
        <v>#DIV/0!</v>
      </c>
      <c r="BA489" s="68">
        <v>16200</v>
      </c>
      <c r="BB489" s="65">
        <v>324</v>
      </c>
      <c r="BC489" s="35">
        <f t="shared" si="1064"/>
        <v>50</v>
      </c>
      <c r="BD489" s="11">
        <f t="shared" si="1065"/>
        <v>0.3733839165377128</v>
      </c>
    </row>
    <row r="490" spans="1:56" x14ac:dyDescent="0.25">
      <c r="A490" s="19" t="s">
        <v>6</v>
      </c>
      <c r="B490" s="8">
        <v>243590</v>
      </c>
      <c r="C490" s="35">
        <f>B490/F481</f>
        <v>162.82754010695186</v>
      </c>
      <c r="D490" s="8">
        <v>10950</v>
      </c>
      <c r="E490" s="68">
        <v>0</v>
      </c>
      <c r="F490" s="70">
        <v>0</v>
      </c>
      <c r="G490" s="35" t="e">
        <f t="shared" si="1040"/>
        <v>#DIV/0!</v>
      </c>
      <c r="H490" s="11" t="e">
        <f t="shared" si="1041"/>
        <v>#DIV/0!</v>
      </c>
      <c r="I490" s="35">
        <v>32560</v>
      </c>
      <c r="J490" s="69">
        <v>832</v>
      </c>
      <c r="K490" s="35">
        <f t="shared" si="1042"/>
        <v>39.134615384615387</v>
      </c>
      <c r="L490" s="6">
        <f t="shared" si="1043"/>
        <v>0.24034395753267632</v>
      </c>
      <c r="M490" s="68">
        <v>0</v>
      </c>
      <c r="N490" s="5">
        <v>0</v>
      </c>
      <c r="O490" s="35" t="e">
        <f t="shared" si="1044"/>
        <v>#DIV/0!</v>
      </c>
      <c r="P490" s="11" t="e">
        <f t="shared" si="1045"/>
        <v>#DIV/0!</v>
      </c>
      <c r="Q490" s="35">
        <v>0</v>
      </c>
      <c r="R490" s="66">
        <v>0</v>
      </c>
      <c r="S490" s="35" t="e">
        <f t="shared" si="1046"/>
        <v>#DIV/0!</v>
      </c>
      <c r="T490" s="6" t="e">
        <f t="shared" si="1047"/>
        <v>#DIV/0!</v>
      </c>
      <c r="U490" s="68">
        <v>0</v>
      </c>
      <c r="V490" s="66">
        <v>0</v>
      </c>
      <c r="W490" s="20" t="e">
        <f t="shared" si="1048"/>
        <v>#DIV/0!</v>
      </c>
      <c r="X490" s="6" t="e">
        <f t="shared" si="1049"/>
        <v>#DIV/0!</v>
      </c>
      <c r="Y490" s="68">
        <v>0</v>
      </c>
      <c r="Z490" s="70">
        <v>0</v>
      </c>
      <c r="AA490" s="35" t="e">
        <f t="shared" si="1050"/>
        <v>#DIV/0!</v>
      </c>
      <c r="AB490" s="11" t="e">
        <f t="shared" si="1051"/>
        <v>#DIV/0!</v>
      </c>
      <c r="AC490" s="20">
        <v>0</v>
      </c>
      <c r="AD490" s="36">
        <v>0</v>
      </c>
      <c r="AE490" s="35" t="e">
        <f t="shared" si="1052"/>
        <v>#DIV/0!</v>
      </c>
      <c r="AF490" s="6" t="e">
        <f t="shared" si="1053"/>
        <v>#DIV/0!</v>
      </c>
      <c r="AG490" s="68">
        <v>0</v>
      </c>
      <c r="AH490" s="66">
        <v>0</v>
      </c>
      <c r="AI490" s="35" t="e">
        <f t="shared" si="1054"/>
        <v>#DIV/0!</v>
      </c>
      <c r="AJ490" s="6" t="e">
        <f t="shared" si="1055"/>
        <v>#DIV/0!</v>
      </c>
      <c r="AK490" s="68">
        <v>1740</v>
      </c>
      <c r="AL490" s="65">
        <v>60</v>
      </c>
      <c r="AM490" s="35">
        <f t="shared" si="1056"/>
        <v>29</v>
      </c>
      <c r="AN490" s="6">
        <f t="shared" si="1057"/>
        <v>0.17810254936573752</v>
      </c>
      <c r="AO490" s="68">
        <v>0</v>
      </c>
      <c r="AP490" s="66">
        <v>0</v>
      </c>
      <c r="AQ490" s="35" t="e">
        <f t="shared" si="1058"/>
        <v>#DIV/0!</v>
      </c>
      <c r="AR490" s="6" t="e">
        <f t="shared" si="1059"/>
        <v>#DIV/0!</v>
      </c>
      <c r="AS490" s="68">
        <v>0</v>
      </c>
      <c r="AT490" s="66">
        <v>0</v>
      </c>
      <c r="AU490" s="35" t="e">
        <f t="shared" si="1060"/>
        <v>#DIV/0!</v>
      </c>
      <c r="AV490" s="6" t="e">
        <f t="shared" si="1061"/>
        <v>#DIV/0!</v>
      </c>
      <c r="AW490" s="68">
        <v>0</v>
      </c>
      <c r="AX490" s="66">
        <v>0</v>
      </c>
      <c r="AY490" s="35" t="e">
        <f t="shared" si="1062"/>
        <v>#DIV/0!</v>
      </c>
      <c r="AZ490" s="6" t="e">
        <f t="shared" si="1063"/>
        <v>#DIV/0!</v>
      </c>
      <c r="BA490" s="68">
        <v>18760</v>
      </c>
      <c r="BB490" s="65">
        <v>324</v>
      </c>
      <c r="BC490" s="35">
        <f t="shared" si="1064"/>
        <v>57.901234567901234</v>
      </c>
      <c r="BD490" s="11">
        <f t="shared" si="1065"/>
        <v>0.35559853406781994</v>
      </c>
    </row>
    <row r="491" spans="1:56" ht="15.75" thickBot="1" x14ac:dyDescent="0.3">
      <c r="A491" s="21"/>
      <c r="B491" s="22"/>
      <c r="C491" s="23">
        <f>AVERAGE(Table11037[MA $/Sq Ft])</f>
        <v>93.456837280366699</v>
      </c>
      <c r="D491" s="22">
        <f>AVERAGE(Table11037[Basic Allowance])</f>
        <v>4442.8571428571431</v>
      </c>
      <c r="E491" s="16"/>
      <c r="F491" s="22"/>
      <c r="G491" s="15"/>
      <c r="H491" s="24" t="e">
        <f>AVERAGE(Table11037[Bsmt % Base])</f>
        <v>#DIV/0!</v>
      </c>
      <c r="I491" s="15"/>
      <c r="J491" s="15"/>
      <c r="K491" s="15"/>
      <c r="L491" s="25">
        <f>AVERAGE(Table11037[[#Headers],[#Data],[UnfBsmt % Base]])</f>
        <v>0.25792343228547115</v>
      </c>
      <c r="M491" s="44"/>
      <c r="N491" s="15"/>
      <c r="O491" s="23" t="e">
        <f>AVERAGE(Table11037[LowerVal/SqFt])</f>
        <v>#DIV/0!</v>
      </c>
      <c r="P491" s="24" t="e">
        <f>AVERAGE(Table11037[Lower % Base])</f>
        <v>#DIV/0!</v>
      </c>
      <c r="Q491" s="13"/>
      <c r="R491" s="13"/>
      <c r="S491" s="13"/>
      <c r="T491" s="25" t="e">
        <f>AVERAGE(Table11037[Unf Lower % Base])</f>
        <v>#DIV/0!</v>
      </c>
      <c r="U491" s="12"/>
      <c r="V491" s="13"/>
      <c r="W491" s="13"/>
      <c r="X491" s="25" t="e">
        <f>AVERAGE(Table11037[1/2 Story % Base])</f>
        <v>#DIV/0!</v>
      </c>
      <c r="Y491" s="12"/>
      <c r="Z491" s="13"/>
      <c r="AA491" s="13"/>
      <c r="AB491" s="24" t="e">
        <f>AVERAGE(Table11037[2nd Story % Base])</f>
        <v>#DIV/0!</v>
      </c>
      <c r="AC491" s="13"/>
      <c r="AD491" s="13"/>
      <c r="AE491" s="23" t="e">
        <f>AVERAGE(Table11037[AttGarVal/SqFt])</f>
        <v>#DIV/0!</v>
      </c>
      <c r="AF491" s="25" t="e">
        <f>AVERAGE(Table11037[Att Gar % Base])</f>
        <v>#DIV/0!</v>
      </c>
      <c r="AG491" s="12"/>
      <c r="AH491" s="13"/>
      <c r="AI491" s="13"/>
      <c r="AJ491" s="25" t="e">
        <f>AVERAGE(Table11037[Porch % Base])</f>
        <v>#DIV/0!</v>
      </c>
      <c r="AK491" s="12"/>
      <c r="AL491" s="13"/>
      <c r="AM491" s="13"/>
      <c r="AN491" s="25">
        <f>AVERAGE(Table11037[Cov Porch % Base])</f>
        <v>0.19168213774966528</v>
      </c>
      <c r="AO491" s="12"/>
      <c r="AP491" s="13"/>
      <c r="AQ491" s="13"/>
      <c r="AR491" s="25" t="e">
        <f>AVERAGE(Table11037[Deck % Base])</f>
        <v>#DIV/0!</v>
      </c>
      <c r="AS491" s="12"/>
      <c r="AT491" s="13"/>
      <c r="AU491" s="23" t="e">
        <f>AVERAGE(Table11037[CovDeckVal/SqFt])</f>
        <v>#DIV/0!</v>
      </c>
      <c r="AV491" s="25" t="e">
        <f>AVERAGE(Table11037[CovDeck % Base])</f>
        <v>#DIV/0!</v>
      </c>
      <c r="AW491" s="12"/>
      <c r="AX491" s="13"/>
      <c r="AY491" s="13"/>
      <c r="AZ491" s="25" t="e">
        <f>AVERAGE(Table11037[CarP % Base])</f>
        <v>#DIV/0!</v>
      </c>
      <c r="BA491" s="12"/>
      <c r="BB491" s="13"/>
      <c r="BC491" s="13"/>
      <c r="BD491" s="24">
        <f>AVERAGE(Table11037[EFP % Base])</f>
        <v>0.3987983983468571</v>
      </c>
    </row>
    <row r="493" spans="1:56" ht="15.75" thickBot="1" x14ac:dyDescent="0.3">
      <c r="A493" s="82"/>
      <c r="B493" t="s">
        <v>79</v>
      </c>
      <c r="C493" s="78" t="s">
        <v>131</v>
      </c>
      <c r="E493" t="s">
        <v>33</v>
      </c>
      <c r="F493" s="79">
        <v>966</v>
      </c>
      <c r="H493" t="s">
        <v>80</v>
      </c>
      <c r="I493" t="s">
        <v>103</v>
      </c>
    </row>
    <row r="494" spans="1:56" x14ac:dyDescent="0.25">
      <c r="A494" s="112"/>
      <c r="B494" s="113"/>
      <c r="C494" s="113"/>
      <c r="D494" s="114"/>
      <c r="E494" s="115" t="s">
        <v>27</v>
      </c>
      <c r="F494" s="116"/>
      <c r="G494" s="116"/>
      <c r="H494" s="117"/>
      <c r="I494" s="118" t="s">
        <v>28</v>
      </c>
      <c r="J494" s="119"/>
      <c r="K494" s="119"/>
      <c r="L494" s="120"/>
      <c r="M494" s="121" t="s">
        <v>7</v>
      </c>
      <c r="N494" s="122"/>
      <c r="O494" s="122"/>
      <c r="P494" s="123"/>
      <c r="Q494" s="124" t="s">
        <v>29</v>
      </c>
      <c r="R494" s="125"/>
      <c r="S494" s="125"/>
      <c r="T494" s="126"/>
      <c r="U494" s="127" t="s">
        <v>8</v>
      </c>
      <c r="V494" s="128"/>
      <c r="W494" s="128"/>
      <c r="X494" s="129"/>
      <c r="Y494" s="130" t="s">
        <v>0</v>
      </c>
      <c r="Z494" s="131"/>
      <c r="AA494" s="131"/>
      <c r="AB494" s="132"/>
      <c r="AC494" s="133" t="s">
        <v>34</v>
      </c>
      <c r="AD494" s="134"/>
      <c r="AE494" s="134"/>
      <c r="AF494" s="135"/>
      <c r="AG494" s="115" t="s">
        <v>9</v>
      </c>
      <c r="AH494" s="116"/>
      <c r="AI494" s="116"/>
      <c r="AJ494" s="117"/>
      <c r="AK494" s="136" t="s">
        <v>35</v>
      </c>
      <c r="AL494" s="137"/>
      <c r="AM494" s="137"/>
      <c r="AN494" s="138"/>
      <c r="AO494" s="139" t="s">
        <v>10</v>
      </c>
      <c r="AP494" s="140"/>
      <c r="AQ494" s="140"/>
      <c r="AR494" s="141"/>
      <c r="AS494" s="124" t="s">
        <v>36</v>
      </c>
      <c r="AT494" s="125"/>
      <c r="AU494" s="125"/>
      <c r="AV494" s="126"/>
      <c r="AW494" s="142" t="s">
        <v>11</v>
      </c>
      <c r="AX494" s="143"/>
      <c r="AY494" s="143"/>
      <c r="AZ494" s="144"/>
      <c r="BA494" s="148" t="s">
        <v>17</v>
      </c>
      <c r="BB494" s="149"/>
      <c r="BC494" s="149"/>
      <c r="BD494" s="150"/>
    </row>
    <row r="495" spans="1:56" s="1" customFormat="1" ht="15.75" thickBot="1" x14ac:dyDescent="0.3">
      <c r="A495" s="41" t="s">
        <v>13</v>
      </c>
      <c r="B495" s="42" t="s">
        <v>15</v>
      </c>
      <c r="C495" s="42" t="s">
        <v>32</v>
      </c>
      <c r="D495" s="43" t="s">
        <v>18</v>
      </c>
      <c r="E495" s="30" t="s">
        <v>30</v>
      </c>
      <c r="F495" s="31" t="s">
        <v>61</v>
      </c>
      <c r="G495" s="31" t="s">
        <v>38</v>
      </c>
      <c r="H495" s="32" t="s">
        <v>62</v>
      </c>
      <c r="I495" s="37" t="s">
        <v>31</v>
      </c>
      <c r="J495" s="38" t="s">
        <v>39</v>
      </c>
      <c r="K495" s="38" t="s">
        <v>40</v>
      </c>
      <c r="L495" s="39" t="s">
        <v>63</v>
      </c>
      <c r="M495" s="40" t="s">
        <v>19</v>
      </c>
      <c r="N495" s="7" t="s">
        <v>41</v>
      </c>
      <c r="O495" s="7" t="s">
        <v>37</v>
      </c>
      <c r="P495" s="7" t="s">
        <v>64</v>
      </c>
      <c r="Q495" s="27" t="s">
        <v>20</v>
      </c>
      <c r="R495" s="28" t="s">
        <v>60</v>
      </c>
      <c r="S495" s="28" t="s">
        <v>59</v>
      </c>
      <c r="T495" s="29" t="s">
        <v>65</v>
      </c>
      <c r="U495" s="48" t="s">
        <v>21</v>
      </c>
      <c r="V495" s="48" t="s">
        <v>42</v>
      </c>
      <c r="W495" s="48" t="s">
        <v>43</v>
      </c>
      <c r="X495" s="49" t="s">
        <v>66</v>
      </c>
      <c r="Y495" s="50" t="s">
        <v>22</v>
      </c>
      <c r="Z495" s="51" t="s">
        <v>44</v>
      </c>
      <c r="AA495" s="51" t="s">
        <v>45</v>
      </c>
      <c r="AB495" s="52" t="s">
        <v>67</v>
      </c>
      <c r="AC495" s="45" t="s">
        <v>23</v>
      </c>
      <c r="AD495" s="46" t="s">
        <v>46</v>
      </c>
      <c r="AE495" s="46" t="s">
        <v>47</v>
      </c>
      <c r="AF495" s="47" t="s">
        <v>68</v>
      </c>
      <c r="AG495" s="30" t="s">
        <v>24</v>
      </c>
      <c r="AH495" s="31" t="s">
        <v>48</v>
      </c>
      <c r="AI495" s="31" t="s">
        <v>49</v>
      </c>
      <c r="AJ495" s="32" t="s">
        <v>69</v>
      </c>
      <c r="AK495" s="53" t="s">
        <v>25</v>
      </c>
      <c r="AL495" s="54" t="s">
        <v>50</v>
      </c>
      <c r="AM495" s="54" t="s">
        <v>51</v>
      </c>
      <c r="AN495" s="55" t="s">
        <v>70</v>
      </c>
      <c r="AO495" s="56" t="s">
        <v>26</v>
      </c>
      <c r="AP495" s="57" t="s">
        <v>52</v>
      </c>
      <c r="AQ495" s="57" t="s">
        <v>53</v>
      </c>
      <c r="AR495" s="58" t="s">
        <v>71</v>
      </c>
      <c r="AS495" s="59" t="s">
        <v>55</v>
      </c>
      <c r="AT495" s="60" t="s">
        <v>54</v>
      </c>
      <c r="AU495" s="60" t="s">
        <v>56</v>
      </c>
      <c r="AV495" s="61" t="s">
        <v>76</v>
      </c>
      <c r="AW495" s="62" t="s">
        <v>72</v>
      </c>
      <c r="AX495" s="63" t="s">
        <v>73</v>
      </c>
      <c r="AY495" s="63" t="s">
        <v>74</v>
      </c>
      <c r="AZ495" s="64" t="s">
        <v>75</v>
      </c>
      <c r="BA495" s="71" t="s">
        <v>77</v>
      </c>
      <c r="BB495" s="72" t="s">
        <v>57</v>
      </c>
      <c r="BC495" s="72" t="s">
        <v>58</v>
      </c>
      <c r="BD495" s="73" t="s">
        <v>78</v>
      </c>
    </row>
    <row r="496" spans="1:56" ht="15.75" thickBot="1" x14ac:dyDescent="0.3">
      <c r="A496" s="17" t="s">
        <v>1</v>
      </c>
      <c r="B496" s="14">
        <v>50880</v>
      </c>
      <c r="C496" s="34">
        <f>B496/F493</f>
        <v>52.670807453416153</v>
      </c>
      <c r="D496" s="14">
        <v>1525</v>
      </c>
      <c r="E496" s="67">
        <v>0</v>
      </c>
      <c r="F496" s="69">
        <v>0</v>
      </c>
      <c r="G496" s="34" t="e">
        <f t="shared" ref="G496:G502" si="1066">E496/F496</f>
        <v>#DIV/0!</v>
      </c>
      <c r="H496" s="10" t="e">
        <f t="shared" ref="H496:H502" si="1067">G496/C496</f>
        <v>#DIV/0!</v>
      </c>
      <c r="I496" s="34">
        <v>0</v>
      </c>
      <c r="J496" s="69">
        <v>0</v>
      </c>
      <c r="K496" s="34" t="e">
        <f t="shared" ref="K496:K502" si="1068">I496/J496</f>
        <v>#DIV/0!</v>
      </c>
      <c r="L496" s="9" t="e">
        <f t="shared" ref="L496:L502" si="1069">K496/C496</f>
        <v>#DIV/0!</v>
      </c>
      <c r="M496" s="67">
        <v>27480</v>
      </c>
      <c r="N496" s="26">
        <v>936</v>
      </c>
      <c r="O496" s="34">
        <f t="shared" ref="O496:O502" si="1070">M496/N496</f>
        <v>29.358974358974358</v>
      </c>
      <c r="P496" s="10">
        <f t="shared" ref="P496:P502" si="1071">O496/C496</f>
        <v>0.5574050556361877</v>
      </c>
      <c r="Q496" s="35">
        <v>0</v>
      </c>
      <c r="R496" s="66">
        <v>0</v>
      </c>
      <c r="S496" s="35" t="e">
        <f t="shared" ref="S496:S502" si="1072">Q496/R496</f>
        <v>#DIV/0!</v>
      </c>
      <c r="T496" s="6" t="e">
        <f t="shared" ref="T496:T502" si="1073">S496/C496</f>
        <v>#DIV/0!</v>
      </c>
      <c r="U496" s="67">
        <v>0</v>
      </c>
      <c r="V496" s="65">
        <v>0</v>
      </c>
      <c r="W496" s="18" t="e">
        <f t="shared" ref="W496:W502" si="1074">U496/V496</f>
        <v>#DIV/0!</v>
      </c>
      <c r="X496" s="9" t="e">
        <f t="shared" ref="X496:X502" si="1075">W496/C496</f>
        <v>#DIV/0!</v>
      </c>
      <c r="Y496" s="67">
        <v>0</v>
      </c>
      <c r="Z496" s="69">
        <v>0</v>
      </c>
      <c r="AA496" s="34" t="e">
        <f t="shared" ref="AA496:AA502" si="1076">Y496/Z496</f>
        <v>#DIV/0!</v>
      </c>
      <c r="AB496" s="10" t="e">
        <f t="shared" ref="AB496:AB502" si="1077">AA496/C496</f>
        <v>#DIV/0!</v>
      </c>
      <c r="AC496" s="18">
        <v>7760</v>
      </c>
      <c r="AD496" s="33">
        <v>520</v>
      </c>
      <c r="AE496" s="34">
        <f t="shared" ref="AE496:AE502" si="1078">AC496/AD496</f>
        <v>14.923076923076923</v>
      </c>
      <c r="AF496" s="9">
        <f t="shared" ref="AF496:AF502" si="1079">AE496/C496</f>
        <v>0.28332728592162554</v>
      </c>
      <c r="AG496" s="67">
        <v>0</v>
      </c>
      <c r="AH496" s="65">
        <v>0</v>
      </c>
      <c r="AI496" s="34" t="e">
        <f t="shared" ref="AI496:AI502" si="1080">AG496/AH496</f>
        <v>#DIV/0!</v>
      </c>
      <c r="AJ496" s="9" t="e">
        <f t="shared" ref="AJ496:AJ502" si="1081">AI496/C496</f>
        <v>#DIV/0!</v>
      </c>
      <c r="AK496" s="67">
        <v>0</v>
      </c>
      <c r="AL496" s="65">
        <v>0</v>
      </c>
      <c r="AM496" s="34" t="e">
        <f t="shared" ref="AM496:AM502" si="1082">AK496/AL496</f>
        <v>#DIV/0!</v>
      </c>
      <c r="AN496" s="9" t="e">
        <f t="shared" ref="AN496:AN502" si="1083">AM496/C496</f>
        <v>#DIV/0!</v>
      </c>
      <c r="AO496" s="67">
        <v>1000</v>
      </c>
      <c r="AP496" s="65">
        <v>100</v>
      </c>
      <c r="AQ496" s="34">
        <f t="shared" ref="AQ496:AQ502" si="1084">AO496/AP496</f>
        <v>10</v>
      </c>
      <c r="AR496" s="9">
        <f t="shared" ref="AR496:AR502" si="1085">AQ496/C496</f>
        <v>0.18985849056603774</v>
      </c>
      <c r="AS496" s="67">
        <v>0</v>
      </c>
      <c r="AT496" s="65">
        <v>0</v>
      </c>
      <c r="AU496" s="34" t="e">
        <f t="shared" ref="AU496:AU502" si="1086">AS496/AT496</f>
        <v>#DIV/0!</v>
      </c>
      <c r="AV496" s="9" t="e">
        <f t="shared" ref="AV496:AV502" si="1087">AU496/C496</f>
        <v>#DIV/0!</v>
      </c>
      <c r="AW496" s="67">
        <v>0</v>
      </c>
      <c r="AX496" s="65">
        <v>0</v>
      </c>
      <c r="AY496" s="34" t="e">
        <f t="shared" ref="AY496:AY502" si="1088">AW496/AX496</f>
        <v>#DIV/0!</v>
      </c>
      <c r="AZ496" s="9" t="e">
        <f t="shared" ref="AZ496:AZ502" si="1089">AY496/C496</f>
        <v>#DIV/0!</v>
      </c>
      <c r="BA496" s="67">
        <v>0</v>
      </c>
      <c r="BB496" s="65">
        <v>0</v>
      </c>
      <c r="BC496" s="34" t="e">
        <f t="shared" ref="BC496:BC502" si="1090">BA496/BB496</f>
        <v>#DIV/0!</v>
      </c>
      <c r="BD496" s="10" t="e">
        <f t="shared" ref="BD496:BD502" si="1091">BC496/C496</f>
        <v>#DIV/0!</v>
      </c>
    </row>
    <row r="497" spans="1:56" ht="15.75" thickBot="1" x14ac:dyDescent="0.3">
      <c r="A497" s="19" t="s">
        <v>16</v>
      </c>
      <c r="B497" s="8">
        <v>59860</v>
      </c>
      <c r="C497" s="35">
        <f>B497/F493</f>
        <v>61.966873706004144</v>
      </c>
      <c r="D497" s="8">
        <v>1525</v>
      </c>
      <c r="E497" s="68">
        <v>0</v>
      </c>
      <c r="F497" s="70">
        <v>0</v>
      </c>
      <c r="G497" s="35" t="e">
        <f t="shared" si="1066"/>
        <v>#DIV/0!</v>
      </c>
      <c r="H497" s="11" t="e">
        <f t="shared" si="1067"/>
        <v>#DIV/0!</v>
      </c>
      <c r="I497" s="35">
        <v>0</v>
      </c>
      <c r="J497" s="70">
        <v>0</v>
      </c>
      <c r="K497" s="35" t="e">
        <f t="shared" si="1068"/>
        <v>#DIV/0!</v>
      </c>
      <c r="L497" s="6" t="e">
        <f t="shared" si="1069"/>
        <v>#DIV/0!</v>
      </c>
      <c r="M497" s="68">
        <v>34170</v>
      </c>
      <c r="N497" s="26">
        <v>936</v>
      </c>
      <c r="O497" s="35">
        <f t="shared" si="1070"/>
        <v>36.506410256410255</v>
      </c>
      <c r="P497" s="11">
        <f t="shared" si="1071"/>
        <v>0.58912783674728209</v>
      </c>
      <c r="Q497" s="35">
        <v>0</v>
      </c>
      <c r="R497" s="66">
        <v>0</v>
      </c>
      <c r="S497" s="35" t="e">
        <f t="shared" si="1072"/>
        <v>#DIV/0!</v>
      </c>
      <c r="T497" s="6" t="e">
        <f t="shared" si="1073"/>
        <v>#DIV/0!</v>
      </c>
      <c r="U497" s="68">
        <v>0</v>
      </c>
      <c r="V497" s="66">
        <v>0</v>
      </c>
      <c r="W497" s="20" t="e">
        <f t="shared" si="1074"/>
        <v>#DIV/0!</v>
      </c>
      <c r="X497" s="6" t="e">
        <f t="shared" si="1075"/>
        <v>#DIV/0!</v>
      </c>
      <c r="Y497" s="68">
        <v>0</v>
      </c>
      <c r="Z497" s="70">
        <v>0</v>
      </c>
      <c r="AA497" s="35" t="e">
        <f t="shared" si="1076"/>
        <v>#DIV/0!</v>
      </c>
      <c r="AB497" s="11" t="e">
        <f t="shared" si="1077"/>
        <v>#DIV/0!</v>
      </c>
      <c r="AC497" s="20">
        <v>10630</v>
      </c>
      <c r="AD497" s="33">
        <v>520</v>
      </c>
      <c r="AE497" s="35">
        <f t="shared" si="1078"/>
        <v>20.442307692307693</v>
      </c>
      <c r="AF497" s="6">
        <f t="shared" si="1079"/>
        <v>0.32989089927780207</v>
      </c>
      <c r="AG497" s="68">
        <v>0</v>
      </c>
      <c r="AH497" s="66">
        <v>0</v>
      </c>
      <c r="AI497" s="35" t="e">
        <f t="shared" si="1080"/>
        <v>#DIV/0!</v>
      </c>
      <c r="AJ497" s="6" t="e">
        <f t="shared" si="1081"/>
        <v>#DIV/0!</v>
      </c>
      <c r="AK497" s="68">
        <v>0</v>
      </c>
      <c r="AL497" s="66">
        <v>0</v>
      </c>
      <c r="AM497" s="35" t="e">
        <f t="shared" si="1082"/>
        <v>#DIV/0!</v>
      </c>
      <c r="AN497" s="6" t="e">
        <f t="shared" si="1083"/>
        <v>#DIV/0!</v>
      </c>
      <c r="AO497" s="68">
        <v>1410</v>
      </c>
      <c r="AP497" s="65">
        <v>100</v>
      </c>
      <c r="AQ497" s="35">
        <f t="shared" si="1084"/>
        <v>14.1</v>
      </c>
      <c r="AR497" s="6">
        <f t="shared" si="1085"/>
        <v>0.22754092883394586</v>
      </c>
      <c r="AS497" s="68">
        <v>0</v>
      </c>
      <c r="AT497" s="66">
        <v>0</v>
      </c>
      <c r="AU497" s="35" t="e">
        <f t="shared" si="1086"/>
        <v>#DIV/0!</v>
      </c>
      <c r="AV497" s="6" t="e">
        <f t="shared" si="1087"/>
        <v>#DIV/0!</v>
      </c>
      <c r="AW497" s="68">
        <v>0</v>
      </c>
      <c r="AX497" s="66">
        <v>0</v>
      </c>
      <c r="AY497" s="35" t="e">
        <f t="shared" si="1088"/>
        <v>#DIV/0!</v>
      </c>
      <c r="AZ497" s="6" t="e">
        <f t="shared" si="1089"/>
        <v>#DIV/0!</v>
      </c>
      <c r="BA497" s="68">
        <v>0</v>
      </c>
      <c r="BB497" s="66">
        <v>0</v>
      </c>
      <c r="BC497" s="35" t="e">
        <f t="shared" si="1090"/>
        <v>#DIV/0!</v>
      </c>
      <c r="BD497" s="11" t="e">
        <f t="shared" si="1091"/>
        <v>#DIV/0!</v>
      </c>
    </row>
    <row r="498" spans="1:56" ht="15.75" thickBot="1" x14ac:dyDescent="0.3">
      <c r="A498" s="19" t="s">
        <v>2</v>
      </c>
      <c r="B498" s="8">
        <v>70100</v>
      </c>
      <c r="C498" s="35">
        <f>B498/F493</f>
        <v>72.567287784679095</v>
      </c>
      <c r="D498" s="8">
        <v>2100</v>
      </c>
      <c r="E498" s="68">
        <v>0</v>
      </c>
      <c r="F498" s="70">
        <v>0</v>
      </c>
      <c r="G498" s="35" t="e">
        <f t="shared" si="1066"/>
        <v>#DIV/0!</v>
      </c>
      <c r="H498" s="11" t="e">
        <f t="shared" si="1067"/>
        <v>#DIV/0!</v>
      </c>
      <c r="I498" s="35">
        <v>0</v>
      </c>
      <c r="J498" s="70">
        <v>0</v>
      </c>
      <c r="K498" s="35" t="e">
        <f t="shared" si="1068"/>
        <v>#DIV/0!</v>
      </c>
      <c r="L498" s="6" t="e">
        <f t="shared" si="1069"/>
        <v>#DIV/0!</v>
      </c>
      <c r="M498" s="68">
        <v>39130</v>
      </c>
      <c r="N498" s="26">
        <v>936</v>
      </c>
      <c r="O498" s="35">
        <f t="shared" si="1070"/>
        <v>41.805555555555557</v>
      </c>
      <c r="P498" s="11">
        <f t="shared" si="1071"/>
        <v>0.57609367570137893</v>
      </c>
      <c r="Q498" s="35">
        <v>0</v>
      </c>
      <c r="R498" s="66">
        <v>0</v>
      </c>
      <c r="S498" s="35" t="e">
        <f t="shared" si="1072"/>
        <v>#DIV/0!</v>
      </c>
      <c r="T498" s="6" t="e">
        <f t="shared" si="1073"/>
        <v>#DIV/0!</v>
      </c>
      <c r="U498" s="68">
        <v>0</v>
      </c>
      <c r="V498" s="66">
        <v>0</v>
      </c>
      <c r="W498" s="20" t="e">
        <f t="shared" si="1074"/>
        <v>#DIV/0!</v>
      </c>
      <c r="X498" s="6" t="e">
        <f t="shared" si="1075"/>
        <v>#DIV/0!</v>
      </c>
      <c r="Y498" s="68">
        <v>0</v>
      </c>
      <c r="Z498" s="70">
        <v>0</v>
      </c>
      <c r="AA498" s="35" t="e">
        <f t="shared" si="1076"/>
        <v>#DIV/0!</v>
      </c>
      <c r="AB498" s="11" t="e">
        <f t="shared" si="1077"/>
        <v>#DIV/0!</v>
      </c>
      <c r="AC498" s="20">
        <v>13170</v>
      </c>
      <c r="AD498" s="33">
        <v>520</v>
      </c>
      <c r="AE498" s="35">
        <f t="shared" si="1078"/>
        <v>25.326923076923077</v>
      </c>
      <c r="AF498" s="6">
        <f t="shared" si="1079"/>
        <v>0.34901294853505976</v>
      </c>
      <c r="AG498" s="68">
        <v>0</v>
      </c>
      <c r="AH498" s="66">
        <v>0</v>
      </c>
      <c r="AI498" s="35" t="e">
        <f t="shared" si="1080"/>
        <v>#DIV/0!</v>
      </c>
      <c r="AJ498" s="6" t="e">
        <f t="shared" si="1081"/>
        <v>#DIV/0!</v>
      </c>
      <c r="AK498" s="68">
        <v>0</v>
      </c>
      <c r="AL498" s="66">
        <v>0</v>
      </c>
      <c r="AM498" s="35" t="e">
        <f t="shared" si="1082"/>
        <v>#DIV/0!</v>
      </c>
      <c r="AN498" s="6" t="e">
        <f t="shared" si="1083"/>
        <v>#DIV/0!</v>
      </c>
      <c r="AO498" s="68">
        <v>1480</v>
      </c>
      <c r="AP498" s="65">
        <v>100</v>
      </c>
      <c r="AQ498" s="35">
        <f t="shared" si="1084"/>
        <v>14.8</v>
      </c>
      <c r="AR498" s="6">
        <f t="shared" si="1085"/>
        <v>0.20394864479315264</v>
      </c>
      <c r="AS498" s="68">
        <v>0</v>
      </c>
      <c r="AT498" s="66">
        <v>0</v>
      </c>
      <c r="AU498" s="35" t="e">
        <f t="shared" si="1086"/>
        <v>#DIV/0!</v>
      </c>
      <c r="AV498" s="6" t="e">
        <f t="shared" si="1087"/>
        <v>#DIV/0!</v>
      </c>
      <c r="AW498" s="68">
        <v>0</v>
      </c>
      <c r="AX498" s="66">
        <v>0</v>
      </c>
      <c r="AY498" s="35" t="e">
        <f t="shared" si="1088"/>
        <v>#DIV/0!</v>
      </c>
      <c r="AZ498" s="6" t="e">
        <f t="shared" si="1089"/>
        <v>#DIV/0!</v>
      </c>
      <c r="BA498" s="68">
        <v>0</v>
      </c>
      <c r="BB498" s="66">
        <v>0</v>
      </c>
      <c r="BC498" s="35" t="e">
        <f t="shared" si="1090"/>
        <v>#DIV/0!</v>
      </c>
      <c r="BD498" s="11" t="e">
        <f t="shared" si="1091"/>
        <v>#DIV/0!</v>
      </c>
    </row>
    <row r="499" spans="1:56" ht="15.75" thickBot="1" x14ac:dyDescent="0.3">
      <c r="A499" s="19" t="s">
        <v>3</v>
      </c>
      <c r="B499" s="8">
        <v>84450</v>
      </c>
      <c r="C499" s="35">
        <f>B499/F493</f>
        <v>87.422360248447205</v>
      </c>
      <c r="D499" s="8">
        <v>2700</v>
      </c>
      <c r="E499" s="68">
        <v>0</v>
      </c>
      <c r="F499" s="70">
        <v>0</v>
      </c>
      <c r="G499" s="35" t="e">
        <f t="shared" si="1066"/>
        <v>#DIV/0!</v>
      </c>
      <c r="H499" s="11" t="e">
        <f t="shared" si="1067"/>
        <v>#DIV/0!</v>
      </c>
      <c r="I499" s="35">
        <v>0</v>
      </c>
      <c r="J499" s="70">
        <v>0</v>
      </c>
      <c r="K499" s="35" t="e">
        <f t="shared" si="1068"/>
        <v>#DIV/0!</v>
      </c>
      <c r="L499" s="6" t="e">
        <f t="shared" si="1069"/>
        <v>#DIV/0!</v>
      </c>
      <c r="M499" s="68">
        <v>45170</v>
      </c>
      <c r="N499" s="26">
        <v>936</v>
      </c>
      <c r="O499" s="35">
        <f t="shared" si="1070"/>
        <v>48.258547008547012</v>
      </c>
      <c r="P499" s="11">
        <f t="shared" si="1071"/>
        <v>0.55201606169634587</v>
      </c>
      <c r="Q499" s="35">
        <v>0</v>
      </c>
      <c r="R499" s="66">
        <v>0</v>
      </c>
      <c r="S499" s="35" t="e">
        <f t="shared" si="1072"/>
        <v>#DIV/0!</v>
      </c>
      <c r="T499" s="6" t="e">
        <f t="shared" si="1073"/>
        <v>#DIV/0!</v>
      </c>
      <c r="U499" s="68">
        <v>0</v>
      </c>
      <c r="V499" s="66">
        <v>0</v>
      </c>
      <c r="W499" s="20" t="e">
        <f t="shared" si="1074"/>
        <v>#DIV/0!</v>
      </c>
      <c r="X499" s="6" t="e">
        <f t="shared" si="1075"/>
        <v>#DIV/0!</v>
      </c>
      <c r="Y499" s="68">
        <v>0</v>
      </c>
      <c r="Z499" s="70">
        <v>0</v>
      </c>
      <c r="AA499" s="35" t="e">
        <f t="shared" si="1076"/>
        <v>#DIV/0!</v>
      </c>
      <c r="AB499" s="11" t="e">
        <f t="shared" si="1077"/>
        <v>#DIV/0!</v>
      </c>
      <c r="AC499" s="20">
        <v>13970</v>
      </c>
      <c r="AD499" s="33">
        <v>520</v>
      </c>
      <c r="AE499" s="35">
        <f t="shared" si="1078"/>
        <v>26.865384615384617</v>
      </c>
      <c r="AF499" s="6">
        <f t="shared" si="1079"/>
        <v>0.30730564284738354</v>
      </c>
      <c r="AG499" s="68">
        <v>0</v>
      </c>
      <c r="AH499" s="66">
        <v>0</v>
      </c>
      <c r="AI499" s="35" t="e">
        <f t="shared" si="1080"/>
        <v>#DIV/0!</v>
      </c>
      <c r="AJ499" s="6" t="e">
        <f t="shared" si="1081"/>
        <v>#DIV/0!</v>
      </c>
      <c r="AK499" s="68">
        <v>0</v>
      </c>
      <c r="AL499" s="66">
        <v>0</v>
      </c>
      <c r="AM499" s="35" t="e">
        <f t="shared" si="1082"/>
        <v>#DIV/0!</v>
      </c>
      <c r="AN499" s="6" t="e">
        <f t="shared" si="1083"/>
        <v>#DIV/0!</v>
      </c>
      <c r="AO499" s="68">
        <v>1540</v>
      </c>
      <c r="AP499" s="65">
        <v>100</v>
      </c>
      <c r="AQ499" s="35">
        <f t="shared" si="1084"/>
        <v>15.4</v>
      </c>
      <c r="AR499" s="6">
        <f t="shared" si="1085"/>
        <v>0.17615630550621669</v>
      </c>
      <c r="AS499" s="68">
        <v>0</v>
      </c>
      <c r="AT499" s="66">
        <v>0</v>
      </c>
      <c r="AU499" s="35" t="e">
        <f t="shared" si="1086"/>
        <v>#DIV/0!</v>
      </c>
      <c r="AV499" s="6" t="e">
        <f t="shared" si="1087"/>
        <v>#DIV/0!</v>
      </c>
      <c r="AW499" s="68">
        <v>0</v>
      </c>
      <c r="AX499" s="66">
        <v>0</v>
      </c>
      <c r="AY499" s="35" t="e">
        <f t="shared" si="1088"/>
        <v>#DIV/0!</v>
      </c>
      <c r="AZ499" s="6" t="e">
        <f t="shared" si="1089"/>
        <v>#DIV/0!</v>
      </c>
      <c r="BA499" s="68">
        <v>0</v>
      </c>
      <c r="BB499" s="66">
        <v>0</v>
      </c>
      <c r="BC499" s="35" t="e">
        <f t="shared" si="1090"/>
        <v>#DIV/0!</v>
      </c>
      <c r="BD499" s="11" t="e">
        <f t="shared" si="1091"/>
        <v>#DIV/0!</v>
      </c>
    </row>
    <row r="500" spans="1:56" ht="15.75" thickBot="1" x14ac:dyDescent="0.3">
      <c r="A500" s="19" t="s">
        <v>4</v>
      </c>
      <c r="B500" s="8">
        <v>105390</v>
      </c>
      <c r="C500" s="35">
        <f>B500/F493</f>
        <v>109.09937888198758</v>
      </c>
      <c r="D500" s="8">
        <v>5250</v>
      </c>
      <c r="E500" s="68">
        <v>0</v>
      </c>
      <c r="F500" s="70">
        <v>0</v>
      </c>
      <c r="G500" s="35" t="e">
        <f t="shared" si="1066"/>
        <v>#DIV/0!</v>
      </c>
      <c r="H500" s="11" t="e">
        <f t="shared" si="1067"/>
        <v>#DIV/0!</v>
      </c>
      <c r="I500" s="35">
        <v>0</v>
      </c>
      <c r="J500" s="70">
        <v>0</v>
      </c>
      <c r="K500" s="35" t="e">
        <f t="shared" si="1068"/>
        <v>#DIV/0!</v>
      </c>
      <c r="L500" s="6" t="e">
        <f t="shared" si="1069"/>
        <v>#DIV/0!</v>
      </c>
      <c r="M500" s="68">
        <v>64140</v>
      </c>
      <c r="N500" s="26">
        <v>936</v>
      </c>
      <c r="O500" s="35">
        <f t="shared" si="1070"/>
        <v>68.525641025641022</v>
      </c>
      <c r="P500" s="11">
        <f t="shared" si="1071"/>
        <v>0.62810294364521513</v>
      </c>
      <c r="Q500" s="35">
        <v>0</v>
      </c>
      <c r="R500" s="66">
        <v>0</v>
      </c>
      <c r="S500" s="35" t="e">
        <f t="shared" si="1072"/>
        <v>#DIV/0!</v>
      </c>
      <c r="T500" s="6" t="e">
        <f t="shared" si="1073"/>
        <v>#DIV/0!</v>
      </c>
      <c r="U500" s="68">
        <v>0</v>
      </c>
      <c r="V500" s="66">
        <v>0</v>
      </c>
      <c r="W500" s="20" t="e">
        <f t="shared" si="1074"/>
        <v>#DIV/0!</v>
      </c>
      <c r="X500" s="6" t="e">
        <f t="shared" si="1075"/>
        <v>#DIV/0!</v>
      </c>
      <c r="Y500" s="68">
        <v>0</v>
      </c>
      <c r="Z500" s="70">
        <v>0</v>
      </c>
      <c r="AA500" s="35" t="e">
        <f t="shared" si="1076"/>
        <v>#DIV/0!</v>
      </c>
      <c r="AB500" s="11" t="e">
        <f t="shared" si="1077"/>
        <v>#DIV/0!</v>
      </c>
      <c r="AC500" s="20">
        <v>15920</v>
      </c>
      <c r="AD500" s="33">
        <v>520</v>
      </c>
      <c r="AE500" s="35">
        <f t="shared" si="1078"/>
        <v>30.615384615384617</v>
      </c>
      <c r="AF500" s="6">
        <f t="shared" si="1079"/>
        <v>0.28061923843307279</v>
      </c>
      <c r="AG500" s="68">
        <v>0</v>
      </c>
      <c r="AH500" s="66">
        <v>0</v>
      </c>
      <c r="AI500" s="35" t="e">
        <f t="shared" si="1080"/>
        <v>#DIV/0!</v>
      </c>
      <c r="AJ500" s="6" t="e">
        <f t="shared" si="1081"/>
        <v>#DIV/0!</v>
      </c>
      <c r="AK500" s="68">
        <v>0</v>
      </c>
      <c r="AL500" s="66">
        <v>0</v>
      </c>
      <c r="AM500" s="35" t="e">
        <f t="shared" si="1082"/>
        <v>#DIV/0!</v>
      </c>
      <c r="AN500" s="6" t="e">
        <f t="shared" si="1083"/>
        <v>#DIV/0!</v>
      </c>
      <c r="AO500" s="68">
        <v>2000</v>
      </c>
      <c r="AP500" s="65">
        <v>100</v>
      </c>
      <c r="AQ500" s="35">
        <f t="shared" si="1084"/>
        <v>20</v>
      </c>
      <c r="AR500" s="6">
        <f t="shared" si="1085"/>
        <v>0.18331910048391689</v>
      </c>
      <c r="AS500" s="68">
        <v>0</v>
      </c>
      <c r="AT500" s="66">
        <v>0</v>
      </c>
      <c r="AU500" s="35" t="e">
        <f t="shared" si="1086"/>
        <v>#DIV/0!</v>
      </c>
      <c r="AV500" s="6" t="e">
        <f t="shared" si="1087"/>
        <v>#DIV/0!</v>
      </c>
      <c r="AW500" s="68">
        <v>0</v>
      </c>
      <c r="AX500" s="66">
        <v>0</v>
      </c>
      <c r="AY500" s="35" t="e">
        <f t="shared" si="1088"/>
        <v>#DIV/0!</v>
      </c>
      <c r="AZ500" s="6" t="e">
        <f t="shared" si="1089"/>
        <v>#DIV/0!</v>
      </c>
      <c r="BA500" s="68">
        <v>0</v>
      </c>
      <c r="BB500" s="66">
        <v>0</v>
      </c>
      <c r="BC500" s="35" t="e">
        <f t="shared" si="1090"/>
        <v>#DIV/0!</v>
      </c>
      <c r="BD500" s="11" t="e">
        <f t="shared" si="1091"/>
        <v>#DIV/0!</v>
      </c>
    </row>
    <row r="501" spans="1:56" ht="15.75" thickBot="1" x14ac:dyDescent="0.3">
      <c r="A501" s="19" t="s">
        <v>5</v>
      </c>
      <c r="B501" s="8">
        <v>138190</v>
      </c>
      <c r="C501" s="35">
        <f>B501/F493</f>
        <v>143.05383022774328</v>
      </c>
      <c r="D501" s="8">
        <v>7050</v>
      </c>
      <c r="E501" s="68">
        <v>0</v>
      </c>
      <c r="F501" s="70">
        <v>0</v>
      </c>
      <c r="G501" s="35" t="e">
        <f t="shared" si="1066"/>
        <v>#DIV/0!</v>
      </c>
      <c r="H501" s="11" t="e">
        <f t="shared" si="1067"/>
        <v>#DIV/0!</v>
      </c>
      <c r="I501" s="35">
        <v>0</v>
      </c>
      <c r="J501" s="70">
        <v>0</v>
      </c>
      <c r="K501" s="35" t="e">
        <f t="shared" si="1068"/>
        <v>#DIV/0!</v>
      </c>
      <c r="L501" s="6" t="e">
        <f t="shared" si="1069"/>
        <v>#DIV/0!</v>
      </c>
      <c r="M501" s="68">
        <v>72220</v>
      </c>
      <c r="N501" s="26">
        <v>936</v>
      </c>
      <c r="O501" s="35">
        <f t="shared" si="1070"/>
        <v>77.158119658119659</v>
      </c>
      <c r="P501" s="11">
        <f t="shared" si="1071"/>
        <v>0.53936423467503858</v>
      </c>
      <c r="Q501" s="35">
        <v>0</v>
      </c>
      <c r="R501" s="66">
        <v>0</v>
      </c>
      <c r="S501" s="35" t="e">
        <f t="shared" si="1072"/>
        <v>#DIV/0!</v>
      </c>
      <c r="T501" s="6" t="e">
        <f t="shared" si="1073"/>
        <v>#DIV/0!</v>
      </c>
      <c r="U501" s="68">
        <v>0</v>
      </c>
      <c r="V501" s="66">
        <v>0</v>
      </c>
      <c r="W501" s="20" t="e">
        <f t="shared" si="1074"/>
        <v>#DIV/0!</v>
      </c>
      <c r="X501" s="6" t="e">
        <f t="shared" si="1075"/>
        <v>#DIV/0!</v>
      </c>
      <c r="Y501" s="68">
        <v>0</v>
      </c>
      <c r="Z501" s="70">
        <v>0</v>
      </c>
      <c r="AA501" s="35" t="e">
        <f t="shared" si="1076"/>
        <v>#DIV/0!</v>
      </c>
      <c r="AB501" s="11" t="e">
        <f t="shared" si="1077"/>
        <v>#DIV/0!</v>
      </c>
      <c r="AC501" s="20">
        <v>17970</v>
      </c>
      <c r="AD501" s="33">
        <v>520</v>
      </c>
      <c r="AE501" s="35">
        <f t="shared" si="1078"/>
        <v>34.557692307692307</v>
      </c>
      <c r="AF501" s="6">
        <f t="shared" si="1079"/>
        <v>0.24157124805869287</v>
      </c>
      <c r="AG501" s="68">
        <v>0</v>
      </c>
      <c r="AH501" s="66">
        <v>0</v>
      </c>
      <c r="AI501" s="35" t="e">
        <f t="shared" si="1080"/>
        <v>#DIV/0!</v>
      </c>
      <c r="AJ501" s="6" t="e">
        <f t="shared" si="1081"/>
        <v>#DIV/0!</v>
      </c>
      <c r="AK501" s="68">
        <v>0</v>
      </c>
      <c r="AL501" s="66">
        <v>0</v>
      </c>
      <c r="AM501" s="35" t="e">
        <f t="shared" si="1082"/>
        <v>#DIV/0!</v>
      </c>
      <c r="AN501" s="6" t="e">
        <f t="shared" si="1083"/>
        <v>#DIV/0!</v>
      </c>
      <c r="AO501" s="68">
        <v>2350</v>
      </c>
      <c r="AP501" s="65">
        <v>100</v>
      </c>
      <c r="AQ501" s="35">
        <f t="shared" si="1084"/>
        <v>23.5</v>
      </c>
      <c r="AR501" s="6">
        <f t="shared" si="1085"/>
        <v>0.16427382589188796</v>
      </c>
      <c r="AS501" s="68">
        <v>0</v>
      </c>
      <c r="AT501" s="66">
        <v>0</v>
      </c>
      <c r="AU501" s="35" t="e">
        <f t="shared" si="1086"/>
        <v>#DIV/0!</v>
      </c>
      <c r="AV501" s="6" t="e">
        <f t="shared" si="1087"/>
        <v>#DIV/0!</v>
      </c>
      <c r="AW501" s="68">
        <v>0</v>
      </c>
      <c r="AX501" s="66">
        <v>0</v>
      </c>
      <c r="AY501" s="35" t="e">
        <f t="shared" si="1088"/>
        <v>#DIV/0!</v>
      </c>
      <c r="AZ501" s="6" t="e">
        <f t="shared" si="1089"/>
        <v>#DIV/0!</v>
      </c>
      <c r="BA501" s="68">
        <v>0</v>
      </c>
      <c r="BB501" s="66">
        <v>0</v>
      </c>
      <c r="BC501" s="35" t="e">
        <f t="shared" si="1090"/>
        <v>#DIV/0!</v>
      </c>
      <c r="BD501" s="11" t="e">
        <f t="shared" si="1091"/>
        <v>#DIV/0!</v>
      </c>
    </row>
    <row r="502" spans="1:56" x14ac:dyDescent="0.25">
      <c r="A502" s="19" t="s">
        <v>6</v>
      </c>
      <c r="B502" s="8">
        <v>158260</v>
      </c>
      <c r="C502" s="35">
        <f>B502/F493</f>
        <v>163.83022774327122</v>
      </c>
      <c r="D502" s="8">
        <v>10950</v>
      </c>
      <c r="E502" s="68">
        <v>0</v>
      </c>
      <c r="F502" s="70">
        <v>0</v>
      </c>
      <c r="G502" s="35" t="e">
        <f t="shared" si="1066"/>
        <v>#DIV/0!</v>
      </c>
      <c r="H502" s="11" t="e">
        <f t="shared" si="1067"/>
        <v>#DIV/0!</v>
      </c>
      <c r="I502" s="35">
        <v>0</v>
      </c>
      <c r="J502" s="70">
        <v>0</v>
      </c>
      <c r="K502" s="35" t="e">
        <f t="shared" si="1068"/>
        <v>#DIV/0!</v>
      </c>
      <c r="L502" s="6" t="e">
        <f t="shared" si="1069"/>
        <v>#DIV/0!</v>
      </c>
      <c r="M502" s="68">
        <v>87830</v>
      </c>
      <c r="N502" s="26">
        <v>936</v>
      </c>
      <c r="O502" s="35">
        <f t="shared" si="1070"/>
        <v>93.835470085470092</v>
      </c>
      <c r="P502" s="11">
        <f t="shared" si="1071"/>
        <v>0.5727604202108183</v>
      </c>
      <c r="Q502" s="35">
        <v>0</v>
      </c>
      <c r="R502" s="66">
        <v>0</v>
      </c>
      <c r="S502" s="35" t="e">
        <f t="shared" si="1072"/>
        <v>#DIV/0!</v>
      </c>
      <c r="T502" s="6" t="e">
        <f t="shared" si="1073"/>
        <v>#DIV/0!</v>
      </c>
      <c r="U502" s="68">
        <v>0</v>
      </c>
      <c r="V502" s="66">
        <v>0</v>
      </c>
      <c r="W502" s="20" t="e">
        <f t="shared" si="1074"/>
        <v>#DIV/0!</v>
      </c>
      <c r="X502" s="6" t="e">
        <f t="shared" si="1075"/>
        <v>#DIV/0!</v>
      </c>
      <c r="Y502" s="68">
        <v>0</v>
      </c>
      <c r="Z502" s="70">
        <v>0</v>
      </c>
      <c r="AA502" s="35" t="e">
        <f t="shared" si="1076"/>
        <v>#DIV/0!</v>
      </c>
      <c r="AB502" s="11" t="e">
        <f t="shared" si="1077"/>
        <v>#DIV/0!</v>
      </c>
      <c r="AC502" s="20">
        <v>25720</v>
      </c>
      <c r="AD502" s="33">
        <v>520</v>
      </c>
      <c r="AE502" s="35">
        <f t="shared" si="1078"/>
        <v>49.46153846153846</v>
      </c>
      <c r="AF502" s="6">
        <f t="shared" si="1079"/>
        <v>0.30190728013298468</v>
      </c>
      <c r="AG502" s="68">
        <v>0</v>
      </c>
      <c r="AH502" s="66">
        <v>0</v>
      </c>
      <c r="AI502" s="35" t="e">
        <f t="shared" si="1080"/>
        <v>#DIV/0!</v>
      </c>
      <c r="AJ502" s="6" t="e">
        <f t="shared" si="1081"/>
        <v>#DIV/0!</v>
      </c>
      <c r="AK502" s="68">
        <v>0</v>
      </c>
      <c r="AL502" s="66">
        <v>0</v>
      </c>
      <c r="AM502" s="35" t="e">
        <f t="shared" si="1082"/>
        <v>#DIV/0!</v>
      </c>
      <c r="AN502" s="6" t="e">
        <f t="shared" si="1083"/>
        <v>#DIV/0!</v>
      </c>
      <c r="AO502" s="68">
        <v>2540</v>
      </c>
      <c r="AP502" s="65">
        <v>100</v>
      </c>
      <c r="AQ502" s="35">
        <f t="shared" si="1084"/>
        <v>25.4</v>
      </c>
      <c r="AR502" s="6">
        <f t="shared" si="1085"/>
        <v>0.15503854416782509</v>
      </c>
      <c r="AS502" s="68">
        <v>0</v>
      </c>
      <c r="AT502" s="66">
        <v>0</v>
      </c>
      <c r="AU502" s="35" t="e">
        <f t="shared" si="1086"/>
        <v>#DIV/0!</v>
      </c>
      <c r="AV502" s="6" t="e">
        <f t="shared" si="1087"/>
        <v>#DIV/0!</v>
      </c>
      <c r="AW502" s="68">
        <v>0</v>
      </c>
      <c r="AX502" s="66">
        <v>0</v>
      </c>
      <c r="AY502" s="35" t="e">
        <f t="shared" si="1088"/>
        <v>#DIV/0!</v>
      </c>
      <c r="AZ502" s="6" t="e">
        <f t="shared" si="1089"/>
        <v>#DIV/0!</v>
      </c>
      <c r="BA502" s="68">
        <v>0</v>
      </c>
      <c r="BB502" s="66">
        <v>0</v>
      </c>
      <c r="BC502" s="35" t="e">
        <f t="shared" si="1090"/>
        <v>#DIV/0!</v>
      </c>
      <c r="BD502" s="11" t="e">
        <f t="shared" si="1091"/>
        <v>#DIV/0!</v>
      </c>
    </row>
    <row r="503" spans="1:56" ht="15.75" thickBot="1" x14ac:dyDescent="0.3">
      <c r="A503" s="21"/>
      <c r="B503" s="22"/>
      <c r="C503" s="23">
        <f>AVERAGE(Table11038[MA $/Sq Ft])</f>
        <v>98.658680863649806</v>
      </c>
      <c r="D503" s="22">
        <f>AVERAGE(Table11038[Basic Allowance])</f>
        <v>4442.8571428571431</v>
      </c>
      <c r="E503" s="16"/>
      <c r="F503" s="22"/>
      <c r="G503" s="15"/>
      <c r="H503" s="24" t="e">
        <f>AVERAGE(Table11038[Bsmt % Base])</f>
        <v>#DIV/0!</v>
      </c>
      <c r="I503" s="15"/>
      <c r="J503" s="15"/>
      <c r="K503" s="15"/>
      <c r="L503" s="25" t="e">
        <f>AVERAGE(Table11038[[#Headers],[#Data],[UnfBsmt % Base]])</f>
        <v>#DIV/0!</v>
      </c>
      <c r="M503" s="44"/>
      <c r="N503" s="15"/>
      <c r="O503" s="23">
        <f>AVERAGE(Table11038[LowerVal/SqFt])</f>
        <v>56.492673992673993</v>
      </c>
      <c r="P503" s="24">
        <f>AVERAGE(Table11038[Lower % Base])</f>
        <v>0.57355288975889529</v>
      </c>
      <c r="Q503" s="13"/>
      <c r="R503" s="13"/>
      <c r="S503" s="13"/>
      <c r="T503" s="25" t="e">
        <f>AVERAGE(Table11038[Unf Lower % Base])</f>
        <v>#DIV/0!</v>
      </c>
      <c r="U503" s="12"/>
      <c r="V503" s="13"/>
      <c r="W503" s="13"/>
      <c r="X503" s="25" t="e">
        <f>AVERAGE(Table11038[1/2 Story % Base])</f>
        <v>#DIV/0!</v>
      </c>
      <c r="Y503" s="12"/>
      <c r="Z503" s="13"/>
      <c r="AA503" s="13"/>
      <c r="AB503" s="24" t="e">
        <f>AVERAGE(Table11038[2nd Story % Base])</f>
        <v>#DIV/0!</v>
      </c>
      <c r="AC503" s="13"/>
      <c r="AD503" s="13"/>
      <c r="AE503" s="23">
        <f>AVERAGE(Table11038[AttGarVal/SqFt])</f>
        <v>28.884615384615383</v>
      </c>
      <c r="AF503" s="25">
        <f>AVERAGE(Table11038[Att Gar % Base])</f>
        <v>0.29909064902951732</v>
      </c>
      <c r="AG503" s="12"/>
      <c r="AH503" s="13"/>
      <c r="AI503" s="13"/>
      <c r="AJ503" s="25" t="e">
        <f>AVERAGE(Table11038[Porch % Base])</f>
        <v>#DIV/0!</v>
      </c>
      <c r="AK503" s="12"/>
      <c r="AL503" s="13"/>
      <c r="AM503" s="13"/>
      <c r="AN503" s="25" t="e">
        <f>AVERAGE(Table11038[Cov Porch % Base])</f>
        <v>#DIV/0!</v>
      </c>
      <c r="AO503" s="12"/>
      <c r="AP503" s="13"/>
      <c r="AQ503" s="13"/>
      <c r="AR503" s="25">
        <f>AVERAGE(Table11038[Deck % Base])</f>
        <v>0.18573369146328325</v>
      </c>
      <c r="AS503" s="12"/>
      <c r="AT503" s="13"/>
      <c r="AU503" s="23" t="e">
        <f>AVERAGE(Table11038[CovDeckVal/SqFt])</f>
        <v>#DIV/0!</v>
      </c>
      <c r="AV503" s="25" t="e">
        <f>AVERAGE(Table11038[CovDeck % Base])</f>
        <v>#DIV/0!</v>
      </c>
      <c r="AW503" s="12"/>
      <c r="AX503" s="13"/>
      <c r="AY503" s="13"/>
      <c r="AZ503" s="25" t="e">
        <f>AVERAGE(Table11038[CarP % Base])</f>
        <v>#DIV/0!</v>
      </c>
      <c r="BA503" s="12"/>
      <c r="BB503" s="13"/>
      <c r="BC503" s="13"/>
      <c r="BD503" s="24" t="e">
        <f>AVERAGE(Table11038[EFP % Base])</f>
        <v>#DIV/0!</v>
      </c>
    </row>
    <row r="505" spans="1:56" ht="15.75" thickBot="1" x14ac:dyDescent="0.3">
      <c r="A505" s="82"/>
      <c r="B505" t="s">
        <v>79</v>
      </c>
      <c r="C505" s="78" t="s">
        <v>132</v>
      </c>
      <c r="E505" t="s">
        <v>33</v>
      </c>
      <c r="F505" s="79">
        <v>2013</v>
      </c>
      <c r="H505" t="s">
        <v>80</v>
      </c>
      <c r="I505" t="s">
        <v>194</v>
      </c>
    </row>
    <row r="506" spans="1:56" x14ac:dyDescent="0.25">
      <c r="A506" s="112"/>
      <c r="B506" s="113"/>
      <c r="C506" s="113"/>
      <c r="D506" s="114"/>
      <c r="E506" s="115" t="s">
        <v>27</v>
      </c>
      <c r="F506" s="116"/>
      <c r="G506" s="116"/>
      <c r="H506" s="117"/>
      <c r="I506" s="118" t="s">
        <v>28</v>
      </c>
      <c r="J506" s="119"/>
      <c r="K506" s="119"/>
      <c r="L506" s="120"/>
      <c r="M506" s="121" t="s">
        <v>7</v>
      </c>
      <c r="N506" s="122"/>
      <c r="O506" s="122"/>
      <c r="P506" s="123"/>
      <c r="Q506" s="124" t="s">
        <v>29</v>
      </c>
      <c r="R506" s="125"/>
      <c r="S506" s="125"/>
      <c r="T506" s="126"/>
      <c r="U506" s="127" t="s">
        <v>8</v>
      </c>
      <c r="V506" s="128"/>
      <c r="W506" s="128"/>
      <c r="X506" s="129"/>
      <c r="Y506" s="130" t="s">
        <v>0</v>
      </c>
      <c r="Z506" s="131"/>
      <c r="AA506" s="131"/>
      <c r="AB506" s="132"/>
      <c r="AC506" s="133" t="s">
        <v>34</v>
      </c>
      <c r="AD506" s="134"/>
      <c r="AE506" s="134"/>
      <c r="AF506" s="135"/>
      <c r="AG506" s="115" t="s">
        <v>9</v>
      </c>
      <c r="AH506" s="116"/>
      <c r="AI506" s="116"/>
      <c r="AJ506" s="117"/>
      <c r="AK506" s="136" t="s">
        <v>35</v>
      </c>
      <c r="AL506" s="137"/>
      <c r="AM506" s="137"/>
      <c r="AN506" s="138"/>
      <c r="AO506" s="139" t="s">
        <v>10</v>
      </c>
      <c r="AP506" s="140"/>
      <c r="AQ506" s="140"/>
      <c r="AR506" s="141"/>
      <c r="AS506" s="124" t="s">
        <v>36</v>
      </c>
      <c r="AT506" s="125"/>
      <c r="AU506" s="125"/>
      <c r="AV506" s="126"/>
      <c r="AW506" s="142" t="s">
        <v>11</v>
      </c>
      <c r="AX506" s="143"/>
      <c r="AY506" s="143"/>
      <c r="AZ506" s="144"/>
      <c r="BA506" s="148" t="s">
        <v>17</v>
      </c>
      <c r="BB506" s="149"/>
      <c r="BC506" s="149"/>
      <c r="BD506" s="150"/>
    </row>
    <row r="507" spans="1:56" s="1" customFormat="1" ht="15.75" thickBot="1" x14ac:dyDescent="0.3">
      <c r="A507" s="41" t="s">
        <v>13</v>
      </c>
      <c r="B507" s="42" t="s">
        <v>15</v>
      </c>
      <c r="C507" s="42" t="s">
        <v>32</v>
      </c>
      <c r="D507" s="43" t="s">
        <v>18</v>
      </c>
      <c r="E507" s="30" t="s">
        <v>30</v>
      </c>
      <c r="F507" s="31" t="s">
        <v>61</v>
      </c>
      <c r="G507" s="31" t="s">
        <v>38</v>
      </c>
      <c r="H507" s="32" t="s">
        <v>62</v>
      </c>
      <c r="I507" s="37" t="s">
        <v>31</v>
      </c>
      <c r="J507" s="38" t="s">
        <v>39</v>
      </c>
      <c r="K507" s="38" t="s">
        <v>40</v>
      </c>
      <c r="L507" s="39" t="s">
        <v>63</v>
      </c>
      <c r="M507" s="40" t="s">
        <v>19</v>
      </c>
      <c r="N507" s="7" t="s">
        <v>41</v>
      </c>
      <c r="O507" s="7" t="s">
        <v>37</v>
      </c>
      <c r="P507" s="7" t="s">
        <v>64</v>
      </c>
      <c r="Q507" s="27" t="s">
        <v>20</v>
      </c>
      <c r="R507" s="28" t="s">
        <v>60</v>
      </c>
      <c r="S507" s="28" t="s">
        <v>59</v>
      </c>
      <c r="T507" s="29" t="s">
        <v>65</v>
      </c>
      <c r="U507" s="48" t="s">
        <v>21</v>
      </c>
      <c r="V507" s="48" t="s">
        <v>42</v>
      </c>
      <c r="W507" s="48" t="s">
        <v>43</v>
      </c>
      <c r="X507" s="49" t="s">
        <v>66</v>
      </c>
      <c r="Y507" s="50" t="s">
        <v>22</v>
      </c>
      <c r="Z507" s="51" t="s">
        <v>44</v>
      </c>
      <c r="AA507" s="51" t="s">
        <v>45</v>
      </c>
      <c r="AB507" s="52" t="s">
        <v>67</v>
      </c>
      <c r="AC507" s="45" t="s">
        <v>23</v>
      </c>
      <c r="AD507" s="46" t="s">
        <v>46</v>
      </c>
      <c r="AE507" s="46" t="s">
        <v>47</v>
      </c>
      <c r="AF507" s="47" t="s">
        <v>68</v>
      </c>
      <c r="AG507" s="30" t="s">
        <v>24</v>
      </c>
      <c r="AH507" s="31" t="s">
        <v>48</v>
      </c>
      <c r="AI507" s="31" t="s">
        <v>49</v>
      </c>
      <c r="AJ507" s="32" t="s">
        <v>69</v>
      </c>
      <c r="AK507" s="53" t="s">
        <v>25</v>
      </c>
      <c r="AL507" s="54" t="s">
        <v>50</v>
      </c>
      <c r="AM507" s="54" t="s">
        <v>51</v>
      </c>
      <c r="AN507" s="55" t="s">
        <v>70</v>
      </c>
      <c r="AO507" s="56" t="s">
        <v>26</v>
      </c>
      <c r="AP507" s="57" t="s">
        <v>52</v>
      </c>
      <c r="AQ507" s="57" t="s">
        <v>53</v>
      </c>
      <c r="AR507" s="58" t="s">
        <v>71</v>
      </c>
      <c r="AS507" s="59" t="s">
        <v>55</v>
      </c>
      <c r="AT507" s="60" t="s">
        <v>54</v>
      </c>
      <c r="AU507" s="60" t="s">
        <v>56</v>
      </c>
      <c r="AV507" s="61" t="s">
        <v>76</v>
      </c>
      <c r="AW507" s="62" t="s">
        <v>72</v>
      </c>
      <c r="AX507" s="63" t="s">
        <v>73</v>
      </c>
      <c r="AY507" s="63" t="s">
        <v>74</v>
      </c>
      <c r="AZ507" s="64" t="s">
        <v>75</v>
      </c>
      <c r="BA507" s="71" t="s">
        <v>77</v>
      </c>
      <c r="BB507" s="72" t="s">
        <v>57</v>
      </c>
      <c r="BC507" s="72" t="s">
        <v>58</v>
      </c>
      <c r="BD507" s="73" t="s">
        <v>78</v>
      </c>
    </row>
    <row r="508" spans="1:56" ht="15.75" thickBot="1" x14ac:dyDescent="0.3">
      <c r="A508" s="17" t="s">
        <v>1</v>
      </c>
      <c r="B508" s="14">
        <v>94480</v>
      </c>
      <c r="C508" s="34">
        <f>B508/F505</f>
        <v>46.934923000496774</v>
      </c>
      <c r="D508" s="14">
        <v>1525</v>
      </c>
      <c r="E508" s="67">
        <v>0</v>
      </c>
      <c r="F508" s="69">
        <v>0</v>
      </c>
      <c r="G508" s="34" t="e">
        <f t="shared" ref="G508:G514" si="1092">E508/F508</f>
        <v>#DIV/0!</v>
      </c>
      <c r="H508" s="10" t="e">
        <f t="shared" ref="H508:H514" si="1093">G508/C508</f>
        <v>#DIV/0!</v>
      </c>
      <c r="I508" s="34">
        <v>0</v>
      </c>
      <c r="J508" s="69">
        <v>0</v>
      </c>
      <c r="K508" s="34" t="e">
        <f t="shared" ref="K508:K514" si="1094">I508/J508</f>
        <v>#DIV/0!</v>
      </c>
      <c r="L508" s="9" t="e">
        <f t="shared" ref="L508:L514" si="1095">K508/C508</f>
        <v>#DIV/0!</v>
      </c>
      <c r="M508" s="67">
        <v>0</v>
      </c>
      <c r="N508" s="26">
        <v>0</v>
      </c>
      <c r="O508" s="34" t="e">
        <f t="shared" ref="O508:O514" si="1096">M508/N508</f>
        <v>#DIV/0!</v>
      </c>
      <c r="P508" s="10" t="e">
        <f t="shared" ref="P508:P514" si="1097">O508/C508</f>
        <v>#DIV/0!</v>
      </c>
      <c r="Q508" s="35">
        <v>0</v>
      </c>
      <c r="R508" s="66">
        <v>0</v>
      </c>
      <c r="S508" s="35" t="e">
        <f t="shared" ref="S508:S514" si="1098">Q508/R508</f>
        <v>#DIV/0!</v>
      </c>
      <c r="T508" s="6" t="e">
        <f t="shared" ref="T508:T514" si="1099">S508/C508</f>
        <v>#DIV/0!</v>
      </c>
      <c r="U508" s="67">
        <v>0</v>
      </c>
      <c r="V508" s="65">
        <v>0</v>
      </c>
      <c r="W508" s="18" t="e">
        <f t="shared" ref="W508:W514" si="1100">U508/V508</f>
        <v>#DIV/0!</v>
      </c>
      <c r="X508" s="9" t="e">
        <f t="shared" ref="X508:X514" si="1101">W508/C508</f>
        <v>#DIV/0!</v>
      </c>
      <c r="Y508" s="67">
        <v>21820</v>
      </c>
      <c r="Z508" s="69">
        <v>520</v>
      </c>
      <c r="AA508" s="34">
        <f t="shared" ref="AA508:AA514" si="1102">Y508/Z508</f>
        <v>41.96153846153846</v>
      </c>
      <c r="AB508" s="10">
        <f t="shared" ref="AB508:AB514" si="1103">AA508/C508</f>
        <v>0.89403658894027216</v>
      </c>
      <c r="AC508" s="18">
        <v>7760</v>
      </c>
      <c r="AD508" s="33">
        <v>520</v>
      </c>
      <c r="AE508" s="34">
        <f t="shared" ref="AE508:AE514" si="1104">AC508/AD508</f>
        <v>14.923076923076923</v>
      </c>
      <c r="AF508" s="9">
        <f t="shared" ref="AF508:AF514" si="1105">AE508/C508</f>
        <v>0.31795251742330488</v>
      </c>
      <c r="AG508" s="67">
        <v>910</v>
      </c>
      <c r="AH508" s="65">
        <v>364</v>
      </c>
      <c r="AI508" s="34">
        <f t="shared" ref="AI508:AI514" si="1106">AG508/AH508</f>
        <v>2.5</v>
      </c>
      <c r="AJ508" s="9">
        <f t="shared" ref="AJ508:AJ514" si="1107">AI508/C508</f>
        <v>5.3265241320914473E-2</v>
      </c>
      <c r="AK508" s="67">
        <v>0</v>
      </c>
      <c r="AL508" s="65">
        <v>0</v>
      </c>
      <c r="AM508" s="34" t="e">
        <f t="shared" ref="AM508:AM514" si="1108">AK508/AL508</f>
        <v>#DIV/0!</v>
      </c>
      <c r="AN508" s="9" t="e">
        <f t="shared" ref="AN508:AN514" si="1109">AM508/C508</f>
        <v>#DIV/0!</v>
      </c>
      <c r="AO508" s="67">
        <v>1000</v>
      </c>
      <c r="AP508" s="65">
        <v>100</v>
      </c>
      <c r="AQ508" s="34">
        <f t="shared" ref="AQ508:AQ514" si="1110">AO508/AP508</f>
        <v>10</v>
      </c>
      <c r="AR508" s="9">
        <f t="shared" ref="AR508:AR514" si="1111">AQ508/C508</f>
        <v>0.21306096528365789</v>
      </c>
      <c r="AS508" s="67">
        <v>0</v>
      </c>
      <c r="AT508" s="65">
        <v>0</v>
      </c>
      <c r="AU508" s="34" t="e">
        <f t="shared" ref="AU508:AU514" si="1112">AS508/AT508</f>
        <v>#DIV/0!</v>
      </c>
      <c r="AV508" s="9" t="e">
        <f t="shared" ref="AV508:AV514" si="1113">AU508/C508</f>
        <v>#DIV/0!</v>
      </c>
      <c r="AW508" s="67">
        <v>6740</v>
      </c>
      <c r="AX508" s="65">
        <v>800</v>
      </c>
      <c r="AY508" s="34">
        <f t="shared" ref="AY508:AY514" si="1114">AW508/AX508</f>
        <v>8.4250000000000007</v>
      </c>
      <c r="AZ508" s="9">
        <f t="shared" ref="AZ508:AZ514" si="1115">AY508/C508</f>
        <v>0.17950386325148179</v>
      </c>
      <c r="BA508" s="67">
        <v>0</v>
      </c>
      <c r="BB508" s="65">
        <v>0</v>
      </c>
      <c r="BC508" s="34" t="e">
        <f t="shared" ref="BC508:BC514" si="1116">BA508/BB508</f>
        <v>#DIV/0!</v>
      </c>
      <c r="BD508" s="10" t="e">
        <f t="shared" ref="BD508:BD514" si="1117">BC508/C508</f>
        <v>#DIV/0!</v>
      </c>
    </row>
    <row r="509" spans="1:56" ht="15.75" thickBot="1" x14ac:dyDescent="0.3">
      <c r="A509" s="19" t="s">
        <v>16</v>
      </c>
      <c r="B509" s="8">
        <v>111090</v>
      </c>
      <c r="C509" s="35">
        <f>B509/F505</f>
        <v>55.186289120715351</v>
      </c>
      <c r="D509" s="8">
        <v>1525</v>
      </c>
      <c r="E509" s="68">
        <v>0</v>
      </c>
      <c r="F509" s="70">
        <v>0</v>
      </c>
      <c r="G509" s="35" t="e">
        <f t="shared" si="1092"/>
        <v>#DIV/0!</v>
      </c>
      <c r="H509" s="11" t="e">
        <f t="shared" si="1093"/>
        <v>#DIV/0!</v>
      </c>
      <c r="I509" s="35">
        <v>0</v>
      </c>
      <c r="J509" s="70">
        <v>0</v>
      </c>
      <c r="K509" s="35" t="e">
        <f t="shared" si="1094"/>
        <v>#DIV/0!</v>
      </c>
      <c r="L509" s="6" t="e">
        <f t="shared" si="1095"/>
        <v>#DIV/0!</v>
      </c>
      <c r="M509" s="68">
        <v>0</v>
      </c>
      <c r="N509" s="5">
        <v>0</v>
      </c>
      <c r="O509" s="35" t="e">
        <f t="shared" si="1096"/>
        <v>#DIV/0!</v>
      </c>
      <c r="P509" s="11" t="e">
        <f t="shared" si="1097"/>
        <v>#DIV/0!</v>
      </c>
      <c r="Q509" s="35">
        <v>0</v>
      </c>
      <c r="R509" s="66">
        <v>0</v>
      </c>
      <c r="S509" s="35" t="e">
        <f t="shared" si="1098"/>
        <v>#DIV/0!</v>
      </c>
      <c r="T509" s="6" t="e">
        <f t="shared" si="1099"/>
        <v>#DIV/0!</v>
      </c>
      <c r="U509" s="68">
        <v>0</v>
      </c>
      <c r="V509" s="66">
        <v>0</v>
      </c>
      <c r="W509" s="20" t="e">
        <f t="shared" si="1100"/>
        <v>#DIV/0!</v>
      </c>
      <c r="X509" s="6" t="e">
        <f t="shared" si="1101"/>
        <v>#DIV/0!</v>
      </c>
      <c r="Y509" s="68">
        <v>30530</v>
      </c>
      <c r="Z509" s="69">
        <v>520</v>
      </c>
      <c r="AA509" s="35">
        <f t="shared" si="1102"/>
        <v>58.71153846153846</v>
      </c>
      <c r="AB509" s="11">
        <f t="shared" si="1103"/>
        <v>1.0638790793327655</v>
      </c>
      <c r="AC509" s="20">
        <v>10630</v>
      </c>
      <c r="AD509" s="33">
        <v>520</v>
      </c>
      <c r="AE509" s="35">
        <f t="shared" si="1104"/>
        <v>20.442307692307693</v>
      </c>
      <c r="AF509" s="6">
        <f t="shared" si="1105"/>
        <v>0.3704236689586406</v>
      </c>
      <c r="AG509" s="68">
        <v>1130</v>
      </c>
      <c r="AH509" s="65">
        <v>364</v>
      </c>
      <c r="AI509" s="35">
        <f t="shared" si="1106"/>
        <v>3.1043956043956045</v>
      </c>
      <c r="AJ509" s="6">
        <f t="shared" si="1107"/>
        <v>5.6253023239250625E-2</v>
      </c>
      <c r="AK509" s="68">
        <v>0</v>
      </c>
      <c r="AL509" s="66">
        <v>0</v>
      </c>
      <c r="AM509" s="35" t="e">
        <f t="shared" si="1108"/>
        <v>#DIV/0!</v>
      </c>
      <c r="AN509" s="6" t="e">
        <f t="shared" si="1109"/>
        <v>#DIV/0!</v>
      </c>
      <c r="AO509" s="68">
        <v>1410</v>
      </c>
      <c r="AP509" s="65">
        <v>100</v>
      </c>
      <c r="AQ509" s="35">
        <f t="shared" si="1110"/>
        <v>14.1</v>
      </c>
      <c r="AR509" s="6">
        <f t="shared" si="1111"/>
        <v>0.25549824466648663</v>
      </c>
      <c r="AS509" s="68">
        <v>0</v>
      </c>
      <c r="AT509" s="66">
        <v>0</v>
      </c>
      <c r="AU509" s="35" t="e">
        <f t="shared" si="1112"/>
        <v>#DIV/0!</v>
      </c>
      <c r="AV509" s="6" t="e">
        <f t="shared" si="1113"/>
        <v>#DIV/0!</v>
      </c>
      <c r="AW509" s="68">
        <v>7780</v>
      </c>
      <c r="AX509" s="65">
        <v>800</v>
      </c>
      <c r="AY509" s="35">
        <f t="shared" si="1114"/>
        <v>9.7249999999999996</v>
      </c>
      <c r="AZ509" s="6">
        <f t="shared" si="1115"/>
        <v>0.17622130704833919</v>
      </c>
      <c r="BA509" s="68">
        <v>0</v>
      </c>
      <c r="BB509" s="66">
        <v>0</v>
      </c>
      <c r="BC509" s="35" t="e">
        <f t="shared" si="1116"/>
        <v>#DIV/0!</v>
      </c>
      <c r="BD509" s="11" t="e">
        <f t="shared" si="1117"/>
        <v>#DIV/0!</v>
      </c>
    </row>
    <row r="510" spans="1:56" ht="15.75" thickBot="1" x14ac:dyDescent="0.3">
      <c r="A510" s="19" t="s">
        <v>2</v>
      </c>
      <c r="B510" s="8">
        <v>129440</v>
      </c>
      <c r="C510" s="35">
        <f>B510/F505</f>
        <v>64.302036761053159</v>
      </c>
      <c r="D510" s="8">
        <v>2100</v>
      </c>
      <c r="E510" s="68">
        <v>0</v>
      </c>
      <c r="F510" s="70">
        <v>0</v>
      </c>
      <c r="G510" s="35" t="e">
        <f t="shared" si="1092"/>
        <v>#DIV/0!</v>
      </c>
      <c r="H510" s="11" t="e">
        <f t="shared" si="1093"/>
        <v>#DIV/0!</v>
      </c>
      <c r="I510" s="35">
        <v>0</v>
      </c>
      <c r="J510" s="70">
        <v>0</v>
      </c>
      <c r="K510" s="35" t="e">
        <f t="shared" si="1094"/>
        <v>#DIV/0!</v>
      </c>
      <c r="L510" s="6" t="e">
        <f t="shared" si="1095"/>
        <v>#DIV/0!</v>
      </c>
      <c r="M510" s="68">
        <v>0</v>
      </c>
      <c r="N510" s="5">
        <v>0</v>
      </c>
      <c r="O510" s="35" t="e">
        <f t="shared" si="1096"/>
        <v>#DIV/0!</v>
      </c>
      <c r="P510" s="11" t="e">
        <f t="shared" si="1097"/>
        <v>#DIV/0!</v>
      </c>
      <c r="Q510" s="35">
        <v>0</v>
      </c>
      <c r="R510" s="66">
        <v>0</v>
      </c>
      <c r="S510" s="35" t="e">
        <f t="shared" si="1098"/>
        <v>#DIV/0!</v>
      </c>
      <c r="T510" s="6" t="e">
        <f t="shared" si="1099"/>
        <v>#DIV/0!</v>
      </c>
      <c r="U510" s="68">
        <v>0</v>
      </c>
      <c r="V510" s="66">
        <v>0</v>
      </c>
      <c r="W510" s="20" t="e">
        <f t="shared" si="1100"/>
        <v>#DIV/0!</v>
      </c>
      <c r="X510" s="6" t="e">
        <f t="shared" si="1101"/>
        <v>#DIV/0!</v>
      </c>
      <c r="Y510" s="68">
        <v>36130</v>
      </c>
      <c r="Z510" s="69">
        <v>520</v>
      </c>
      <c r="AA510" s="35">
        <f t="shared" si="1102"/>
        <v>69.480769230769226</v>
      </c>
      <c r="AB510" s="11">
        <f t="shared" si="1103"/>
        <v>1.0805376117238754</v>
      </c>
      <c r="AC510" s="20">
        <v>13170</v>
      </c>
      <c r="AD510" s="33">
        <v>520</v>
      </c>
      <c r="AE510" s="35">
        <f t="shared" si="1104"/>
        <v>25.326923076923077</v>
      </c>
      <c r="AF510" s="6">
        <f t="shared" si="1105"/>
        <v>0.39387435223923167</v>
      </c>
      <c r="AG510" s="68">
        <v>1230</v>
      </c>
      <c r="AH510" s="65">
        <v>364</v>
      </c>
      <c r="AI510" s="35">
        <f t="shared" si="1106"/>
        <v>3.3791208791208791</v>
      </c>
      <c r="AJ510" s="6">
        <f t="shared" si="1107"/>
        <v>5.2550759654437028E-2</v>
      </c>
      <c r="AK510" s="68">
        <v>0</v>
      </c>
      <c r="AL510" s="66">
        <v>0</v>
      </c>
      <c r="AM510" s="35" t="e">
        <f t="shared" si="1108"/>
        <v>#DIV/0!</v>
      </c>
      <c r="AN510" s="6" t="e">
        <f t="shared" si="1109"/>
        <v>#DIV/0!</v>
      </c>
      <c r="AO510" s="68">
        <v>1480</v>
      </c>
      <c r="AP510" s="65">
        <v>100</v>
      </c>
      <c r="AQ510" s="35">
        <f t="shared" si="1110"/>
        <v>14.8</v>
      </c>
      <c r="AR510" s="6">
        <f t="shared" si="1111"/>
        <v>0.23016378244746599</v>
      </c>
      <c r="AS510" s="68">
        <v>0</v>
      </c>
      <c r="AT510" s="66">
        <v>0</v>
      </c>
      <c r="AU510" s="35" t="e">
        <f t="shared" si="1112"/>
        <v>#DIV/0!</v>
      </c>
      <c r="AV510" s="6" t="e">
        <f t="shared" si="1113"/>
        <v>#DIV/0!</v>
      </c>
      <c r="AW510" s="68">
        <v>8800</v>
      </c>
      <c r="AX510" s="65">
        <v>800</v>
      </c>
      <c r="AY510" s="35">
        <f t="shared" si="1114"/>
        <v>11</v>
      </c>
      <c r="AZ510" s="6">
        <f t="shared" si="1115"/>
        <v>0.17106767614338689</v>
      </c>
      <c r="BA510" s="68">
        <v>0</v>
      </c>
      <c r="BB510" s="66">
        <v>0</v>
      </c>
      <c r="BC510" s="35" t="e">
        <f t="shared" si="1116"/>
        <v>#DIV/0!</v>
      </c>
      <c r="BD510" s="11" t="e">
        <f t="shared" si="1117"/>
        <v>#DIV/0!</v>
      </c>
    </row>
    <row r="511" spans="1:56" ht="15.75" thickBot="1" x14ac:dyDescent="0.3">
      <c r="A511" s="19" t="s">
        <v>3</v>
      </c>
      <c r="B511" s="8">
        <v>158890</v>
      </c>
      <c r="C511" s="35">
        <f>B511/F505</f>
        <v>78.931942374565324</v>
      </c>
      <c r="D511" s="8">
        <v>2700</v>
      </c>
      <c r="E511" s="68">
        <v>0</v>
      </c>
      <c r="F511" s="70">
        <v>0</v>
      </c>
      <c r="G511" s="35" t="e">
        <f t="shared" si="1092"/>
        <v>#DIV/0!</v>
      </c>
      <c r="H511" s="11" t="e">
        <f t="shared" si="1093"/>
        <v>#DIV/0!</v>
      </c>
      <c r="I511" s="35">
        <v>0</v>
      </c>
      <c r="J511" s="70">
        <v>0</v>
      </c>
      <c r="K511" s="35" t="e">
        <f t="shared" si="1094"/>
        <v>#DIV/0!</v>
      </c>
      <c r="L511" s="6" t="e">
        <f t="shared" si="1095"/>
        <v>#DIV/0!</v>
      </c>
      <c r="M511" s="68">
        <v>0</v>
      </c>
      <c r="N511" s="5">
        <v>0</v>
      </c>
      <c r="O511" s="35" t="e">
        <f t="shared" si="1096"/>
        <v>#DIV/0!</v>
      </c>
      <c r="P511" s="11" t="e">
        <f t="shared" si="1097"/>
        <v>#DIV/0!</v>
      </c>
      <c r="Q511" s="35">
        <v>0</v>
      </c>
      <c r="R511" s="66">
        <v>0</v>
      </c>
      <c r="S511" s="35" t="e">
        <f t="shared" si="1098"/>
        <v>#DIV/0!</v>
      </c>
      <c r="T511" s="6" t="e">
        <f t="shared" si="1099"/>
        <v>#DIV/0!</v>
      </c>
      <c r="U511" s="68">
        <v>0</v>
      </c>
      <c r="V511" s="66">
        <v>0</v>
      </c>
      <c r="W511" s="20" t="e">
        <f t="shared" si="1100"/>
        <v>#DIV/0!</v>
      </c>
      <c r="X511" s="6" t="e">
        <f t="shared" si="1101"/>
        <v>#DIV/0!</v>
      </c>
      <c r="Y511" s="68">
        <v>37240</v>
      </c>
      <c r="Z511" s="69">
        <v>520</v>
      </c>
      <c r="AA511" s="35">
        <f t="shared" si="1102"/>
        <v>71.615384615384613</v>
      </c>
      <c r="AB511" s="11">
        <f t="shared" si="1103"/>
        <v>0.90730548952589352</v>
      </c>
      <c r="AC511" s="20">
        <v>13970</v>
      </c>
      <c r="AD511" s="33">
        <v>520</v>
      </c>
      <c r="AE511" s="35">
        <f t="shared" si="1104"/>
        <v>26.865384615384617</v>
      </c>
      <c r="AF511" s="6">
        <f t="shared" si="1105"/>
        <v>0.34036137724695847</v>
      </c>
      <c r="AG511" s="68">
        <v>1340</v>
      </c>
      <c r="AH511" s="65">
        <v>364</v>
      </c>
      <c r="AI511" s="35">
        <f t="shared" si="1106"/>
        <v>3.6813186813186811</v>
      </c>
      <c r="AJ511" s="6">
        <f t="shared" si="1107"/>
        <v>4.6639149760806249E-2</v>
      </c>
      <c r="AK511" s="68">
        <v>0</v>
      </c>
      <c r="AL511" s="66">
        <v>0</v>
      </c>
      <c r="AM511" s="35" t="e">
        <f t="shared" si="1108"/>
        <v>#DIV/0!</v>
      </c>
      <c r="AN511" s="6" t="e">
        <f t="shared" si="1109"/>
        <v>#DIV/0!</v>
      </c>
      <c r="AO511" s="68">
        <v>1540</v>
      </c>
      <c r="AP511" s="65">
        <v>100</v>
      </c>
      <c r="AQ511" s="35">
        <f t="shared" si="1110"/>
        <v>15.4</v>
      </c>
      <c r="AR511" s="6">
        <f t="shared" si="1111"/>
        <v>0.19510478947699667</v>
      </c>
      <c r="AS511" s="68">
        <v>0</v>
      </c>
      <c r="AT511" s="66">
        <v>0</v>
      </c>
      <c r="AU511" s="35" t="e">
        <f t="shared" si="1112"/>
        <v>#DIV/0!</v>
      </c>
      <c r="AV511" s="6" t="e">
        <f t="shared" si="1113"/>
        <v>#DIV/0!</v>
      </c>
      <c r="AW511" s="68">
        <v>12390</v>
      </c>
      <c r="AX511" s="65">
        <v>800</v>
      </c>
      <c r="AY511" s="35">
        <f t="shared" si="1114"/>
        <v>15.487500000000001</v>
      </c>
      <c r="AZ511" s="6">
        <f t="shared" si="1115"/>
        <v>0.19621333941720689</v>
      </c>
      <c r="BA511" s="68">
        <v>0</v>
      </c>
      <c r="BB511" s="66">
        <v>0</v>
      </c>
      <c r="BC511" s="35" t="e">
        <f t="shared" si="1116"/>
        <v>#DIV/0!</v>
      </c>
      <c r="BD511" s="11" t="e">
        <f t="shared" si="1117"/>
        <v>#DIV/0!</v>
      </c>
    </row>
    <row r="512" spans="1:56" ht="15.75" thickBot="1" x14ac:dyDescent="0.3">
      <c r="A512" s="19" t="s">
        <v>4</v>
      </c>
      <c r="B512" s="8">
        <v>196340</v>
      </c>
      <c r="C512" s="35">
        <f>B512/F505</f>
        <v>97.536015896671628</v>
      </c>
      <c r="D512" s="8">
        <v>5250</v>
      </c>
      <c r="E512" s="68">
        <v>0</v>
      </c>
      <c r="F512" s="70">
        <v>0</v>
      </c>
      <c r="G512" s="35" t="e">
        <f t="shared" si="1092"/>
        <v>#DIV/0!</v>
      </c>
      <c r="H512" s="11" t="e">
        <f t="shared" si="1093"/>
        <v>#DIV/0!</v>
      </c>
      <c r="I512" s="35">
        <v>0</v>
      </c>
      <c r="J512" s="70">
        <v>0</v>
      </c>
      <c r="K512" s="35" t="e">
        <f t="shared" si="1094"/>
        <v>#DIV/0!</v>
      </c>
      <c r="L512" s="6" t="e">
        <f t="shared" si="1095"/>
        <v>#DIV/0!</v>
      </c>
      <c r="M512" s="68">
        <v>0</v>
      </c>
      <c r="N512" s="5">
        <v>0</v>
      </c>
      <c r="O512" s="35" t="e">
        <f t="shared" si="1096"/>
        <v>#DIV/0!</v>
      </c>
      <c r="P512" s="11" t="e">
        <f t="shared" si="1097"/>
        <v>#DIV/0!</v>
      </c>
      <c r="Q512" s="35">
        <v>0</v>
      </c>
      <c r="R512" s="66">
        <v>0</v>
      </c>
      <c r="S512" s="35" t="e">
        <f t="shared" si="1098"/>
        <v>#DIV/0!</v>
      </c>
      <c r="T512" s="6" t="e">
        <f t="shared" si="1099"/>
        <v>#DIV/0!</v>
      </c>
      <c r="U512" s="68">
        <v>0</v>
      </c>
      <c r="V512" s="66">
        <v>0</v>
      </c>
      <c r="W512" s="20" t="e">
        <f t="shared" si="1100"/>
        <v>#DIV/0!</v>
      </c>
      <c r="X512" s="6" t="e">
        <f t="shared" si="1101"/>
        <v>#DIV/0!</v>
      </c>
      <c r="Y512" s="68">
        <v>45630</v>
      </c>
      <c r="Z512" s="69">
        <v>520</v>
      </c>
      <c r="AA512" s="35">
        <f t="shared" si="1102"/>
        <v>87.75</v>
      </c>
      <c r="AB512" s="11">
        <f t="shared" si="1103"/>
        <v>0.8996676683304472</v>
      </c>
      <c r="AC512" s="20">
        <v>15920</v>
      </c>
      <c r="AD512" s="33">
        <v>520</v>
      </c>
      <c r="AE512" s="35">
        <f t="shared" si="1104"/>
        <v>30.615384615384617</v>
      </c>
      <c r="AF512" s="6">
        <f t="shared" si="1105"/>
        <v>0.31388799648960597</v>
      </c>
      <c r="AG512" s="68">
        <v>1600</v>
      </c>
      <c r="AH512" s="65">
        <v>364</v>
      </c>
      <c r="AI512" s="35">
        <f t="shared" si="1106"/>
        <v>4.395604395604396</v>
      </c>
      <c r="AJ512" s="6">
        <f t="shared" si="1107"/>
        <v>4.5066474729304522E-2</v>
      </c>
      <c r="AK512" s="68">
        <v>0</v>
      </c>
      <c r="AL512" s="66">
        <v>0</v>
      </c>
      <c r="AM512" s="35" t="e">
        <f t="shared" si="1108"/>
        <v>#DIV/0!</v>
      </c>
      <c r="AN512" s="6" t="e">
        <f t="shared" si="1109"/>
        <v>#DIV/0!</v>
      </c>
      <c r="AO512" s="68">
        <v>2000</v>
      </c>
      <c r="AP512" s="65">
        <v>100</v>
      </c>
      <c r="AQ512" s="35">
        <f t="shared" si="1110"/>
        <v>20</v>
      </c>
      <c r="AR512" s="6">
        <f t="shared" si="1111"/>
        <v>0.20505246001833555</v>
      </c>
      <c r="AS512" s="68">
        <v>0</v>
      </c>
      <c r="AT512" s="66">
        <v>0</v>
      </c>
      <c r="AU512" s="35" t="e">
        <f t="shared" si="1112"/>
        <v>#DIV/0!</v>
      </c>
      <c r="AV512" s="6" t="e">
        <f t="shared" si="1113"/>
        <v>#DIV/0!</v>
      </c>
      <c r="AW512" s="68">
        <v>14060</v>
      </c>
      <c r="AX512" s="65">
        <v>800</v>
      </c>
      <c r="AY512" s="35">
        <f t="shared" si="1114"/>
        <v>17.574999999999999</v>
      </c>
      <c r="AZ512" s="6">
        <f t="shared" si="1115"/>
        <v>0.18018984924111237</v>
      </c>
      <c r="BA512" s="68">
        <v>0</v>
      </c>
      <c r="BB512" s="66">
        <v>0</v>
      </c>
      <c r="BC512" s="35" t="e">
        <f t="shared" si="1116"/>
        <v>#DIV/0!</v>
      </c>
      <c r="BD512" s="11" t="e">
        <f t="shared" si="1117"/>
        <v>#DIV/0!</v>
      </c>
    </row>
    <row r="513" spans="1:56" ht="15.75" thickBot="1" x14ac:dyDescent="0.3">
      <c r="A513" s="19" t="s">
        <v>5</v>
      </c>
      <c r="B513" s="8">
        <v>262350</v>
      </c>
      <c r="C513" s="35">
        <f>B513/F505</f>
        <v>130.32786885245901</v>
      </c>
      <c r="D513" s="8">
        <v>7050</v>
      </c>
      <c r="E513" s="68">
        <v>0</v>
      </c>
      <c r="F513" s="70">
        <v>0</v>
      </c>
      <c r="G513" s="35" t="e">
        <f t="shared" si="1092"/>
        <v>#DIV/0!</v>
      </c>
      <c r="H513" s="11" t="e">
        <f t="shared" si="1093"/>
        <v>#DIV/0!</v>
      </c>
      <c r="I513" s="35">
        <v>0</v>
      </c>
      <c r="J513" s="70">
        <v>0</v>
      </c>
      <c r="K513" s="35" t="e">
        <f t="shared" si="1094"/>
        <v>#DIV/0!</v>
      </c>
      <c r="L513" s="6" t="e">
        <f t="shared" si="1095"/>
        <v>#DIV/0!</v>
      </c>
      <c r="M513" s="68">
        <v>0</v>
      </c>
      <c r="N513" s="5">
        <v>0</v>
      </c>
      <c r="O513" s="35" t="e">
        <f t="shared" si="1096"/>
        <v>#DIV/0!</v>
      </c>
      <c r="P513" s="11" t="e">
        <f t="shared" si="1097"/>
        <v>#DIV/0!</v>
      </c>
      <c r="Q513" s="35">
        <v>0</v>
      </c>
      <c r="R513" s="66">
        <v>0</v>
      </c>
      <c r="S513" s="35" t="e">
        <f t="shared" si="1098"/>
        <v>#DIV/0!</v>
      </c>
      <c r="T513" s="6" t="e">
        <f t="shared" si="1099"/>
        <v>#DIV/0!</v>
      </c>
      <c r="U513" s="68">
        <v>0</v>
      </c>
      <c r="V513" s="66">
        <v>0</v>
      </c>
      <c r="W513" s="20" t="e">
        <f t="shared" si="1100"/>
        <v>#DIV/0!</v>
      </c>
      <c r="X513" s="6" t="e">
        <f t="shared" si="1101"/>
        <v>#DIV/0!</v>
      </c>
      <c r="Y513" s="68">
        <v>59610</v>
      </c>
      <c r="Z513" s="69">
        <v>520</v>
      </c>
      <c r="AA513" s="35">
        <f t="shared" si="1102"/>
        <v>114.63461538461539</v>
      </c>
      <c r="AB513" s="11">
        <f t="shared" si="1103"/>
        <v>0.87958635703918731</v>
      </c>
      <c r="AC513" s="20">
        <v>17970</v>
      </c>
      <c r="AD513" s="33">
        <v>520</v>
      </c>
      <c r="AE513" s="35">
        <f t="shared" si="1104"/>
        <v>34.557692307692307</v>
      </c>
      <c r="AF513" s="6">
        <f t="shared" si="1105"/>
        <v>0.26515965166908567</v>
      </c>
      <c r="AG513" s="68">
        <v>2450</v>
      </c>
      <c r="AH513" s="65">
        <v>364</v>
      </c>
      <c r="AI513" s="35">
        <f t="shared" si="1106"/>
        <v>6.7307692307692308</v>
      </c>
      <c r="AJ513" s="6">
        <f t="shared" si="1107"/>
        <v>5.164489598451863E-2</v>
      </c>
      <c r="AK513" s="68">
        <v>0</v>
      </c>
      <c r="AL513" s="66">
        <v>0</v>
      </c>
      <c r="AM513" s="35" t="e">
        <f t="shared" si="1108"/>
        <v>#DIV/0!</v>
      </c>
      <c r="AN513" s="6" t="e">
        <f t="shared" si="1109"/>
        <v>#DIV/0!</v>
      </c>
      <c r="AO513" s="68">
        <v>2350</v>
      </c>
      <c r="AP513" s="65">
        <v>100</v>
      </c>
      <c r="AQ513" s="35">
        <f t="shared" si="1110"/>
        <v>23.5</v>
      </c>
      <c r="AR513" s="6">
        <f t="shared" si="1111"/>
        <v>0.18031446540880505</v>
      </c>
      <c r="AS513" s="68">
        <v>0</v>
      </c>
      <c r="AT513" s="66">
        <v>0</v>
      </c>
      <c r="AU513" s="35" t="e">
        <f t="shared" si="1112"/>
        <v>#DIV/0!</v>
      </c>
      <c r="AV513" s="6" t="e">
        <f t="shared" si="1113"/>
        <v>#DIV/0!</v>
      </c>
      <c r="AW513" s="68">
        <v>17140</v>
      </c>
      <c r="AX513" s="65">
        <v>800</v>
      </c>
      <c r="AY513" s="35">
        <f t="shared" si="1114"/>
        <v>21.425000000000001</v>
      </c>
      <c r="AZ513" s="6">
        <f t="shared" si="1115"/>
        <v>0.16439308176100631</v>
      </c>
      <c r="BA513" s="68">
        <v>0</v>
      </c>
      <c r="BB513" s="66">
        <v>0</v>
      </c>
      <c r="BC513" s="35" t="e">
        <f t="shared" si="1116"/>
        <v>#DIV/0!</v>
      </c>
      <c r="BD513" s="11" t="e">
        <f t="shared" si="1117"/>
        <v>#DIV/0!</v>
      </c>
    </row>
    <row r="514" spans="1:56" x14ac:dyDescent="0.25">
      <c r="A514" s="19" t="s">
        <v>6</v>
      </c>
      <c r="B514" s="8">
        <v>316990</v>
      </c>
      <c r="C514" s="35">
        <f>B514/F505</f>
        <v>157.47143566815697</v>
      </c>
      <c r="D514" s="8">
        <v>10950</v>
      </c>
      <c r="E514" s="68">
        <v>0</v>
      </c>
      <c r="F514" s="70">
        <v>0</v>
      </c>
      <c r="G514" s="35" t="e">
        <f t="shared" si="1092"/>
        <v>#DIV/0!</v>
      </c>
      <c r="H514" s="11" t="e">
        <f t="shared" si="1093"/>
        <v>#DIV/0!</v>
      </c>
      <c r="I514" s="35">
        <v>0</v>
      </c>
      <c r="J514" s="70">
        <v>0</v>
      </c>
      <c r="K514" s="35" t="e">
        <f t="shared" si="1094"/>
        <v>#DIV/0!</v>
      </c>
      <c r="L514" s="6" t="e">
        <f t="shared" si="1095"/>
        <v>#DIV/0!</v>
      </c>
      <c r="M514" s="68">
        <v>0</v>
      </c>
      <c r="N514" s="5">
        <v>0</v>
      </c>
      <c r="O514" s="35" t="e">
        <f t="shared" si="1096"/>
        <v>#DIV/0!</v>
      </c>
      <c r="P514" s="11" t="e">
        <f t="shared" si="1097"/>
        <v>#DIV/0!</v>
      </c>
      <c r="Q514" s="35">
        <v>0</v>
      </c>
      <c r="R514" s="66">
        <v>0</v>
      </c>
      <c r="S514" s="35" t="e">
        <f t="shared" si="1098"/>
        <v>#DIV/0!</v>
      </c>
      <c r="T514" s="6" t="e">
        <f t="shared" si="1099"/>
        <v>#DIV/0!</v>
      </c>
      <c r="U514" s="68">
        <v>0</v>
      </c>
      <c r="V514" s="66">
        <v>0</v>
      </c>
      <c r="W514" s="20" t="e">
        <f t="shared" si="1100"/>
        <v>#DIV/0!</v>
      </c>
      <c r="X514" s="6" t="e">
        <f t="shared" si="1101"/>
        <v>#DIV/0!</v>
      </c>
      <c r="Y514" s="68">
        <v>65280</v>
      </c>
      <c r="Z514" s="69">
        <v>520</v>
      </c>
      <c r="AA514" s="35">
        <f t="shared" si="1102"/>
        <v>125.53846153846153</v>
      </c>
      <c r="AB514" s="11">
        <f t="shared" si="1103"/>
        <v>0.79721418050071957</v>
      </c>
      <c r="AC514" s="20">
        <v>25720</v>
      </c>
      <c r="AD514" s="33">
        <v>520</v>
      </c>
      <c r="AE514" s="35">
        <f t="shared" si="1104"/>
        <v>49.46153846153846</v>
      </c>
      <c r="AF514" s="6">
        <f t="shared" si="1105"/>
        <v>0.31409847920463396</v>
      </c>
      <c r="AG514" s="68">
        <v>2970</v>
      </c>
      <c r="AH514" s="65">
        <v>364</v>
      </c>
      <c r="AI514" s="35">
        <f t="shared" si="1106"/>
        <v>8.1593406593406588</v>
      </c>
      <c r="AJ514" s="6">
        <f t="shared" si="1107"/>
        <v>5.1814734683279434E-2</v>
      </c>
      <c r="AK514" s="68">
        <v>0</v>
      </c>
      <c r="AL514" s="66">
        <v>0</v>
      </c>
      <c r="AM514" s="35" t="e">
        <f t="shared" si="1108"/>
        <v>#DIV/0!</v>
      </c>
      <c r="AN514" s="6" t="e">
        <f t="shared" si="1109"/>
        <v>#DIV/0!</v>
      </c>
      <c r="AO514" s="68">
        <v>2540</v>
      </c>
      <c r="AP514" s="65">
        <v>100</v>
      </c>
      <c r="AQ514" s="35">
        <f t="shared" si="1110"/>
        <v>25.4</v>
      </c>
      <c r="AR514" s="6">
        <f t="shared" si="1111"/>
        <v>0.16129909460866274</v>
      </c>
      <c r="AS514" s="68">
        <v>0</v>
      </c>
      <c r="AT514" s="66">
        <v>0</v>
      </c>
      <c r="AU514" s="35" t="e">
        <f t="shared" si="1112"/>
        <v>#DIV/0!</v>
      </c>
      <c r="AV514" s="6" t="e">
        <f t="shared" si="1113"/>
        <v>#DIV/0!</v>
      </c>
      <c r="AW514" s="68">
        <v>19860</v>
      </c>
      <c r="AX514" s="65">
        <v>800</v>
      </c>
      <c r="AY514" s="35">
        <f t="shared" si="1114"/>
        <v>24.824999999999999</v>
      </c>
      <c r="AZ514" s="6">
        <f t="shared" si="1115"/>
        <v>0.15764763872677373</v>
      </c>
      <c r="BA514" s="68">
        <v>0</v>
      </c>
      <c r="BB514" s="66">
        <v>0</v>
      </c>
      <c r="BC514" s="35" t="e">
        <f t="shared" si="1116"/>
        <v>#DIV/0!</v>
      </c>
      <c r="BD514" s="11" t="e">
        <f t="shared" si="1117"/>
        <v>#DIV/0!</v>
      </c>
    </row>
    <row r="515" spans="1:56" ht="15.75" thickBot="1" x14ac:dyDescent="0.3">
      <c r="A515" s="21"/>
      <c r="B515" s="22"/>
      <c r="C515" s="23">
        <f>AVERAGE(Table11039[MA $/Sq Ft])</f>
        <v>90.098644524874018</v>
      </c>
      <c r="D515" s="22">
        <f>AVERAGE(Table11039[Basic Allowance])</f>
        <v>4442.8571428571431</v>
      </c>
      <c r="E515" s="16"/>
      <c r="F515" s="22"/>
      <c r="G515" s="15"/>
      <c r="H515" s="24" t="e">
        <f>AVERAGE(Table11039[Bsmt % Base])</f>
        <v>#DIV/0!</v>
      </c>
      <c r="I515" s="15"/>
      <c r="J515" s="15"/>
      <c r="K515" s="15"/>
      <c r="L515" s="25" t="e">
        <f>AVERAGE(Table11039[[#Headers],[#Data],[UnfBsmt % Base]])</f>
        <v>#DIV/0!</v>
      </c>
      <c r="M515" s="44"/>
      <c r="N515" s="15"/>
      <c r="O515" s="23" t="e">
        <f>AVERAGE(Table11039[LowerVal/SqFt])</f>
        <v>#DIV/0!</v>
      </c>
      <c r="P515" s="24" t="e">
        <f>AVERAGE(Table11039[Lower % Base])</f>
        <v>#DIV/0!</v>
      </c>
      <c r="Q515" s="13"/>
      <c r="R515" s="13"/>
      <c r="S515" s="13"/>
      <c r="T515" s="25" t="e">
        <f>AVERAGE(Table11039[Unf Lower % Base])</f>
        <v>#DIV/0!</v>
      </c>
      <c r="U515" s="12"/>
      <c r="V515" s="13"/>
      <c r="W515" s="13"/>
      <c r="X515" s="25" t="e">
        <f>AVERAGE(Table11039[1/2 Story % Base])</f>
        <v>#DIV/0!</v>
      </c>
      <c r="Y515" s="12"/>
      <c r="Z515" s="13"/>
      <c r="AA515" s="13"/>
      <c r="AB515" s="24">
        <f>AVERAGE(Table11039[2nd Story % Base])</f>
        <v>0.93174671077045157</v>
      </c>
      <c r="AC515" s="13"/>
      <c r="AD515" s="13"/>
      <c r="AE515" s="23">
        <f>AVERAGE(Table11039[AttGarVal/SqFt])</f>
        <v>28.884615384615383</v>
      </c>
      <c r="AF515" s="25">
        <f>AVERAGE(Table11039[Att Gar % Base])</f>
        <v>0.33082257760449441</v>
      </c>
      <c r="AG515" s="12"/>
      <c r="AH515" s="13"/>
      <c r="AI515" s="13"/>
      <c r="AJ515" s="25">
        <f>AVERAGE(Table11039[Porch % Base])</f>
        <v>5.1033468481787282E-2</v>
      </c>
      <c r="AK515" s="12"/>
      <c r="AL515" s="13"/>
      <c r="AM515" s="13"/>
      <c r="AN515" s="25" t="e">
        <f>AVERAGE(Table11039[Cov Porch % Base])</f>
        <v>#DIV/0!</v>
      </c>
      <c r="AO515" s="12"/>
      <c r="AP515" s="13"/>
      <c r="AQ515" s="13"/>
      <c r="AR515" s="25">
        <f>AVERAGE(Table11039[Deck % Base])</f>
        <v>0.2057848288443444</v>
      </c>
      <c r="AS515" s="12"/>
      <c r="AT515" s="13"/>
      <c r="AU515" s="23" t="e">
        <f>AVERAGE(Table11039[CovDeckVal/SqFt])</f>
        <v>#DIV/0!</v>
      </c>
      <c r="AV515" s="25" t="e">
        <f>AVERAGE(Table11039[CovDeck % Base])</f>
        <v>#DIV/0!</v>
      </c>
      <c r="AW515" s="12"/>
      <c r="AX515" s="13"/>
      <c r="AY515" s="13"/>
      <c r="AZ515" s="25">
        <f>AVERAGE(Table11039[CarP % Base])</f>
        <v>0.17503382222704386</v>
      </c>
      <c r="BA515" s="12"/>
      <c r="BB515" s="13"/>
      <c r="BC515" s="13"/>
      <c r="BD515" s="24" t="e">
        <f>AVERAGE(Table11039[EFP % Base])</f>
        <v>#DIV/0!</v>
      </c>
    </row>
    <row r="517" spans="1:56" ht="15.75" thickBot="1" x14ac:dyDescent="0.3">
      <c r="A517" s="82"/>
      <c r="B517" t="s">
        <v>79</v>
      </c>
      <c r="C517" s="78" t="s">
        <v>133</v>
      </c>
      <c r="E517" t="s">
        <v>33</v>
      </c>
      <c r="F517" s="79">
        <v>707</v>
      </c>
      <c r="H517" t="s">
        <v>80</v>
      </c>
      <c r="I517" t="s">
        <v>103</v>
      </c>
    </row>
    <row r="518" spans="1:56" x14ac:dyDescent="0.25">
      <c r="A518" s="112"/>
      <c r="B518" s="113"/>
      <c r="C518" s="113"/>
      <c r="D518" s="114"/>
      <c r="E518" s="115" t="s">
        <v>27</v>
      </c>
      <c r="F518" s="116"/>
      <c r="G518" s="116"/>
      <c r="H518" s="117"/>
      <c r="I518" s="118" t="s">
        <v>28</v>
      </c>
      <c r="J518" s="119"/>
      <c r="K518" s="119"/>
      <c r="L518" s="120"/>
      <c r="M518" s="121" t="s">
        <v>7</v>
      </c>
      <c r="N518" s="122"/>
      <c r="O518" s="122"/>
      <c r="P518" s="123"/>
      <c r="Q518" s="124" t="s">
        <v>29</v>
      </c>
      <c r="R518" s="125"/>
      <c r="S518" s="125"/>
      <c r="T518" s="126"/>
      <c r="U518" s="127" t="s">
        <v>8</v>
      </c>
      <c r="V518" s="128"/>
      <c r="W518" s="128"/>
      <c r="X518" s="129"/>
      <c r="Y518" s="130" t="s">
        <v>0</v>
      </c>
      <c r="Z518" s="131"/>
      <c r="AA518" s="131"/>
      <c r="AB518" s="132"/>
      <c r="AC518" s="133" t="s">
        <v>34</v>
      </c>
      <c r="AD518" s="134"/>
      <c r="AE518" s="134"/>
      <c r="AF518" s="135"/>
      <c r="AG518" s="115" t="s">
        <v>9</v>
      </c>
      <c r="AH518" s="116"/>
      <c r="AI518" s="116"/>
      <c r="AJ518" s="117"/>
      <c r="AK518" s="136" t="s">
        <v>35</v>
      </c>
      <c r="AL518" s="137"/>
      <c r="AM518" s="137"/>
      <c r="AN518" s="138"/>
      <c r="AO518" s="139" t="s">
        <v>10</v>
      </c>
      <c r="AP518" s="140"/>
      <c r="AQ518" s="140"/>
      <c r="AR518" s="141"/>
      <c r="AS518" s="124" t="s">
        <v>36</v>
      </c>
      <c r="AT518" s="125"/>
      <c r="AU518" s="125"/>
      <c r="AV518" s="126"/>
      <c r="AW518" s="142" t="s">
        <v>11</v>
      </c>
      <c r="AX518" s="143"/>
      <c r="AY518" s="143"/>
      <c r="AZ518" s="144"/>
      <c r="BA518" s="148" t="s">
        <v>17</v>
      </c>
      <c r="BB518" s="149"/>
      <c r="BC518" s="149"/>
      <c r="BD518" s="150"/>
    </row>
    <row r="519" spans="1:56" s="1" customFormat="1" ht="15.75" thickBot="1" x14ac:dyDescent="0.3">
      <c r="A519" s="41" t="s">
        <v>13</v>
      </c>
      <c r="B519" s="42" t="s">
        <v>15</v>
      </c>
      <c r="C519" s="42" t="s">
        <v>32</v>
      </c>
      <c r="D519" s="43" t="s">
        <v>18</v>
      </c>
      <c r="E519" s="30" t="s">
        <v>30</v>
      </c>
      <c r="F519" s="31" t="s">
        <v>61</v>
      </c>
      <c r="G519" s="31" t="s">
        <v>38</v>
      </c>
      <c r="H519" s="32" t="s">
        <v>62</v>
      </c>
      <c r="I519" s="37" t="s">
        <v>31</v>
      </c>
      <c r="J519" s="38" t="s">
        <v>39</v>
      </c>
      <c r="K519" s="38" t="s">
        <v>40</v>
      </c>
      <c r="L519" s="39" t="s">
        <v>63</v>
      </c>
      <c r="M519" s="40" t="s">
        <v>19</v>
      </c>
      <c r="N519" s="7" t="s">
        <v>41</v>
      </c>
      <c r="O519" s="7" t="s">
        <v>37</v>
      </c>
      <c r="P519" s="7" t="s">
        <v>64</v>
      </c>
      <c r="Q519" s="27" t="s">
        <v>20</v>
      </c>
      <c r="R519" s="28" t="s">
        <v>60</v>
      </c>
      <c r="S519" s="28" t="s">
        <v>59</v>
      </c>
      <c r="T519" s="29" t="s">
        <v>65</v>
      </c>
      <c r="U519" s="48" t="s">
        <v>21</v>
      </c>
      <c r="V519" s="48" t="s">
        <v>42</v>
      </c>
      <c r="W519" s="48" t="s">
        <v>43</v>
      </c>
      <c r="X519" s="49" t="s">
        <v>66</v>
      </c>
      <c r="Y519" s="50" t="s">
        <v>22</v>
      </c>
      <c r="Z519" s="51" t="s">
        <v>44</v>
      </c>
      <c r="AA519" s="51" t="s">
        <v>45</v>
      </c>
      <c r="AB519" s="52" t="s">
        <v>67</v>
      </c>
      <c r="AC519" s="45" t="s">
        <v>23</v>
      </c>
      <c r="AD519" s="46" t="s">
        <v>46</v>
      </c>
      <c r="AE519" s="46" t="s">
        <v>47</v>
      </c>
      <c r="AF519" s="47" t="s">
        <v>68</v>
      </c>
      <c r="AG519" s="30" t="s">
        <v>24</v>
      </c>
      <c r="AH519" s="31" t="s">
        <v>48</v>
      </c>
      <c r="AI519" s="31" t="s">
        <v>49</v>
      </c>
      <c r="AJ519" s="32" t="s">
        <v>69</v>
      </c>
      <c r="AK519" s="53" t="s">
        <v>25</v>
      </c>
      <c r="AL519" s="54" t="s">
        <v>50</v>
      </c>
      <c r="AM519" s="54" t="s">
        <v>51</v>
      </c>
      <c r="AN519" s="55" t="s">
        <v>70</v>
      </c>
      <c r="AO519" s="56" t="s">
        <v>26</v>
      </c>
      <c r="AP519" s="57" t="s">
        <v>52</v>
      </c>
      <c r="AQ519" s="57" t="s">
        <v>53</v>
      </c>
      <c r="AR519" s="58" t="s">
        <v>71</v>
      </c>
      <c r="AS519" s="59" t="s">
        <v>55</v>
      </c>
      <c r="AT519" s="60" t="s">
        <v>54</v>
      </c>
      <c r="AU519" s="60" t="s">
        <v>56</v>
      </c>
      <c r="AV519" s="61" t="s">
        <v>76</v>
      </c>
      <c r="AW519" s="62" t="s">
        <v>72</v>
      </c>
      <c r="AX519" s="63" t="s">
        <v>73</v>
      </c>
      <c r="AY519" s="63" t="s">
        <v>74</v>
      </c>
      <c r="AZ519" s="64" t="s">
        <v>75</v>
      </c>
      <c r="BA519" s="71" t="s">
        <v>77</v>
      </c>
      <c r="BB519" s="72" t="s">
        <v>57</v>
      </c>
      <c r="BC519" s="72" t="s">
        <v>58</v>
      </c>
      <c r="BD519" s="73" t="s">
        <v>78</v>
      </c>
    </row>
    <row r="520" spans="1:56" ht="15.75" thickBot="1" x14ac:dyDescent="0.3">
      <c r="A520" s="17" t="s">
        <v>1</v>
      </c>
      <c r="B520" s="14">
        <v>39600</v>
      </c>
      <c r="C520" s="34">
        <f>B520/F517</f>
        <v>56.011315417256014</v>
      </c>
      <c r="D520" s="14">
        <v>1525</v>
      </c>
      <c r="E520" s="67">
        <v>0</v>
      </c>
      <c r="F520" s="69">
        <v>0</v>
      </c>
      <c r="G520" s="34" t="e">
        <f t="shared" ref="G520:G526" si="1118">E520/F520</f>
        <v>#DIV/0!</v>
      </c>
      <c r="H520" s="10" t="e">
        <f t="shared" ref="H520:H526" si="1119">G520/C520</f>
        <v>#DIV/0!</v>
      </c>
      <c r="I520" s="34">
        <v>0</v>
      </c>
      <c r="J520" s="69">
        <v>0</v>
      </c>
      <c r="K520" s="34" t="e">
        <f t="shared" ref="K520:K526" si="1120">I520/J520</f>
        <v>#DIV/0!</v>
      </c>
      <c r="L520" s="9" t="e">
        <f t="shared" ref="L520:L526" si="1121">K520/C520</f>
        <v>#DIV/0!</v>
      </c>
      <c r="M520" s="67">
        <v>20220</v>
      </c>
      <c r="N520" s="26">
        <v>630</v>
      </c>
      <c r="O520" s="34">
        <f t="shared" ref="O520:O526" si="1122">M520/N520</f>
        <v>32.095238095238095</v>
      </c>
      <c r="P520" s="10">
        <f t="shared" ref="P520:P526" si="1123">O520/C520</f>
        <v>0.57301346801346797</v>
      </c>
      <c r="Q520" s="35">
        <v>0</v>
      </c>
      <c r="R520" s="66">
        <v>0</v>
      </c>
      <c r="S520" s="35" t="e">
        <f t="shared" ref="S520:S526" si="1124">Q520/R520</f>
        <v>#DIV/0!</v>
      </c>
      <c r="T520" s="6" t="e">
        <f t="shared" ref="T520:T526" si="1125">S520/C520</f>
        <v>#DIV/0!</v>
      </c>
      <c r="U520" s="67">
        <v>0</v>
      </c>
      <c r="V520" s="65">
        <v>0</v>
      </c>
      <c r="W520" s="18" t="e">
        <f t="shared" ref="W520:W526" si="1126">U520/V520</f>
        <v>#DIV/0!</v>
      </c>
      <c r="X520" s="9" t="e">
        <f t="shared" ref="X520:X526" si="1127">W520/C520</f>
        <v>#DIV/0!</v>
      </c>
      <c r="Y520" s="67">
        <v>22770</v>
      </c>
      <c r="Z520" s="69">
        <v>550</v>
      </c>
      <c r="AA520" s="34">
        <f t="shared" ref="AA520:AA526" si="1128">Y520/Z520</f>
        <v>41.4</v>
      </c>
      <c r="AB520" s="10">
        <f t="shared" ref="AB520:AB526" si="1129">AA520/C520</f>
        <v>0.73913636363636359</v>
      </c>
      <c r="AC520" s="18">
        <v>8140</v>
      </c>
      <c r="AD520" s="33">
        <v>550</v>
      </c>
      <c r="AE520" s="34">
        <f t="shared" ref="AE520:AE526" si="1130">AC520/AD520</f>
        <v>14.8</v>
      </c>
      <c r="AF520" s="9">
        <f t="shared" ref="AF520:AF526" si="1131">AE520/C520</f>
        <v>0.26423232323232321</v>
      </c>
      <c r="AG520" s="67">
        <v>0</v>
      </c>
      <c r="AH520" s="65">
        <v>0</v>
      </c>
      <c r="AI520" s="34" t="e">
        <f t="shared" ref="AI520:AI526" si="1132">AG520/AH520</f>
        <v>#DIV/0!</v>
      </c>
      <c r="AJ520" s="9" t="e">
        <f t="shared" ref="AJ520:AJ526" si="1133">AI520/C520</f>
        <v>#DIV/0!</v>
      </c>
      <c r="AK520" s="67">
        <v>0</v>
      </c>
      <c r="AL520" s="65">
        <v>0</v>
      </c>
      <c r="AM520" s="34" t="e">
        <f t="shared" ref="AM520:AM526" si="1134">AK520/AL520</f>
        <v>#DIV/0!</v>
      </c>
      <c r="AN520" s="9" t="e">
        <f t="shared" ref="AN520:AN526" si="1135">AM520/C520</f>
        <v>#DIV/0!</v>
      </c>
      <c r="AO520" s="67">
        <v>1970</v>
      </c>
      <c r="AP520" s="65">
        <v>190</v>
      </c>
      <c r="AQ520" s="34">
        <f t="shared" ref="AQ520:AQ526" si="1136">AO520/AP520</f>
        <v>10.368421052631579</v>
      </c>
      <c r="AR520" s="9">
        <f t="shared" ref="AR520:AR526" si="1137">AQ520/C520</f>
        <v>0.18511297182349812</v>
      </c>
      <c r="AS520" s="67">
        <v>0</v>
      </c>
      <c r="AT520" s="65">
        <v>0</v>
      </c>
      <c r="AU520" s="34" t="e">
        <f t="shared" ref="AU520:AU526" si="1138">AS520/AT520</f>
        <v>#DIV/0!</v>
      </c>
      <c r="AV520" s="9" t="e">
        <f t="shared" ref="AV520:AV526" si="1139">AU520/C520</f>
        <v>#DIV/0!</v>
      </c>
      <c r="AW520" s="67">
        <v>0</v>
      </c>
      <c r="AX520" s="65">
        <v>0</v>
      </c>
      <c r="AY520" s="34" t="e">
        <f t="shared" ref="AY520:AY526" si="1140">AW520/AX520</f>
        <v>#DIV/0!</v>
      </c>
      <c r="AZ520" s="9" t="e">
        <f t="shared" ref="AZ520:AZ526" si="1141">AY520/C520</f>
        <v>#DIV/0!</v>
      </c>
      <c r="BA520" s="67">
        <v>0</v>
      </c>
      <c r="BB520" s="65">
        <v>0</v>
      </c>
      <c r="BC520" s="34" t="e">
        <f t="shared" ref="BC520:BC526" si="1142">BA520/BB520</f>
        <v>#DIV/0!</v>
      </c>
      <c r="BD520" s="10" t="e">
        <f t="shared" ref="BD520:BD526" si="1143">BC520/C520</f>
        <v>#DIV/0!</v>
      </c>
    </row>
    <row r="521" spans="1:56" ht="15.75" thickBot="1" x14ac:dyDescent="0.3">
      <c r="A521" s="19" t="s">
        <v>16</v>
      </c>
      <c r="B521" s="8">
        <v>46580</v>
      </c>
      <c r="C521" s="35">
        <f>B521/F517</f>
        <v>65.884016973125881</v>
      </c>
      <c r="D521" s="8">
        <v>1525</v>
      </c>
      <c r="E521" s="68">
        <v>0</v>
      </c>
      <c r="F521" s="70">
        <v>0</v>
      </c>
      <c r="G521" s="35" t="e">
        <f t="shared" si="1118"/>
        <v>#DIV/0!</v>
      </c>
      <c r="H521" s="11" t="e">
        <f t="shared" si="1119"/>
        <v>#DIV/0!</v>
      </c>
      <c r="I521" s="35">
        <v>0</v>
      </c>
      <c r="J521" s="70">
        <v>0</v>
      </c>
      <c r="K521" s="35" t="e">
        <f t="shared" si="1120"/>
        <v>#DIV/0!</v>
      </c>
      <c r="L521" s="6" t="e">
        <f t="shared" si="1121"/>
        <v>#DIV/0!</v>
      </c>
      <c r="M521" s="68">
        <v>25240</v>
      </c>
      <c r="N521" s="26">
        <v>630</v>
      </c>
      <c r="O521" s="35">
        <f t="shared" si="1122"/>
        <v>40.063492063492063</v>
      </c>
      <c r="P521" s="11">
        <f t="shared" si="1123"/>
        <v>0.60809121702208868</v>
      </c>
      <c r="Q521" s="35">
        <v>0</v>
      </c>
      <c r="R521" s="66">
        <v>0</v>
      </c>
      <c r="S521" s="35" t="e">
        <f t="shared" si="1124"/>
        <v>#DIV/0!</v>
      </c>
      <c r="T521" s="6" t="e">
        <f t="shared" si="1125"/>
        <v>#DIV/0!</v>
      </c>
      <c r="U521" s="68">
        <v>0</v>
      </c>
      <c r="V521" s="66">
        <v>0</v>
      </c>
      <c r="W521" s="20" t="e">
        <f t="shared" si="1126"/>
        <v>#DIV/0!</v>
      </c>
      <c r="X521" s="6" t="e">
        <f t="shared" si="1127"/>
        <v>#DIV/0!</v>
      </c>
      <c r="Y521" s="68">
        <v>31790</v>
      </c>
      <c r="Z521" s="69">
        <v>550</v>
      </c>
      <c r="AA521" s="35">
        <f t="shared" si="1128"/>
        <v>57.8</v>
      </c>
      <c r="AB521" s="11">
        <f t="shared" si="1129"/>
        <v>0.87729927007299269</v>
      </c>
      <c r="AC521" s="20">
        <v>11080</v>
      </c>
      <c r="AD521" s="33">
        <v>550</v>
      </c>
      <c r="AE521" s="35">
        <f t="shared" si="1130"/>
        <v>20.145454545454545</v>
      </c>
      <c r="AF521" s="6">
        <f t="shared" si="1131"/>
        <v>0.3057714977165385</v>
      </c>
      <c r="AG521" s="68">
        <v>0</v>
      </c>
      <c r="AH521" s="66">
        <v>0</v>
      </c>
      <c r="AI521" s="35" t="e">
        <f t="shared" si="1132"/>
        <v>#DIV/0!</v>
      </c>
      <c r="AJ521" s="6" t="e">
        <f t="shared" si="1133"/>
        <v>#DIV/0!</v>
      </c>
      <c r="AK521" s="68">
        <v>0</v>
      </c>
      <c r="AL521" s="66">
        <v>0</v>
      </c>
      <c r="AM521" s="35" t="e">
        <f t="shared" si="1134"/>
        <v>#DIV/0!</v>
      </c>
      <c r="AN521" s="6" t="e">
        <f t="shared" si="1135"/>
        <v>#DIV/0!</v>
      </c>
      <c r="AO521" s="68">
        <v>2790</v>
      </c>
      <c r="AP521" s="65">
        <v>190</v>
      </c>
      <c r="AQ521" s="35">
        <f t="shared" si="1136"/>
        <v>14.684210526315789</v>
      </c>
      <c r="AR521" s="6">
        <f t="shared" si="1137"/>
        <v>0.22287970893313147</v>
      </c>
      <c r="AS521" s="68">
        <v>0</v>
      </c>
      <c r="AT521" s="66">
        <v>0</v>
      </c>
      <c r="AU521" s="35" t="e">
        <f t="shared" si="1138"/>
        <v>#DIV/0!</v>
      </c>
      <c r="AV521" s="6" t="e">
        <f t="shared" si="1139"/>
        <v>#DIV/0!</v>
      </c>
      <c r="AW521" s="68">
        <v>0</v>
      </c>
      <c r="AX521" s="66">
        <v>0</v>
      </c>
      <c r="AY521" s="35" t="e">
        <f t="shared" si="1140"/>
        <v>#DIV/0!</v>
      </c>
      <c r="AZ521" s="6" t="e">
        <f t="shared" si="1141"/>
        <v>#DIV/0!</v>
      </c>
      <c r="BA521" s="68">
        <v>0</v>
      </c>
      <c r="BB521" s="66">
        <v>0</v>
      </c>
      <c r="BC521" s="35" t="e">
        <f t="shared" si="1142"/>
        <v>#DIV/0!</v>
      </c>
      <c r="BD521" s="11" t="e">
        <f t="shared" si="1143"/>
        <v>#DIV/0!</v>
      </c>
    </row>
    <row r="522" spans="1:56" ht="15.75" thickBot="1" x14ac:dyDescent="0.3">
      <c r="A522" s="19" t="s">
        <v>2</v>
      </c>
      <c r="B522" s="8">
        <v>54510</v>
      </c>
      <c r="C522" s="35">
        <f>B522/F517</f>
        <v>77.100424328147099</v>
      </c>
      <c r="D522" s="8">
        <v>2100</v>
      </c>
      <c r="E522" s="68">
        <v>0</v>
      </c>
      <c r="F522" s="70">
        <v>0</v>
      </c>
      <c r="G522" s="35" t="e">
        <f t="shared" si="1118"/>
        <v>#DIV/0!</v>
      </c>
      <c r="H522" s="11" t="e">
        <f t="shared" si="1119"/>
        <v>#DIV/0!</v>
      </c>
      <c r="I522" s="35">
        <v>0</v>
      </c>
      <c r="J522" s="70">
        <v>0</v>
      </c>
      <c r="K522" s="35" t="e">
        <f t="shared" si="1120"/>
        <v>#DIV/0!</v>
      </c>
      <c r="L522" s="6" t="e">
        <f t="shared" si="1121"/>
        <v>#DIV/0!</v>
      </c>
      <c r="M522" s="68">
        <v>28840</v>
      </c>
      <c r="N522" s="26">
        <v>630</v>
      </c>
      <c r="O522" s="35">
        <f t="shared" si="1122"/>
        <v>45.777777777777779</v>
      </c>
      <c r="P522" s="11">
        <f t="shared" si="1123"/>
        <v>0.5937422287449805</v>
      </c>
      <c r="Q522" s="35">
        <v>0</v>
      </c>
      <c r="R522" s="66">
        <v>0</v>
      </c>
      <c r="S522" s="35" t="e">
        <f t="shared" si="1124"/>
        <v>#DIV/0!</v>
      </c>
      <c r="T522" s="6" t="e">
        <f t="shared" si="1125"/>
        <v>#DIV/0!</v>
      </c>
      <c r="U522" s="68">
        <v>0</v>
      </c>
      <c r="V522" s="66">
        <v>0</v>
      </c>
      <c r="W522" s="20" t="e">
        <f t="shared" si="1126"/>
        <v>#DIV/0!</v>
      </c>
      <c r="X522" s="6" t="e">
        <f t="shared" si="1127"/>
        <v>#DIV/0!</v>
      </c>
      <c r="Y522" s="68">
        <v>37900</v>
      </c>
      <c r="Z522" s="69">
        <v>550</v>
      </c>
      <c r="AA522" s="35">
        <f t="shared" si="1128"/>
        <v>68.909090909090907</v>
      </c>
      <c r="AB522" s="11">
        <f t="shared" si="1129"/>
        <v>0.89375760911258983</v>
      </c>
      <c r="AC522" s="20">
        <v>13850</v>
      </c>
      <c r="AD522" s="33">
        <v>550</v>
      </c>
      <c r="AE522" s="35">
        <f t="shared" si="1130"/>
        <v>25.181818181818183</v>
      </c>
      <c r="AF522" s="6">
        <f t="shared" si="1131"/>
        <v>0.32661063024299131</v>
      </c>
      <c r="AG522" s="68">
        <v>0</v>
      </c>
      <c r="AH522" s="66">
        <v>0</v>
      </c>
      <c r="AI522" s="35" t="e">
        <f t="shared" si="1132"/>
        <v>#DIV/0!</v>
      </c>
      <c r="AJ522" s="6" t="e">
        <f t="shared" si="1133"/>
        <v>#DIV/0!</v>
      </c>
      <c r="AK522" s="68">
        <v>0</v>
      </c>
      <c r="AL522" s="66">
        <v>0</v>
      </c>
      <c r="AM522" s="35" t="e">
        <f t="shared" si="1134"/>
        <v>#DIV/0!</v>
      </c>
      <c r="AN522" s="6" t="e">
        <f t="shared" si="1135"/>
        <v>#DIV/0!</v>
      </c>
      <c r="AO522" s="68">
        <v>2920</v>
      </c>
      <c r="AP522" s="65">
        <v>190</v>
      </c>
      <c r="AQ522" s="35">
        <f t="shared" si="1136"/>
        <v>15.368421052631579</v>
      </c>
      <c r="AR522" s="6">
        <f t="shared" si="1137"/>
        <v>0.19932991532215238</v>
      </c>
      <c r="AS522" s="68">
        <v>0</v>
      </c>
      <c r="AT522" s="66">
        <v>0</v>
      </c>
      <c r="AU522" s="35" t="e">
        <f t="shared" si="1138"/>
        <v>#DIV/0!</v>
      </c>
      <c r="AV522" s="6" t="e">
        <f t="shared" si="1139"/>
        <v>#DIV/0!</v>
      </c>
      <c r="AW522" s="68">
        <v>0</v>
      </c>
      <c r="AX522" s="66">
        <v>0</v>
      </c>
      <c r="AY522" s="35" t="e">
        <f t="shared" si="1140"/>
        <v>#DIV/0!</v>
      </c>
      <c r="AZ522" s="6" t="e">
        <f t="shared" si="1141"/>
        <v>#DIV/0!</v>
      </c>
      <c r="BA522" s="68">
        <v>0</v>
      </c>
      <c r="BB522" s="66">
        <v>0</v>
      </c>
      <c r="BC522" s="35" t="e">
        <f t="shared" si="1142"/>
        <v>#DIV/0!</v>
      </c>
      <c r="BD522" s="11" t="e">
        <f t="shared" si="1143"/>
        <v>#DIV/0!</v>
      </c>
    </row>
    <row r="523" spans="1:56" ht="15.75" thickBot="1" x14ac:dyDescent="0.3">
      <c r="A523" s="19" t="s">
        <v>3</v>
      </c>
      <c r="B523" s="8">
        <v>64890</v>
      </c>
      <c r="C523" s="35">
        <f>B523/F517</f>
        <v>91.78217821782178</v>
      </c>
      <c r="D523" s="8">
        <v>2700</v>
      </c>
      <c r="E523" s="68">
        <v>0</v>
      </c>
      <c r="F523" s="70">
        <v>0</v>
      </c>
      <c r="G523" s="35" t="e">
        <f t="shared" si="1118"/>
        <v>#DIV/0!</v>
      </c>
      <c r="H523" s="11" t="e">
        <f t="shared" si="1119"/>
        <v>#DIV/0!</v>
      </c>
      <c r="I523" s="35">
        <v>0</v>
      </c>
      <c r="J523" s="70">
        <v>0</v>
      </c>
      <c r="K523" s="35" t="e">
        <f t="shared" si="1120"/>
        <v>#DIV/0!</v>
      </c>
      <c r="L523" s="6" t="e">
        <f t="shared" si="1121"/>
        <v>#DIV/0!</v>
      </c>
      <c r="M523" s="68">
        <v>33100</v>
      </c>
      <c r="N523" s="26">
        <v>630</v>
      </c>
      <c r="O523" s="35">
        <f t="shared" si="1122"/>
        <v>52.539682539682538</v>
      </c>
      <c r="P523" s="11">
        <f t="shared" si="1123"/>
        <v>0.57243882810225855</v>
      </c>
      <c r="Q523" s="35">
        <v>0</v>
      </c>
      <c r="R523" s="66">
        <v>0</v>
      </c>
      <c r="S523" s="35" t="e">
        <f t="shared" si="1124"/>
        <v>#DIV/0!</v>
      </c>
      <c r="T523" s="6" t="e">
        <f t="shared" si="1125"/>
        <v>#DIV/0!</v>
      </c>
      <c r="U523" s="68">
        <v>0</v>
      </c>
      <c r="V523" s="66">
        <v>0</v>
      </c>
      <c r="W523" s="20" t="e">
        <f t="shared" si="1126"/>
        <v>#DIV/0!</v>
      </c>
      <c r="X523" s="6" t="e">
        <f t="shared" si="1127"/>
        <v>#DIV/0!</v>
      </c>
      <c r="Y523" s="68">
        <v>39390</v>
      </c>
      <c r="Z523" s="69">
        <v>550</v>
      </c>
      <c r="AA523" s="35">
        <f t="shared" si="1128"/>
        <v>71.618181818181824</v>
      </c>
      <c r="AB523" s="11">
        <f t="shared" si="1129"/>
        <v>0.78030597234480736</v>
      </c>
      <c r="AC523" s="20">
        <v>14720</v>
      </c>
      <c r="AD523" s="33">
        <v>550</v>
      </c>
      <c r="AE523" s="35">
        <f t="shared" si="1130"/>
        <v>26.763636363636362</v>
      </c>
      <c r="AF523" s="6">
        <f t="shared" si="1131"/>
        <v>0.29159949004609198</v>
      </c>
      <c r="AG523" s="68">
        <v>0</v>
      </c>
      <c r="AH523" s="66">
        <v>0</v>
      </c>
      <c r="AI523" s="35" t="e">
        <f t="shared" si="1132"/>
        <v>#DIV/0!</v>
      </c>
      <c r="AJ523" s="6" t="e">
        <f t="shared" si="1133"/>
        <v>#DIV/0!</v>
      </c>
      <c r="AK523" s="68">
        <v>0</v>
      </c>
      <c r="AL523" s="66">
        <v>0</v>
      </c>
      <c r="AM523" s="35" t="e">
        <f t="shared" si="1134"/>
        <v>#DIV/0!</v>
      </c>
      <c r="AN523" s="6" t="e">
        <f t="shared" si="1135"/>
        <v>#DIV/0!</v>
      </c>
      <c r="AO523" s="68">
        <v>3050</v>
      </c>
      <c r="AP523" s="65">
        <v>190</v>
      </c>
      <c r="AQ523" s="35">
        <f t="shared" si="1136"/>
        <v>16.05263157894737</v>
      </c>
      <c r="AR523" s="6">
        <f t="shared" si="1137"/>
        <v>0.17489922216544601</v>
      </c>
      <c r="AS523" s="68">
        <v>0</v>
      </c>
      <c r="AT523" s="66">
        <v>0</v>
      </c>
      <c r="AU523" s="35" t="e">
        <f t="shared" si="1138"/>
        <v>#DIV/0!</v>
      </c>
      <c r="AV523" s="6" t="e">
        <f t="shared" si="1139"/>
        <v>#DIV/0!</v>
      </c>
      <c r="AW523" s="68">
        <v>0</v>
      </c>
      <c r="AX523" s="66">
        <v>0</v>
      </c>
      <c r="AY523" s="35" t="e">
        <f t="shared" si="1140"/>
        <v>#DIV/0!</v>
      </c>
      <c r="AZ523" s="6" t="e">
        <f t="shared" si="1141"/>
        <v>#DIV/0!</v>
      </c>
      <c r="BA523" s="68">
        <v>0</v>
      </c>
      <c r="BB523" s="66">
        <v>0</v>
      </c>
      <c r="BC523" s="35" t="e">
        <f t="shared" si="1142"/>
        <v>#DIV/0!</v>
      </c>
      <c r="BD523" s="11" t="e">
        <f t="shared" si="1143"/>
        <v>#DIV/0!</v>
      </c>
    </row>
    <row r="524" spans="1:56" ht="15.75" thickBot="1" x14ac:dyDescent="0.3">
      <c r="A524" s="19" t="s">
        <v>4</v>
      </c>
      <c r="B524" s="8">
        <v>79470</v>
      </c>
      <c r="C524" s="35">
        <f>B524/F517</f>
        <v>112.4045261669024</v>
      </c>
      <c r="D524" s="8">
        <v>5250</v>
      </c>
      <c r="E524" s="68">
        <v>0</v>
      </c>
      <c r="F524" s="70">
        <v>0</v>
      </c>
      <c r="G524" s="35" t="e">
        <f t="shared" si="1118"/>
        <v>#DIV/0!</v>
      </c>
      <c r="H524" s="11" t="e">
        <f t="shared" si="1119"/>
        <v>#DIV/0!</v>
      </c>
      <c r="I524" s="35">
        <v>0</v>
      </c>
      <c r="J524" s="70">
        <v>0</v>
      </c>
      <c r="K524" s="35" t="e">
        <f t="shared" si="1120"/>
        <v>#DIV/0!</v>
      </c>
      <c r="L524" s="6" t="e">
        <f t="shared" si="1121"/>
        <v>#DIV/0!</v>
      </c>
      <c r="M524" s="68">
        <v>44840</v>
      </c>
      <c r="N524" s="26">
        <v>630</v>
      </c>
      <c r="O524" s="35">
        <f t="shared" si="1122"/>
        <v>71.174603174603178</v>
      </c>
      <c r="P524" s="11">
        <f t="shared" si="1123"/>
        <v>0.63320050892719826</v>
      </c>
      <c r="Q524" s="35">
        <v>0</v>
      </c>
      <c r="R524" s="66">
        <v>0</v>
      </c>
      <c r="S524" s="35" t="e">
        <f t="shared" si="1124"/>
        <v>#DIV/0!</v>
      </c>
      <c r="T524" s="6" t="e">
        <f t="shared" si="1125"/>
        <v>#DIV/0!</v>
      </c>
      <c r="U524" s="68">
        <v>0</v>
      </c>
      <c r="V524" s="66">
        <v>0</v>
      </c>
      <c r="W524" s="20" t="e">
        <f t="shared" si="1126"/>
        <v>#DIV/0!</v>
      </c>
      <c r="X524" s="6" t="e">
        <f t="shared" si="1127"/>
        <v>#DIV/0!</v>
      </c>
      <c r="Y524" s="68">
        <v>48260</v>
      </c>
      <c r="Z524" s="69">
        <v>550</v>
      </c>
      <c r="AA524" s="35">
        <f t="shared" si="1128"/>
        <v>87.74545454545455</v>
      </c>
      <c r="AB524" s="11">
        <f t="shared" si="1129"/>
        <v>0.78062207579761378</v>
      </c>
      <c r="AC524" s="20">
        <v>16770</v>
      </c>
      <c r="AD524" s="33">
        <v>550</v>
      </c>
      <c r="AE524" s="35">
        <f t="shared" si="1130"/>
        <v>30.490909090909092</v>
      </c>
      <c r="AF524" s="6">
        <f t="shared" si="1131"/>
        <v>0.27126050996945678</v>
      </c>
      <c r="AG524" s="68">
        <v>0</v>
      </c>
      <c r="AH524" s="66">
        <v>0</v>
      </c>
      <c r="AI524" s="35" t="e">
        <f t="shared" si="1132"/>
        <v>#DIV/0!</v>
      </c>
      <c r="AJ524" s="6" t="e">
        <f t="shared" si="1133"/>
        <v>#DIV/0!</v>
      </c>
      <c r="AK524" s="68">
        <v>0</v>
      </c>
      <c r="AL524" s="66">
        <v>0</v>
      </c>
      <c r="AM524" s="35" t="e">
        <f t="shared" si="1134"/>
        <v>#DIV/0!</v>
      </c>
      <c r="AN524" s="6" t="e">
        <f t="shared" si="1135"/>
        <v>#DIV/0!</v>
      </c>
      <c r="AO524" s="68">
        <v>3930</v>
      </c>
      <c r="AP524" s="65">
        <v>190</v>
      </c>
      <c r="AQ524" s="35">
        <f t="shared" si="1136"/>
        <v>20.684210526315791</v>
      </c>
      <c r="AR524" s="6">
        <f t="shared" si="1137"/>
        <v>0.18401581530269617</v>
      </c>
      <c r="AS524" s="68">
        <v>0</v>
      </c>
      <c r="AT524" s="66">
        <v>0</v>
      </c>
      <c r="AU524" s="35" t="e">
        <f t="shared" si="1138"/>
        <v>#DIV/0!</v>
      </c>
      <c r="AV524" s="6" t="e">
        <f t="shared" si="1139"/>
        <v>#DIV/0!</v>
      </c>
      <c r="AW524" s="68">
        <v>0</v>
      </c>
      <c r="AX524" s="66">
        <v>0</v>
      </c>
      <c r="AY524" s="35" t="e">
        <f t="shared" si="1140"/>
        <v>#DIV/0!</v>
      </c>
      <c r="AZ524" s="6" t="e">
        <f t="shared" si="1141"/>
        <v>#DIV/0!</v>
      </c>
      <c r="BA524" s="68">
        <v>0</v>
      </c>
      <c r="BB524" s="66">
        <v>0</v>
      </c>
      <c r="BC524" s="35" t="e">
        <f t="shared" si="1142"/>
        <v>#DIV/0!</v>
      </c>
      <c r="BD524" s="11" t="e">
        <f t="shared" si="1143"/>
        <v>#DIV/0!</v>
      </c>
    </row>
    <row r="525" spans="1:56" ht="15.75" thickBot="1" x14ac:dyDescent="0.3">
      <c r="A525" s="19" t="s">
        <v>5</v>
      </c>
      <c r="B525" s="8">
        <v>101140</v>
      </c>
      <c r="C525" s="35">
        <f>B525/F517</f>
        <v>143.05516265912306</v>
      </c>
      <c r="D525" s="8">
        <v>7050</v>
      </c>
      <c r="E525" s="68">
        <v>0</v>
      </c>
      <c r="F525" s="70">
        <v>0</v>
      </c>
      <c r="G525" s="35" t="e">
        <f t="shared" si="1118"/>
        <v>#DIV/0!</v>
      </c>
      <c r="H525" s="11" t="e">
        <f t="shared" si="1119"/>
        <v>#DIV/0!</v>
      </c>
      <c r="I525" s="35">
        <v>0</v>
      </c>
      <c r="J525" s="70">
        <v>0</v>
      </c>
      <c r="K525" s="35" t="e">
        <f t="shared" si="1120"/>
        <v>#DIV/0!</v>
      </c>
      <c r="L525" s="6" t="e">
        <f t="shared" si="1121"/>
        <v>#DIV/0!</v>
      </c>
      <c r="M525" s="68">
        <v>49590</v>
      </c>
      <c r="N525" s="26">
        <v>630</v>
      </c>
      <c r="O525" s="35">
        <f t="shared" si="1122"/>
        <v>78.714285714285708</v>
      </c>
      <c r="P525" s="11">
        <f t="shared" si="1123"/>
        <v>0.55023729483883721</v>
      </c>
      <c r="Q525" s="35">
        <v>0</v>
      </c>
      <c r="R525" s="66">
        <v>0</v>
      </c>
      <c r="S525" s="35" t="e">
        <f t="shared" si="1124"/>
        <v>#DIV/0!</v>
      </c>
      <c r="T525" s="6" t="e">
        <f t="shared" si="1125"/>
        <v>#DIV/0!</v>
      </c>
      <c r="U525" s="68">
        <v>0</v>
      </c>
      <c r="V525" s="66">
        <v>0</v>
      </c>
      <c r="W525" s="20" t="e">
        <f t="shared" si="1126"/>
        <v>#DIV/0!</v>
      </c>
      <c r="X525" s="6" t="e">
        <f t="shared" si="1127"/>
        <v>#DIV/0!</v>
      </c>
      <c r="Y525" s="68">
        <v>63050</v>
      </c>
      <c r="Z525" s="69">
        <v>550</v>
      </c>
      <c r="AA525" s="35">
        <f t="shared" si="1128"/>
        <v>114.63636363636364</v>
      </c>
      <c r="AB525" s="11">
        <f t="shared" si="1129"/>
        <v>0.8013437719093246</v>
      </c>
      <c r="AC525" s="20">
        <v>18820</v>
      </c>
      <c r="AD525" s="33">
        <v>550</v>
      </c>
      <c r="AE525" s="35">
        <f t="shared" si="1130"/>
        <v>34.218181818181819</v>
      </c>
      <c r="AF525" s="6">
        <f t="shared" si="1131"/>
        <v>0.23919571431139555</v>
      </c>
      <c r="AG525" s="68">
        <v>0</v>
      </c>
      <c r="AH525" s="66">
        <v>0</v>
      </c>
      <c r="AI525" s="35" t="e">
        <f t="shared" si="1132"/>
        <v>#DIV/0!</v>
      </c>
      <c r="AJ525" s="6" t="e">
        <f t="shared" si="1133"/>
        <v>#DIV/0!</v>
      </c>
      <c r="AK525" s="68">
        <v>0</v>
      </c>
      <c r="AL525" s="66">
        <v>0</v>
      </c>
      <c r="AM525" s="35" t="e">
        <f t="shared" si="1134"/>
        <v>#DIV/0!</v>
      </c>
      <c r="AN525" s="6" t="e">
        <f t="shared" si="1135"/>
        <v>#DIV/0!</v>
      </c>
      <c r="AO525" s="68">
        <v>4620</v>
      </c>
      <c r="AP525" s="65">
        <v>190</v>
      </c>
      <c r="AQ525" s="35">
        <f t="shared" si="1136"/>
        <v>24.315789473684209</v>
      </c>
      <c r="AR525" s="6">
        <f t="shared" si="1137"/>
        <v>0.16997491751922816</v>
      </c>
      <c r="AS525" s="68">
        <v>0</v>
      </c>
      <c r="AT525" s="66">
        <v>0</v>
      </c>
      <c r="AU525" s="35" t="e">
        <f t="shared" si="1138"/>
        <v>#DIV/0!</v>
      </c>
      <c r="AV525" s="6" t="e">
        <f t="shared" si="1139"/>
        <v>#DIV/0!</v>
      </c>
      <c r="AW525" s="68">
        <v>0</v>
      </c>
      <c r="AX525" s="66">
        <v>0</v>
      </c>
      <c r="AY525" s="35" t="e">
        <f t="shared" si="1140"/>
        <v>#DIV/0!</v>
      </c>
      <c r="AZ525" s="6" t="e">
        <f t="shared" si="1141"/>
        <v>#DIV/0!</v>
      </c>
      <c r="BA525" s="68">
        <v>0</v>
      </c>
      <c r="BB525" s="66">
        <v>0</v>
      </c>
      <c r="BC525" s="35" t="e">
        <f t="shared" si="1142"/>
        <v>#DIV/0!</v>
      </c>
      <c r="BD525" s="11" t="e">
        <f t="shared" si="1143"/>
        <v>#DIV/0!</v>
      </c>
    </row>
    <row r="526" spans="1:56" x14ac:dyDescent="0.25">
      <c r="A526" s="19" t="s">
        <v>6</v>
      </c>
      <c r="B526" s="8">
        <v>115830</v>
      </c>
      <c r="C526" s="35">
        <f>B526/F517</f>
        <v>163.83309759547384</v>
      </c>
      <c r="D526" s="8">
        <v>10950</v>
      </c>
      <c r="E526" s="68">
        <v>0</v>
      </c>
      <c r="F526" s="70">
        <v>0</v>
      </c>
      <c r="G526" s="35" t="e">
        <f t="shared" si="1118"/>
        <v>#DIV/0!</v>
      </c>
      <c r="H526" s="11" t="e">
        <f t="shared" si="1119"/>
        <v>#DIV/0!</v>
      </c>
      <c r="I526" s="35">
        <v>0</v>
      </c>
      <c r="J526" s="70">
        <v>0</v>
      </c>
      <c r="K526" s="35" t="e">
        <f t="shared" si="1120"/>
        <v>#DIV/0!</v>
      </c>
      <c r="L526" s="6" t="e">
        <f t="shared" si="1121"/>
        <v>#DIV/0!</v>
      </c>
      <c r="M526" s="68">
        <v>59400</v>
      </c>
      <c r="N526" s="26">
        <v>630</v>
      </c>
      <c r="O526" s="35">
        <f t="shared" si="1122"/>
        <v>94.285714285714292</v>
      </c>
      <c r="P526" s="11">
        <f t="shared" si="1123"/>
        <v>0.57549857549857553</v>
      </c>
      <c r="Q526" s="35">
        <v>0</v>
      </c>
      <c r="R526" s="66">
        <v>0</v>
      </c>
      <c r="S526" s="35" t="e">
        <f t="shared" si="1124"/>
        <v>#DIV/0!</v>
      </c>
      <c r="T526" s="6" t="e">
        <f t="shared" si="1125"/>
        <v>#DIV/0!</v>
      </c>
      <c r="U526" s="68">
        <v>0</v>
      </c>
      <c r="V526" s="66">
        <v>0</v>
      </c>
      <c r="W526" s="20" t="e">
        <f t="shared" si="1126"/>
        <v>#DIV/0!</v>
      </c>
      <c r="X526" s="6" t="e">
        <f t="shared" si="1127"/>
        <v>#DIV/0!</v>
      </c>
      <c r="Y526" s="68">
        <v>69040</v>
      </c>
      <c r="Z526" s="69">
        <v>550</v>
      </c>
      <c r="AA526" s="35">
        <f t="shared" si="1128"/>
        <v>125.52727272727273</v>
      </c>
      <c r="AB526" s="11">
        <f t="shared" si="1129"/>
        <v>0.76618994922025219</v>
      </c>
      <c r="AC526" s="20">
        <v>26970</v>
      </c>
      <c r="AD526" s="33">
        <v>550</v>
      </c>
      <c r="AE526" s="35">
        <f t="shared" si="1130"/>
        <v>49.036363636363639</v>
      </c>
      <c r="AF526" s="6">
        <f t="shared" si="1131"/>
        <v>0.29930682112500295</v>
      </c>
      <c r="AG526" s="68">
        <v>0</v>
      </c>
      <c r="AH526" s="66">
        <v>0</v>
      </c>
      <c r="AI526" s="35" t="e">
        <f t="shared" si="1132"/>
        <v>#DIV/0!</v>
      </c>
      <c r="AJ526" s="6" t="e">
        <f t="shared" si="1133"/>
        <v>#DIV/0!</v>
      </c>
      <c r="AK526" s="68">
        <v>0</v>
      </c>
      <c r="AL526" s="66">
        <v>0</v>
      </c>
      <c r="AM526" s="35" t="e">
        <f t="shared" si="1134"/>
        <v>#DIV/0!</v>
      </c>
      <c r="AN526" s="6" t="e">
        <f t="shared" si="1135"/>
        <v>#DIV/0!</v>
      </c>
      <c r="AO526" s="68">
        <v>4990</v>
      </c>
      <c r="AP526" s="65">
        <v>190</v>
      </c>
      <c r="AQ526" s="35">
        <f t="shared" si="1136"/>
        <v>26.263157894736842</v>
      </c>
      <c r="AR526" s="6">
        <f t="shared" si="1137"/>
        <v>0.16030434802364626</v>
      </c>
      <c r="AS526" s="68">
        <v>0</v>
      </c>
      <c r="AT526" s="66">
        <v>0</v>
      </c>
      <c r="AU526" s="35" t="e">
        <f t="shared" si="1138"/>
        <v>#DIV/0!</v>
      </c>
      <c r="AV526" s="6" t="e">
        <f t="shared" si="1139"/>
        <v>#DIV/0!</v>
      </c>
      <c r="AW526" s="68">
        <v>0</v>
      </c>
      <c r="AX526" s="66">
        <v>0</v>
      </c>
      <c r="AY526" s="35" t="e">
        <f t="shared" si="1140"/>
        <v>#DIV/0!</v>
      </c>
      <c r="AZ526" s="6" t="e">
        <f t="shared" si="1141"/>
        <v>#DIV/0!</v>
      </c>
      <c r="BA526" s="68">
        <v>0</v>
      </c>
      <c r="BB526" s="66">
        <v>0</v>
      </c>
      <c r="BC526" s="35" t="e">
        <f t="shared" si="1142"/>
        <v>#DIV/0!</v>
      </c>
      <c r="BD526" s="11" t="e">
        <f t="shared" si="1143"/>
        <v>#DIV/0!</v>
      </c>
    </row>
    <row r="527" spans="1:56" ht="15.75" thickBot="1" x14ac:dyDescent="0.3">
      <c r="A527" s="21"/>
      <c r="B527" s="22"/>
      <c r="C527" s="23">
        <f>AVERAGE(Table11040[MA $/Sq Ft])</f>
        <v>101.43867447969288</v>
      </c>
      <c r="D527" s="22">
        <f>AVERAGE(Table11040[Basic Allowance])</f>
        <v>4442.8571428571431</v>
      </c>
      <c r="E527" s="16"/>
      <c r="F527" s="22"/>
      <c r="G527" s="15"/>
      <c r="H527" s="24" t="e">
        <f>AVERAGE(Table11040[Bsmt % Base])</f>
        <v>#DIV/0!</v>
      </c>
      <c r="I527" s="15"/>
      <c r="J527" s="15"/>
      <c r="K527" s="15"/>
      <c r="L527" s="25" t="e">
        <f>AVERAGE(Table11040[[#Headers],[#Data],[UnfBsmt % Base]])</f>
        <v>#DIV/0!</v>
      </c>
      <c r="M527" s="44"/>
      <c r="N527" s="15"/>
      <c r="O527" s="23">
        <f>AVERAGE(Table11040[LowerVal/SqFt])</f>
        <v>59.235827664399089</v>
      </c>
      <c r="P527" s="24">
        <f>AVERAGE(Table11040[Lower % Base])</f>
        <v>0.58660316016391523</v>
      </c>
      <c r="Q527" s="13"/>
      <c r="R527" s="13"/>
      <c r="S527" s="13"/>
      <c r="T527" s="25" t="e">
        <f>AVERAGE(Table11040[Unf Lower % Base])</f>
        <v>#DIV/0!</v>
      </c>
      <c r="U527" s="12"/>
      <c r="V527" s="13"/>
      <c r="W527" s="13"/>
      <c r="X527" s="25" t="e">
        <f>AVERAGE(Table11040[1/2 Story % Base])</f>
        <v>#DIV/0!</v>
      </c>
      <c r="Y527" s="12"/>
      <c r="Z527" s="13"/>
      <c r="AA527" s="13"/>
      <c r="AB527" s="24">
        <f>AVERAGE(Table11040[2nd Story % Base])</f>
        <v>0.80552214458484916</v>
      </c>
      <c r="AC527" s="13"/>
      <c r="AD527" s="13"/>
      <c r="AE527" s="23">
        <f>AVERAGE(Table11040[AttGarVal/SqFt])</f>
        <v>28.662337662337659</v>
      </c>
      <c r="AF527" s="25">
        <f>AVERAGE(Table11040[Att Gar % Base])</f>
        <v>0.2854252838062572</v>
      </c>
      <c r="AG527" s="12"/>
      <c r="AH527" s="13"/>
      <c r="AI527" s="13"/>
      <c r="AJ527" s="25" t="e">
        <f>AVERAGE(Table11040[Porch % Base])</f>
        <v>#DIV/0!</v>
      </c>
      <c r="AK527" s="12"/>
      <c r="AL527" s="13"/>
      <c r="AM527" s="13"/>
      <c r="AN527" s="25" t="e">
        <f>AVERAGE(Table11040[Cov Porch % Base])</f>
        <v>#DIV/0!</v>
      </c>
      <c r="AO527" s="12"/>
      <c r="AP527" s="13"/>
      <c r="AQ527" s="13"/>
      <c r="AR527" s="25">
        <f>AVERAGE(Table11040[Deck % Base])</f>
        <v>0.18521669986997122</v>
      </c>
      <c r="AS527" s="12"/>
      <c r="AT527" s="13"/>
      <c r="AU527" s="23" t="e">
        <f>AVERAGE(Table11040[CovDeckVal/SqFt])</f>
        <v>#DIV/0!</v>
      </c>
      <c r="AV527" s="25" t="e">
        <f>AVERAGE(Table11040[CovDeck % Base])</f>
        <v>#DIV/0!</v>
      </c>
      <c r="AW527" s="12"/>
      <c r="AX527" s="13"/>
      <c r="AY527" s="13"/>
      <c r="AZ527" s="25" t="e">
        <f>AVERAGE(Table11040[CarP % Base])</f>
        <v>#DIV/0!</v>
      </c>
      <c r="BA527" s="12"/>
      <c r="BB527" s="13"/>
      <c r="BC527" s="13"/>
      <c r="BD527" s="24" t="e">
        <f>AVERAGE(Table11040[EFP % Base])</f>
        <v>#DIV/0!</v>
      </c>
    </row>
    <row r="529" spans="1:56" ht="15.75" thickBot="1" x14ac:dyDescent="0.3">
      <c r="A529" s="83"/>
      <c r="B529" t="s">
        <v>79</v>
      </c>
      <c r="C529" s="85">
        <v>102894080000011</v>
      </c>
      <c r="E529" t="s">
        <v>33</v>
      </c>
      <c r="F529" s="79">
        <v>1250</v>
      </c>
      <c r="H529" t="s">
        <v>80</v>
      </c>
      <c r="I529" t="s">
        <v>134</v>
      </c>
      <c r="J529" t="s">
        <v>138</v>
      </c>
    </row>
    <row r="530" spans="1:56" x14ac:dyDescent="0.25">
      <c r="A530" s="112"/>
      <c r="B530" s="113"/>
      <c r="C530" s="113"/>
      <c r="D530" s="114"/>
      <c r="E530" s="115" t="s">
        <v>27</v>
      </c>
      <c r="F530" s="116"/>
      <c r="G530" s="116"/>
      <c r="H530" s="117"/>
      <c r="I530" s="118" t="s">
        <v>28</v>
      </c>
      <c r="J530" s="119"/>
      <c r="K530" s="119"/>
      <c r="L530" s="120"/>
      <c r="M530" s="121" t="s">
        <v>7</v>
      </c>
      <c r="N530" s="122"/>
      <c r="O530" s="122"/>
      <c r="P530" s="123"/>
      <c r="Q530" s="124" t="s">
        <v>29</v>
      </c>
      <c r="R530" s="125"/>
      <c r="S530" s="125"/>
      <c r="T530" s="126"/>
      <c r="U530" s="127" t="s">
        <v>8</v>
      </c>
      <c r="V530" s="128"/>
      <c r="W530" s="128"/>
      <c r="X530" s="129"/>
      <c r="Y530" s="130" t="s">
        <v>0</v>
      </c>
      <c r="Z530" s="131"/>
      <c r="AA530" s="131"/>
      <c r="AB530" s="132"/>
      <c r="AC530" s="133" t="s">
        <v>34</v>
      </c>
      <c r="AD530" s="134"/>
      <c r="AE530" s="134"/>
      <c r="AF530" s="135"/>
      <c r="AG530" s="115" t="s">
        <v>9</v>
      </c>
      <c r="AH530" s="116"/>
      <c r="AI530" s="116"/>
      <c r="AJ530" s="117"/>
      <c r="AK530" s="136" t="s">
        <v>35</v>
      </c>
      <c r="AL530" s="137"/>
      <c r="AM530" s="137"/>
      <c r="AN530" s="138"/>
      <c r="AO530" s="139" t="s">
        <v>10</v>
      </c>
      <c r="AP530" s="140"/>
      <c r="AQ530" s="140"/>
      <c r="AR530" s="141"/>
      <c r="AS530" s="124" t="s">
        <v>36</v>
      </c>
      <c r="AT530" s="125"/>
      <c r="AU530" s="125"/>
      <c r="AV530" s="126"/>
      <c r="AW530" s="142" t="s">
        <v>11</v>
      </c>
      <c r="AX530" s="143"/>
      <c r="AY530" s="143"/>
      <c r="AZ530" s="144"/>
      <c r="BA530" s="148" t="s">
        <v>17</v>
      </c>
      <c r="BB530" s="149"/>
      <c r="BC530" s="149"/>
      <c r="BD530" s="150"/>
    </row>
    <row r="531" spans="1:56" s="1" customFormat="1" ht="15.75" thickBot="1" x14ac:dyDescent="0.3">
      <c r="A531" s="41" t="s">
        <v>13</v>
      </c>
      <c r="B531" s="42" t="s">
        <v>15</v>
      </c>
      <c r="C531" s="42" t="s">
        <v>32</v>
      </c>
      <c r="D531" s="43" t="s">
        <v>18</v>
      </c>
      <c r="E531" s="30" t="s">
        <v>30</v>
      </c>
      <c r="F531" s="31" t="s">
        <v>61</v>
      </c>
      <c r="G531" s="31" t="s">
        <v>38</v>
      </c>
      <c r="H531" s="32" t="s">
        <v>62</v>
      </c>
      <c r="I531" s="37" t="s">
        <v>31</v>
      </c>
      <c r="J531" s="38" t="s">
        <v>39</v>
      </c>
      <c r="K531" s="38" t="s">
        <v>40</v>
      </c>
      <c r="L531" s="39" t="s">
        <v>63</v>
      </c>
      <c r="M531" s="40" t="s">
        <v>19</v>
      </c>
      <c r="N531" s="7" t="s">
        <v>41</v>
      </c>
      <c r="O531" s="7" t="s">
        <v>37</v>
      </c>
      <c r="P531" s="7" t="s">
        <v>64</v>
      </c>
      <c r="Q531" s="27" t="s">
        <v>20</v>
      </c>
      <c r="R531" s="28" t="s">
        <v>60</v>
      </c>
      <c r="S531" s="28" t="s">
        <v>59</v>
      </c>
      <c r="T531" s="29" t="s">
        <v>65</v>
      </c>
      <c r="U531" s="48" t="s">
        <v>21</v>
      </c>
      <c r="V531" s="48" t="s">
        <v>42</v>
      </c>
      <c r="W531" s="48" t="s">
        <v>43</v>
      </c>
      <c r="X531" s="49" t="s">
        <v>66</v>
      </c>
      <c r="Y531" s="50" t="s">
        <v>22</v>
      </c>
      <c r="Z531" s="51" t="s">
        <v>44</v>
      </c>
      <c r="AA531" s="51" t="s">
        <v>45</v>
      </c>
      <c r="AB531" s="52" t="s">
        <v>67</v>
      </c>
      <c r="AC531" s="45" t="s">
        <v>23</v>
      </c>
      <c r="AD531" s="46" t="s">
        <v>46</v>
      </c>
      <c r="AE531" s="46" t="s">
        <v>47</v>
      </c>
      <c r="AF531" s="47" t="s">
        <v>68</v>
      </c>
      <c r="AG531" s="30" t="s">
        <v>24</v>
      </c>
      <c r="AH531" s="31" t="s">
        <v>48</v>
      </c>
      <c r="AI531" s="31" t="s">
        <v>49</v>
      </c>
      <c r="AJ531" s="32" t="s">
        <v>69</v>
      </c>
      <c r="AK531" s="53" t="s">
        <v>25</v>
      </c>
      <c r="AL531" s="54" t="s">
        <v>50</v>
      </c>
      <c r="AM531" s="54" t="s">
        <v>51</v>
      </c>
      <c r="AN531" s="55" t="s">
        <v>70</v>
      </c>
      <c r="AO531" s="56" t="s">
        <v>26</v>
      </c>
      <c r="AP531" s="57" t="s">
        <v>52</v>
      </c>
      <c r="AQ531" s="57" t="s">
        <v>53</v>
      </c>
      <c r="AR531" s="58" t="s">
        <v>71</v>
      </c>
      <c r="AS531" s="59" t="s">
        <v>55</v>
      </c>
      <c r="AT531" s="60" t="s">
        <v>54</v>
      </c>
      <c r="AU531" s="60" t="s">
        <v>56</v>
      </c>
      <c r="AV531" s="61" t="s">
        <v>76</v>
      </c>
      <c r="AW531" s="62" t="s">
        <v>72</v>
      </c>
      <c r="AX531" s="63" t="s">
        <v>73</v>
      </c>
      <c r="AY531" s="63" t="s">
        <v>74</v>
      </c>
      <c r="AZ531" s="64" t="s">
        <v>75</v>
      </c>
      <c r="BA531" s="71" t="s">
        <v>77</v>
      </c>
      <c r="BB531" s="72" t="s">
        <v>57</v>
      </c>
      <c r="BC531" s="72" t="s">
        <v>58</v>
      </c>
      <c r="BD531" s="73" t="s">
        <v>78</v>
      </c>
    </row>
    <row r="532" spans="1:56" x14ac:dyDescent="0.25">
      <c r="A532" s="17" t="s">
        <v>1</v>
      </c>
      <c r="B532" s="14">
        <v>63050</v>
      </c>
      <c r="C532" s="34">
        <f>B532/F529</f>
        <v>50.44</v>
      </c>
      <c r="D532" s="14">
        <v>1525</v>
      </c>
      <c r="E532" s="67">
        <v>0</v>
      </c>
      <c r="F532" s="69">
        <v>0</v>
      </c>
      <c r="G532" s="34" t="e">
        <f t="shared" ref="G532:G538" si="1144">E532/F532</f>
        <v>#DIV/0!</v>
      </c>
      <c r="H532" s="10" t="e">
        <f t="shared" ref="H532:H538" si="1145">G532/C532</f>
        <v>#DIV/0!</v>
      </c>
      <c r="I532" s="34">
        <v>0</v>
      </c>
      <c r="J532" s="69">
        <v>0</v>
      </c>
      <c r="K532" s="34" t="e">
        <f t="shared" ref="K532:K538" si="1146">I532/J532</f>
        <v>#DIV/0!</v>
      </c>
      <c r="L532" s="9" t="e">
        <f t="shared" ref="L532:L538" si="1147">K532/C532</f>
        <v>#DIV/0!</v>
      </c>
      <c r="M532" s="67">
        <v>0</v>
      </c>
      <c r="N532" s="26">
        <v>0</v>
      </c>
      <c r="O532" s="34" t="e">
        <f t="shared" ref="O532:O538" si="1148">M532/N532</f>
        <v>#DIV/0!</v>
      </c>
      <c r="P532" s="10" t="e">
        <f t="shared" ref="P532:P538" si="1149">O532/C532</f>
        <v>#DIV/0!</v>
      </c>
      <c r="Q532" s="35">
        <v>0</v>
      </c>
      <c r="R532" s="66">
        <v>0</v>
      </c>
      <c r="S532" s="35" t="e">
        <f t="shared" ref="S532:S538" si="1150">Q532/R532</f>
        <v>#DIV/0!</v>
      </c>
      <c r="T532" s="6" t="e">
        <f t="shared" ref="T532:T538" si="1151">S532/C532</f>
        <v>#DIV/0!</v>
      </c>
      <c r="U532" s="67">
        <v>0</v>
      </c>
      <c r="V532" s="65">
        <v>0</v>
      </c>
      <c r="W532" s="18" t="e">
        <f t="shared" ref="W532:W538" si="1152">U532/V532</f>
        <v>#DIV/0!</v>
      </c>
      <c r="X532" s="9" t="e">
        <f t="shared" ref="X532:X538" si="1153">W532/C532</f>
        <v>#DIV/0!</v>
      </c>
      <c r="Y532" s="67">
        <v>0</v>
      </c>
      <c r="Z532" s="69">
        <v>0</v>
      </c>
      <c r="AA532" s="34" t="e">
        <f t="shared" ref="AA532:AA538" si="1154">Y532/Z532</f>
        <v>#DIV/0!</v>
      </c>
      <c r="AB532" s="10" t="e">
        <f t="shared" ref="AB532:AB538" si="1155">AA532/C532</f>
        <v>#DIV/0!</v>
      </c>
      <c r="AC532" s="18">
        <v>0</v>
      </c>
      <c r="AD532" s="33">
        <v>0</v>
      </c>
      <c r="AE532" s="34" t="e">
        <f t="shared" ref="AE532:AE538" si="1156">AC532/AD532</f>
        <v>#DIV/0!</v>
      </c>
      <c r="AF532" s="9" t="e">
        <f t="shared" ref="AF532:AF538" si="1157">AE532/C532</f>
        <v>#DIV/0!</v>
      </c>
      <c r="AG532" s="67">
        <v>0</v>
      </c>
      <c r="AH532" s="65">
        <v>0</v>
      </c>
      <c r="AI532" s="34" t="e">
        <f t="shared" ref="AI532:AI538" si="1158">AG532/AH532</f>
        <v>#DIV/0!</v>
      </c>
      <c r="AJ532" s="9" t="e">
        <f t="shared" ref="AJ532:AJ538" si="1159">AI532/C532</f>
        <v>#DIV/0!</v>
      </c>
      <c r="AK532" s="67">
        <v>0</v>
      </c>
      <c r="AL532" s="65">
        <v>0</v>
      </c>
      <c r="AM532" s="34" t="e">
        <f t="shared" ref="AM532:AM538" si="1160">AK532/AL532</f>
        <v>#DIV/0!</v>
      </c>
      <c r="AN532" s="9" t="e">
        <f t="shared" ref="AN532:AN538" si="1161">AM532/C532</f>
        <v>#DIV/0!</v>
      </c>
      <c r="AO532" s="67">
        <v>0</v>
      </c>
      <c r="AP532" s="65">
        <v>0</v>
      </c>
      <c r="AQ532" s="34" t="e">
        <f t="shared" ref="AQ532:AQ538" si="1162">AO532/AP532</f>
        <v>#DIV/0!</v>
      </c>
      <c r="AR532" s="9" t="e">
        <f t="shared" ref="AR532:AR538" si="1163">AQ532/C532</f>
        <v>#DIV/0!</v>
      </c>
      <c r="AS532" s="67">
        <v>0</v>
      </c>
      <c r="AT532" s="65">
        <v>0</v>
      </c>
      <c r="AU532" s="34" t="e">
        <f t="shared" ref="AU532:AU538" si="1164">AS532/AT532</f>
        <v>#DIV/0!</v>
      </c>
      <c r="AV532" s="9" t="e">
        <f t="shared" ref="AV532:AV538" si="1165">AU532/C532</f>
        <v>#DIV/0!</v>
      </c>
      <c r="AW532" s="67">
        <v>3030</v>
      </c>
      <c r="AX532" s="65">
        <v>360</v>
      </c>
      <c r="AY532" s="34">
        <f t="shared" ref="AY532:AY538" si="1166">AW532/AX532</f>
        <v>8.4166666666666661</v>
      </c>
      <c r="AZ532" s="9">
        <f t="shared" ref="AZ532:AZ538" si="1167">AY532/C532</f>
        <v>0.16686492201956118</v>
      </c>
      <c r="BA532" s="67">
        <v>0</v>
      </c>
      <c r="BB532" s="65">
        <v>0</v>
      </c>
      <c r="BC532" s="34" t="e">
        <f t="shared" ref="BC532:BC538" si="1168">BA532/BB532</f>
        <v>#DIV/0!</v>
      </c>
      <c r="BD532" s="10" t="e">
        <f t="shared" ref="BD532:BD538" si="1169">BC532/C532</f>
        <v>#DIV/0!</v>
      </c>
    </row>
    <row r="533" spans="1:56" x14ac:dyDescent="0.25">
      <c r="A533" s="19" t="s">
        <v>16</v>
      </c>
      <c r="B533" s="8">
        <v>74180</v>
      </c>
      <c r="C533" s="35">
        <f>B533/F529</f>
        <v>59.344000000000001</v>
      </c>
      <c r="D533" s="8">
        <v>1525</v>
      </c>
      <c r="E533" s="68">
        <v>0</v>
      </c>
      <c r="F533" s="70">
        <v>0</v>
      </c>
      <c r="G533" s="35" t="e">
        <f t="shared" si="1144"/>
        <v>#DIV/0!</v>
      </c>
      <c r="H533" s="11" t="e">
        <f t="shared" si="1145"/>
        <v>#DIV/0!</v>
      </c>
      <c r="I533" s="35">
        <v>0</v>
      </c>
      <c r="J533" s="70">
        <v>0</v>
      </c>
      <c r="K533" s="35" t="e">
        <f t="shared" si="1146"/>
        <v>#DIV/0!</v>
      </c>
      <c r="L533" s="6" t="e">
        <f t="shared" si="1147"/>
        <v>#DIV/0!</v>
      </c>
      <c r="M533" s="68">
        <v>0</v>
      </c>
      <c r="N533" s="5">
        <v>0</v>
      </c>
      <c r="O533" s="35" t="e">
        <f t="shared" si="1148"/>
        <v>#DIV/0!</v>
      </c>
      <c r="P533" s="11" t="e">
        <f t="shared" si="1149"/>
        <v>#DIV/0!</v>
      </c>
      <c r="Q533" s="35">
        <v>0</v>
      </c>
      <c r="R533" s="66">
        <v>0</v>
      </c>
      <c r="S533" s="35" t="e">
        <f t="shared" si="1150"/>
        <v>#DIV/0!</v>
      </c>
      <c r="T533" s="6" t="e">
        <f t="shared" si="1151"/>
        <v>#DIV/0!</v>
      </c>
      <c r="U533" s="68">
        <v>0</v>
      </c>
      <c r="V533" s="66">
        <v>0</v>
      </c>
      <c r="W533" s="20" t="e">
        <f t="shared" si="1152"/>
        <v>#DIV/0!</v>
      </c>
      <c r="X533" s="6" t="e">
        <f t="shared" si="1153"/>
        <v>#DIV/0!</v>
      </c>
      <c r="Y533" s="68">
        <v>0</v>
      </c>
      <c r="Z533" s="70">
        <v>0</v>
      </c>
      <c r="AA533" s="35" t="e">
        <f t="shared" si="1154"/>
        <v>#DIV/0!</v>
      </c>
      <c r="AB533" s="11" t="e">
        <f t="shared" si="1155"/>
        <v>#DIV/0!</v>
      </c>
      <c r="AC533" s="20">
        <v>0</v>
      </c>
      <c r="AD533" s="36">
        <v>0</v>
      </c>
      <c r="AE533" s="35" t="e">
        <f t="shared" si="1156"/>
        <v>#DIV/0!</v>
      </c>
      <c r="AF533" s="6" t="e">
        <f t="shared" si="1157"/>
        <v>#DIV/0!</v>
      </c>
      <c r="AG533" s="68">
        <v>0</v>
      </c>
      <c r="AH533" s="66">
        <v>0</v>
      </c>
      <c r="AI533" s="35" t="e">
        <f t="shared" si="1158"/>
        <v>#DIV/0!</v>
      </c>
      <c r="AJ533" s="6" t="e">
        <f t="shared" si="1159"/>
        <v>#DIV/0!</v>
      </c>
      <c r="AK533" s="68">
        <v>0</v>
      </c>
      <c r="AL533" s="66">
        <v>0</v>
      </c>
      <c r="AM533" s="35" t="e">
        <f t="shared" si="1160"/>
        <v>#DIV/0!</v>
      </c>
      <c r="AN533" s="6" t="e">
        <f t="shared" si="1161"/>
        <v>#DIV/0!</v>
      </c>
      <c r="AO533" s="68">
        <v>0</v>
      </c>
      <c r="AP533" s="66">
        <v>0</v>
      </c>
      <c r="AQ533" s="35" t="e">
        <f t="shared" si="1162"/>
        <v>#DIV/0!</v>
      </c>
      <c r="AR533" s="6" t="e">
        <f t="shared" si="1163"/>
        <v>#DIV/0!</v>
      </c>
      <c r="AS533" s="68">
        <v>0</v>
      </c>
      <c r="AT533" s="66">
        <v>0</v>
      </c>
      <c r="AU533" s="35" t="e">
        <f t="shared" si="1164"/>
        <v>#DIV/0!</v>
      </c>
      <c r="AV533" s="6" t="e">
        <f t="shared" si="1165"/>
        <v>#DIV/0!</v>
      </c>
      <c r="AW533" s="68">
        <v>3500</v>
      </c>
      <c r="AX533" s="66">
        <v>360</v>
      </c>
      <c r="AY533" s="35">
        <f t="shared" si="1166"/>
        <v>9.7222222222222214</v>
      </c>
      <c r="AZ533" s="6">
        <f t="shared" si="1167"/>
        <v>0.16382822563733859</v>
      </c>
      <c r="BA533" s="68">
        <v>0</v>
      </c>
      <c r="BB533" s="66">
        <v>0</v>
      </c>
      <c r="BC533" s="35" t="e">
        <f t="shared" si="1168"/>
        <v>#DIV/0!</v>
      </c>
      <c r="BD533" s="11" t="e">
        <f t="shared" si="1169"/>
        <v>#DIV/0!</v>
      </c>
    </row>
    <row r="534" spans="1:56" x14ac:dyDescent="0.25">
      <c r="A534" s="19" t="s">
        <v>2</v>
      </c>
      <c r="B534" s="8">
        <v>86740</v>
      </c>
      <c r="C534" s="35">
        <f>B534/F529</f>
        <v>69.391999999999996</v>
      </c>
      <c r="D534" s="8">
        <v>2100</v>
      </c>
      <c r="E534" s="68">
        <v>0</v>
      </c>
      <c r="F534" s="70">
        <v>0</v>
      </c>
      <c r="G534" s="35" t="e">
        <f t="shared" si="1144"/>
        <v>#DIV/0!</v>
      </c>
      <c r="H534" s="11" t="e">
        <f t="shared" si="1145"/>
        <v>#DIV/0!</v>
      </c>
      <c r="I534" s="35">
        <v>0</v>
      </c>
      <c r="J534" s="70">
        <v>0</v>
      </c>
      <c r="K534" s="35" t="e">
        <f t="shared" si="1146"/>
        <v>#DIV/0!</v>
      </c>
      <c r="L534" s="6" t="e">
        <f t="shared" si="1147"/>
        <v>#DIV/0!</v>
      </c>
      <c r="M534" s="68">
        <v>0</v>
      </c>
      <c r="N534" s="5">
        <v>0</v>
      </c>
      <c r="O534" s="35" t="e">
        <f t="shared" si="1148"/>
        <v>#DIV/0!</v>
      </c>
      <c r="P534" s="11" t="e">
        <f t="shared" si="1149"/>
        <v>#DIV/0!</v>
      </c>
      <c r="Q534" s="35">
        <v>0</v>
      </c>
      <c r="R534" s="66">
        <v>0</v>
      </c>
      <c r="S534" s="35" t="e">
        <f t="shared" si="1150"/>
        <v>#DIV/0!</v>
      </c>
      <c r="T534" s="6" t="e">
        <f t="shared" si="1151"/>
        <v>#DIV/0!</v>
      </c>
      <c r="U534" s="68">
        <v>0</v>
      </c>
      <c r="V534" s="66">
        <v>0</v>
      </c>
      <c r="W534" s="20" t="e">
        <f t="shared" si="1152"/>
        <v>#DIV/0!</v>
      </c>
      <c r="X534" s="6" t="e">
        <f t="shared" si="1153"/>
        <v>#DIV/0!</v>
      </c>
      <c r="Y534" s="68">
        <v>0</v>
      </c>
      <c r="Z534" s="70">
        <v>0</v>
      </c>
      <c r="AA534" s="35" t="e">
        <f t="shared" si="1154"/>
        <v>#DIV/0!</v>
      </c>
      <c r="AB534" s="11" t="e">
        <f t="shared" si="1155"/>
        <v>#DIV/0!</v>
      </c>
      <c r="AC534" s="20">
        <v>0</v>
      </c>
      <c r="AD534" s="36">
        <v>0</v>
      </c>
      <c r="AE534" s="35" t="e">
        <f t="shared" si="1156"/>
        <v>#DIV/0!</v>
      </c>
      <c r="AF534" s="6" t="e">
        <f t="shared" si="1157"/>
        <v>#DIV/0!</v>
      </c>
      <c r="AG534" s="68">
        <v>0</v>
      </c>
      <c r="AH534" s="66">
        <v>0</v>
      </c>
      <c r="AI534" s="35" t="e">
        <f t="shared" si="1158"/>
        <v>#DIV/0!</v>
      </c>
      <c r="AJ534" s="6" t="e">
        <f t="shared" si="1159"/>
        <v>#DIV/0!</v>
      </c>
      <c r="AK534" s="68">
        <v>0</v>
      </c>
      <c r="AL534" s="66">
        <v>0</v>
      </c>
      <c r="AM534" s="35" t="e">
        <f t="shared" si="1160"/>
        <v>#DIV/0!</v>
      </c>
      <c r="AN534" s="6" t="e">
        <f t="shared" si="1161"/>
        <v>#DIV/0!</v>
      </c>
      <c r="AO534" s="68">
        <v>0</v>
      </c>
      <c r="AP534" s="66">
        <v>0</v>
      </c>
      <c r="AQ534" s="35" t="e">
        <f t="shared" si="1162"/>
        <v>#DIV/0!</v>
      </c>
      <c r="AR534" s="6" t="e">
        <f t="shared" si="1163"/>
        <v>#DIV/0!</v>
      </c>
      <c r="AS534" s="68">
        <v>0</v>
      </c>
      <c r="AT534" s="66">
        <v>0</v>
      </c>
      <c r="AU534" s="35" t="e">
        <f t="shared" si="1164"/>
        <v>#DIV/0!</v>
      </c>
      <c r="AV534" s="6" t="e">
        <f t="shared" si="1165"/>
        <v>#DIV/0!</v>
      </c>
      <c r="AW534" s="68">
        <v>3960</v>
      </c>
      <c r="AX534" s="66">
        <v>360</v>
      </c>
      <c r="AY534" s="35">
        <f t="shared" si="1166"/>
        <v>11</v>
      </c>
      <c r="AZ534" s="6">
        <f t="shared" si="1167"/>
        <v>0.15851971408807933</v>
      </c>
      <c r="BA534" s="68">
        <v>0</v>
      </c>
      <c r="BB534" s="66">
        <v>0</v>
      </c>
      <c r="BC534" s="35" t="e">
        <f t="shared" si="1168"/>
        <v>#DIV/0!</v>
      </c>
      <c r="BD534" s="11" t="e">
        <f t="shared" si="1169"/>
        <v>#DIV/0!</v>
      </c>
    </row>
    <row r="535" spans="1:56" x14ac:dyDescent="0.25">
      <c r="A535" s="19" t="s">
        <v>3</v>
      </c>
      <c r="B535" s="8">
        <v>104770</v>
      </c>
      <c r="C535" s="35">
        <f>B535/F529</f>
        <v>83.816000000000003</v>
      </c>
      <c r="D535" s="8">
        <v>2700</v>
      </c>
      <c r="E535" s="68">
        <v>0</v>
      </c>
      <c r="F535" s="70">
        <v>0</v>
      </c>
      <c r="G535" s="35" t="e">
        <f t="shared" si="1144"/>
        <v>#DIV/0!</v>
      </c>
      <c r="H535" s="11" t="e">
        <f t="shared" si="1145"/>
        <v>#DIV/0!</v>
      </c>
      <c r="I535" s="35">
        <v>0</v>
      </c>
      <c r="J535" s="70">
        <v>0</v>
      </c>
      <c r="K535" s="35" t="e">
        <f t="shared" si="1146"/>
        <v>#DIV/0!</v>
      </c>
      <c r="L535" s="6" t="e">
        <f t="shared" si="1147"/>
        <v>#DIV/0!</v>
      </c>
      <c r="M535" s="68">
        <v>0</v>
      </c>
      <c r="N535" s="5">
        <v>0</v>
      </c>
      <c r="O535" s="35" t="e">
        <f t="shared" si="1148"/>
        <v>#DIV/0!</v>
      </c>
      <c r="P535" s="11" t="e">
        <f t="shared" si="1149"/>
        <v>#DIV/0!</v>
      </c>
      <c r="Q535" s="35">
        <v>0</v>
      </c>
      <c r="R535" s="66">
        <v>0</v>
      </c>
      <c r="S535" s="35" t="e">
        <f t="shared" si="1150"/>
        <v>#DIV/0!</v>
      </c>
      <c r="T535" s="6" t="e">
        <f t="shared" si="1151"/>
        <v>#DIV/0!</v>
      </c>
      <c r="U535" s="68">
        <v>0</v>
      </c>
      <c r="V535" s="66">
        <v>0</v>
      </c>
      <c r="W535" s="20" t="e">
        <f t="shared" si="1152"/>
        <v>#DIV/0!</v>
      </c>
      <c r="X535" s="6" t="e">
        <f t="shared" si="1153"/>
        <v>#DIV/0!</v>
      </c>
      <c r="Y535" s="68">
        <v>0</v>
      </c>
      <c r="Z535" s="70">
        <v>0</v>
      </c>
      <c r="AA535" s="35" t="e">
        <f t="shared" si="1154"/>
        <v>#DIV/0!</v>
      </c>
      <c r="AB535" s="11" t="e">
        <f t="shared" si="1155"/>
        <v>#DIV/0!</v>
      </c>
      <c r="AC535" s="20">
        <v>0</v>
      </c>
      <c r="AD535" s="36">
        <v>0</v>
      </c>
      <c r="AE535" s="35" t="e">
        <f t="shared" si="1156"/>
        <v>#DIV/0!</v>
      </c>
      <c r="AF535" s="6" t="e">
        <f t="shared" si="1157"/>
        <v>#DIV/0!</v>
      </c>
      <c r="AG535" s="68">
        <v>0</v>
      </c>
      <c r="AH535" s="66">
        <v>0</v>
      </c>
      <c r="AI535" s="35" t="e">
        <f t="shared" si="1158"/>
        <v>#DIV/0!</v>
      </c>
      <c r="AJ535" s="6" t="e">
        <f t="shared" si="1159"/>
        <v>#DIV/0!</v>
      </c>
      <c r="AK535" s="68">
        <v>0</v>
      </c>
      <c r="AL535" s="66">
        <v>0</v>
      </c>
      <c r="AM535" s="35" t="e">
        <f t="shared" si="1160"/>
        <v>#DIV/0!</v>
      </c>
      <c r="AN535" s="6" t="e">
        <f t="shared" si="1161"/>
        <v>#DIV/0!</v>
      </c>
      <c r="AO535" s="68">
        <v>0</v>
      </c>
      <c r="AP535" s="66">
        <v>0</v>
      </c>
      <c r="AQ535" s="35" t="e">
        <f t="shared" si="1162"/>
        <v>#DIV/0!</v>
      </c>
      <c r="AR535" s="6" t="e">
        <f t="shared" si="1163"/>
        <v>#DIV/0!</v>
      </c>
      <c r="AS535" s="68">
        <v>0</v>
      </c>
      <c r="AT535" s="66">
        <v>0</v>
      </c>
      <c r="AU535" s="35" t="e">
        <f t="shared" si="1164"/>
        <v>#DIV/0!</v>
      </c>
      <c r="AV535" s="6" t="e">
        <f t="shared" si="1165"/>
        <v>#DIV/0!</v>
      </c>
      <c r="AW535" s="68">
        <v>5580</v>
      </c>
      <c r="AX535" s="66">
        <v>360</v>
      </c>
      <c r="AY535" s="35">
        <f t="shared" si="1166"/>
        <v>15.5</v>
      </c>
      <c r="AZ535" s="6">
        <f t="shared" si="1167"/>
        <v>0.1849288918583564</v>
      </c>
      <c r="BA535" s="68">
        <v>0</v>
      </c>
      <c r="BB535" s="66">
        <v>0</v>
      </c>
      <c r="BC535" s="35" t="e">
        <f t="shared" si="1168"/>
        <v>#DIV/0!</v>
      </c>
      <c r="BD535" s="11" t="e">
        <f t="shared" si="1169"/>
        <v>#DIV/0!</v>
      </c>
    </row>
    <row r="536" spans="1:56" x14ac:dyDescent="0.25">
      <c r="A536" s="19" t="s">
        <v>4</v>
      </c>
      <c r="B536" s="8">
        <v>130630</v>
      </c>
      <c r="C536" s="35">
        <f>B536/F529</f>
        <v>104.504</v>
      </c>
      <c r="D536" s="8">
        <v>5250</v>
      </c>
      <c r="E536" s="68">
        <v>0</v>
      </c>
      <c r="F536" s="70">
        <v>0</v>
      </c>
      <c r="G536" s="35" t="e">
        <f t="shared" si="1144"/>
        <v>#DIV/0!</v>
      </c>
      <c r="H536" s="11" t="e">
        <f t="shared" si="1145"/>
        <v>#DIV/0!</v>
      </c>
      <c r="I536" s="35">
        <v>0</v>
      </c>
      <c r="J536" s="70">
        <v>0</v>
      </c>
      <c r="K536" s="35" t="e">
        <f t="shared" si="1146"/>
        <v>#DIV/0!</v>
      </c>
      <c r="L536" s="6" t="e">
        <f t="shared" si="1147"/>
        <v>#DIV/0!</v>
      </c>
      <c r="M536" s="68">
        <v>0</v>
      </c>
      <c r="N536" s="5">
        <v>0</v>
      </c>
      <c r="O536" s="35" t="e">
        <f t="shared" si="1148"/>
        <v>#DIV/0!</v>
      </c>
      <c r="P536" s="11" t="e">
        <f t="shared" si="1149"/>
        <v>#DIV/0!</v>
      </c>
      <c r="Q536" s="35">
        <v>0</v>
      </c>
      <c r="R536" s="66">
        <v>0</v>
      </c>
      <c r="S536" s="35" t="e">
        <f t="shared" si="1150"/>
        <v>#DIV/0!</v>
      </c>
      <c r="T536" s="6" t="e">
        <f t="shared" si="1151"/>
        <v>#DIV/0!</v>
      </c>
      <c r="U536" s="68">
        <v>0</v>
      </c>
      <c r="V536" s="66">
        <v>0</v>
      </c>
      <c r="W536" s="20" t="e">
        <f t="shared" si="1152"/>
        <v>#DIV/0!</v>
      </c>
      <c r="X536" s="6" t="e">
        <f t="shared" si="1153"/>
        <v>#DIV/0!</v>
      </c>
      <c r="Y536" s="68">
        <v>0</v>
      </c>
      <c r="Z536" s="70">
        <v>0</v>
      </c>
      <c r="AA536" s="35" t="e">
        <f t="shared" si="1154"/>
        <v>#DIV/0!</v>
      </c>
      <c r="AB536" s="11" t="e">
        <f t="shared" si="1155"/>
        <v>#DIV/0!</v>
      </c>
      <c r="AC536" s="20">
        <v>0</v>
      </c>
      <c r="AD536" s="36">
        <v>0</v>
      </c>
      <c r="AE536" s="35" t="e">
        <f t="shared" si="1156"/>
        <v>#DIV/0!</v>
      </c>
      <c r="AF536" s="6" t="e">
        <f t="shared" si="1157"/>
        <v>#DIV/0!</v>
      </c>
      <c r="AG536" s="68">
        <v>0</v>
      </c>
      <c r="AH536" s="66">
        <v>0</v>
      </c>
      <c r="AI536" s="35" t="e">
        <f t="shared" si="1158"/>
        <v>#DIV/0!</v>
      </c>
      <c r="AJ536" s="6" t="e">
        <f t="shared" si="1159"/>
        <v>#DIV/0!</v>
      </c>
      <c r="AK536" s="68">
        <v>0</v>
      </c>
      <c r="AL536" s="66">
        <v>0</v>
      </c>
      <c r="AM536" s="35" t="e">
        <f t="shared" si="1160"/>
        <v>#DIV/0!</v>
      </c>
      <c r="AN536" s="6" t="e">
        <f t="shared" si="1161"/>
        <v>#DIV/0!</v>
      </c>
      <c r="AO536" s="68">
        <v>0</v>
      </c>
      <c r="AP536" s="66">
        <v>0</v>
      </c>
      <c r="AQ536" s="35" t="e">
        <f t="shared" si="1162"/>
        <v>#DIV/0!</v>
      </c>
      <c r="AR536" s="6" t="e">
        <f t="shared" si="1163"/>
        <v>#DIV/0!</v>
      </c>
      <c r="AS536" s="68">
        <v>0</v>
      </c>
      <c r="AT536" s="66">
        <v>0</v>
      </c>
      <c r="AU536" s="35" t="e">
        <f t="shared" si="1164"/>
        <v>#DIV/0!</v>
      </c>
      <c r="AV536" s="6" t="e">
        <f t="shared" si="1165"/>
        <v>#DIV/0!</v>
      </c>
      <c r="AW536" s="68">
        <v>6330</v>
      </c>
      <c r="AX536" s="66">
        <v>360</v>
      </c>
      <c r="AY536" s="35">
        <f t="shared" si="1166"/>
        <v>17.583333333333332</v>
      </c>
      <c r="AZ536" s="6">
        <f t="shared" si="1167"/>
        <v>0.16825512261093672</v>
      </c>
      <c r="BA536" s="68">
        <v>0</v>
      </c>
      <c r="BB536" s="66">
        <v>0</v>
      </c>
      <c r="BC536" s="35" t="e">
        <f t="shared" si="1168"/>
        <v>#DIV/0!</v>
      </c>
      <c r="BD536" s="11" t="e">
        <f t="shared" si="1169"/>
        <v>#DIV/0!</v>
      </c>
    </row>
    <row r="537" spans="1:56" x14ac:dyDescent="0.25">
      <c r="A537" s="19" t="s">
        <v>5</v>
      </c>
      <c r="B537" s="8">
        <v>171840</v>
      </c>
      <c r="C537" s="35">
        <f>B537/F529</f>
        <v>137.47200000000001</v>
      </c>
      <c r="D537" s="8">
        <v>7050</v>
      </c>
      <c r="E537" s="68">
        <v>0</v>
      </c>
      <c r="F537" s="70">
        <v>0</v>
      </c>
      <c r="G537" s="35" t="e">
        <f t="shared" si="1144"/>
        <v>#DIV/0!</v>
      </c>
      <c r="H537" s="11" t="e">
        <f t="shared" si="1145"/>
        <v>#DIV/0!</v>
      </c>
      <c r="I537" s="35">
        <v>0</v>
      </c>
      <c r="J537" s="70">
        <v>0</v>
      </c>
      <c r="K537" s="35" t="e">
        <f t="shared" si="1146"/>
        <v>#DIV/0!</v>
      </c>
      <c r="L537" s="6" t="e">
        <f t="shared" si="1147"/>
        <v>#DIV/0!</v>
      </c>
      <c r="M537" s="68">
        <v>0</v>
      </c>
      <c r="N537" s="5">
        <v>0</v>
      </c>
      <c r="O537" s="35" t="e">
        <f t="shared" si="1148"/>
        <v>#DIV/0!</v>
      </c>
      <c r="P537" s="11" t="e">
        <f t="shared" si="1149"/>
        <v>#DIV/0!</v>
      </c>
      <c r="Q537" s="35">
        <v>0</v>
      </c>
      <c r="R537" s="66">
        <v>0</v>
      </c>
      <c r="S537" s="35" t="e">
        <f t="shared" si="1150"/>
        <v>#DIV/0!</v>
      </c>
      <c r="T537" s="6" t="e">
        <f t="shared" si="1151"/>
        <v>#DIV/0!</v>
      </c>
      <c r="U537" s="68">
        <v>0</v>
      </c>
      <c r="V537" s="66">
        <v>0</v>
      </c>
      <c r="W537" s="20" t="e">
        <f t="shared" si="1152"/>
        <v>#DIV/0!</v>
      </c>
      <c r="X537" s="6" t="e">
        <f t="shared" si="1153"/>
        <v>#DIV/0!</v>
      </c>
      <c r="Y537" s="68">
        <v>0</v>
      </c>
      <c r="Z537" s="70">
        <v>0</v>
      </c>
      <c r="AA537" s="35" t="e">
        <f t="shared" si="1154"/>
        <v>#DIV/0!</v>
      </c>
      <c r="AB537" s="11" t="e">
        <f t="shared" si="1155"/>
        <v>#DIV/0!</v>
      </c>
      <c r="AC537" s="20">
        <v>0</v>
      </c>
      <c r="AD537" s="36">
        <v>0</v>
      </c>
      <c r="AE537" s="35" t="e">
        <f t="shared" si="1156"/>
        <v>#DIV/0!</v>
      </c>
      <c r="AF537" s="6" t="e">
        <f t="shared" si="1157"/>
        <v>#DIV/0!</v>
      </c>
      <c r="AG537" s="68">
        <v>0</v>
      </c>
      <c r="AH537" s="66">
        <v>0</v>
      </c>
      <c r="AI537" s="35" t="e">
        <f t="shared" si="1158"/>
        <v>#DIV/0!</v>
      </c>
      <c r="AJ537" s="6" t="e">
        <f t="shared" si="1159"/>
        <v>#DIV/0!</v>
      </c>
      <c r="AK537" s="68">
        <v>0</v>
      </c>
      <c r="AL537" s="66">
        <v>0</v>
      </c>
      <c r="AM537" s="35" t="e">
        <f t="shared" si="1160"/>
        <v>#DIV/0!</v>
      </c>
      <c r="AN537" s="6" t="e">
        <f t="shared" si="1161"/>
        <v>#DIV/0!</v>
      </c>
      <c r="AO537" s="68">
        <v>0</v>
      </c>
      <c r="AP537" s="66">
        <v>0</v>
      </c>
      <c r="AQ537" s="35" t="e">
        <f t="shared" si="1162"/>
        <v>#DIV/0!</v>
      </c>
      <c r="AR537" s="6" t="e">
        <f t="shared" si="1163"/>
        <v>#DIV/0!</v>
      </c>
      <c r="AS537" s="68">
        <v>0</v>
      </c>
      <c r="AT537" s="66">
        <v>0</v>
      </c>
      <c r="AU537" s="35" t="e">
        <f t="shared" si="1164"/>
        <v>#DIV/0!</v>
      </c>
      <c r="AV537" s="6" t="e">
        <f t="shared" si="1165"/>
        <v>#DIV/0!</v>
      </c>
      <c r="AW537" s="68">
        <v>7710</v>
      </c>
      <c r="AX537" s="66">
        <v>360</v>
      </c>
      <c r="AY537" s="35">
        <f t="shared" si="1166"/>
        <v>21.416666666666668</v>
      </c>
      <c r="AZ537" s="6">
        <f t="shared" si="1167"/>
        <v>0.15578930012414649</v>
      </c>
      <c r="BA537" s="68">
        <v>0</v>
      </c>
      <c r="BB537" s="66">
        <v>0</v>
      </c>
      <c r="BC537" s="35" t="e">
        <f t="shared" si="1168"/>
        <v>#DIV/0!</v>
      </c>
      <c r="BD537" s="11" t="e">
        <f t="shared" si="1169"/>
        <v>#DIV/0!</v>
      </c>
    </row>
    <row r="538" spans="1:56" x14ac:dyDescent="0.25">
      <c r="A538" s="19" t="s">
        <v>6</v>
      </c>
      <c r="B538" s="8">
        <v>204790</v>
      </c>
      <c r="C538" s="35">
        <f>B538/F529</f>
        <v>163.83199999999999</v>
      </c>
      <c r="D538" s="8">
        <v>10950</v>
      </c>
      <c r="E538" s="68">
        <v>0</v>
      </c>
      <c r="F538" s="70">
        <v>0</v>
      </c>
      <c r="G538" s="35" t="e">
        <f t="shared" si="1144"/>
        <v>#DIV/0!</v>
      </c>
      <c r="H538" s="11" t="e">
        <f t="shared" si="1145"/>
        <v>#DIV/0!</v>
      </c>
      <c r="I538" s="35">
        <v>0</v>
      </c>
      <c r="J538" s="70">
        <v>0</v>
      </c>
      <c r="K538" s="35" t="e">
        <f t="shared" si="1146"/>
        <v>#DIV/0!</v>
      </c>
      <c r="L538" s="6" t="e">
        <f t="shared" si="1147"/>
        <v>#DIV/0!</v>
      </c>
      <c r="M538" s="68">
        <v>0</v>
      </c>
      <c r="N538" s="5">
        <v>0</v>
      </c>
      <c r="O538" s="35" t="e">
        <f t="shared" si="1148"/>
        <v>#DIV/0!</v>
      </c>
      <c r="P538" s="11" t="e">
        <f t="shared" si="1149"/>
        <v>#DIV/0!</v>
      </c>
      <c r="Q538" s="35">
        <v>0</v>
      </c>
      <c r="R538" s="66">
        <v>0</v>
      </c>
      <c r="S538" s="35" t="e">
        <f t="shared" si="1150"/>
        <v>#DIV/0!</v>
      </c>
      <c r="T538" s="6" t="e">
        <f t="shared" si="1151"/>
        <v>#DIV/0!</v>
      </c>
      <c r="U538" s="68">
        <v>0</v>
      </c>
      <c r="V538" s="66">
        <v>0</v>
      </c>
      <c r="W538" s="20" t="e">
        <f t="shared" si="1152"/>
        <v>#DIV/0!</v>
      </c>
      <c r="X538" s="6" t="e">
        <f t="shared" si="1153"/>
        <v>#DIV/0!</v>
      </c>
      <c r="Y538" s="68">
        <v>0</v>
      </c>
      <c r="Z538" s="70">
        <v>0</v>
      </c>
      <c r="AA538" s="35" t="e">
        <f t="shared" si="1154"/>
        <v>#DIV/0!</v>
      </c>
      <c r="AB538" s="11" t="e">
        <f t="shared" si="1155"/>
        <v>#DIV/0!</v>
      </c>
      <c r="AC538" s="20">
        <v>0</v>
      </c>
      <c r="AD538" s="36">
        <v>0</v>
      </c>
      <c r="AE538" s="35" t="e">
        <f t="shared" si="1156"/>
        <v>#DIV/0!</v>
      </c>
      <c r="AF538" s="6" t="e">
        <f t="shared" si="1157"/>
        <v>#DIV/0!</v>
      </c>
      <c r="AG538" s="68">
        <v>0</v>
      </c>
      <c r="AH538" s="66">
        <v>0</v>
      </c>
      <c r="AI538" s="35" t="e">
        <f t="shared" si="1158"/>
        <v>#DIV/0!</v>
      </c>
      <c r="AJ538" s="6" t="e">
        <f t="shared" si="1159"/>
        <v>#DIV/0!</v>
      </c>
      <c r="AK538" s="68">
        <v>0</v>
      </c>
      <c r="AL538" s="66">
        <v>0</v>
      </c>
      <c r="AM538" s="35" t="e">
        <f t="shared" si="1160"/>
        <v>#DIV/0!</v>
      </c>
      <c r="AN538" s="6" t="e">
        <f t="shared" si="1161"/>
        <v>#DIV/0!</v>
      </c>
      <c r="AO538" s="68">
        <v>0</v>
      </c>
      <c r="AP538" s="66">
        <v>0</v>
      </c>
      <c r="AQ538" s="35" t="e">
        <f t="shared" si="1162"/>
        <v>#DIV/0!</v>
      </c>
      <c r="AR538" s="6" t="e">
        <f t="shared" si="1163"/>
        <v>#DIV/0!</v>
      </c>
      <c r="AS538" s="68">
        <v>0</v>
      </c>
      <c r="AT538" s="66">
        <v>0</v>
      </c>
      <c r="AU538" s="35" t="e">
        <f t="shared" si="1164"/>
        <v>#DIV/0!</v>
      </c>
      <c r="AV538" s="6" t="e">
        <f t="shared" si="1165"/>
        <v>#DIV/0!</v>
      </c>
      <c r="AW538" s="68">
        <v>8940</v>
      </c>
      <c r="AX538" s="66">
        <v>360</v>
      </c>
      <c r="AY538" s="35">
        <f t="shared" si="1166"/>
        <v>24.833333333333332</v>
      </c>
      <c r="AZ538" s="6">
        <f t="shared" si="1167"/>
        <v>0.15157803929228314</v>
      </c>
      <c r="BA538" s="68">
        <v>0</v>
      </c>
      <c r="BB538" s="66">
        <v>0</v>
      </c>
      <c r="BC538" s="35" t="e">
        <f t="shared" si="1168"/>
        <v>#DIV/0!</v>
      </c>
      <c r="BD538" s="11" t="e">
        <f t="shared" si="1169"/>
        <v>#DIV/0!</v>
      </c>
    </row>
    <row r="539" spans="1:56" ht="15.75" thickBot="1" x14ac:dyDescent="0.3">
      <c r="A539" s="21"/>
      <c r="B539" s="22"/>
      <c r="C539" s="23">
        <f>AVERAGE(Table11041[MA $/Sq Ft])</f>
        <v>95.54285714285713</v>
      </c>
      <c r="D539" s="22">
        <f>AVERAGE(Table11041[Basic Allowance])</f>
        <v>4442.8571428571431</v>
      </c>
      <c r="E539" s="16"/>
      <c r="F539" s="22"/>
      <c r="G539" s="15"/>
      <c r="H539" s="24" t="e">
        <f>AVERAGE(Table11041[Bsmt % Base])</f>
        <v>#DIV/0!</v>
      </c>
      <c r="I539" s="15"/>
      <c r="J539" s="15"/>
      <c r="K539" s="15"/>
      <c r="L539" s="25" t="e">
        <f>AVERAGE(Table11041[[#Headers],[#Data],[UnfBsmt % Base]])</f>
        <v>#DIV/0!</v>
      </c>
      <c r="M539" s="44"/>
      <c r="N539" s="15"/>
      <c r="O539" s="23" t="e">
        <f>AVERAGE(Table11041[LowerVal/SqFt])</f>
        <v>#DIV/0!</v>
      </c>
      <c r="P539" s="24" t="e">
        <f>AVERAGE(Table11041[Lower % Base])</f>
        <v>#DIV/0!</v>
      </c>
      <c r="Q539" s="13"/>
      <c r="R539" s="13"/>
      <c r="S539" s="13"/>
      <c r="T539" s="25" t="e">
        <f>AVERAGE(Table11041[Unf Lower % Base])</f>
        <v>#DIV/0!</v>
      </c>
      <c r="U539" s="12"/>
      <c r="V539" s="13"/>
      <c r="W539" s="13"/>
      <c r="X539" s="25" t="e">
        <f>AVERAGE(Table11041[1/2 Story % Base])</f>
        <v>#DIV/0!</v>
      </c>
      <c r="Y539" s="12"/>
      <c r="Z539" s="13"/>
      <c r="AA539" s="13"/>
      <c r="AB539" s="24" t="e">
        <f>AVERAGE(Table11041[2nd Story % Base])</f>
        <v>#DIV/0!</v>
      </c>
      <c r="AC539" s="13"/>
      <c r="AD539" s="13"/>
      <c r="AE539" s="23" t="e">
        <f>AVERAGE(Table11041[AttGarVal/SqFt])</f>
        <v>#DIV/0!</v>
      </c>
      <c r="AF539" s="25" t="e">
        <f>AVERAGE(Table11041[Att Gar % Base])</f>
        <v>#DIV/0!</v>
      </c>
      <c r="AG539" s="12"/>
      <c r="AH539" s="13"/>
      <c r="AI539" s="13"/>
      <c r="AJ539" s="25" t="e">
        <f>AVERAGE(Table11041[Porch % Base])</f>
        <v>#DIV/0!</v>
      </c>
      <c r="AK539" s="12"/>
      <c r="AL539" s="13"/>
      <c r="AM539" s="13"/>
      <c r="AN539" s="25" t="e">
        <f>AVERAGE(Table11041[Cov Porch % Base])</f>
        <v>#DIV/0!</v>
      </c>
      <c r="AO539" s="12"/>
      <c r="AP539" s="13"/>
      <c r="AQ539" s="13"/>
      <c r="AR539" s="25" t="e">
        <f>AVERAGE(Table11041[Deck % Base])</f>
        <v>#DIV/0!</v>
      </c>
      <c r="AS539" s="12"/>
      <c r="AT539" s="13"/>
      <c r="AU539" s="23" t="e">
        <f>AVERAGE(Table11041[CovDeckVal/SqFt])</f>
        <v>#DIV/0!</v>
      </c>
      <c r="AV539" s="25" t="e">
        <f>AVERAGE(Table11041[CovDeck % Base])</f>
        <v>#DIV/0!</v>
      </c>
      <c r="AW539" s="12"/>
      <c r="AX539" s="13"/>
      <c r="AY539" s="13"/>
      <c r="AZ539" s="25">
        <f>AVERAGE(Table11041[CarP % Base])</f>
        <v>0.16425203080438597</v>
      </c>
      <c r="BA539" s="12"/>
      <c r="BB539" s="13"/>
      <c r="BC539" s="13"/>
      <c r="BD539" s="24" t="e">
        <f>AVERAGE(Table11041[EFP % Base])</f>
        <v>#DIV/0!</v>
      </c>
    </row>
    <row r="541" spans="1:56" ht="15.75" thickBot="1" x14ac:dyDescent="0.3">
      <c r="A541" s="83"/>
      <c r="B541" t="s">
        <v>79</v>
      </c>
      <c r="C541" s="78" t="s">
        <v>135</v>
      </c>
      <c r="E541" t="s">
        <v>33</v>
      </c>
      <c r="F541" s="79">
        <v>772</v>
      </c>
      <c r="H541" t="s">
        <v>80</v>
      </c>
      <c r="I541" t="s">
        <v>134</v>
      </c>
      <c r="J541" t="s">
        <v>137</v>
      </c>
    </row>
    <row r="542" spans="1:56" x14ac:dyDescent="0.25">
      <c r="A542" s="112"/>
      <c r="B542" s="113"/>
      <c r="C542" s="113"/>
      <c r="D542" s="114"/>
      <c r="E542" s="115" t="s">
        <v>27</v>
      </c>
      <c r="F542" s="116"/>
      <c r="G542" s="116"/>
      <c r="H542" s="117"/>
      <c r="I542" s="118" t="s">
        <v>28</v>
      </c>
      <c r="J542" s="119"/>
      <c r="K542" s="119"/>
      <c r="L542" s="120"/>
      <c r="M542" s="121" t="s">
        <v>7</v>
      </c>
      <c r="N542" s="122"/>
      <c r="O542" s="122"/>
      <c r="P542" s="123"/>
      <c r="Q542" s="124" t="s">
        <v>29</v>
      </c>
      <c r="R542" s="125"/>
      <c r="S542" s="125"/>
      <c r="T542" s="126"/>
      <c r="U542" s="127" t="s">
        <v>8</v>
      </c>
      <c r="V542" s="128"/>
      <c r="W542" s="128"/>
      <c r="X542" s="129"/>
      <c r="Y542" s="130" t="s">
        <v>0</v>
      </c>
      <c r="Z542" s="131"/>
      <c r="AA542" s="131"/>
      <c r="AB542" s="132"/>
      <c r="AC542" s="133" t="s">
        <v>34</v>
      </c>
      <c r="AD542" s="134"/>
      <c r="AE542" s="134"/>
      <c r="AF542" s="135"/>
      <c r="AG542" s="115" t="s">
        <v>9</v>
      </c>
      <c r="AH542" s="116"/>
      <c r="AI542" s="116"/>
      <c r="AJ542" s="117"/>
      <c r="AK542" s="136" t="s">
        <v>35</v>
      </c>
      <c r="AL542" s="137"/>
      <c r="AM542" s="137"/>
      <c r="AN542" s="138"/>
      <c r="AO542" s="139" t="s">
        <v>10</v>
      </c>
      <c r="AP542" s="140"/>
      <c r="AQ542" s="140"/>
      <c r="AR542" s="141"/>
      <c r="AS542" s="124" t="s">
        <v>36</v>
      </c>
      <c r="AT542" s="125"/>
      <c r="AU542" s="125"/>
      <c r="AV542" s="126"/>
      <c r="AW542" s="142" t="s">
        <v>11</v>
      </c>
      <c r="AX542" s="143"/>
      <c r="AY542" s="143"/>
      <c r="AZ542" s="144"/>
      <c r="BA542" s="148" t="s">
        <v>17</v>
      </c>
      <c r="BB542" s="149"/>
      <c r="BC542" s="149"/>
      <c r="BD542" s="150"/>
    </row>
    <row r="543" spans="1:56" s="1" customFormat="1" ht="15.75" thickBot="1" x14ac:dyDescent="0.3">
      <c r="A543" s="41" t="s">
        <v>13</v>
      </c>
      <c r="B543" s="42" t="s">
        <v>15</v>
      </c>
      <c r="C543" s="42" t="s">
        <v>32</v>
      </c>
      <c r="D543" s="43" t="s">
        <v>18</v>
      </c>
      <c r="E543" s="30" t="s">
        <v>30</v>
      </c>
      <c r="F543" s="31" t="s">
        <v>61</v>
      </c>
      <c r="G543" s="31" t="s">
        <v>38</v>
      </c>
      <c r="H543" s="32" t="s">
        <v>62</v>
      </c>
      <c r="I543" s="37" t="s">
        <v>31</v>
      </c>
      <c r="J543" s="38" t="s">
        <v>39</v>
      </c>
      <c r="K543" s="38" t="s">
        <v>40</v>
      </c>
      <c r="L543" s="39" t="s">
        <v>63</v>
      </c>
      <c r="M543" s="40" t="s">
        <v>19</v>
      </c>
      <c r="N543" s="7" t="s">
        <v>41</v>
      </c>
      <c r="O543" s="7" t="s">
        <v>37</v>
      </c>
      <c r="P543" s="7" t="s">
        <v>64</v>
      </c>
      <c r="Q543" s="27" t="s">
        <v>20</v>
      </c>
      <c r="R543" s="28" t="s">
        <v>60</v>
      </c>
      <c r="S543" s="28" t="s">
        <v>59</v>
      </c>
      <c r="T543" s="29" t="s">
        <v>65</v>
      </c>
      <c r="U543" s="48" t="s">
        <v>21</v>
      </c>
      <c r="V543" s="48" t="s">
        <v>42</v>
      </c>
      <c r="W543" s="48" t="s">
        <v>43</v>
      </c>
      <c r="X543" s="49" t="s">
        <v>66</v>
      </c>
      <c r="Y543" s="50" t="s">
        <v>22</v>
      </c>
      <c r="Z543" s="51" t="s">
        <v>44</v>
      </c>
      <c r="AA543" s="51" t="s">
        <v>45</v>
      </c>
      <c r="AB543" s="52" t="s">
        <v>67</v>
      </c>
      <c r="AC543" s="45" t="s">
        <v>23</v>
      </c>
      <c r="AD543" s="46" t="s">
        <v>46</v>
      </c>
      <c r="AE543" s="46" t="s">
        <v>47</v>
      </c>
      <c r="AF543" s="47" t="s">
        <v>68</v>
      </c>
      <c r="AG543" s="30" t="s">
        <v>24</v>
      </c>
      <c r="AH543" s="31" t="s">
        <v>48</v>
      </c>
      <c r="AI543" s="31" t="s">
        <v>49</v>
      </c>
      <c r="AJ543" s="32" t="s">
        <v>69</v>
      </c>
      <c r="AK543" s="53" t="s">
        <v>25</v>
      </c>
      <c r="AL543" s="54" t="s">
        <v>50</v>
      </c>
      <c r="AM543" s="54" t="s">
        <v>51</v>
      </c>
      <c r="AN543" s="55" t="s">
        <v>70</v>
      </c>
      <c r="AO543" s="56" t="s">
        <v>26</v>
      </c>
      <c r="AP543" s="57" t="s">
        <v>52</v>
      </c>
      <c r="AQ543" s="57" t="s">
        <v>53</v>
      </c>
      <c r="AR543" s="58" t="s">
        <v>71</v>
      </c>
      <c r="AS543" s="59" t="s">
        <v>55</v>
      </c>
      <c r="AT543" s="60" t="s">
        <v>54</v>
      </c>
      <c r="AU543" s="60" t="s">
        <v>56</v>
      </c>
      <c r="AV543" s="61" t="s">
        <v>76</v>
      </c>
      <c r="AW543" s="62" t="s">
        <v>72</v>
      </c>
      <c r="AX543" s="63" t="s">
        <v>73</v>
      </c>
      <c r="AY543" s="63" t="s">
        <v>74</v>
      </c>
      <c r="AZ543" s="64" t="s">
        <v>75</v>
      </c>
      <c r="BA543" s="71" t="s">
        <v>77</v>
      </c>
      <c r="BB543" s="72" t="s">
        <v>57</v>
      </c>
      <c r="BC543" s="72" t="s">
        <v>58</v>
      </c>
      <c r="BD543" s="73" t="s">
        <v>78</v>
      </c>
    </row>
    <row r="544" spans="1:56" x14ac:dyDescent="0.25">
      <c r="A544" s="17" t="s">
        <v>1</v>
      </c>
      <c r="B544" s="14">
        <v>42410</v>
      </c>
      <c r="C544" s="34">
        <f>B544/F541</f>
        <v>54.935233160621763</v>
      </c>
      <c r="D544" s="14">
        <v>1525</v>
      </c>
      <c r="E544" s="67">
        <v>0</v>
      </c>
      <c r="F544" s="69">
        <v>0</v>
      </c>
      <c r="G544" s="34" t="e">
        <f t="shared" ref="G544:G550" si="1170">E544/F544</f>
        <v>#DIV/0!</v>
      </c>
      <c r="H544" s="10" t="e">
        <f t="shared" ref="H544:H550" si="1171">G544/C544</f>
        <v>#DIV/0!</v>
      </c>
      <c r="I544" s="34">
        <v>0</v>
      </c>
      <c r="J544" s="69">
        <v>0</v>
      </c>
      <c r="K544" s="34" t="e">
        <f t="shared" ref="K544:K550" si="1172">I544/J544</f>
        <v>#DIV/0!</v>
      </c>
      <c r="L544" s="9" t="e">
        <f t="shared" ref="L544:L550" si="1173">K544/C544</f>
        <v>#DIV/0!</v>
      </c>
      <c r="M544" s="67">
        <v>0</v>
      </c>
      <c r="N544" s="26">
        <v>0</v>
      </c>
      <c r="O544" s="34" t="e">
        <f t="shared" ref="O544:O550" si="1174">M544/N544</f>
        <v>#DIV/0!</v>
      </c>
      <c r="P544" s="10" t="e">
        <f t="shared" ref="P544:P550" si="1175">O544/C544</f>
        <v>#DIV/0!</v>
      </c>
      <c r="Q544" s="35">
        <v>0</v>
      </c>
      <c r="R544" s="66">
        <v>0</v>
      </c>
      <c r="S544" s="35" t="e">
        <f t="shared" ref="S544:S550" si="1176">Q544/R544</f>
        <v>#DIV/0!</v>
      </c>
      <c r="T544" s="6" t="e">
        <f t="shared" ref="T544:T550" si="1177">S544/C544</f>
        <v>#DIV/0!</v>
      </c>
      <c r="U544" s="67">
        <v>0</v>
      </c>
      <c r="V544" s="65">
        <v>0</v>
      </c>
      <c r="W544" s="18" t="e">
        <f t="shared" ref="W544:W550" si="1178">U544/V544</f>
        <v>#DIV/0!</v>
      </c>
      <c r="X544" s="9" t="e">
        <f t="shared" ref="X544:X550" si="1179">W544/C544</f>
        <v>#DIV/0!</v>
      </c>
      <c r="Y544" s="67">
        <v>0</v>
      </c>
      <c r="Z544" s="69">
        <v>0</v>
      </c>
      <c r="AA544" s="34" t="e">
        <f t="shared" ref="AA544:AA550" si="1180">Y544/Z544</f>
        <v>#DIV/0!</v>
      </c>
      <c r="AB544" s="10" t="e">
        <f t="shared" ref="AB544:AB550" si="1181">AA544/C544</f>
        <v>#DIV/0!</v>
      </c>
      <c r="AC544" s="18">
        <v>0</v>
      </c>
      <c r="AD544" s="33">
        <v>0</v>
      </c>
      <c r="AE544" s="34" t="e">
        <f t="shared" ref="AE544:AE550" si="1182">AC544/AD544</f>
        <v>#DIV/0!</v>
      </c>
      <c r="AF544" s="9" t="e">
        <f t="shared" ref="AF544:AF550" si="1183">AE544/C544</f>
        <v>#DIV/0!</v>
      </c>
      <c r="AG544" s="67">
        <v>0</v>
      </c>
      <c r="AH544" s="65">
        <v>0</v>
      </c>
      <c r="AI544" s="34" t="e">
        <f t="shared" ref="AI544:AI550" si="1184">AG544/AH544</f>
        <v>#DIV/0!</v>
      </c>
      <c r="AJ544" s="9" t="e">
        <f t="shared" ref="AJ544:AJ550" si="1185">AI544/C544</f>
        <v>#DIV/0!</v>
      </c>
      <c r="AK544" s="67">
        <v>1490</v>
      </c>
      <c r="AL544" s="65">
        <v>180</v>
      </c>
      <c r="AM544" s="34">
        <f t="shared" ref="AM544:AM550" si="1186">AK544/AL544</f>
        <v>8.2777777777777786</v>
      </c>
      <c r="AN544" s="9">
        <f t="shared" ref="AN544:AN550" si="1187">AM544/C544</f>
        <v>0.15068249102674947</v>
      </c>
      <c r="AO544" s="67">
        <v>0</v>
      </c>
      <c r="AP544" s="65">
        <v>0</v>
      </c>
      <c r="AQ544" s="34" t="e">
        <f t="shared" ref="AQ544:AQ550" si="1188">AO544/AP544</f>
        <v>#DIV/0!</v>
      </c>
      <c r="AR544" s="9" t="e">
        <f t="shared" ref="AR544:AR550" si="1189">AQ544/C544</f>
        <v>#DIV/0!</v>
      </c>
      <c r="AS544" s="67">
        <v>0</v>
      </c>
      <c r="AT544" s="65">
        <v>0</v>
      </c>
      <c r="AU544" s="34" t="e">
        <f t="shared" ref="AU544:AU550" si="1190">AS544/AT544</f>
        <v>#DIV/0!</v>
      </c>
      <c r="AV544" s="9" t="e">
        <f t="shared" ref="AV544:AV550" si="1191">AU544/C544</f>
        <v>#DIV/0!</v>
      </c>
      <c r="AW544" s="67">
        <v>1770</v>
      </c>
      <c r="AX544" s="65">
        <v>210</v>
      </c>
      <c r="AY544" s="34">
        <f t="shared" ref="AY544:AY550" si="1192">AW544/AX544</f>
        <v>8.4285714285714288</v>
      </c>
      <c r="AZ544" s="9">
        <f t="shared" ref="AZ544:AZ550" si="1193">AY544/C544</f>
        <v>0.15342742614612456</v>
      </c>
      <c r="BA544" s="67">
        <v>0</v>
      </c>
      <c r="BB544" s="65">
        <v>0</v>
      </c>
      <c r="BC544" s="34" t="e">
        <f t="shared" ref="BC544:BC550" si="1194">BA544/BB544</f>
        <v>#DIV/0!</v>
      </c>
      <c r="BD544" s="10" t="e">
        <f t="shared" ref="BD544:BD550" si="1195">BC544/C544</f>
        <v>#DIV/0!</v>
      </c>
    </row>
    <row r="545" spans="1:56" x14ac:dyDescent="0.25">
      <c r="A545" s="19" t="s">
        <v>16</v>
      </c>
      <c r="B545" s="8">
        <v>49900</v>
      </c>
      <c r="C545" s="35">
        <f>B545/F541</f>
        <v>64.637305699481871</v>
      </c>
      <c r="D545" s="8">
        <v>1525</v>
      </c>
      <c r="E545" s="68">
        <v>0</v>
      </c>
      <c r="F545" s="70">
        <v>0</v>
      </c>
      <c r="G545" s="35" t="e">
        <f t="shared" si="1170"/>
        <v>#DIV/0!</v>
      </c>
      <c r="H545" s="11" t="e">
        <f t="shared" si="1171"/>
        <v>#DIV/0!</v>
      </c>
      <c r="I545" s="35">
        <v>0</v>
      </c>
      <c r="J545" s="70">
        <v>0</v>
      </c>
      <c r="K545" s="35" t="e">
        <f t="shared" si="1172"/>
        <v>#DIV/0!</v>
      </c>
      <c r="L545" s="6" t="e">
        <f t="shared" si="1173"/>
        <v>#DIV/0!</v>
      </c>
      <c r="M545" s="68">
        <v>0</v>
      </c>
      <c r="N545" s="5">
        <v>0</v>
      </c>
      <c r="O545" s="35" t="e">
        <f t="shared" si="1174"/>
        <v>#DIV/0!</v>
      </c>
      <c r="P545" s="11" t="e">
        <f t="shared" si="1175"/>
        <v>#DIV/0!</v>
      </c>
      <c r="Q545" s="35">
        <v>0</v>
      </c>
      <c r="R545" s="66">
        <v>0</v>
      </c>
      <c r="S545" s="35" t="e">
        <f t="shared" si="1176"/>
        <v>#DIV/0!</v>
      </c>
      <c r="T545" s="6" t="e">
        <f t="shared" si="1177"/>
        <v>#DIV/0!</v>
      </c>
      <c r="U545" s="68">
        <v>0</v>
      </c>
      <c r="V545" s="66">
        <v>0</v>
      </c>
      <c r="W545" s="20" t="e">
        <f t="shared" si="1178"/>
        <v>#DIV/0!</v>
      </c>
      <c r="X545" s="6" t="e">
        <f t="shared" si="1179"/>
        <v>#DIV/0!</v>
      </c>
      <c r="Y545" s="68">
        <v>0</v>
      </c>
      <c r="Z545" s="70">
        <v>0</v>
      </c>
      <c r="AA545" s="35" t="e">
        <f t="shared" si="1180"/>
        <v>#DIV/0!</v>
      </c>
      <c r="AB545" s="11" t="e">
        <f t="shared" si="1181"/>
        <v>#DIV/0!</v>
      </c>
      <c r="AC545" s="20">
        <v>0</v>
      </c>
      <c r="AD545" s="36">
        <v>0</v>
      </c>
      <c r="AE545" s="35" t="e">
        <f t="shared" si="1182"/>
        <v>#DIV/0!</v>
      </c>
      <c r="AF545" s="6" t="e">
        <f t="shared" si="1183"/>
        <v>#DIV/0!</v>
      </c>
      <c r="AG545" s="68">
        <v>0</v>
      </c>
      <c r="AH545" s="66">
        <v>0</v>
      </c>
      <c r="AI545" s="35" t="e">
        <f t="shared" si="1184"/>
        <v>#DIV/0!</v>
      </c>
      <c r="AJ545" s="6" t="e">
        <f t="shared" si="1185"/>
        <v>#DIV/0!</v>
      </c>
      <c r="AK545" s="68">
        <v>2220</v>
      </c>
      <c r="AL545" s="66">
        <v>180</v>
      </c>
      <c r="AM545" s="35">
        <f t="shared" si="1186"/>
        <v>12.333333333333334</v>
      </c>
      <c r="AN545" s="6">
        <f t="shared" si="1187"/>
        <v>0.19080828323313292</v>
      </c>
      <c r="AO545" s="68">
        <v>0</v>
      </c>
      <c r="AP545" s="66">
        <v>0</v>
      </c>
      <c r="AQ545" s="35" t="e">
        <f t="shared" si="1188"/>
        <v>#DIV/0!</v>
      </c>
      <c r="AR545" s="6" t="e">
        <f t="shared" si="1189"/>
        <v>#DIV/0!</v>
      </c>
      <c r="AS545" s="68">
        <v>0</v>
      </c>
      <c r="AT545" s="66">
        <v>0</v>
      </c>
      <c r="AU545" s="35" t="e">
        <f t="shared" si="1190"/>
        <v>#DIV/0!</v>
      </c>
      <c r="AV545" s="6" t="e">
        <f t="shared" si="1191"/>
        <v>#DIV/0!</v>
      </c>
      <c r="AW545" s="68">
        <v>2040</v>
      </c>
      <c r="AX545" s="66">
        <v>210</v>
      </c>
      <c r="AY545" s="35">
        <f t="shared" si="1192"/>
        <v>9.7142857142857135</v>
      </c>
      <c r="AZ545" s="6">
        <f t="shared" si="1193"/>
        <v>0.15028914972802745</v>
      </c>
      <c r="BA545" s="68">
        <v>0</v>
      </c>
      <c r="BB545" s="66">
        <v>0</v>
      </c>
      <c r="BC545" s="35" t="e">
        <f t="shared" si="1194"/>
        <v>#DIV/0!</v>
      </c>
      <c r="BD545" s="11" t="e">
        <f t="shared" si="1195"/>
        <v>#DIV/0!</v>
      </c>
    </row>
    <row r="546" spans="1:56" x14ac:dyDescent="0.25">
      <c r="A546" s="19" t="s">
        <v>2</v>
      </c>
      <c r="B546" s="8">
        <v>58450</v>
      </c>
      <c r="C546" s="35">
        <f>B546/F541</f>
        <v>75.712435233160619</v>
      </c>
      <c r="D546" s="8">
        <v>2100</v>
      </c>
      <c r="E546" s="68">
        <v>0</v>
      </c>
      <c r="F546" s="70">
        <v>0</v>
      </c>
      <c r="G546" s="35" t="e">
        <f t="shared" si="1170"/>
        <v>#DIV/0!</v>
      </c>
      <c r="H546" s="11" t="e">
        <f t="shared" si="1171"/>
        <v>#DIV/0!</v>
      </c>
      <c r="I546" s="35">
        <v>0</v>
      </c>
      <c r="J546" s="70">
        <v>0</v>
      </c>
      <c r="K546" s="35" t="e">
        <f t="shared" si="1172"/>
        <v>#DIV/0!</v>
      </c>
      <c r="L546" s="6" t="e">
        <f t="shared" si="1173"/>
        <v>#DIV/0!</v>
      </c>
      <c r="M546" s="68">
        <v>0</v>
      </c>
      <c r="N546" s="5">
        <v>0</v>
      </c>
      <c r="O546" s="35" t="e">
        <f t="shared" si="1174"/>
        <v>#DIV/0!</v>
      </c>
      <c r="P546" s="11" t="e">
        <f t="shared" si="1175"/>
        <v>#DIV/0!</v>
      </c>
      <c r="Q546" s="35">
        <v>0</v>
      </c>
      <c r="R546" s="66">
        <v>0</v>
      </c>
      <c r="S546" s="35" t="e">
        <f t="shared" si="1176"/>
        <v>#DIV/0!</v>
      </c>
      <c r="T546" s="6" t="e">
        <f t="shared" si="1177"/>
        <v>#DIV/0!</v>
      </c>
      <c r="U546" s="68">
        <v>0</v>
      </c>
      <c r="V546" s="66">
        <v>0</v>
      </c>
      <c r="W546" s="20" t="e">
        <f t="shared" si="1178"/>
        <v>#DIV/0!</v>
      </c>
      <c r="X546" s="6" t="e">
        <f t="shared" si="1179"/>
        <v>#DIV/0!</v>
      </c>
      <c r="Y546" s="68">
        <v>0</v>
      </c>
      <c r="Z546" s="70">
        <v>0</v>
      </c>
      <c r="AA546" s="35" t="e">
        <f t="shared" si="1180"/>
        <v>#DIV/0!</v>
      </c>
      <c r="AB546" s="11" t="e">
        <f t="shared" si="1181"/>
        <v>#DIV/0!</v>
      </c>
      <c r="AC546" s="20">
        <v>0</v>
      </c>
      <c r="AD546" s="36">
        <v>0</v>
      </c>
      <c r="AE546" s="35" t="e">
        <f t="shared" si="1182"/>
        <v>#DIV/0!</v>
      </c>
      <c r="AF546" s="6" t="e">
        <f t="shared" si="1183"/>
        <v>#DIV/0!</v>
      </c>
      <c r="AG546" s="68">
        <v>0</v>
      </c>
      <c r="AH546" s="66">
        <v>0</v>
      </c>
      <c r="AI546" s="35" t="e">
        <f t="shared" si="1184"/>
        <v>#DIV/0!</v>
      </c>
      <c r="AJ546" s="6" t="e">
        <f t="shared" si="1185"/>
        <v>#DIV/0!</v>
      </c>
      <c r="AK546" s="68">
        <v>2410</v>
      </c>
      <c r="AL546" s="66">
        <v>180</v>
      </c>
      <c r="AM546" s="35">
        <f t="shared" si="1186"/>
        <v>13.388888888888889</v>
      </c>
      <c r="AN546" s="6">
        <f t="shared" si="1187"/>
        <v>0.17683870354529038</v>
      </c>
      <c r="AO546" s="68">
        <v>0</v>
      </c>
      <c r="AP546" s="66">
        <v>0</v>
      </c>
      <c r="AQ546" s="35" t="e">
        <f t="shared" si="1188"/>
        <v>#DIV/0!</v>
      </c>
      <c r="AR546" s="6" t="e">
        <f t="shared" si="1189"/>
        <v>#DIV/0!</v>
      </c>
      <c r="AS546" s="68">
        <v>0</v>
      </c>
      <c r="AT546" s="66">
        <v>0</v>
      </c>
      <c r="AU546" s="35" t="e">
        <f t="shared" si="1190"/>
        <v>#DIV/0!</v>
      </c>
      <c r="AV546" s="6" t="e">
        <f t="shared" si="1191"/>
        <v>#DIV/0!</v>
      </c>
      <c r="AW546" s="68">
        <v>2310</v>
      </c>
      <c r="AX546" s="66">
        <v>210</v>
      </c>
      <c r="AY546" s="35">
        <f t="shared" si="1192"/>
        <v>11</v>
      </c>
      <c r="AZ546" s="6">
        <f t="shared" si="1193"/>
        <v>0.14528656971770745</v>
      </c>
      <c r="BA546" s="68">
        <v>0</v>
      </c>
      <c r="BB546" s="66">
        <v>0</v>
      </c>
      <c r="BC546" s="35" t="e">
        <f t="shared" si="1194"/>
        <v>#DIV/0!</v>
      </c>
      <c r="BD546" s="11" t="e">
        <f t="shared" si="1195"/>
        <v>#DIV/0!</v>
      </c>
    </row>
    <row r="547" spans="1:56" x14ac:dyDescent="0.25">
      <c r="A547" s="19" t="s">
        <v>3</v>
      </c>
      <c r="B547" s="8">
        <v>69750</v>
      </c>
      <c r="C547" s="35">
        <f>B547/F541</f>
        <v>90.34974093264249</v>
      </c>
      <c r="D547" s="8">
        <v>2700</v>
      </c>
      <c r="E547" s="68">
        <v>0</v>
      </c>
      <c r="F547" s="70">
        <v>0</v>
      </c>
      <c r="G547" s="35" t="e">
        <f t="shared" si="1170"/>
        <v>#DIV/0!</v>
      </c>
      <c r="H547" s="11" t="e">
        <f t="shared" si="1171"/>
        <v>#DIV/0!</v>
      </c>
      <c r="I547" s="35">
        <v>0</v>
      </c>
      <c r="J547" s="70">
        <v>0</v>
      </c>
      <c r="K547" s="35" t="e">
        <f t="shared" si="1172"/>
        <v>#DIV/0!</v>
      </c>
      <c r="L547" s="6" t="e">
        <f t="shared" si="1173"/>
        <v>#DIV/0!</v>
      </c>
      <c r="M547" s="68">
        <v>0</v>
      </c>
      <c r="N547" s="5">
        <v>0</v>
      </c>
      <c r="O547" s="35" t="e">
        <f t="shared" si="1174"/>
        <v>#DIV/0!</v>
      </c>
      <c r="P547" s="11" t="e">
        <f t="shared" si="1175"/>
        <v>#DIV/0!</v>
      </c>
      <c r="Q547" s="35">
        <v>0</v>
      </c>
      <c r="R547" s="66">
        <v>0</v>
      </c>
      <c r="S547" s="35" t="e">
        <f t="shared" si="1176"/>
        <v>#DIV/0!</v>
      </c>
      <c r="T547" s="6" t="e">
        <f t="shared" si="1177"/>
        <v>#DIV/0!</v>
      </c>
      <c r="U547" s="68">
        <v>0</v>
      </c>
      <c r="V547" s="66">
        <v>0</v>
      </c>
      <c r="W547" s="20" t="e">
        <f t="shared" si="1178"/>
        <v>#DIV/0!</v>
      </c>
      <c r="X547" s="6" t="e">
        <f t="shared" si="1179"/>
        <v>#DIV/0!</v>
      </c>
      <c r="Y547" s="68">
        <v>0</v>
      </c>
      <c r="Z547" s="70">
        <v>0</v>
      </c>
      <c r="AA547" s="35" t="e">
        <f t="shared" si="1180"/>
        <v>#DIV/0!</v>
      </c>
      <c r="AB547" s="11" t="e">
        <f t="shared" si="1181"/>
        <v>#DIV/0!</v>
      </c>
      <c r="AC547" s="20">
        <v>0</v>
      </c>
      <c r="AD547" s="36">
        <v>0</v>
      </c>
      <c r="AE547" s="35" t="e">
        <f t="shared" si="1182"/>
        <v>#DIV/0!</v>
      </c>
      <c r="AF547" s="6" t="e">
        <f t="shared" si="1183"/>
        <v>#DIV/0!</v>
      </c>
      <c r="AG547" s="68">
        <v>0</v>
      </c>
      <c r="AH547" s="66">
        <v>0</v>
      </c>
      <c r="AI547" s="35" t="e">
        <f t="shared" si="1184"/>
        <v>#DIV/0!</v>
      </c>
      <c r="AJ547" s="6" t="e">
        <f t="shared" si="1185"/>
        <v>#DIV/0!</v>
      </c>
      <c r="AK547" s="68">
        <v>2640</v>
      </c>
      <c r="AL547" s="66">
        <v>180</v>
      </c>
      <c r="AM547" s="35">
        <f t="shared" si="1186"/>
        <v>14.666666666666666</v>
      </c>
      <c r="AN547" s="6">
        <f t="shared" si="1187"/>
        <v>0.1623321385902031</v>
      </c>
      <c r="AO547" s="68">
        <v>0</v>
      </c>
      <c r="AP547" s="66">
        <v>0</v>
      </c>
      <c r="AQ547" s="35" t="e">
        <f t="shared" si="1188"/>
        <v>#DIV/0!</v>
      </c>
      <c r="AR547" s="6" t="e">
        <f t="shared" si="1189"/>
        <v>#DIV/0!</v>
      </c>
      <c r="AS547" s="68">
        <v>0</v>
      </c>
      <c r="AT547" s="66">
        <v>0</v>
      </c>
      <c r="AU547" s="35" t="e">
        <f t="shared" si="1190"/>
        <v>#DIV/0!</v>
      </c>
      <c r="AV547" s="6" t="e">
        <f t="shared" si="1191"/>
        <v>#DIV/0!</v>
      </c>
      <c r="AW547" s="68">
        <v>3250</v>
      </c>
      <c r="AX547" s="66">
        <v>210</v>
      </c>
      <c r="AY547" s="35">
        <f t="shared" si="1192"/>
        <v>15.476190476190476</v>
      </c>
      <c r="AZ547" s="6">
        <f t="shared" si="1193"/>
        <v>0.17129202935654547</v>
      </c>
      <c r="BA547" s="68">
        <v>0</v>
      </c>
      <c r="BB547" s="66">
        <v>0</v>
      </c>
      <c r="BC547" s="35" t="e">
        <f t="shared" si="1194"/>
        <v>#DIV/0!</v>
      </c>
      <c r="BD547" s="11" t="e">
        <f t="shared" si="1195"/>
        <v>#DIV/0!</v>
      </c>
    </row>
    <row r="548" spans="1:56" x14ac:dyDescent="0.25">
      <c r="A548" s="19" t="s">
        <v>4</v>
      </c>
      <c r="B548" s="8">
        <v>86770</v>
      </c>
      <c r="C548" s="35">
        <f>B548/F541</f>
        <v>112.39637305699482</v>
      </c>
      <c r="D548" s="8">
        <v>5250</v>
      </c>
      <c r="E548" s="68">
        <v>0</v>
      </c>
      <c r="F548" s="70">
        <v>0</v>
      </c>
      <c r="G548" s="35" t="e">
        <f t="shared" si="1170"/>
        <v>#DIV/0!</v>
      </c>
      <c r="H548" s="11" t="e">
        <f t="shared" si="1171"/>
        <v>#DIV/0!</v>
      </c>
      <c r="I548" s="35">
        <v>0</v>
      </c>
      <c r="J548" s="70">
        <v>0</v>
      </c>
      <c r="K548" s="35" t="e">
        <f t="shared" si="1172"/>
        <v>#DIV/0!</v>
      </c>
      <c r="L548" s="6" t="e">
        <f t="shared" si="1173"/>
        <v>#DIV/0!</v>
      </c>
      <c r="M548" s="68">
        <v>0</v>
      </c>
      <c r="N548" s="5">
        <v>0</v>
      </c>
      <c r="O548" s="35" t="e">
        <f t="shared" si="1174"/>
        <v>#DIV/0!</v>
      </c>
      <c r="P548" s="11" t="e">
        <f t="shared" si="1175"/>
        <v>#DIV/0!</v>
      </c>
      <c r="Q548" s="35">
        <v>0</v>
      </c>
      <c r="R548" s="66">
        <v>0</v>
      </c>
      <c r="S548" s="35" t="e">
        <f t="shared" si="1176"/>
        <v>#DIV/0!</v>
      </c>
      <c r="T548" s="6" t="e">
        <f t="shared" si="1177"/>
        <v>#DIV/0!</v>
      </c>
      <c r="U548" s="68">
        <v>0</v>
      </c>
      <c r="V548" s="66">
        <v>0</v>
      </c>
      <c r="W548" s="20" t="e">
        <f t="shared" si="1178"/>
        <v>#DIV/0!</v>
      </c>
      <c r="X548" s="6" t="e">
        <f t="shared" si="1179"/>
        <v>#DIV/0!</v>
      </c>
      <c r="Y548" s="68">
        <v>0</v>
      </c>
      <c r="Z548" s="70">
        <v>0</v>
      </c>
      <c r="AA548" s="35" t="e">
        <f t="shared" si="1180"/>
        <v>#DIV/0!</v>
      </c>
      <c r="AB548" s="11" t="e">
        <f t="shared" si="1181"/>
        <v>#DIV/0!</v>
      </c>
      <c r="AC548" s="20">
        <v>0</v>
      </c>
      <c r="AD548" s="36">
        <v>0</v>
      </c>
      <c r="AE548" s="35" t="e">
        <f t="shared" si="1182"/>
        <v>#DIV/0!</v>
      </c>
      <c r="AF548" s="6" t="e">
        <f t="shared" si="1183"/>
        <v>#DIV/0!</v>
      </c>
      <c r="AG548" s="68">
        <v>0</v>
      </c>
      <c r="AH548" s="66">
        <v>0</v>
      </c>
      <c r="AI548" s="35" t="e">
        <f t="shared" si="1184"/>
        <v>#DIV/0!</v>
      </c>
      <c r="AJ548" s="6" t="e">
        <f t="shared" si="1185"/>
        <v>#DIV/0!</v>
      </c>
      <c r="AK548" s="68">
        <v>3100</v>
      </c>
      <c r="AL548" s="66">
        <v>180</v>
      </c>
      <c r="AM548" s="35">
        <f t="shared" si="1186"/>
        <v>17.222222222222221</v>
      </c>
      <c r="AN548" s="6">
        <f t="shared" si="1187"/>
        <v>0.15322756200939905</v>
      </c>
      <c r="AO548" s="68">
        <v>0</v>
      </c>
      <c r="AP548" s="66">
        <v>0</v>
      </c>
      <c r="AQ548" s="35" t="e">
        <f t="shared" si="1188"/>
        <v>#DIV/0!</v>
      </c>
      <c r="AR548" s="6" t="e">
        <f t="shared" si="1189"/>
        <v>#DIV/0!</v>
      </c>
      <c r="AS548" s="68">
        <v>0</v>
      </c>
      <c r="AT548" s="66">
        <v>0</v>
      </c>
      <c r="AU548" s="35" t="e">
        <f t="shared" si="1190"/>
        <v>#DIV/0!</v>
      </c>
      <c r="AV548" s="6" t="e">
        <f t="shared" si="1191"/>
        <v>#DIV/0!</v>
      </c>
      <c r="AW548" s="68">
        <v>3690</v>
      </c>
      <c r="AX548" s="66">
        <v>210</v>
      </c>
      <c r="AY548" s="35">
        <f t="shared" si="1192"/>
        <v>17.571428571428573</v>
      </c>
      <c r="AZ548" s="6">
        <f t="shared" si="1193"/>
        <v>0.15633448031742375</v>
      </c>
      <c r="BA548" s="68">
        <v>0</v>
      </c>
      <c r="BB548" s="66">
        <v>0</v>
      </c>
      <c r="BC548" s="35" t="e">
        <f t="shared" si="1194"/>
        <v>#DIV/0!</v>
      </c>
      <c r="BD548" s="11" t="e">
        <f t="shared" si="1195"/>
        <v>#DIV/0!</v>
      </c>
    </row>
    <row r="549" spans="1:56" x14ac:dyDescent="0.25">
      <c r="A549" s="19" t="s">
        <v>5</v>
      </c>
      <c r="B549" s="8">
        <v>110440</v>
      </c>
      <c r="C549" s="35">
        <f>B549/F541</f>
        <v>143.05699481865284</v>
      </c>
      <c r="D549" s="8">
        <v>7050</v>
      </c>
      <c r="E549" s="68">
        <v>0</v>
      </c>
      <c r="F549" s="70">
        <v>0</v>
      </c>
      <c r="G549" s="35" t="e">
        <f t="shared" si="1170"/>
        <v>#DIV/0!</v>
      </c>
      <c r="H549" s="11" t="e">
        <f t="shared" si="1171"/>
        <v>#DIV/0!</v>
      </c>
      <c r="I549" s="35">
        <v>0</v>
      </c>
      <c r="J549" s="70">
        <v>0</v>
      </c>
      <c r="K549" s="35" t="e">
        <f t="shared" si="1172"/>
        <v>#DIV/0!</v>
      </c>
      <c r="L549" s="6" t="e">
        <f t="shared" si="1173"/>
        <v>#DIV/0!</v>
      </c>
      <c r="M549" s="68">
        <v>0</v>
      </c>
      <c r="N549" s="5">
        <v>0</v>
      </c>
      <c r="O549" s="35" t="e">
        <f t="shared" si="1174"/>
        <v>#DIV/0!</v>
      </c>
      <c r="P549" s="11" t="e">
        <f t="shared" si="1175"/>
        <v>#DIV/0!</v>
      </c>
      <c r="Q549" s="35">
        <v>0</v>
      </c>
      <c r="R549" s="66">
        <v>0</v>
      </c>
      <c r="S549" s="35" t="e">
        <f t="shared" si="1176"/>
        <v>#DIV/0!</v>
      </c>
      <c r="T549" s="6" t="e">
        <f t="shared" si="1177"/>
        <v>#DIV/0!</v>
      </c>
      <c r="U549" s="68">
        <v>0</v>
      </c>
      <c r="V549" s="66">
        <v>0</v>
      </c>
      <c r="W549" s="20" t="e">
        <f t="shared" si="1178"/>
        <v>#DIV/0!</v>
      </c>
      <c r="X549" s="6" t="e">
        <f t="shared" si="1179"/>
        <v>#DIV/0!</v>
      </c>
      <c r="Y549" s="68">
        <v>0</v>
      </c>
      <c r="Z549" s="70">
        <v>0</v>
      </c>
      <c r="AA549" s="35" t="e">
        <f t="shared" si="1180"/>
        <v>#DIV/0!</v>
      </c>
      <c r="AB549" s="11" t="e">
        <f t="shared" si="1181"/>
        <v>#DIV/0!</v>
      </c>
      <c r="AC549" s="20">
        <v>0</v>
      </c>
      <c r="AD549" s="36">
        <v>0</v>
      </c>
      <c r="AE549" s="35" t="e">
        <f t="shared" si="1182"/>
        <v>#DIV/0!</v>
      </c>
      <c r="AF549" s="6" t="e">
        <f t="shared" si="1183"/>
        <v>#DIV/0!</v>
      </c>
      <c r="AG549" s="68">
        <v>0</v>
      </c>
      <c r="AH549" s="66">
        <v>0</v>
      </c>
      <c r="AI549" s="35" t="e">
        <f t="shared" si="1184"/>
        <v>#DIV/0!</v>
      </c>
      <c r="AJ549" s="6" t="e">
        <f t="shared" si="1185"/>
        <v>#DIV/0!</v>
      </c>
      <c r="AK549" s="68">
        <v>3480</v>
      </c>
      <c r="AL549" s="66">
        <v>180</v>
      </c>
      <c r="AM549" s="35">
        <f t="shared" si="1186"/>
        <v>19.333333333333332</v>
      </c>
      <c r="AN549" s="6">
        <f t="shared" si="1187"/>
        <v>0.13514427139925148</v>
      </c>
      <c r="AO549" s="68">
        <v>0</v>
      </c>
      <c r="AP549" s="66">
        <v>0</v>
      </c>
      <c r="AQ549" s="35" t="e">
        <f t="shared" si="1188"/>
        <v>#DIV/0!</v>
      </c>
      <c r="AR549" s="6" t="e">
        <f t="shared" si="1189"/>
        <v>#DIV/0!</v>
      </c>
      <c r="AS549" s="68">
        <v>0</v>
      </c>
      <c r="AT549" s="66">
        <v>0</v>
      </c>
      <c r="AU549" s="35" t="e">
        <f t="shared" si="1190"/>
        <v>#DIV/0!</v>
      </c>
      <c r="AV549" s="6" t="e">
        <f t="shared" si="1191"/>
        <v>#DIV/0!</v>
      </c>
      <c r="AW549" s="68">
        <v>4500</v>
      </c>
      <c r="AX549" s="66">
        <v>210</v>
      </c>
      <c r="AY549" s="35">
        <f t="shared" si="1192"/>
        <v>21.428571428571427</v>
      </c>
      <c r="AZ549" s="6">
        <f t="shared" si="1193"/>
        <v>0.14979044859522947</v>
      </c>
      <c r="BA549" s="68">
        <v>0</v>
      </c>
      <c r="BB549" s="66">
        <v>0</v>
      </c>
      <c r="BC549" s="35" t="e">
        <f t="shared" si="1194"/>
        <v>#DIV/0!</v>
      </c>
      <c r="BD549" s="11" t="e">
        <f t="shared" si="1195"/>
        <v>#DIV/0!</v>
      </c>
    </row>
    <row r="550" spans="1:56" x14ac:dyDescent="0.25">
      <c r="A550" s="19" t="s">
        <v>6</v>
      </c>
      <c r="B550" s="8">
        <v>126480</v>
      </c>
      <c r="C550" s="35">
        <f>B550/F541</f>
        <v>163.83419689119171</v>
      </c>
      <c r="D550" s="8">
        <v>10950</v>
      </c>
      <c r="E550" s="68">
        <v>0</v>
      </c>
      <c r="F550" s="70">
        <v>0</v>
      </c>
      <c r="G550" s="35" t="e">
        <f t="shared" si="1170"/>
        <v>#DIV/0!</v>
      </c>
      <c r="H550" s="11" t="e">
        <f t="shared" si="1171"/>
        <v>#DIV/0!</v>
      </c>
      <c r="I550" s="35">
        <v>0</v>
      </c>
      <c r="J550" s="70">
        <v>0</v>
      </c>
      <c r="K550" s="35" t="e">
        <f t="shared" si="1172"/>
        <v>#DIV/0!</v>
      </c>
      <c r="L550" s="6" t="e">
        <f t="shared" si="1173"/>
        <v>#DIV/0!</v>
      </c>
      <c r="M550" s="68">
        <v>0</v>
      </c>
      <c r="N550" s="5">
        <v>0</v>
      </c>
      <c r="O550" s="35" t="e">
        <f t="shared" si="1174"/>
        <v>#DIV/0!</v>
      </c>
      <c r="P550" s="11" t="e">
        <f t="shared" si="1175"/>
        <v>#DIV/0!</v>
      </c>
      <c r="Q550" s="35">
        <v>0</v>
      </c>
      <c r="R550" s="66">
        <v>0</v>
      </c>
      <c r="S550" s="35" t="e">
        <f t="shared" si="1176"/>
        <v>#DIV/0!</v>
      </c>
      <c r="T550" s="6" t="e">
        <f t="shared" si="1177"/>
        <v>#DIV/0!</v>
      </c>
      <c r="U550" s="68">
        <v>0</v>
      </c>
      <c r="V550" s="66">
        <v>0</v>
      </c>
      <c r="W550" s="20" t="e">
        <f t="shared" si="1178"/>
        <v>#DIV/0!</v>
      </c>
      <c r="X550" s="6" t="e">
        <f t="shared" si="1179"/>
        <v>#DIV/0!</v>
      </c>
      <c r="Y550" s="68">
        <v>0</v>
      </c>
      <c r="Z550" s="70">
        <v>0</v>
      </c>
      <c r="AA550" s="35" t="e">
        <f t="shared" si="1180"/>
        <v>#DIV/0!</v>
      </c>
      <c r="AB550" s="11" t="e">
        <f t="shared" si="1181"/>
        <v>#DIV/0!</v>
      </c>
      <c r="AC550" s="20">
        <v>0</v>
      </c>
      <c r="AD550" s="36">
        <v>0</v>
      </c>
      <c r="AE550" s="35" t="e">
        <f t="shared" si="1182"/>
        <v>#DIV/0!</v>
      </c>
      <c r="AF550" s="6" t="e">
        <f t="shared" si="1183"/>
        <v>#DIV/0!</v>
      </c>
      <c r="AG550" s="68">
        <v>0</v>
      </c>
      <c r="AH550" s="66">
        <v>0</v>
      </c>
      <c r="AI550" s="35" t="e">
        <f t="shared" si="1184"/>
        <v>#DIV/0!</v>
      </c>
      <c r="AJ550" s="6" t="e">
        <f t="shared" si="1185"/>
        <v>#DIV/0!</v>
      </c>
      <c r="AK550" s="68">
        <v>3910</v>
      </c>
      <c r="AL550" s="66">
        <v>180</v>
      </c>
      <c r="AM550" s="35">
        <f t="shared" si="1186"/>
        <v>21.722222222222221</v>
      </c>
      <c r="AN550" s="6">
        <f t="shared" si="1187"/>
        <v>0.13258661887694145</v>
      </c>
      <c r="AO550" s="68">
        <v>0</v>
      </c>
      <c r="AP550" s="66">
        <v>0</v>
      </c>
      <c r="AQ550" s="35" t="e">
        <f t="shared" si="1188"/>
        <v>#DIV/0!</v>
      </c>
      <c r="AR550" s="6" t="e">
        <f t="shared" si="1189"/>
        <v>#DIV/0!</v>
      </c>
      <c r="AS550" s="68">
        <v>0</v>
      </c>
      <c r="AT550" s="66">
        <v>0</v>
      </c>
      <c r="AU550" s="35" t="e">
        <f t="shared" si="1190"/>
        <v>#DIV/0!</v>
      </c>
      <c r="AV550" s="6" t="e">
        <f t="shared" si="1191"/>
        <v>#DIV/0!</v>
      </c>
      <c r="AW550" s="68">
        <v>5210</v>
      </c>
      <c r="AX550" s="66">
        <v>210</v>
      </c>
      <c r="AY550" s="35">
        <f t="shared" si="1192"/>
        <v>24.80952380952381</v>
      </c>
      <c r="AZ550" s="6">
        <f t="shared" si="1193"/>
        <v>0.15143067979880123</v>
      </c>
      <c r="BA550" s="68">
        <v>0</v>
      </c>
      <c r="BB550" s="66">
        <v>0</v>
      </c>
      <c r="BC550" s="35" t="e">
        <f t="shared" si="1194"/>
        <v>#DIV/0!</v>
      </c>
      <c r="BD550" s="11" t="e">
        <f t="shared" si="1195"/>
        <v>#DIV/0!</v>
      </c>
    </row>
    <row r="551" spans="1:56" ht="15.75" thickBot="1" x14ac:dyDescent="0.3">
      <c r="A551" s="21"/>
      <c r="B551" s="22"/>
      <c r="C551" s="23">
        <f>AVERAGE(Table11042[MA $/Sq Ft])</f>
        <v>100.70318282753517</v>
      </c>
      <c r="D551" s="22">
        <f>AVERAGE(Table11042[Basic Allowance])</f>
        <v>4442.8571428571431</v>
      </c>
      <c r="E551" s="16"/>
      <c r="F551" s="22"/>
      <c r="G551" s="15"/>
      <c r="H551" s="24" t="e">
        <f>AVERAGE(Table11042[Bsmt % Base])</f>
        <v>#DIV/0!</v>
      </c>
      <c r="I551" s="15"/>
      <c r="J551" s="15"/>
      <c r="K551" s="15"/>
      <c r="L551" s="25" t="e">
        <f>AVERAGE(Table11042[[#Headers],[#Data],[UnfBsmt % Base]])</f>
        <v>#DIV/0!</v>
      </c>
      <c r="M551" s="44"/>
      <c r="N551" s="15"/>
      <c r="O551" s="23" t="e">
        <f>AVERAGE(Table11042[LowerVal/SqFt])</f>
        <v>#DIV/0!</v>
      </c>
      <c r="P551" s="24" t="e">
        <f>AVERAGE(Table11042[Lower % Base])</f>
        <v>#DIV/0!</v>
      </c>
      <c r="Q551" s="13"/>
      <c r="R551" s="13"/>
      <c r="S551" s="13"/>
      <c r="T551" s="25" t="e">
        <f>AVERAGE(Table11042[Unf Lower % Base])</f>
        <v>#DIV/0!</v>
      </c>
      <c r="U551" s="12"/>
      <c r="V551" s="13"/>
      <c r="W551" s="13"/>
      <c r="X551" s="25" t="e">
        <f>AVERAGE(Table11042[1/2 Story % Base])</f>
        <v>#DIV/0!</v>
      </c>
      <c r="Y551" s="12"/>
      <c r="Z551" s="13"/>
      <c r="AA551" s="13"/>
      <c r="AB551" s="24" t="e">
        <f>AVERAGE(Table11042[2nd Story % Base])</f>
        <v>#DIV/0!</v>
      </c>
      <c r="AC551" s="13"/>
      <c r="AD551" s="13"/>
      <c r="AE551" s="23" t="e">
        <f>AVERAGE(Table11042[AttGarVal/SqFt])</f>
        <v>#DIV/0!</v>
      </c>
      <c r="AF551" s="25" t="e">
        <f>AVERAGE(Table11042[Att Gar % Base])</f>
        <v>#DIV/0!</v>
      </c>
      <c r="AG551" s="12"/>
      <c r="AH551" s="13"/>
      <c r="AI551" s="13"/>
      <c r="AJ551" s="25" t="e">
        <f>AVERAGE(Table11042[Porch % Base])</f>
        <v>#DIV/0!</v>
      </c>
      <c r="AK551" s="12"/>
      <c r="AL551" s="13"/>
      <c r="AM551" s="13"/>
      <c r="AN551" s="25">
        <f>AVERAGE(Table11042[Cov Porch % Base])</f>
        <v>0.15737429552585255</v>
      </c>
      <c r="AO551" s="12"/>
      <c r="AP551" s="13"/>
      <c r="AQ551" s="13"/>
      <c r="AR551" s="25" t="e">
        <f>AVERAGE(Table11042[Deck % Base])</f>
        <v>#DIV/0!</v>
      </c>
      <c r="AS551" s="12"/>
      <c r="AT551" s="13"/>
      <c r="AU551" s="23" t="e">
        <f>AVERAGE(Table11042[CovDeckVal/SqFt])</f>
        <v>#DIV/0!</v>
      </c>
      <c r="AV551" s="25" t="e">
        <f>AVERAGE(Table11042[CovDeck % Base])</f>
        <v>#DIV/0!</v>
      </c>
      <c r="AW551" s="12"/>
      <c r="AX551" s="13"/>
      <c r="AY551" s="13"/>
      <c r="AZ551" s="25">
        <f>AVERAGE(Table11042[CarP % Base])</f>
        <v>0.15397868337997991</v>
      </c>
      <c r="BA551" s="12"/>
      <c r="BB551" s="13"/>
      <c r="BC551" s="13"/>
      <c r="BD551" s="24" t="e">
        <f>AVERAGE(Table11042[EFP % Base])</f>
        <v>#DIV/0!</v>
      </c>
    </row>
    <row r="553" spans="1:56" ht="15.75" thickBot="1" x14ac:dyDescent="0.3">
      <c r="A553" s="83"/>
      <c r="B553" t="s">
        <v>79</v>
      </c>
      <c r="C553" s="78" t="s">
        <v>136</v>
      </c>
      <c r="E553" t="s">
        <v>33</v>
      </c>
      <c r="F553" s="79">
        <v>1316</v>
      </c>
      <c r="H553" t="s">
        <v>80</v>
      </c>
      <c r="I553" t="s">
        <v>134</v>
      </c>
      <c r="J553" t="s">
        <v>139</v>
      </c>
    </row>
    <row r="554" spans="1:56" x14ac:dyDescent="0.25">
      <c r="A554" s="112"/>
      <c r="B554" s="113"/>
      <c r="C554" s="113"/>
      <c r="D554" s="114"/>
      <c r="E554" s="115" t="s">
        <v>27</v>
      </c>
      <c r="F554" s="116"/>
      <c r="G554" s="116"/>
      <c r="H554" s="117"/>
      <c r="I554" s="118" t="s">
        <v>28</v>
      </c>
      <c r="J554" s="119"/>
      <c r="K554" s="119"/>
      <c r="L554" s="120"/>
      <c r="M554" s="121" t="s">
        <v>7</v>
      </c>
      <c r="N554" s="122"/>
      <c r="O554" s="122"/>
      <c r="P554" s="123"/>
      <c r="Q554" s="124" t="s">
        <v>29</v>
      </c>
      <c r="R554" s="125"/>
      <c r="S554" s="125"/>
      <c r="T554" s="126"/>
      <c r="U554" s="127" t="s">
        <v>8</v>
      </c>
      <c r="V554" s="128"/>
      <c r="W554" s="128"/>
      <c r="X554" s="129"/>
      <c r="Y554" s="130" t="s">
        <v>0</v>
      </c>
      <c r="Z554" s="131"/>
      <c r="AA554" s="131"/>
      <c r="AB554" s="132"/>
      <c r="AC554" s="133" t="s">
        <v>34</v>
      </c>
      <c r="AD554" s="134"/>
      <c r="AE554" s="134"/>
      <c r="AF554" s="135"/>
      <c r="AG554" s="115" t="s">
        <v>9</v>
      </c>
      <c r="AH554" s="116"/>
      <c r="AI554" s="116"/>
      <c r="AJ554" s="117"/>
      <c r="AK554" s="136" t="s">
        <v>35</v>
      </c>
      <c r="AL554" s="137"/>
      <c r="AM554" s="137"/>
      <c r="AN554" s="138"/>
      <c r="AO554" s="139" t="s">
        <v>10</v>
      </c>
      <c r="AP554" s="140"/>
      <c r="AQ554" s="140"/>
      <c r="AR554" s="141"/>
      <c r="AS554" s="124" t="s">
        <v>36</v>
      </c>
      <c r="AT554" s="125"/>
      <c r="AU554" s="125"/>
      <c r="AV554" s="126"/>
      <c r="AW554" s="142" t="s">
        <v>11</v>
      </c>
      <c r="AX554" s="143"/>
      <c r="AY554" s="143"/>
      <c r="AZ554" s="144"/>
      <c r="BA554" s="148" t="s">
        <v>17</v>
      </c>
      <c r="BB554" s="149"/>
      <c r="BC554" s="149"/>
      <c r="BD554" s="150"/>
    </row>
    <row r="555" spans="1:56" s="1" customFormat="1" ht="15.75" thickBot="1" x14ac:dyDescent="0.3">
      <c r="A555" s="41" t="s">
        <v>13</v>
      </c>
      <c r="B555" s="42" t="s">
        <v>15</v>
      </c>
      <c r="C555" s="42" t="s">
        <v>32</v>
      </c>
      <c r="D555" s="43" t="s">
        <v>18</v>
      </c>
      <c r="E555" s="30" t="s">
        <v>30</v>
      </c>
      <c r="F555" s="31" t="s">
        <v>61</v>
      </c>
      <c r="G555" s="31" t="s">
        <v>38</v>
      </c>
      <c r="H555" s="32" t="s">
        <v>62</v>
      </c>
      <c r="I555" s="37" t="s">
        <v>31</v>
      </c>
      <c r="J555" s="38" t="s">
        <v>39</v>
      </c>
      <c r="K555" s="38" t="s">
        <v>40</v>
      </c>
      <c r="L555" s="39" t="s">
        <v>63</v>
      </c>
      <c r="M555" s="40" t="s">
        <v>19</v>
      </c>
      <c r="N555" s="7" t="s">
        <v>41</v>
      </c>
      <c r="O555" s="7" t="s">
        <v>37</v>
      </c>
      <c r="P555" s="7" t="s">
        <v>64</v>
      </c>
      <c r="Q555" s="27" t="s">
        <v>20</v>
      </c>
      <c r="R555" s="28" t="s">
        <v>60</v>
      </c>
      <c r="S555" s="28" t="s">
        <v>59</v>
      </c>
      <c r="T555" s="29" t="s">
        <v>65</v>
      </c>
      <c r="U555" s="48" t="s">
        <v>21</v>
      </c>
      <c r="V555" s="48" t="s">
        <v>42</v>
      </c>
      <c r="W555" s="48" t="s">
        <v>43</v>
      </c>
      <c r="X555" s="49" t="s">
        <v>66</v>
      </c>
      <c r="Y555" s="50" t="s">
        <v>22</v>
      </c>
      <c r="Z555" s="51" t="s">
        <v>44</v>
      </c>
      <c r="AA555" s="51" t="s">
        <v>45</v>
      </c>
      <c r="AB555" s="52" t="s">
        <v>67</v>
      </c>
      <c r="AC555" s="45" t="s">
        <v>23</v>
      </c>
      <c r="AD555" s="46" t="s">
        <v>46</v>
      </c>
      <c r="AE555" s="46" t="s">
        <v>47</v>
      </c>
      <c r="AF555" s="47" t="s">
        <v>68</v>
      </c>
      <c r="AG555" s="30" t="s">
        <v>24</v>
      </c>
      <c r="AH555" s="31" t="s">
        <v>48</v>
      </c>
      <c r="AI555" s="31" t="s">
        <v>49</v>
      </c>
      <c r="AJ555" s="32" t="s">
        <v>69</v>
      </c>
      <c r="AK555" s="53" t="s">
        <v>25</v>
      </c>
      <c r="AL555" s="54" t="s">
        <v>50</v>
      </c>
      <c r="AM555" s="54" t="s">
        <v>51</v>
      </c>
      <c r="AN555" s="55" t="s">
        <v>70</v>
      </c>
      <c r="AO555" s="56" t="s">
        <v>26</v>
      </c>
      <c r="AP555" s="57" t="s">
        <v>52</v>
      </c>
      <c r="AQ555" s="57" t="s">
        <v>53</v>
      </c>
      <c r="AR555" s="58" t="s">
        <v>71</v>
      </c>
      <c r="AS555" s="59" t="s">
        <v>55</v>
      </c>
      <c r="AT555" s="60" t="s">
        <v>54</v>
      </c>
      <c r="AU555" s="60" t="s">
        <v>56</v>
      </c>
      <c r="AV555" s="61" t="s">
        <v>76</v>
      </c>
      <c r="AW555" s="62" t="s">
        <v>72</v>
      </c>
      <c r="AX555" s="63" t="s">
        <v>73</v>
      </c>
      <c r="AY555" s="63" t="s">
        <v>74</v>
      </c>
      <c r="AZ555" s="64" t="s">
        <v>75</v>
      </c>
      <c r="BA555" s="71" t="s">
        <v>77</v>
      </c>
      <c r="BB555" s="72" t="s">
        <v>57</v>
      </c>
      <c r="BC555" s="72" t="s">
        <v>58</v>
      </c>
      <c r="BD555" s="73" t="s">
        <v>78</v>
      </c>
    </row>
    <row r="556" spans="1:56" x14ac:dyDescent="0.25">
      <c r="A556" s="17" t="s">
        <v>1</v>
      </c>
      <c r="B556" s="14">
        <v>65850</v>
      </c>
      <c r="C556" s="34">
        <f>B556/F553</f>
        <v>50.037993920972646</v>
      </c>
      <c r="D556" s="14">
        <v>1525</v>
      </c>
      <c r="E556" s="67">
        <v>0</v>
      </c>
      <c r="F556" s="69">
        <v>0</v>
      </c>
      <c r="G556" s="34" t="e">
        <f t="shared" ref="G556:G562" si="1196">E556/F556</f>
        <v>#DIV/0!</v>
      </c>
      <c r="H556" s="10" t="e">
        <f t="shared" ref="H556:H562" si="1197">G556/C556</f>
        <v>#DIV/0!</v>
      </c>
      <c r="I556" s="34">
        <v>0</v>
      </c>
      <c r="J556" s="69">
        <v>0</v>
      </c>
      <c r="K556" s="34" t="e">
        <f t="shared" ref="K556:K562" si="1198">I556/J556</f>
        <v>#DIV/0!</v>
      </c>
      <c r="L556" s="9" t="e">
        <f t="shared" ref="L556:L562" si="1199">K556/C556</f>
        <v>#DIV/0!</v>
      </c>
      <c r="M556" s="67">
        <v>0</v>
      </c>
      <c r="N556" s="26">
        <v>0</v>
      </c>
      <c r="O556" s="34" t="e">
        <f t="shared" ref="O556:O562" si="1200">M556/N556</f>
        <v>#DIV/0!</v>
      </c>
      <c r="P556" s="10" t="e">
        <f t="shared" ref="P556:P562" si="1201">O556/C556</f>
        <v>#DIV/0!</v>
      </c>
      <c r="Q556" s="35">
        <v>0</v>
      </c>
      <c r="R556" s="66">
        <v>0</v>
      </c>
      <c r="S556" s="35" t="e">
        <f t="shared" ref="S556:S562" si="1202">Q556/R556</f>
        <v>#DIV/0!</v>
      </c>
      <c r="T556" s="6" t="e">
        <f t="shared" ref="T556:T562" si="1203">S556/C556</f>
        <v>#DIV/0!</v>
      </c>
      <c r="U556" s="67">
        <v>0</v>
      </c>
      <c r="V556" s="65">
        <v>0</v>
      </c>
      <c r="W556" s="18" t="e">
        <f t="shared" ref="W556:W562" si="1204">U556/V556</f>
        <v>#DIV/0!</v>
      </c>
      <c r="X556" s="9" t="e">
        <f t="shared" ref="X556:X562" si="1205">W556/C556</f>
        <v>#DIV/0!</v>
      </c>
      <c r="Y556" s="67">
        <v>0</v>
      </c>
      <c r="Z556" s="69">
        <v>0</v>
      </c>
      <c r="AA556" s="34" t="e">
        <f t="shared" ref="AA556:AA562" si="1206">Y556/Z556</f>
        <v>#DIV/0!</v>
      </c>
      <c r="AB556" s="10" t="e">
        <f t="shared" ref="AB556:AB562" si="1207">AA556/C556</f>
        <v>#DIV/0!</v>
      </c>
      <c r="AC556" s="18">
        <v>0</v>
      </c>
      <c r="AD556" s="33">
        <v>0</v>
      </c>
      <c r="AE556" s="34" t="e">
        <f t="shared" ref="AE556:AE562" si="1208">AC556/AD556</f>
        <v>#DIV/0!</v>
      </c>
      <c r="AF556" s="9" t="e">
        <f t="shared" ref="AF556:AF562" si="1209">AE556/C556</f>
        <v>#DIV/0!</v>
      </c>
      <c r="AG556" s="67">
        <v>0</v>
      </c>
      <c r="AH556" s="65">
        <v>0</v>
      </c>
      <c r="AI556" s="34" t="e">
        <f t="shared" ref="AI556:AI562" si="1210">AG556/AH556</f>
        <v>#DIV/0!</v>
      </c>
      <c r="AJ556" s="9" t="e">
        <f t="shared" ref="AJ556:AJ562" si="1211">AI556/C556</f>
        <v>#DIV/0!</v>
      </c>
      <c r="AK556" s="67">
        <v>1150</v>
      </c>
      <c r="AL556" s="65">
        <v>195</v>
      </c>
      <c r="AM556" s="34">
        <f t="shared" ref="AM556:AM562" si="1212">AK556/AL556</f>
        <v>5.8974358974358978</v>
      </c>
      <c r="AN556" s="9">
        <f t="shared" ref="AN556:AN562" si="1213">AM556/C556</f>
        <v>0.1178591593170181</v>
      </c>
      <c r="AO556" s="67">
        <v>0</v>
      </c>
      <c r="AP556" s="65">
        <v>0</v>
      </c>
      <c r="AQ556" s="34" t="e">
        <f t="shared" ref="AQ556:AQ562" si="1214">AO556/AP556</f>
        <v>#DIV/0!</v>
      </c>
      <c r="AR556" s="9" t="e">
        <f t="shared" ref="AR556:AR562" si="1215">AQ556/C556</f>
        <v>#DIV/0!</v>
      </c>
      <c r="AS556" s="67">
        <v>0</v>
      </c>
      <c r="AT556" s="65">
        <v>0</v>
      </c>
      <c r="AU556" s="34" t="e">
        <f t="shared" ref="AU556:AU562" si="1216">AS556/AT556</f>
        <v>#DIV/0!</v>
      </c>
      <c r="AV556" s="9" t="e">
        <f t="shared" ref="AV556:AV562" si="1217">AU556/C556</f>
        <v>#DIV/0!</v>
      </c>
      <c r="AW556" s="67">
        <v>3240</v>
      </c>
      <c r="AX556" s="65">
        <v>384</v>
      </c>
      <c r="AY556" s="34">
        <f t="shared" ref="AY556:AY562" si="1218">AW556/AX556</f>
        <v>8.4375</v>
      </c>
      <c r="AZ556" s="9">
        <f t="shared" ref="AZ556:AZ562" si="1219">AY556/C556</f>
        <v>0.16862186788154898</v>
      </c>
      <c r="BA556" s="67">
        <v>0</v>
      </c>
      <c r="BB556" s="65">
        <v>0</v>
      </c>
      <c r="BC556" s="34" t="e">
        <f t="shared" ref="BC556:BC562" si="1220">BA556/BB556</f>
        <v>#DIV/0!</v>
      </c>
      <c r="BD556" s="10" t="e">
        <f t="shared" ref="BD556:BD562" si="1221">BC556/C556</f>
        <v>#DIV/0!</v>
      </c>
    </row>
    <row r="557" spans="1:56" x14ac:dyDescent="0.25">
      <c r="A557" s="19" t="s">
        <v>16</v>
      </c>
      <c r="B557" s="8">
        <v>77480</v>
      </c>
      <c r="C557" s="35">
        <f>B557/F553</f>
        <v>58.875379939209729</v>
      </c>
      <c r="D557" s="8">
        <v>1525</v>
      </c>
      <c r="E557" s="68">
        <v>0</v>
      </c>
      <c r="F557" s="70">
        <v>0</v>
      </c>
      <c r="G557" s="35" t="e">
        <f t="shared" si="1196"/>
        <v>#DIV/0!</v>
      </c>
      <c r="H557" s="11" t="e">
        <f t="shared" si="1197"/>
        <v>#DIV/0!</v>
      </c>
      <c r="I557" s="35">
        <v>0</v>
      </c>
      <c r="J557" s="70">
        <v>0</v>
      </c>
      <c r="K557" s="35" t="e">
        <f t="shared" si="1198"/>
        <v>#DIV/0!</v>
      </c>
      <c r="L557" s="6" t="e">
        <f t="shared" si="1199"/>
        <v>#DIV/0!</v>
      </c>
      <c r="M557" s="68">
        <v>0</v>
      </c>
      <c r="N557" s="5">
        <v>0</v>
      </c>
      <c r="O557" s="35" t="e">
        <f t="shared" si="1200"/>
        <v>#DIV/0!</v>
      </c>
      <c r="P557" s="11" t="e">
        <f t="shared" si="1201"/>
        <v>#DIV/0!</v>
      </c>
      <c r="Q557" s="35">
        <v>0</v>
      </c>
      <c r="R557" s="66">
        <v>0</v>
      </c>
      <c r="S557" s="35" t="e">
        <f t="shared" si="1202"/>
        <v>#DIV/0!</v>
      </c>
      <c r="T557" s="6" t="e">
        <f t="shared" si="1203"/>
        <v>#DIV/0!</v>
      </c>
      <c r="U557" s="68">
        <v>0</v>
      </c>
      <c r="V557" s="66">
        <v>0</v>
      </c>
      <c r="W557" s="20" t="e">
        <f t="shared" si="1204"/>
        <v>#DIV/0!</v>
      </c>
      <c r="X557" s="6" t="e">
        <f t="shared" si="1205"/>
        <v>#DIV/0!</v>
      </c>
      <c r="Y557" s="68">
        <v>0</v>
      </c>
      <c r="Z557" s="70">
        <v>0</v>
      </c>
      <c r="AA557" s="35" t="e">
        <f t="shared" si="1206"/>
        <v>#DIV/0!</v>
      </c>
      <c r="AB557" s="11" t="e">
        <f t="shared" si="1207"/>
        <v>#DIV/0!</v>
      </c>
      <c r="AC557" s="20">
        <v>0</v>
      </c>
      <c r="AD557" s="36">
        <v>0</v>
      </c>
      <c r="AE557" s="35" t="e">
        <f t="shared" si="1208"/>
        <v>#DIV/0!</v>
      </c>
      <c r="AF557" s="6" t="e">
        <f t="shared" si="1209"/>
        <v>#DIV/0!</v>
      </c>
      <c r="AG557" s="68">
        <v>0</v>
      </c>
      <c r="AH557" s="66">
        <v>0</v>
      </c>
      <c r="AI557" s="35" t="e">
        <f t="shared" si="1210"/>
        <v>#DIV/0!</v>
      </c>
      <c r="AJ557" s="6" t="e">
        <f t="shared" si="1211"/>
        <v>#DIV/0!</v>
      </c>
      <c r="AK557" s="68">
        <v>1670</v>
      </c>
      <c r="AL557" s="66">
        <v>195</v>
      </c>
      <c r="AM557" s="35">
        <f t="shared" si="1212"/>
        <v>8.5641025641025639</v>
      </c>
      <c r="AN557" s="6">
        <f t="shared" si="1213"/>
        <v>0.14546152522404457</v>
      </c>
      <c r="AO557" s="68">
        <v>0</v>
      </c>
      <c r="AP557" s="66">
        <v>0</v>
      </c>
      <c r="AQ557" s="35" t="e">
        <f t="shared" si="1214"/>
        <v>#DIV/0!</v>
      </c>
      <c r="AR557" s="6" t="e">
        <f t="shared" si="1215"/>
        <v>#DIV/0!</v>
      </c>
      <c r="AS557" s="68">
        <v>0</v>
      </c>
      <c r="AT557" s="66">
        <v>0</v>
      </c>
      <c r="AU557" s="35" t="e">
        <f t="shared" si="1216"/>
        <v>#DIV/0!</v>
      </c>
      <c r="AV557" s="6" t="e">
        <f t="shared" si="1217"/>
        <v>#DIV/0!</v>
      </c>
      <c r="AW557" s="68">
        <v>3730</v>
      </c>
      <c r="AX557" s="66">
        <v>384</v>
      </c>
      <c r="AY557" s="35">
        <f t="shared" si="1218"/>
        <v>9.7135416666666661</v>
      </c>
      <c r="AZ557" s="6">
        <f t="shared" si="1219"/>
        <v>0.16498478101875752</v>
      </c>
      <c r="BA557" s="68">
        <v>0</v>
      </c>
      <c r="BB557" s="66">
        <v>0</v>
      </c>
      <c r="BC557" s="35" t="e">
        <f t="shared" si="1220"/>
        <v>#DIV/0!</v>
      </c>
      <c r="BD557" s="11" t="e">
        <f t="shared" si="1221"/>
        <v>#DIV/0!</v>
      </c>
    </row>
    <row r="558" spans="1:56" x14ac:dyDescent="0.25">
      <c r="A558" s="19" t="s">
        <v>2</v>
      </c>
      <c r="B558" s="8">
        <v>90580</v>
      </c>
      <c r="C558" s="35">
        <f>B558/F553</f>
        <v>68.829787234042556</v>
      </c>
      <c r="D558" s="8">
        <v>2100</v>
      </c>
      <c r="E558" s="68">
        <v>0</v>
      </c>
      <c r="F558" s="70">
        <v>0</v>
      </c>
      <c r="G558" s="35" t="e">
        <f t="shared" si="1196"/>
        <v>#DIV/0!</v>
      </c>
      <c r="H558" s="11" t="e">
        <f t="shared" si="1197"/>
        <v>#DIV/0!</v>
      </c>
      <c r="I558" s="35">
        <v>0</v>
      </c>
      <c r="J558" s="70">
        <v>0</v>
      </c>
      <c r="K558" s="35" t="e">
        <f t="shared" si="1198"/>
        <v>#DIV/0!</v>
      </c>
      <c r="L558" s="6" t="e">
        <f t="shared" si="1199"/>
        <v>#DIV/0!</v>
      </c>
      <c r="M558" s="68">
        <v>0</v>
      </c>
      <c r="N558" s="5">
        <v>0</v>
      </c>
      <c r="O558" s="35" t="e">
        <f t="shared" si="1200"/>
        <v>#DIV/0!</v>
      </c>
      <c r="P558" s="11" t="e">
        <f t="shared" si="1201"/>
        <v>#DIV/0!</v>
      </c>
      <c r="Q558" s="35">
        <v>0</v>
      </c>
      <c r="R558" s="66">
        <v>0</v>
      </c>
      <c r="S558" s="35" t="e">
        <f t="shared" si="1202"/>
        <v>#DIV/0!</v>
      </c>
      <c r="T558" s="6" t="e">
        <f t="shared" si="1203"/>
        <v>#DIV/0!</v>
      </c>
      <c r="U558" s="68">
        <v>0</v>
      </c>
      <c r="V558" s="66">
        <v>0</v>
      </c>
      <c r="W558" s="20" t="e">
        <f t="shared" si="1204"/>
        <v>#DIV/0!</v>
      </c>
      <c r="X558" s="6" t="e">
        <f t="shared" si="1205"/>
        <v>#DIV/0!</v>
      </c>
      <c r="Y558" s="68">
        <v>0</v>
      </c>
      <c r="Z558" s="70">
        <v>0</v>
      </c>
      <c r="AA558" s="35" t="e">
        <f t="shared" si="1206"/>
        <v>#DIV/0!</v>
      </c>
      <c r="AB558" s="11" t="e">
        <f t="shared" si="1207"/>
        <v>#DIV/0!</v>
      </c>
      <c r="AC558" s="20">
        <v>0</v>
      </c>
      <c r="AD558" s="36">
        <v>0</v>
      </c>
      <c r="AE558" s="35" t="e">
        <f t="shared" si="1208"/>
        <v>#DIV/0!</v>
      </c>
      <c r="AF558" s="6" t="e">
        <f t="shared" si="1209"/>
        <v>#DIV/0!</v>
      </c>
      <c r="AG558" s="68">
        <v>0</v>
      </c>
      <c r="AH558" s="66">
        <v>0</v>
      </c>
      <c r="AI558" s="35" t="e">
        <f t="shared" si="1210"/>
        <v>#DIV/0!</v>
      </c>
      <c r="AJ558" s="6" t="e">
        <f t="shared" si="1211"/>
        <v>#DIV/0!</v>
      </c>
      <c r="AK558" s="68">
        <v>1850</v>
      </c>
      <c r="AL558" s="66">
        <v>195</v>
      </c>
      <c r="AM558" s="35">
        <f t="shared" si="1212"/>
        <v>9.4871794871794872</v>
      </c>
      <c r="AN558" s="6">
        <f t="shared" si="1213"/>
        <v>0.1378353743114176</v>
      </c>
      <c r="AO558" s="68">
        <v>0</v>
      </c>
      <c r="AP558" s="66">
        <v>0</v>
      </c>
      <c r="AQ558" s="35" t="e">
        <f t="shared" si="1214"/>
        <v>#DIV/0!</v>
      </c>
      <c r="AR558" s="6" t="e">
        <f t="shared" si="1215"/>
        <v>#DIV/0!</v>
      </c>
      <c r="AS558" s="68">
        <v>0</v>
      </c>
      <c r="AT558" s="66">
        <v>0</v>
      </c>
      <c r="AU558" s="35" t="e">
        <f t="shared" si="1216"/>
        <v>#DIV/0!</v>
      </c>
      <c r="AV558" s="6" t="e">
        <f t="shared" si="1217"/>
        <v>#DIV/0!</v>
      </c>
      <c r="AW558" s="68">
        <v>4220</v>
      </c>
      <c r="AX558" s="66">
        <v>384</v>
      </c>
      <c r="AY558" s="35">
        <f t="shared" si="1218"/>
        <v>10.989583333333334</v>
      </c>
      <c r="AZ558" s="6">
        <f t="shared" si="1219"/>
        <v>0.15966318907779495</v>
      </c>
      <c r="BA558" s="68">
        <v>0</v>
      </c>
      <c r="BB558" s="66">
        <v>0</v>
      </c>
      <c r="BC558" s="35" t="e">
        <f t="shared" si="1220"/>
        <v>#DIV/0!</v>
      </c>
      <c r="BD558" s="11" t="e">
        <f t="shared" si="1221"/>
        <v>#DIV/0!</v>
      </c>
    </row>
    <row r="559" spans="1:56" x14ac:dyDescent="0.25">
      <c r="A559" s="19" t="s">
        <v>3</v>
      </c>
      <c r="B559" s="8">
        <v>109480</v>
      </c>
      <c r="C559" s="35">
        <f>B559/F553</f>
        <v>83.191489361702125</v>
      </c>
      <c r="D559" s="8">
        <v>2700</v>
      </c>
      <c r="E559" s="68">
        <v>0</v>
      </c>
      <c r="F559" s="70">
        <v>0</v>
      </c>
      <c r="G559" s="35" t="e">
        <f t="shared" si="1196"/>
        <v>#DIV/0!</v>
      </c>
      <c r="H559" s="11" t="e">
        <f t="shared" si="1197"/>
        <v>#DIV/0!</v>
      </c>
      <c r="I559" s="35">
        <v>0</v>
      </c>
      <c r="J559" s="70">
        <v>0</v>
      </c>
      <c r="K559" s="35" t="e">
        <f t="shared" si="1198"/>
        <v>#DIV/0!</v>
      </c>
      <c r="L559" s="6" t="e">
        <f t="shared" si="1199"/>
        <v>#DIV/0!</v>
      </c>
      <c r="M559" s="68">
        <v>0</v>
      </c>
      <c r="N559" s="5">
        <v>0</v>
      </c>
      <c r="O559" s="35" t="e">
        <f t="shared" si="1200"/>
        <v>#DIV/0!</v>
      </c>
      <c r="P559" s="11" t="e">
        <f t="shared" si="1201"/>
        <v>#DIV/0!</v>
      </c>
      <c r="Q559" s="35">
        <v>0</v>
      </c>
      <c r="R559" s="66">
        <v>0</v>
      </c>
      <c r="S559" s="35" t="e">
        <f t="shared" si="1202"/>
        <v>#DIV/0!</v>
      </c>
      <c r="T559" s="6" t="e">
        <f t="shared" si="1203"/>
        <v>#DIV/0!</v>
      </c>
      <c r="U559" s="68">
        <v>0</v>
      </c>
      <c r="V559" s="66">
        <v>0</v>
      </c>
      <c r="W559" s="20" t="e">
        <f t="shared" si="1204"/>
        <v>#DIV/0!</v>
      </c>
      <c r="X559" s="6" t="e">
        <f t="shared" si="1205"/>
        <v>#DIV/0!</v>
      </c>
      <c r="Y559" s="68">
        <v>0</v>
      </c>
      <c r="Z559" s="70">
        <v>0</v>
      </c>
      <c r="AA559" s="35" t="e">
        <f t="shared" si="1206"/>
        <v>#DIV/0!</v>
      </c>
      <c r="AB559" s="11" t="e">
        <f t="shared" si="1207"/>
        <v>#DIV/0!</v>
      </c>
      <c r="AC559" s="20">
        <v>0</v>
      </c>
      <c r="AD559" s="36">
        <v>0</v>
      </c>
      <c r="AE559" s="35" t="e">
        <f t="shared" si="1208"/>
        <v>#DIV/0!</v>
      </c>
      <c r="AF559" s="6" t="e">
        <f t="shared" si="1209"/>
        <v>#DIV/0!</v>
      </c>
      <c r="AG559" s="68">
        <v>0</v>
      </c>
      <c r="AH559" s="66">
        <v>0</v>
      </c>
      <c r="AI559" s="35" t="e">
        <f t="shared" si="1210"/>
        <v>#DIV/0!</v>
      </c>
      <c r="AJ559" s="6" t="e">
        <f t="shared" si="1211"/>
        <v>#DIV/0!</v>
      </c>
      <c r="AK559" s="68">
        <v>2080</v>
      </c>
      <c r="AL559" s="66">
        <v>195</v>
      </c>
      <c r="AM559" s="35">
        <f t="shared" si="1212"/>
        <v>10.666666666666666</v>
      </c>
      <c r="AN559" s="6">
        <f t="shared" si="1213"/>
        <v>0.12821824381926683</v>
      </c>
      <c r="AO559" s="68">
        <v>0</v>
      </c>
      <c r="AP559" s="66">
        <v>0</v>
      </c>
      <c r="AQ559" s="35" t="e">
        <f t="shared" si="1214"/>
        <v>#DIV/0!</v>
      </c>
      <c r="AR559" s="6" t="e">
        <f t="shared" si="1215"/>
        <v>#DIV/0!</v>
      </c>
      <c r="AS559" s="68">
        <v>0</v>
      </c>
      <c r="AT559" s="66">
        <v>0</v>
      </c>
      <c r="AU559" s="35" t="e">
        <f t="shared" si="1216"/>
        <v>#DIV/0!</v>
      </c>
      <c r="AV559" s="6" t="e">
        <f t="shared" si="1217"/>
        <v>#DIV/0!</v>
      </c>
      <c r="AW559" s="68">
        <v>5950</v>
      </c>
      <c r="AX559" s="66">
        <v>384</v>
      </c>
      <c r="AY559" s="35">
        <f t="shared" si="1218"/>
        <v>15.494791666666666</v>
      </c>
      <c r="AZ559" s="6">
        <f t="shared" si="1219"/>
        <v>0.18625452898550723</v>
      </c>
      <c r="BA559" s="68">
        <v>0</v>
      </c>
      <c r="BB559" s="66">
        <v>0</v>
      </c>
      <c r="BC559" s="35" t="e">
        <f t="shared" si="1220"/>
        <v>#DIV/0!</v>
      </c>
      <c r="BD559" s="11" t="e">
        <f t="shared" si="1221"/>
        <v>#DIV/0!</v>
      </c>
    </row>
    <row r="560" spans="1:56" x14ac:dyDescent="0.25">
      <c r="A560" s="19" t="s">
        <v>4</v>
      </c>
      <c r="B560" s="8">
        <v>136320</v>
      </c>
      <c r="C560" s="35">
        <f>B560/F553</f>
        <v>103.58662613981762</v>
      </c>
      <c r="D560" s="8">
        <v>5250</v>
      </c>
      <c r="E560" s="68">
        <v>0</v>
      </c>
      <c r="F560" s="70">
        <v>0</v>
      </c>
      <c r="G560" s="35" t="e">
        <f t="shared" si="1196"/>
        <v>#DIV/0!</v>
      </c>
      <c r="H560" s="11" t="e">
        <f t="shared" si="1197"/>
        <v>#DIV/0!</v>
      </c>
      <c r="I560" s="35">
        <v>0</v>
      </c>
      <c r="J560" s="70">
        <v>0</v>
      </c>
      <c r="K560" s="35" t="e">
        <f t="shared" si="1198"/>
        <v>#DIV/0!</v>
      </c>
      <c r="L560" s="6" t="e">
        <f t="shared" si="1199"/>
        <v>#DIV/0!</v>
      </c>
      <c r="M560" s="68">
        <v>0</v>
      </c>
      <c r="N560" s="5">
        <v>0</v>
      </c>
      <c r="O560" s="35" t="e">
        <f t="shared" si="1200"/>
        <v>#DIV/0!</v>
      </c>
      <c r="P560" s="11" t="e">
        <f t="shared" si="1201"/>
        <v>#DIV/0!</v>
      </c>
      <c r="Q560" s="35">
        <v>0</v>
      </c>
      <c r="R560" s="66">
        <v>0</v>
      </c>
      <c r="S560" s="35" t="e">
        <f t="shared" si="1202"/>
        <v>#DIV/0!</v>
      </c>
      <c r="T560" s="6" t="e">
        <f t="shared" si="1203"/>
        <v>#DIV/0!</v>
      </c>
      <c r="U560" s="68">
        <v>0</v>
      </c>
      <c r="V560" s="66">
        <v>0</v>
      </c>
      <c r="W560" s="20" t="e">
        <f t="shared" si="1204"/>
        <v>#DIV/0!</v>
      </c>
      <c r="X560" s="6" t="e">
        <f t="shared" si="1205"/>
        <v>#DIV/0!</v>
      </c>
      <c r="Y560" s="68">
        <v>0</v>
      </c>
      <c r="Z560" s="70">
        <v>0</v>
      </c>
      <c r="AA560" s="35" t="e">
        <f t="shared" si="1206"/>
        <v>#DIV/0!</v>
      </c>
      <c r="AB560" s="11" t="e">
        <f t="shared" si="1207"/>
        <v>#DIV/0!</v>
      </c>
      <c r="AC560" s="20">
        <v>0</v>
      </c>
      <c r="AD560" s="36">
        <v>0</v>
      </c>
      <c r="AE560" s="35" t="e">
        <f t="shared" si="1208"/>
        <v>#DIV/0!</v>
      </c>
      <c r="AF560" s="6" t="e">
        <f t="shared" si="1209"/>
        <v>#DIV/0!</v>
      </c>
      <c r="AG560" s="68">
        <v>0</v>
      </c>
      <c r="AH560" s="66">
        <v>0</v>
      </c>
      <c r="AI560" s="35" t="e">
        <f t="shared" si="1210"/>
        <v>#DIV/0!</v>
      </c>
      <c r="AJ560" s="6" t="e">
        <f t="shared" si="1211"/>
        <v>#DIV/0!</v>
      </c>
      <c r="AK560" s="68">
        <v>2430</v>
      </c>
      <c r="AL560" s="66">
        <v>195</v>
      </c>
      <c r="AM560" s="35">
        <f t="shared" si="1212"/>
        <v>12.461538461538462</v>
      </c>
      <c r="AN560" s="6">
        <f t="shared" si="1213"/>
        <v>0.12030065005417119</v>
      </c>
      <c r="AO560" s="68">
        <v>0</v>
      </c>
      <c r="AP560" s="66">
        <v>0</v>
      </c>
      <c r="AQ560" s="35" t="e">
        <f t="shared" si="1214"/>
        <v>#DIV/0!</v>
      </c>
      <c r="AR560" s="6" t="e">
        <f t="shared" si="1215"/>
        <v>#DIV/0!</v>
      </c>
      <c r="AS560" s="68">
        <v>0</v>
      </c>
      <c r="AT560" s="66">
        <v>0</v>
      </c>
      <c r="AU560" s="35" t="e">
        <f t="shared" si="1216"/>
        <v>#DIV/0!</v>
      </c>
      <c r="AV560" s="6" t="e">
        <f t="shared" si="1217"/>
        <v>#DIV/0!</v>
      </c>
      <c r="AW560" s="68">
        <v>6750</v>
      </c>
      <c r="AX560" s="66">
        <v>384</v>
      </c>
      <c r="AY560" s="35">
        <f t="shared" si="1218"/>
        <v>17.578125</v>
      </c>
      <c r="AZ560" s="6">
        <f t="shared" si="1219"/>
        <v>0.16969492737676056</v>
      </c>
      <c r="BA560" s="68">
        <v>0</v>
      </c>
      <c r="BB560" s="66">
        <v>0</v>
      </c>
      <c r="BC560" s="35" t="e">
        <f t="shared" si="1220"/>
        <v>#DIV/0!</v>
      </c>
      <c r="BD560" s="11" t="e">
        <f t="shared" si="1221"/>
        <v>#DIV/0!</v>
      </c>
    </row>
    <row r="561" spans="1:56" x14ac:dyDescent="0.25">
      <c r="A561" s="19" t="s">
        <v>5</v>
      </c>
      <c r="B561" s="8">
        <v>179710</v>
      </c>
      <c r="C561" s="35">
        <f>B561/F553</f>
        <v>136.55775075987842</v>
      </c>
      <c r="D561" s="8">
        <v>7050</v>
      </c>
      <c r="E561" s="68">
        <v>0</v>
      </c>
      <c r="F561" s="70">
        <v>0</v>
      </c>
      <c r="G561" s="35" t="e">
        <f t="shared" si="1196"/>
        <v>#DIV/0!</v>
      </c>
      <c r="H561" s="11" t="e">
        <f t="shared" si="1197"/>
        <v>#DIV/0!</v>
      </c>
      <c r="I561" s="35">
        <v>0</v>
      </c>
      <c r="J561" s="70">
        <v>0</v>
      </c>
      <c r="K561" s="35" t="e">
        <f t="shared" si="1198"/>
        <v>#DIV/0!</v>
      </c>
      <c r="L561" s="6" t="e">
        <f t="shared" si="1199"/>
        <v>#DIV/0!</v>
      </c>
      <c r="M561" s="68">
        <v>0</v>
      </c>
      <c r="N561" s="5">
        <v>0</v>
      </c>
      <c r="O561" s="35" t="e">
        <f t="shared" si="1200"/>
        <v>#DIV/0!</v>
      </c>
      <c r="P561" s="11" t="e">
        <f t="shared" si="1201"/>
        <v>#DIV/0!</v>
      </c>
      <c r="Q561" s="35">
        <v>0</v>
      </c>
      <c r="R561" s="66">
        <v>0</v>
      </c>
      <c r="S561" s="35" t="e">
        <f t="shared" si="1202"/>
        <v>#DIV/0!</v>
      </c>
      <c r="T561" s="6" t="e">
        <f t="shared" si="1203"/>
        <v>#DIV/0!</v>
      </c>
      <c r="U561" s="68">
        <v>0</v>
      </c>
      <c r="V561" s="66">
        <v>0</v>
      </c>
      <c r="W561" s="20" t="e">
        <f t="shared" si="1204"/>
        <v>#DIV/0!</v>
      </c>
      <c r="X561" s="6" t="e">
        <f t="shared" si="1205"/>
        <v>#DIV/0!</v>
      </c>
      <c r="Y561" s="68">
        <v>0</v>
      </c>
      <c r="Z561" s="70">
        <v>0</v>
      </c>
      <c r="AA561" s="35" t="e">
        <f t="shared" si="1206"/>
        <v>#DIV/0!</v>
      </c>
      <c r="AB561" s="11" t="e">
        <f t="shared" si="1207"/>
        <v>#DIV/0!</v>
      </c>
      <c r="AC561" s="20">
        <v>0</v>
      </c>
      <c r="AD561" s="36">
        <v>0</v>
      </c>
      <c r="AE561" s="35" t="e">
        <f t="shared" si="1208"/>
        <v>#DIV/0!</v>
      </c>
      <c r="AF561" s="6" t="e">
        <f t="shared" si="1209"/>
        <v>#DIV/0!</v>
      </c>
      <c r="AG561" s="68">
        <v>0</v>
      </c>
      <c r="AH561" s="66">
        <v>0</v>
      </c>
      <c r="AI561" s="35" t="e">
        <f t="shared" si="1210"/>
        <v>#DIV/0!</v>
      </c>
      <c r="AJ561" s="6" t="e">
        <f t="shared" si="1211"/>
        <v>#DIV/0!</v>
      </c>
      <c r="AK561" s="68">
        <v>2730</v>
      </c>
      <c r="AL561" s="66">
        <v>195</v>
      </c>
      <c r="AM561" s="35">
        <f t="shared" si="1212"/>
        <v>14</v>
      </c>
      <c r="AN561" s="6">
        <f t="shared" si="1213"/>
        <v>0.10252072783929665</v>
      </c>
      <c r="AO561" s="68">
        <v>0</v>
      </c>
      <c r="AP561" s="66">
        <v>0</v>
      </c>
      <c r="AQ561" s="35" t="e">
        <f t="shared" si="1214"/>
        <v>#DIV/0!</v>
      </c>
      <c r="AR561" s="6" t="e">
        <f t="shared" si="1215"/>
        <v>#DIV/0!</v>
      </c>
      <c r="AS561" s="68">
        <v>0</v>
      </c>
      <c r="AT561" s="66">
        <v>0</v>
      </c>
      <c r="AU561" s="35" t="e">
        <f t="shared" si="1216"/>
        <v>#DIV/0!</v>
      </c>
      <c r="AV561" s="6" t="e">
        <f t="shared" si="1217"/>
        <v>#DIV/0!</v>
      </c>
      <c r="AW561" s="68">
        <v>8230</v>
      </c>
      <c r="AX561" s="66">
        <v>384</v>
      </c>
      <c r="AY561" s="35">
        <f t="shared" si="1218"/>
        <v>21.432291666666668</v>
      </c>
      <c r="AZ561" s="6">
        <f t="shared" si="1219"/>
        <v>0.15694672435219706</v>
      </c>
      <c r="BA561" s="68">
        <v>0</v>
      </c>
      <c r="BB561" s="66">
        <v>0</v>
      </c>
      <c r="BC561" s="35" t="e">
        <f t="shared" si="1220"/>
        <v>#DIV/0!</v>
      </c>
      <c r="BD561" s="11" t="e">
        <f t="shared" si="1221"/>
        <v>#DIV/0!</v>
      </c>
    </row>
    <row r="562" spans="1:56" x14ac:dyDescent="0.25">
      <c r="A562" s="19" t="s">
        <v>6</v>
      </c>
      <c r="B562" s="8">
        <v>215600</v>
      </c>
      <c r="C562" s="35">
        <f>B562/F553</f>
        <v>163.82978723404256</v>
      </c>
      <c r="D562" s="8">
        <v>10950</v>
      </c>
      <c r="E562" s="68">
        <v>0</v>
      </c>
      <c r="F562" s="70">
        <v>0</v>
      </c>
      <c r="G562" s="35" t="e">
        <f t="shared" si="1196"/>
        <v>#DIV/0!</v>
      </c>
      <c r="H562" s="11" t="e">
        <f t="shared" si="1197"/>
        <v>#DIV/0!</v>
      </c>
      <c r="I562" s="35">
        <v>0</v>
      </c>
      <c r="J562" s="70">
        <v>0</v>
      </c>
      <c r="K562" s="35" t="e">
        <f t="shared" si="1198"/>
        <v>#DIV/0!</v>
      </c>
      <c r="L562" s="6" t="e">
        <f t="shared" si="1199"/>
        <v>#DIV/0!</v>
      </c>
      <c r="M562" s="68">
        <v>0</v>
      </c>
      <c r="N562" s="5">
        <v>0</v>
      </c>
      <c r="O562" s="35" t="e">
        <f t="shared" si="1200"/>
        <v>#DIV/0!</v>
      </c>
      <c r="P562" s="11" t="e">
        <f t="shared" si="1201"/>
        <v>#DIV/0!</v>
      </c>
      <c r="Q562" s="35">
        <v>0</v>
      </c>
      <c r="R562" s="66">
        <v>0</v>
      </c>
      <c r="S562" s="35" t="e">
        <f t="shared" si="1202"/>
        <v>#DIV/0!</v>
      </c>
      <c r="T562" s="6" t="e">
        <f t="shared" si="1203"/>
        <v>#DIV/0!</v>
      </c>
      <c r="U562" s="68">
        <v>0</v>
      </c>
      <c r="V562" s="66">
        <v>0</v>
      </c>
      <c r="W562" s="20" t="e">
        <f t="shared" si="1204"/>
        <v>#DIV/0!</v>
      </c>
      <c r="X562" s="6" t="e">
        <f t="shared" si="1205"/>
        <v>#DIV/0!</v>
      </c>
      <c r="Y562" s="68">
        <v>0</v>
      </c>
      <c r="Z562" s="70">
        <v>0</v>
      </c>
      <c r="AA562" s="35" t="e">
        <f t="shared" si="1206"/>
        <v>#DIV/0!</v>
      </c>
      <c r="AB562" s="11" t="e">
        <f t="shared" si="1207"/>
        <v>#DIV/0!</v>
      </c>
      <c r="AC562" s="20">
        <v>0</v>
      </c>
      <c r="AD562" s="36">
        <v>0</v>
      </c>
      <c r="AE562" s="35" t="e">
        <f t="shared" si="1208"/>
        <v>#DIV/0!</v>
      </c>
      <c r="AF562" s="6" t="e">
        <f t="shared" si="1209"/>
        <v>#DIV/0!</v>
      </c>
      <c r="AG562" s="68">
        <v>0</v>
      </c>
      <c r="AH562" s="66">
        <v>0</v>
      </c>
      <c r="AI562" s="35" t="e">
        <f t="shared" si="1210"/>
        <v>#DIV/0!</v>
      </c>
      <c r="AJ562" s="6" t="e">
        <f t="shared" si="1211"/>
        <v>#DIV/0!</v>
      </c>
      <c r="AK562" s="68">
        <v>3110</v>
      </c>
      <c r="AL562" s="66">
        <v>195</v>
      </c>
      <c r="AM562" s="35">
        <f t="shared" si="1212"/>
        <v>15.948717948717949</v>
      </c>
      <c r="AN562" s="6">
        <f t="shared" si="1213"/>
        <v>9.7349317349317344E-2</v>
      </c>
      <c r="AO562" s="68">
        <v>0</v>
      </c>
      <c r="AP562" s="66">
        <v>0</v>
      </c>
      <c r="AQ562" s="35" t="e">
        <f t="shared" si="1214"/>
        <v>#DIV/0!</v>
      </c>
      <c r="AR562" s="6" t="e">
        <f t="shared" si="1215"/>
        <v>#DIV/0!</v>
      </c>
      <c r="AS562" s="68">
        <v>0</v>
      </c>
      <c r="AT562" s="66">
        <v>0</v>
      </c>
      <c r="AU562" s="35" t="e">
        <f t="shared" si="1216"/>
        <v>#DIV/0!</v>
      </c>
      <c r="AV562" s="6" t="e">
        <f t="shared" si="1217"/>
        <v>#DIV/0!</v>
      </c>
      <c r="AW562" s="68">
        <v>9530</v>
      </c>
      <c r="AX562" s="66">
        <v>384</v>
      </c>
      <c r="AY562" s="35">
        <f t="shared" si="1218"/>
        <v>24.817708333333332</v>
      </c>
      <c r="AZ562" s="6">
        <f t="shared" si="1219"/>
        <v>0.15148471320346318</v>
      </c>
      <c r="BA562" s="68">
        <v>0</v>
      </c>
      <c r="BB562" s="66">
        <v>0</v>
      </c>
      <c r="BC562" s="35" t="e">
        <f t="shared" si="1220"/>
        <v>#DIV/0!</v>
      </c>
      <c r="BD562" s="11" t="e">
        <f t="shared" si="1221"/>
        <v>#DIV/0!</v>
      </c>
    </row>
    <row r="563" spans="1:56" ht="13.9" customHeight="1" thickBot="1" x14ac:dyDescent="0.3">
      <c r="A563" s="21"/>
      <c r="B563" s="22"/>
      <c r="C563" s="23">
        <f>AVERAGE(Table11043[MA $/Sq Ft])</f>
        <v>94.986973512809385</v>
      </c>
      <c r="D563" s="22">
        <f>AVERAGE(Table11043[Basic Allowance])</f>
        <v>4442.8571428571431</v>
      </c>
      <c r="E563" s="16"/>
      <c r="F563" s="22"/>
      <c r="G563" s="15"/>
      <c r="H563" s="24" t="e">
        <f>AVERAGE(Table11043[Bsmt % Base])</f>
        <v>#DIV/0!</v>
      </c>
      <c r="I563" s="15"/>
      <c r="J563" s="15"/>
      <c r="K563" s="15"/>
      <c r="L563" s="25" t="e">
        <f>AVERAGE(Table11043[[#Headers],[#Data],[UnfBsmt % Base]])</f>
        <v>#DIV/0!</v>
      </c>
      <c r="M563" s="44"/>
      <c r="N563" s="15"/>
      <c r="O563" s="23" t="e">
        <f>AVERAGE(Table11043[LowerVal/SqFt])</f>
        <v>#DIV/0!</v>
      </c>
      <c r="P563" s="24" t="e">
        <f>AVERAGE(Table11043[Lower % Base])</f>
        <v>#DIV/0!</v>
      </c>
      <c r="Q563" s="13"/>
      <c r="R563" s="13"/>
      <c r="S563" s="13"/>
      <c r="T563" s="25" t="e">
        <f>AVERAGE(Table11043[Unf Lower % Base])</f>
        <v>#DIV/0!</v>
      </c>
      <c r="U563" s="12"/>
      <c r="V563" s="13"/>
      <c r="W563" s="13"/>
      <c r="X563" s="25" t="e">
        <f>AVERAGE(Table11043[1/2 Story % Base])</f>
        <v>#DIV/0!</v>
      </c>
      <c r="Y563" s="12"/>
      <c r="Z563" s="13"/>
      <c r="AA563" s="13"/>
      <c r="AB563" s="24" t="e">
        <f>AVERAGE(Table11043[2nd Story % Base])</f>
        <v>#DIV/0!</v>
      </c>
      <c r="AC563" s="13"/>
      <c r="AD563" s="13"/>
      <c r="AE563" s="23" t="e">
        <f>AVERAGE(Table11043[AttGarVal/SqFt])</f>
        <v>#DIV/0!</v>
      </c>
      <c r="AF563" s="25" t="e">
        <f>AVERAGE(Table11043[Att Gar % Base])</f>
        <v>#DIV/0!</v>
      </c>
      <c r="AG563" s="12"/>
      <c r="AH563" s="13"/>
      <c r="AI563" s="13"/>
      <c r="AJ563" s="25" t="e">
        <f>AVERAGE(Table11043[Porch % Base])</f>
        <v>#DIV/0!</v>
      </c>
      <c r="AK563" s="12"/>
      <c r="AL563" s="13"/>
      <c r="AM563" s="13"/>
      <c r="AN563" s="25">
        <f>AVERAGE(Table11043[Cov Porch % Base])</f>
        <v>0.12136357113064748</v>
      </c>
      <c r="AO563" s="12"/>
      <c r="AP563" s="13"/>
      <c r="AQ563" s="13"/>
      <c r="AR563" s="25" t="e">
        <f>AVERAGE(Table11043[Deck % Base])</f>
        <v>#DIV/0!</v>
      </c>
      <c r="AS563" s="12"/>
      <c r="AT563" s="13"/>
      <c r="AU563" s="23" t="e">
        <f>AVERAGE(Table11043[CovDeckVal/SqFt])</f>
        <v>#DIV/0!</v>
      </c>
      <c r="AV563" s="25" t="e">
        <f>AVERAGE(Table11043[CovDeck % Base])</f>
        <v>#DIV/0!</v>
      </c>
      <c r="AW563" s="12"/>
      <c r="AX563" s="13"/>
      <c r="AY563" s="13"/>
      <c r="AZ563" s="25">
        <f>AVERAGE(Table11043[CarP % Base])</f>
        <v>0.16537867598514705</v>
      </c>
      <c r="BA563" s="12"/>
      <c r="BB563" s="13"/>
      <c r="BC563" s="13"/>
      <c r="BD563" s="24" t="e">
        <f>AVERAGE(Table11043[EFP % Base])</f>
        <v>#DIV/0!</v>
      </c>
    </row>
    <row r="565" spans="1:56" ht="15.75" thickBot="1" x14ac:dyDescent="0.3">
      <c r="A565" s="83"/>
      <c r="B565" t="s">
        <v>79</v>
      </c>
      <c r="C565" s="78" t="s">
        <v>140</v>
      </c>
      <c r="E565" t="s">
        <v>33</v>
      </c>
      <c r="F565" s="79">
        <v>1316</v>
      </c>
      <c r="H565" t="s">
        <v>80</v>
      </c>
      <c r="I565" t="s">
        <v>196</v>
      </c>
      <c r="J565" t="s">
        <v>83</v>
      </c>
      <c r="K565">
        <v>1948</v>
      </c>
    </row>
    <row r="566" spans="1:56" x14ac:dyDescent="0.25">
      <c r="A566" s="112"/>
      <c r="B566" s="113"/>
      <c r="C566" s="113"/>
      <c r="D566" s="114"/>
      <c r="E566" s="115" t="s">
        <v>27</v>
      </c>
      <c r="F566" s="116"/>
      <c r="G566" s="116"/>
      <c r="H566" s="117"/>
      <c r="I566" s="118" t="s">
        <v>28</v>
      </c>
      <c r="J566" s="119"/>
      <c r="K566" s="119"/>
      <c r="L566" s="120"/>
      <c r="M566" s="121" t="s">
        <v>7</v>
      </c>
      <c r="N566" s="122"/>
      <c r="O566" s="122"/>
      <c r="P566" s="123"/>
      <c r="Q566" s="124" t="s">
        <v>29</v>
      </c>
      <c r="R566" s="125"/>
      <c r="S566" s="125"/>
      <c r="T566" s="126"/>
      <c r="U566" s="127" t="s">
        <v>8</v>
      </c>
      <c r="V566" s="128"/>
      <c r="W566" s="128"/>
      <c r="X566" s="129"/>
      <c r="Y566" s="130" t="s">
        <v>0</v>
      </c>
      <c r="Z566" s="131"/>
      <c r="AA566" s="131"/>
      <c r="AB566" s="132"/>
      <c r="AC566" s="133" t="s">
        <v>34</v>
      </c>
      <c r="AD566" s="134"/>
      <c r="AE566" s="134"/>
      <c r="AF566" s="135"/>
      <c r="AG566" s="115" t="s">
        <v>9</v>
      </c>
      <c r="AH566" s="116"/>
      <c r="AI566" s="116"/>
      <c r="AJ566" s="117"/>
      <c r="AK566" s="136" t="s">
        <v>35</v>
      </c>
      <c r="AL566" s="137"/>
      <c r="AM566" s="137"/>
      <c r="AN566" s="138"/>
      <c r="AO566" s="139" t="s">
        <v>10</v>
      </c>
      <c r="AP566" s="140"/>
      <c r="AQ566" s="140"/>
      <c r="AR566" s="141"/>
      <c r="AS566" s="124" t="s">
        <v>36</v>
      </c>
      <c r="AT566" s="125"/>
      <c r="AU566" s="125"/>
      <c r="AV566" s="126"/>
      <c r="AW566" s="142" t="s">
        <v>11</v>
      </c>
      <c r="AX566" s="143"/>
      <c r="AY566" s="143"/>
      <c r="AZ566" s="144"/>
      <c r="BA566" s="148" t="s">
        <v>17</v>
      </c>
      <c r="BB566" s="149"/>
      <c r="BC566" s="149"/>
      <c r="BD566" s="150"/>
    </row>
    <row r="567" spans="1:56" s="1" customFormat="1" ht="15.75" thickBot="1" x14ac:dyDescent="0.3">
      <c r="A567" s="41" t="s">
        <v>13</v>
      </c>
      <c r="B567" s="42" t="s">
        <v>15</v>
      </c>
      <c r="C567" s="42" t="s">
        <v>32</v>
      </c>
      <c r="D567" s="43" t="s">
        <v>18</v>
      </c>
      <c r="E567" s="30" t="s">
        <v>30</v>
      </c>
      <c r="F567" s="31" t="s">
        <v>61</v>
      </c>
      <c r="G567" s="31" t="s">
        <v>38</v>
      </c>
      <c r="H567" s="32" t="s">
        <v>62</v>
      </c>
      <c r="I567" s="37" t="s">
        <v>31</v>
      </c>
      <c r="J567" s="38" t="s">
        <v>39</v>
      </c>
      <c r="K567" s="38" t="s">
        <v>40</v>
      </c>
      <c r="L567" s="39" t="s">
        <v>63</v>
      </c>
      <c r="M567" s="40" t="s">
        <v>19</v>
      </c>
      <c r="N567" s="7" t="s">
        <v>41</v>
      </c>
      <c r="O567" s="7" t="s">
        <v>37</v>
      </c>
      <c r="P567" s="7" t="s">
        <v>64</v>
      </c>
      <c r="Q567" s="27" t="s">
        <v>20</v>
      </c>
      <c r="R567" s="28" t="s">
        <v>60</v>
      </c>
      <c r="S567" s="28" t="s">
        <v>59</v>
      </c>
      <c r="T567" s="29" t="s">
        <v>65</v>
      </c>
      <c r="U567" s="48" t="s">
        <v>21</v>
      </c>
      <c r="V567" s="48" t="s">
        <v>42</v>
      </c>
      <c r="W567" s="48" t="s">
        <v>43</v>
      </c>
      <c r="X567" s="49" t="s">
        <v>66</v>
      </c>
      <c r="Y567" s="50" t="s">
        <v>22</v>
      </c>
      <c r="Z567" s="51" t="s">
        <v>44</v>
      </c>
      <c r="AA567" s="51" t="s">
        <v>45</v>
      </c>
      <c r="AB567" s="52" t="s">
        <v>67</v>
      </c>
      <c r="AC567" s="45" t="s">
        <v>23</v>
      </c>
      <c r="AD567" s="46" t="s">
        <v>46</v>
      </c>
      <c r="AE567" s="46" t="s">
        <v>47</v>
      </c>
      <c r="AF567" s="47" t="s">
        <v>68</v>
      </c>
      <c r="AG567" s="30" t="s">
        <v>24</v>
      </c>
      <c r="AH567" s="31" t="s">
        <v>48</v>
      </c>
      <c r="AI567" s="31" t="s">
        <v>49</v>
      </c>
      <c r="AJ567" s="32" t="s">
        <v>69</v>
      </c>
      <c r="AK567" s="53" t="s">
        <v>25</v>
      </c>
      <c r="AL567" s="54" t="s">
        <v>50</v>
      </c>
      <c r="AM567" s="54" t="s">
        <v>51</v>
      </c>
      <c r="AN567" s="55" t="s">
        <v>70</v>
      </c>
      <c r="AO567" s="56" t="s">
        <v>26</v>
      </c>
      <c r="AP567" s="57" t="s">
        <v>52</v>
      </c>
      <c r="AQ567" s="57" t="s">
        <v>53</v>
      </c>
      <c r="AR567" s="58" t="s">
        <v>71</v>
      </c>
      <c r="AS567" s="59" t="s">
        <v>55</v>
      </c>
      <c r="AT567" s="60" t="s">
        <v>54</v>
      </c>
      <c r="AU567" s="60" t="s">
        <v>56</v>
      </c>
      <c r="AV567" s="61" t="s">
        <v>76</v>
      </c>
      <c r="AW567" s="62" t="s">
        <v>72</v>
      </c>
      <c r="AX567" s="63" t="s">
        <v>73</v>
      </c>
      <c r="AY567" s="63" t="s">
        <v>74</v>
      </c>
      <c r="AZ567" s="64" t="s">
        <v>75</v>
      </c>
      <c r="BA567" s="71" t="s">
        <v>77</v>
      </c>
      <c r="BB567" s="72" t="s">
        <v>57</v>
      </c>
      <c r="BC567" s="72" t="s">
        <v>58</v>
      </c>
      <c r="BD567" s="73" t="s">
        <v>78</v>
      </c>
    </row>
    <row r="568" spans="1:56" x14ac:dyDescent="0.25">
      <c r="A568" s="17" t="s">
        <v>1</v>
      </c>
      <c r="B568" s="14">
        <v>65850</v>
      </c>
      <c r="C568" s="34">
        <f>B568/F565</f>
        <v>50.037993920972646</v>
      </c>
      <c r="D568" s="14">
        <v>1525</v>
      </c>
      <c r="E568" s="67">
        <v>0</v>
      </c>
      <c r="F568" s="69">
        <v>0</v>
      </c>
      <c r="G568" s="34" t="e">
        <f t="shared" ref="G568:G574" si="1222">E568/F568</f>
        <v>#DIV/0!</v>
      </c>
      <c r="H568" s="10" t="e">
        <f t="shared" ref="H568:H574" si="1223">G568/C568</f>
        <v>#DIV/0!</v>
      </c>
      <c r="I568" s="34">
        <v>0</v>
      </c>
      <c r="J568" s="69">
        <v>0</v>
      </c>
      <c r="K568" s="34" t="e">
        <f t="shared" ref="K568:K574" si="1224">I568/J568</f>
        <v>#DIV/0!</v>
      </c>
      <c r="L568" s="9" t="e">
        <f t="shared" ref="L568:L574" si="1225">K568/C568</f>
        <v>#DIV/0!</v>
      </c>
      <c r="M568" s="67">
        <v>0</v>
      </c>
      <c r="N568" s="26">
        <v>0</v>
      </c>
      <c r="O568" s="34" t="e">
        <f t="shared" ref="O568:O574" si="1226">M568/N568</f>
        <v>#DIV/0!</v>
      </c>
      <c r="P568" s="10" t="e">
        <f t="shared" ref="P568:P574" si="1227">O568/C568</f>
        <v>#DIV/0!</v>
      </c>
      <c r="Q568" s="35">
        <v>0</v>
      </c>
      <c r="R568" s="66">
        <v>0</v>
      </c>
      <c r="S568" s="35" t="e">
        <f t="shared" ref="S568:S574" si="1228">Q568/R568</f>
        <v>#DIV/0!</v>
      </c>
      <c r="T568" s="6" t="e">
        <f t="shared" ref="T568:T574" si="1229">S568/C568</f>
        <v>#DIV/0!</v>
      </c>
      <c r="U568" s="67">
        <v>21170</v>
      </c>
      <c r="V568" s="65">
        <v>739</v>
      </c>
      <c r="W568" s="18">
        <f t="shared" ref="W568:W574" si="1230">U568/V568</f>
        <v>28.646820027063601</v>
      </c>
      <c r="X568" s="9">
        <f t="shared" ref="X568:X574" si="1231">W568/C568</f>
        <v>0.57250136910578131</v>
      </c>
      <c r="Y568" s="67">
        <v>0</v>
      </c>
      <c r="Z568" s="69">
        <v>0</v>
      </c>
      <c r="AA568" s="34" t="e">
        <f t="shared" ref="AA568:AA574" si="1232">Y568/Z568</f>
        <v>#DIV/0!</v>
      </c>
      <c r="AB568" s="10" t="e">
        <f t="shared" ref="AB568:AB574" si="1233">AA568/C568</f>
        <v>#DIV/0!</v>
      </c>
      <c r="AC568" s="18">
        <v>0</v>
      </c>
      <c r="AD568" s="33">
        <v>0</v>
      </c>
      <c r="AE568" s="34" t="e">
        <f t="shared" ref="AE568:AE574" si="1234">AC568/AD568</f>
        <v>#DIV/0!</v>
      </c>
      <c r="AF568" s="9" t="e">
        <f t="shared" ref="AF568:AF574" si="1235">AE568/C568</f>
        <v>#DIV/0!</v>
      </c>
      <c r="AG568" s="67">
        <v>0</v>
      </c>
      <c r="AH568" s="65">
        <v>0</v>
      </c>
      <c r="AI568" s="34" t="e">
        <f t="shared" ref="AI568:AI574" si="1236">AG568/AH568</f>
        <v>#DIV/0!</v>
      </c>
      <c r="AJ568" s="9" t="e">
        <f t="shared" ref="AJ568:AJ574" si="1237">AI568/C568</f>
        <v>#DIV/0!</v>
      </c>
      <c r="AK568" s="67">
        <v>0</v>
      </c>
      <c r="AL568" s="65">
        <v>0</v>
      </c>
      <c r="AM568" s="34" t="e">
        <f t="shared" ref="AM568:AM574" si="1238">AK568/AL568</f>
        <v>#DIV/0!</v>
      </c>
      <c r="AN568" s="9" t="e">
        <f t="shared" ref="AN568:AN574" si="1239">AM568/C568</f>
        <v>#DIV/0!</v>
      </c>
      <c r="AO568" s="67">
        <v>0</v>
      </c>
      <c r="AP568" s="65">
        <v>0</v>
      </c>
      <c r="AQ568" s="34" t="e">
        <f t="shared" ref="AQ568:AQ574" si="1240">AO568/AP568</f>
        <v>#DIV/0!</v>
      </c>
      <c r="AR568" s="9" t="e">
        <f t="shared" ref="AR568:AR574" si="1241">AQ568/C568</f>
        <v>#DIV/0!</v>
      </c>
      <c r="AS568" s="67">
        <v>0</v>
      </c>
      <c r="AT568" s="65">
        <v>0</v>
      </c>
      <c r="AU568" s="34" t="e">
        <f t="shared" ref="AU568:AU574" si="1242">AS568/AT568</f>
        <v>#DIV/0!</v>
      </c>
      <c r="AV568" s="9" t="e">
        <f t="shared" ref="AV568:AV574" si="1243">AU568/C568</f>
        <v>#DIV/0!</v>
      </c>
      <c r="AW568" s="67">
        <v>0</v>
      </c>
      <c r="AX568" s="65">
        <v>0</v>
      </c>
      <c r="AY568" s="34" t="e">
        <f t="shared" ref="AY568:AY574" si="1244">AW568/AX568</f>
        <v>#DIV/0!</v>
      </c>
      <c r="AZ568" s="9" t="e">
        <f t="shared" ref="AZ568:AZ574" si="1245">AY568/C568</f>
        <v>#DIV/0!</v>
      </c>
      <c r="BA568" s="67">
        <v>0</v>
      </c>
      <c r="BB568" s="65">
        <v>0</v>
      </c>
      <c r="BC568" s="34" t="e">
        <f t="shared" ref="BC568:BC574" si="1246">BA568/BB568</f>
        <v>#DIV/0!</v>
      </c>
      <c r="BD568" s="10" t="e">
        <f t="shared" ref="BD568:BD574" si="1247">BC568/C568</f>
        <v>#DIV/0!</v>
      </c>
    </row>
    <row r="569" spans="1:56" x14ac:dyDescent="0.25">
      <c r="A569" s="19" t="s">
        <v>16</v>
      </c>
      <c r="B569" s="8">
        <v>77480</v>
      </c>
      <c r="C569" s="35">
        <f>B569/F565</f>
        <v>58.875379939209729</v>
      </c>
      <c r="D569" s="8">
        <v>1525</v>
      </c>
      <c r="E569" s="68">
        <v>0</v>
      </c>
      <c r="F569" s="70">
        <v>0</v>
      </c>
      <c r="G569" s="35" t="e">
        <f t="shared" si="1222"/>
        <v>#DIV/0!</v>
      </c>
      <c r="H569" s="11" t="e">
        <f t="shared" si="1223"/>
        <v>#DIV/0!</v>
      </c>
      <c r="I569" s="35">
        <v>0</v>
      </c>
      <c r="J569" s="70">
        <v>0</v>
      </c>
      <c r="K569" s="35" t="e">
        <f t="shared" si="1224"/>
        <v>#DIV/0!</v>
      </c>
      <c r="L569" s="6" t="e">
        <f t="shared" si="1225"/>
        <v>#DIV/0!</v>
      </c>
      <c r="M569" s="68">
        <v>0</v>
      </c>
      <c r="N569" s="5">
        <v>0</v>
      </c>
      <c r="O569" s="35" t="e">
        <f t="shared" si="1226"/>
        <v>#DIV/0!</v>
      </c>
      <c r="P569" s="11" t="e">
        <f t="shared" si="1227"/>
        <v>#DIV/0!</v>
      </c>
      <c r="Q569" s="35">
        <v>0</v>
      </c>
      <c r="R569" s="66">
        <v>0</v>
      </c>
      <c r="S569" s="35" t="e">
        <f t="shared" si="1228"/>
        <v>#DIV/0!</v>
      </c>
      <c r="T569" s="6" t="e">
        <f t="shared" si="1229"/>
        <v>#DIV/0!</v>
      </c>
      <c r="U569" s="68">
        <v>27590</v>
      </c>
      <c r="V569" s="66">
        <v>739</v>
      </c>
      <c r="W569" s="20">
        <f t="shared" si="1230"/>
        <v>37.334235453315294</v>
      </c>
      <c r="X569" s="6">
        <f t="shared" si="1231"/>
        <v>0.63412304925868512</v>
      </c>
      <c r="Y569" s="68">
        <v>0</v>
      </c>
      <c r="Z569" s="70">
        <v>0</v>
      </c>
      <c r="AA569" s="35" t="e">
        <f t="shared" si="1232"/>
        <v>#DIV/0!</v>
      </c>
      <c r="AB569" s="11" t="e">
        <f t="shared" si="1233"/>
        <v>#DIV/0!</v>
      </c>
      <c r="AC569" s="20">
        <v>0</v>
      </c>
      <c r="AD569" s="36">
        <v>0</v>
      </c>
      <c r="AE569" s="35" t="e">
        <f t="shared" si="1234"/>
        <v>#DIV/0!</v>
      </c>
      <c r="AF569" s="6" t="e">
        <f t="shared" si="1235"/>
        <v>#DIV/0!</v>
      </c>
      <c r="AG569" s="68">
        <v>0</v>
      </c>
      <c r="AH569" s="66">
        <v>0</v>
      </c>
      <c r="AI569" s="35" t="e">
        <f t="shared" si="1236"/>
        <v>#DIV/0!</v>
      </c>
      <c r="AJ569" s="6" t="e">
        <f t="shared" si="1237"/>
        <v>#DIV/0!</v>
      </c>
      <c r="AK569" s="68">
        <v>0</v>
      </c>
      <c r="AL569" s="66">
        <v>0</v>
      </c>
      <c r="AM569" s="35" t="e">
        <f t="shared" si="1238"/>
        <v>#DIV/0!</v>
      </c>
      <c r="AN569" s="6" t="e">
        <f t="shared" si="1239"/>
        <v>#DIV/0!</v>
      </c>
      <c r="AO569" s="68">
        <v>0</v>
      </c>
      <c r="AP569" s="66">
        <v>0</v>
      </c>
      <c r="AQ569" s="35" t="e">
        <f t="shared" si="1240"/>
        <v>#DIV/0!</v>
      </c>
      <c r="AR569" s="6" t="e">
        <f t="shared" si="1241"/>
        <v>#DIV/0!</v>
      </c>
      <c r="AS569" s="68">
        <v>0</v>
      </c>
      <c r="AT569" s="66">
        <v>0</v>
      </c>
      <c r="AU569" s="35" t="e">
        <f t="shared" si="1242"/>
        <v>#DIV/0!</v>
      </c>
      <c r="AV569" s="6" t="e">
        <f t="shared" si="1243"/>
        <v>#DIV/0!</v>
      </c>
      <c r="AW569" s="68">
        <v>0</v>
      </c>
      <c r="AX569" s="66">
        <v>0</v>
      </c>
      <c r="AY569" s="35" t="e">
        <f t="shared" si="1244"/>
        <v>#DIV/0!</v>
      </c>
      <c r="AZ569" s="6" t="e">
        <f t="shared" si="1245"/>
        <v>#DIV/0!</v>
      </c>
      <c r="BA569" s="68">
        <v>0</v>
      </c>
      <c r="BB569" s="66">
        <v>0</v>
      </c>
      <c r="BC569" s="35" t="e">
        <f t="shared" si="1246"/>
        <v>#DIV/0!</v>
      </c>
      <c r="BD569" s="11" t="e">
        <f t="shared" si="1247"/>
        <v>#DIV/0!</v>
      </c>
    </row>
    <row r="570" spans="1:56" x14ac:dyDescent="0.25">
      <c r="A570" s="19" t="s">
        <v>2</v>
      </c>
      <c r="B570" s="8">
        <v>90580</v>
      </c>
      <c r="C570" s="35">
        <f>B570/F565</f>
        <v>68.829787234042556</v>
      </c>
      <c r="D570" s="8">
        <v>2100</v>
      </c>
      <c r="E570" s="68">
        <v>0</v>
      </c>
      <c r="F570" s="70">
        <v>0</v>
      </c>
      <c r="G570" s="35" t="e">
        <f t="shared" si="1222"/>
        <v>#DIV/0!</v>
      </c>
      <c r="H570" s="11" t="e">
        <f t="shared" si="1223"/>
        <v>#DIV/0!</v>
      </c>
      <c r="I570" s="35">
        <v>0</v>
      </c>
      <c r="J570" s="70">
        <v>0</v>
      </c>
      <c r="K570" s="35" t="e">
        <f t="shared" si="1224"/>
        <v>#DIV/0!</v>
      </c>
      <c r="L570" s="6" t="e">
        <f t="shared" si="1225"/>
        <v>#DIV/0!</v>
      </c>
      <c r="M570" s="68">
        <v>0</v>
      </c>
      <c r="N570" s="5">
        <v>0</v>
      </c>
      <c r="O570" s="35" t="e">
        <f t="shared" si="1226"/>
        <v>#DIV/0!</v>
      </c>
      <c r="P570" s="11" t="e">
        <f t="shared" si="1227"/>
        <v>#DIV/0!</v>
      </c>
      <c r="Q570" s="35">
        <v>0</v>
      </c>
      <c r="R570" s="66">
        <v>0</v>
      </c>
      <c r="S570" s="35" t="e">
        <f t="shared" si="1228"/>
        <v>#DIV/0!</v>
      </c>
      <c r="T570" s="6" t="e">
        <f t="shared" si="1229"/>
        <v>#DIV/0!</v>
      </c>
      <c r="U570" s="68">
        <v>34190</v>
      </c>
      <c r="V570" s="66">
        <v>739</v>
      </c>
      <c r="W570" s="20">
        <f t="shared" si="1230"/>
        <v>46.265223274695536</v>
      </c>
      <c r="X570" s="6">
        <f t="shared" si="1231"/>
        <v>0.67216862253808041</v>
      </c>
      <c r="Y570" s="68">
        <v>0</v>
      </c>
      <c r="Z570" s="70">
        <v>0</v>
      </c>
      <c r="AA570" s="35" t="e">
        <f t="shared" si="1232"/>
        <v>#DIV/0!</v>
      </c>
      <c r="AB570" s="11" t="e">
        <f t="shared" si="1233"/>
        <v>#DIV/0!</v>
      </c>
      <c r="AC570" s="20">
        <v>0</v>
      </c>
      <c r="AD570" s="36">
        <v>0</v>
      </c>
      <c r="AE570" s="35" t="e">
        <f t="shared" si="1234"/>
        <v>#DIV/0!</v>
      </c>
      <c r="AF570" s="6" t="e">
        <f t="shared" si="1235"/>
        <v>#DIV/0!</v>
      </c>
      <c r="AG570" s="68">
        <v>0</v>
      </c>
      <c r="AH570" s="66">
        <v>0</v>
      </c>
      <c r="AI570" s="35" t="e">
        <f t="shared" si="1236"/>
        <v>#DIV/0!</v>
      </c>
      <c r="AJ570" s="6" t="e">
        <f t="shared" si="1237"/>
        <v>#DIV/0!</v>
      </c>
      <c r="AK570" s="68">
        <v>0</v>
      </c>
      <c r="AL570" s="66">
        <v>0</v>
      </c>
      <c r="AM570" s="35" t="e">
        <f t="shared" si="1238"/>
        <v>#DIV/0!</v>
      </c>
      <c r="AN570" s="6" t="e">
        <f t="shared" si="1239"/>
        <v>#DIV/0!</v>
      </c>
      <c r="AO570" s="68">
        <v>0</v>
      </c>
      <c r="AP570" s="66">
        <v>0</v>
      </c>
      <c r="AQ570" s="35" t="e">
        <f t="shared" si="1240"/>
        <v>#DIV/0!</v>
      </c>
      <c r="AR570" s="6" t="e">
        <f t="shared" si="1241"/>
        <v>#DIV/0!</v>
      </c>
      <c r="AS570" s="68">
        <v>0</v>
      </c>
      <c r="AT570" s="66">
        <v>0</v>
      </c>
      <c r="AU570" s="35" t="e">
        <f t="shared" si="1242"/>
        <v>#DIV/0!</v>
      </c>
      <c r="AV570" s="6" t="e">
        <f t="shared" si="1243"/>
        <v>#DIV/0!</v>
      </c>
      <c r="AW570" s="68">
        <v>0</v>
      </c>
      <c r="AX570" s="66">
        <v>0</v>
      </c>
      <c r="AY570" s="35" t="e">
        <f t="shared" si="1244"/>
        <v>#DIV/0!</v>
      </c>
      <c r="AZ570" s="6" t="e">
        <f t="shared" si="1245"/>
        <v>#DIV/0!</v>
      </c>
      <c r="BA570" s="68">
        <v>0</v>
      </c>
      <c r="BB570" s="66">
        <v>0</v>
      </c>
      <c r="BC570" s="35" t="e">
        <f t="shared" si="1246"/>
        <v>#DIV/0!</v>
      </c>
      <c r="BD570" s="11" t="e">
        <f t="shared" si="1247"/>
        <v>#DIV/0!</v>
      </c>
    </row>
    <row r="571" spans="1:56" x14ac:dyDescent="0.25">
      <c r="A571" s="19" t="s">
        <v>3</v>
      </c>
      <c r="B571" s="8">
        <v>109480</v>
      </c>
      <c r="C571" s="35">
        <f>B571/F565</f>
        <v>83.191489361702125</v>
      </c>
      <c r="D571" s="8">
        <v>2700</v>
      </c>
      <c r="E571" s="68">
        <v>0</v>
      </c>
      <c r="F571" s="70">
        <v>0</v>
      </c>
      <c r="G571" s="35" t="e">
        <f t="shared" si="1222"/>
        <v>#DIV/0!</v>
      </c>
      <c r="H571" s="11" t="e">
        <f t="shared" si="1223"/>
        <v>#DIV/0!</v>
      </c>
      <c r="I571" s="35">
        <v>0</v>
      </c>
      <c r="J571" s="70">
        <v>0</v>
      </c>
      <c r="K571" s="35" t="e">
        <f t="shared" si="1224"/>
        <v>#DIV/0!</v>
      </c>
      <c r="L571" s="6" t="e">
        <f t="shared" si="1225"/>
        <v>#DIV/0!</v>
      </c>
      <c r="M571" s="68">
        <v>0</v>
      </c>
      <c r="N571" s="5">
        <v>0</v>
      </c>
      <c r="O571" s="35" t="e">
        <f t="shared" si="1226"/>
        <v>#DIV/0!</v>
      </c>
      <c r="P571" s="11" t="e">
        <f t="shared" si="1227"/>
        <v>#DIV/0!</v>
      </c>
      <c r="Q571" s="35">
        <v>0</v>
      </c>
      <c r="R571" s="66">
        <v>0</v>
      </c>
      <c r="S571" s="35" t="e">
        <f t="shared" si="1228"/>
        <v>#DIV/0!</v>
      </c>
      <c r="T571" s="6" t="e">
        <f t="shared" si="1229"/>
        <v>#DIV/0!</v>
      </c>
      <c r="U571" s="68">
        <v>40930</v>
      </c>
      <c r="V571" s="66">
        <v>739</v>
      </c>
      <c r="W571" s="20">
        <f t="shared" si="1230"/>
        <v>55.385656292286875</v>
      </c>
      <c r="X571" s="6">
        <f t="shared" si="1231"/>
        <v>0.66576108586636396</v>
      </c>
      <c r="Y571" s="68">
        <v>0</v>
      </c>
      <c r="Z571" s="70">
        <v>0</v>
      </c>
      <c r="AA571" s="35" t="e">
        <f t="shared" si="1232"/>
        <v>#DIV/0!</v>
      </c>
      <c r="AB571" s="11" t="e">
        <f t="shared" si="1233"/>
        <v>#DIV/0!</v>
      </c>
      <c r="AC571" s="20">
        <v>0</v>
      </c>
      <c r="AD571" s="36">
        <v>0</v>
      </c>
      <c r="AE571" s="35" t="e">
        <f t="shared" si="1234"/>
        <v>#DIV/0!</v>
      </c>
      <c r="AF571" s="6" t="e">
        <f t="shared" si="1235"/>
        <v>#DIV/0!</v>
      </c>
      <c r="AG571" s="68">
        <v>0</v>
      </c>
      <c r="AH571" s="66">
        <v>0</v>
      </c>
      <c r="AI571" s="35" t="e">
        <f t="shared" si="1236"/>
        <v>#DIV/0!</v>
      </c>
      <c r="AJ571" s="6" t="e">
        <f t="shared" si="1237"/>
        <v>#DIV/0!</v>
      </c>
      <c r="AK571" s="68">
        <v>0</v>
      </c>
      <c r="AL571" s="66">
        <v>0</v>
      </c>
      <c r="AM571" s="35" t="e">
        <f t="shared" si="1238"/>
        <v>#DIV/0!</v>
      </c>
      <c r="AN571" s="6" t="e">
        <f t="shared" si="1239"/>
        <v>#DIV/0!</v>
      </c>
      <c r="AO571" s="68">
        <v>0</v>
      </c>
      <c r="AP571" s="66">
        <v>0</v>
      </c>
      <c r="AQ571" s="35" t="e">
        <f t="shared" si="1240"/>
        <v>#DIV/0!</v>
      </c>
      <c r="AR571" s="6" t="e">
        <f t="shared" si="1241"/>
        <v>#DIV/0!</v>
      </c>
      <c r="AS571" s="68">
        <v>0</v>
      </c>
      <c r="AT571" s="66">
        <v>0</v>
      </c>
      <c r="AU571" s="35" t="e">
        <f t="shared" si="1242"/>
        <v>#DIV/0!</v>
      </c>
      <c r="AV571" s="6" t="e">
        <f t="shared" si="1243"/>
        <v>#DIV/0!</v>
      </c>
      <c r="AW571" s="68">
        <v>0</v>
      </c>
      <c r="AX571" s="66">
        <v>0</v>
      </c>
      <c r="AY571" s="35" t="e">
        <f t="shared" si="1244"/>
        <v>#DIV/0!</v>
      </c>
      <c r="AZ571" s="6" t="e">
        <f t="shared" si="1245"/>
        <v>#DIV/0!</v>
      </c>
      <c r="BA571" s="68">
        <v>0</v>
      </c>
      <c r="BB571" s="66">
        <v>0</v>
      </c>
      <c r="BC571" s="35" t="e">
        <f t="shared" si="1246"/>
        <v>#DIV/0!</v>
      </c>
      <c r="BD571" s="11" t="e">
        <f t="shared" si="1247"/>
        <v>#DIV/0!</v>
      </c>
    </row>
    <row r="572" spans="1:56" x14ac:dyDescent="0.25">
      <c r="A572" s="19" t="s">
        <v>4</v>
      </c>
      <c r="B572" s="8">
        <v>136320</v>
      </c>
      <c r="C572" s="35">
        <f>B572/F565</f>
        <v>103.58662613981762</v>
      </c>
      <c r="D572" s="8">
        <v>5250</v>
      </c>
      <c r="E572" s="68">
        <v>0</v>
      </c>
      <c r="F572" s="70">
        <v>0</v>
      </c>
      <c r="G572" s="35" t="e">
        <f t="shared" si="1222"/>
        <v>#DIV/0!</v>
      </c>
      <c r="H572" s="11" t="e">
        <f t="shared" si="1223"/>
        <v>#DIV/0!</v>
      </c>
      <c r="I572" s="35">
        <v>0</v>
      </c>
      <c r="J572" s="70">
        <v>0</v>
      </c>
      <c r="K572" s="35" t="e">
        <f t="shared" si="1224"/>
        <v>#DIV/0!</v>
      </c>
      <c r="L572" s="6" t="e">
        <f t="shared" si="1225"/>
        <v>#DIV/0!</v>
      </c>
      <c r="M572" s="68">
        <v>0</v>
      </c>
      <c r="N572" s="5">
        <v>0</v>
      </c>
      <c r="O572" s="35" t="e">
        <f t="shared" si="1226"/>
        <v>#DIV/0!</v>
      </c>
      <c r="P572" s="11" t="e">
        <f t="shared" si="1227"/>
        <v>#DIV/0!</v>
      </c>
      <c r="Q572" s="35">
        <v>0</v>
      </c>
      <c r="R572" s="66">
        <v>0</v>
      </c>
      <c r="S572" s="35" t="e">
        <f t="shared" si="1228"/>
        <v>#DIV/0!</v>
      </c>
      <c r="T572" s="6" t="e">
        <f t="shared" si="1229"/>
        <v>#DIV/0!</v>
      </c>
      <c r="U572" s="68">
        <v>49970</v>
      </c>
      <c r="V572" s="66">
        <v>739</v>
      </c>
      <c r="W572" s="20">
        <f t="shared" si="1230"/>
        <v>67.618403247631932</v>
      </c>
      <c r="X572" s="6">
        <f t="shared" si="1231"/>
        <v>0.65277155717344204</v>
      </c>
      <c r="Y572" s="68">
        <v>0</v>
      </c>
      <c r="Z572" s="70">
        <v>0</v>
      </c>
      <c r="AA572" s="35" t="e">
        <f t="shared" si="1232"/>
        <v>#DIV/0!</v>
      </c>
      <c r="AB572" s="11" t="e">
        <f t="shared" si="1233"/>
        <v>#DIV/0!</v>
      </c>
      <c r="AC572" s="20">
        <v>0</v>
      </c>
      <c r="AD572" s="36">
        <v>0</v>
      </c>
      <c r="AE572" s="35" t="e">
        <f t="shared" si="1234"/>
        <v>#DIV/0!</v>
      </c>
      <c r="AF572" s="6" t="e">
        <f t="shared" si="1235"/>
        <v>#DIV/0!</v>
      </c>
      <c r="AG572" s="68">
        <v>0</v>
      </c>
      <c r="AH572" s="66">
        <v>0</v>
      </c>
      <c r="AI572" s="35" t="e">
        <f t="shared" si="1236"/>
        <v>#DIV/0!</v>
      </c>
      <c r="AJ572" s="6" t="e">
        <f t="shared" si="1237"/>
        <v>#DIV/0!</v>
      </c>
      <c r="AK572" s="68">
        <v>0</v>
      </c>
      <c r="AL572" s="66">
        <v>0</v>
      </c>
      <c r="AM572" s="35" t="e">
        <f t="shared" si="1238"/>
        <v>#DIV/0!</v>
      </c>
      <c r="AN572" s="6" t="e">
        <f t="shared" si="1239"/>
        <v>#DIV/0!</v>
      </c>
      <c r="AO572" s="68">
        <v>0</v>
      </c>
      <c r="AP572" s="66">
        <v>0</v>
      </c>
      <c r="AQ572" s="35" t="e">
        <f t="shared" si="1240"/>
        <v>#DIV/0!</v>
      </c>
      <c r="AR572" s="6" t="e">
        <f t="shared" si="1241"/>
        <v>#DIV/0!</v>
      </c>
      <c r="AS572" s="68">
        <v>0</v>
      </c>
      <c r="AT572" s="66">
        <v>0</v>
      </c>
      <c r="AU572" s="35" t="e">
        <f t="shared" si="1242"/>
        <v>#DIV/0!</v>
      </c>
      <c r="AV572" s="6" t="e">
        <f t="shared" si="1243"/>
        <v>#DIV/0!</v>
      </c>
      <c r="AW572" s="68">
        <v>0</v>
      </c>
      <c r="AX572" s="66">
        <v>0</v>
      </c>
      <c r="AY572" s="35" t="e">
        <f t="shared" si="1244"/>
        <v>#DIV/0!</v>
      </c>
      <c r="AZ572" s="6" t="e">
        <f t="shared" si="1245"/>
        <v>#DIV/0!</v>
      </c>
      <c r="BA572" s="68">
        <v>0</v>
      </c>
      <c r="BB572" s="66">
        <v>0</v>
      </c>
      <c r="BC572" s="35" t="e">
        <f t="shared" si="1246"/>
        <v>#DIV/0!</v>
      </c>
      <c r="BD572" s="11" t="e">
        <f t="shared" si="1247"/>
        <v>#DIV/0!</v>
      </c>
    </row>
    <row r="573" spans="1:56" x14ac:dyDescent="0.25">
      <c r="A573" s="19" t="s">
        <v>5</v>
      </c>
      <c r="B573" s="8">
        <v>179710</v>
      </c>
      <c r="C573" s="35">
        <f>B573/F565</f>
        <v>136.55775075987842</v>
      </c>
      <c r="D573" s="8">
        <v>7050</v>
      </c>
      <c r="E573" s="68">
        <v>0</v>
      </c>
      <c r="F573" s="70">
        <v>0</v>
      </c>
      <c r="G573" s="35" t="e">
        <f t="shared" si="1222"/>
        <v>#DIV/0!</v>
      </c>
      <c r="H573" s="11" t="e">
        <f t="shared" si="1223"/>
        <v>#DIV/0!</v>
      </c>
      <c r="I573" s="35">
        <v>0</v>
      </c>
      <c r="J573" s="70">
        <v>0</v>
      </c>
      <c r="K573" s="35" t="e">
        <f t="shared" si="1224"/>
        <v>#DIV/0!</v>
      </c>
      <c r="L573" s="6" t="e">
        <f t="shared" si="1225"/>
        <v>#DIV/0!</v>
      </c>
      <c r="M573" s="68">
        <v>0</v>
      </c>
      <c r="N573" s="5">
        <v>0</v>
      </c>
      <c r="O573" s="35" t="e">
        <f t="shared" si="1226"/>
        <v>#DIV/0!</v>
      </c>
      <c r="P573" s="11" t="e">
        <f t="shared" si="1227"/>
        <v>#DIV/0!</v>
      </c>
      <c r="Q573" s="35">
        <v>0</v>
      </c>
      <c r="R573" s="66">
        <v>0</v>
      </c>
      <c r="S573" s="35" t="e">
        <f t="shared" si="1228"/>
        <v>#DIV/0!</v>
      </c>
      <c r="T573" s="6" t="e">
        <f t="shared" si="1229"/>
        <v>#DIV/0!</v>
      </c>
      <c r="U573" s="68">
        <v>69310</v>
      </c>
      <c r="V573" s="66">
        <v>739</v>
      </c>
      <c r="W573" s="20">
        <f t="shared" si="1230"/>
        <v>93.788903924221927</v>
      </c>
      <c r="X573" s="6">
        <f t="shared" si="1231"/>
        <v>0.68680762096864978</v>
      </c>
      <c r="Y573" s="68">
        <v>0</v>
      </c>
      <c r="Z573" s="70">
        <v>0</v>
      </c>
      <c r="AA573" s="35" t="e">
        <f t="shared" si="1232"/>
        <v>#DIV/0!</v>
      </c>
      <c r="AB573" s="11" t="e">
        <f t="shared" si="1233"/>
        <v>#DIV/0!</v>
      </c>
      <c r="AC573" s="20">
        <v>0</v>
      </c>
      <c r="AD573" s="36">
        <v>0</v>
      </c>
      <c r="AE573" s="35" t="e">
        <f t="shared" si="1234"/>
        <v>#DIV/0!</v>
      </c>
      <c r="AF573" s="6" t="e">
        <f t="shared" si="1235"/>
        <v>#DIV/0!</v>
      </c>
      <c r="AG573" s="68">
        <v>0</v>
      </c>
      <c r="AH573" s="66">
        <v>0</v>
      </c>
      <c r="AI573" s="35" t="e">
        <f t="shared" si="1236"/>
        <v>#DIV/0!</v>
      </c>
      <c r="AJ573" s="6" t="e">
        <f t="shared" si="1237"/>
        <v>#DIV/0!</v>
      </c>
      <c r="AK573" s="68">
        <v>0</v>
      </c>
      <c r="AL573" s="66">
        <v>0</v>
      </c>
      <c r="AM573" s="35" t="e">
        <f t="shared" si="1238"/>
        <v>#DIV/0!</v>
      </c>
      <c r="AN573" s="6" t="e">
        <f t="shared" si="1239"/>
        <v>#DIV/0!</v>
      </c>
      <c r="AO573" s="68">
        <v>0</v>
      </c>
      <c r="AP573" s="66">
        <v>0</v>
      </c>
      <c r="AQ573" s="35" t="e">
        <f t="shared" si="1240"/>
        <v>#DIV/0!</v>
      </c>
      <c r="AR573" s="6" t="e">
        <f t="shared" si="1241"/>
        <v>#DIV/0!</v>
      </c>
      <c r="AS573" s="68">
        <v>0</v>
      </c>
      <c r="AT573" s="66">
        <v>0</v>
      </c>
      <c r="AU573" s="35" t="e">
        <f t="shared" si="1242"/>
        <v>#DIV/0!</v>
      </c>
      <c r="AV573" s="6" t="e">
        <f t="shared" si="1243"/>
        <v>#DIV/0!</v>
      </c>
      <c r="AW573" s="68">
        <v>0</v>
      </c>
      <c r="AX573" s="66">
        <v>0</v>
      </c>
      <c r="AY573" s="35" t="e">
        <f t="shared" si="1244"/>
        <v>#DIV/0!</v>
      </c>
      <c r="AZ573" s="6" t="e">
        <f t="shared" si="1245"/>
        <v>#DIV/0!</v>
      </c>
      <c r="BA573" s="68">
        <v>0</v>
      </c>
      <c r="BB573" s="66">
        <v>0</v>
      </c>
      <c r="BC573" s="35" t="e">
        <f t="shared" si="1246"/>
        <v>#DIV/0!</v>
      </c>
      <c r="BD573" s="11" t="e">
        <f t="shared" si="1247"/>
        <v>#DIV/0!</v>
      </c>
    </row>
    <row r="574" spans="1:56" x14ac:dyDescent="0.25">
      <c r="A574" s="19" t="s">
        <v>6</v>
      </c>
      <c r="B574" s="8">
        <v>215600</v>
      </c>
      <c r="C574" s="35">
        <f>B574/F565</f>
        <v>163.82978723404256</v>
      </c>
      <c r="D574" s="8">
        <v>10950</v>
      </c>
      <c r="E574" s="68">
        <v>0</v>
      </c>
      <c r="F574" s="70">
        <v>0</v>
      </c>
      <c r="G574" s="35" t="e">
        <f t="shared" si="1222"/>
        <v>#DIV/0!</v>
      </c>
      <c r="H574" s="11" t="e">
        <f t="shared" si="1223"/>
        <v>#DIV/0!</v>
      </c>
      <c r="I574" s="35">
        <v>0</v>
      </c>
      <c r="J574" s="70">
        <v>0</v>
      </c>
      <c r="K574" s="35" t="e">
        <f t="shared" si="1224"/>
        <v>#DIV/0!</v>
      </c>
      <c r="L574" s="6" t="e">
        <f t="shared" si="1225"/>
        <v>#DIV/0!</v>
      </c>
      <c r="M574" s="68">
        <v>0</v>
      </c>
      <c r="N574" s="5">
        <v>0</v>
      </c>
      <c r="O574" s="35" t="e">
        <f t="shared" si="1226"/>
        <v>#DIV/0!</v>
      </c>
      <c r="P574" s="11" t="e">
        <f t="shared" si="1227"/>
        <v>#DIV/0!</v>
      </c>
      <c r="Q574" s="35">
        <v>0</v>
      </c>
      <c r="R574" s="66">
        <v>0</v>
      </c>
      <c r="S574" s="35" t="e">
        <f t="shared" si="1228"/>
        <v>#DIV/0!</v>
      </c>
      <c r="T574" s="6" t="e">
        <f t="shared" si="1229"/>
        <v>#DIV/0!</v>
      </c>
      <c r="U574" s="68">
        <v>84290</v>
      </c>
      <c r="V574" s="66">
        <v>739</v>
      </c>
      <c r="W574" s="20">
        <f t="shared" si="1230"/>
        <v>114.05953991880921</v>
      </c>
      <c r="X574" s="6">
        <f t="shared" si="1231"/>
        <v>0.69620758132260163</v>
      </c>
      <c r="Y574" s="68">
        <v>0</v>
      </c>
      <c r="Z574" s="70">
        <v>0</v>
      </c>
      <c r="AA574" s="35" t="e">
        <f t="shared" si="1232"/>
        <v>#DIV/0!</v>
      </c>
      <c r="AB574" s="11" t="e">
        <f t="shared" si="1233"/>
        <v>#DIV/0!</v>
      </c>
      <c r="AC574" s="20">
        <v>0</v>
      </c>
      <c r="AD574" s="36">
        <v>0</v>
      </c>
      <c r="AE574" s="35" t="e">
        <f t="shared" si="1234"/>
        <v>#DIV/0!</v>
      </c>
      <c r="AF574" s="6" t="e">
        <f t="shared" si="1235"/>
        <v>#DIV/0!</v>
      </c>
      <c r="AG574" s="68">
        <v>0</v>
      </c>
      <c r="AH574" s="66">
        <v>0</v>
      </c>
      <c r="AI574" s="35" t="e">
        <f t="shared" si="1236"/>
        <v>#DIV/0!</v>
      </c>
      <c r="AJ574" s="6" t="e">
        <f t="shared" si="1237"/>
        <v>#DIV/0!</v>
      </c>
      <c r="AK574" s="68">
        <v>0</v>
      </c>
      <c r="AL574" s="66">
        <v>0</v>
      </c>
      <c r="AM574" s="35" t="e">
        <f t="shared" si="1238"/>
        <v>#DIV/0!</v>
      </c>
      <c r="AN574" s="6" t="e">
        <f t="shared" si="1239"/>
        <v>#DIV/0!</v>
      </c>
      <c r="AO574" s="68">
        <v>0</v>
      </c>
      <c r="AP574" s="66">
        <v>0</v>
      </c>
      <c r="AQ574" s="35" t="e">
        <f t="shared" si="1240"/>
        <v>#DIV/0!</v>
      </c>
      <c r="AR574" s="6" t="e">
        <f t="shared" si="1241"/>
        <v>#DIV/0!</v>
      </c>
      <c r="AS574" s="68">
        <v>0</v>
      </c>
      <c r="AT574" s="66">
        <v>0</v>
      </c>
      <c r="AU574" s="35" t="e">
        <f t="shared" si="1242"/>
        <v>#DIV/0!</v>
      </c>
      <c r="AV574" s="6" t="e">
        <f t="shared" si="1243"/>
        <v>#DIV/0!</v>
      </c>
      <c r="AW574" s="68">
        <v>0</v>
      </c>
      <c r="AX574" s="66">
        <v>0</v>
      </c>
      <c r="AY574" s="35" t="e">
        <f t="shared" si="1244"/>
        <v>#DIV/0!</v>
      </c>
      <c r="AZ574" s="6" t="e">
        <f t="shared" si="1245"/>
        <v>#DIV/0!</v>
      </c>
      <c r="BA574" s="68">
        <v>0</v>
      </c>
      <c r="BB574" s="66">
        <v>0</v>
      </c>
      <c r="BC574" s="35" t="e">
        <f t="shared" si="1246"/>
        <v>#DIV/0!</v>
      </c>
      <c r="BD574" s="11" t="e">
        <f t="shared" si="1247"/>
        <v>#DIV/0!</v>
      </c>
    </row>
    <row r="575" spans="1:56" ht="15.75" thickBot="1" x14ac:dyDescent="0.3">
      <c r="A575" s="21"/>
      <c r="B575" s="22"/>
      <c r="C575" s="23">
        <f>AVERAGE(Table11044[MA $/Sq Ft])</f>
        <v>94.986973512809385</v>
      </c>
      <c r="D575" s="22">
        <f>AVERAGE(Table11044[Basic Allowance])</f>
        <v>4442.8571428571431</v>
      </c>
      <c r="E575" s="16"/>
      <c r="F575" s="22"/>
      <c r="G575" s="15"/>
      <c r="H575" s="24" t="e">
        <f>AVERAGE(Table11044[Bsmt % Base])</f>
        <v>#DIV/0!</v>
      </c>
      <c r="I575" s="15"/>
      <c r="J575" s="15"/>
      <c r="K575" s="15"/>
      <c r="L575" s="25" t="e">
        <f>AVERAGE(Table11044[[#Headers],[#Data],[UnfBsmt % Base]])</f>
        <v>#DIV/0!</v>
      </c>
      <c r="M575" s="44"/>
      <c r="N575" s="15"/>
      <c r="O575" s="23" t="e">
        <f>AVERAGE(Table11044[LowerVal/SqFt])</f>
        <v>#DIV/0!</v>
      </c>
      <c r="P575" s="24" t="e">
        <f>AVERAGE(Table11044[Lower % Base])</f>
        <v>#DIV/0!</v>
      </c>
      <c r="Q575" s="13"/>
      <c r="R575" s="13"/>
      <c r="S575" s="13"/>
      <c r="T575" s="25" t="e">
        <f>AVERAGE(Table11044[Unf Lower % Base])</f>
        <v>#DIV/0!</v>
      </c>
      <c r="U575" s="12"/>
      <c r="V575" s="13"/>
      <c r="W575" s="13"/>
      <c r="X575" s="25">
        <f>AVERAGE(Table11044[1/2 Story % Base])</f>
        <v>0.65433441231908629</v>
      </c>
      <c r="Y575" s="12"/>
      <c r="Z575" s="13"/>
      <c r="AA575" s="13"/>
      <c r="AB575" s="24" t="e">
        <f>AVERAGE(Table11044[2nd Story % Base])</f>
        <v>#DIV/0!</v>
      </c>
      <c r="AC575" s="13"/>
      <c r="AD575" s="13"/>
      <c r="AE575" s="23" t="e">
        <f>AVERAGE(Table11044[AttGarVal/SqFt])</f>
        <v>#DIV/0!</v>
      </c>
      <c r="AF575" s="25" t="e">
        <f>AVERAGE(Table11044[Att Gar % Base])</f>
        <v>#DIV/0!</v>
      </c>
      <c r="AG575" s="12"/>
      <c r="AH575" s="13"/>
      <c r="AI575" s="13"/>
      <c r="AJ575" s="25" t="e">
        <f>AVERAGE(Table11044[Porch % Base])</f>
        <v>#DIV/0!</v>
      </c>
      <c r="AK575" s="12"/>
      <c r="AL575" s="13"/>
      <c r="AM575" s="13"/>
      <c r="AN575" s="25" t="e">
        <f>AVERAGE(Table11044[Cov Porch % Base])</f>
        <v>#DIV/0!</v>
      </c>
      <c r="AO575" s="12"/>
      <c r="AP575" s="13"/>
      <c r="AQ575" s="13"/>
      <c r="AR575" s="25" t="e">
        <f>AVERAGE(Table11044[Deck % Base])</f>
        <v>#DIV/0!</v>
      </c>
      <c r="AS575" s="12"/>
      <c r="AT575" s="13"/>
      <c r="AU575" s="23" t="e">
        <f>AVERAGE(Table11044[CovDeckVal/SqFt])</f>
        <v>#DIV/0!</v>
      </c>
      <c r="AV575" s="25" t="e">
        <f>AVERAGE(Table11044[CovDeck % Base])</f>
        <v>#DIV/0!</v>
      </c>
      <c r="AW575" s="12"/>
      <c r="AX575" s="13"/>
      <c r="AY575" s="13"/>
      <c r="AZ575" s="25" t="e">
        <f>AVERAGE(Table11044[CarP % Base])</f>
        <v>#DIV/0!</v>
      </c>
      <c r="BA575" s="12"/>
      <c r="BB575" s="13"/>
      <c r="BC575" s="13"/>
      <c r="BD575" s="24" t="e">
        <f>AVERAGE(Table11044[EFP % Base])</f>
        <v>#DIV/0!</v>
      </c>
    </row>
    <row r="577" spans="1:56" ht="15.75" thickBot="1" x14ac:dyDescent="0.3">
      <c r="A577" s="83"/>
      <c r="B577" t="s">
        <v>79</v>
      </c>
      <c r="C577" s="78" t="s">
        <v>141</v>
      </c>
      <c r="E577" t="s">
        <v>33</v>
      </c>
      <c r="F577" s="79">
        <v>1061</v>
      </c>
      <c r="H577" t="s">
        <v>80</v>
      </c>
      <c r="I577" t="s">
        <v>134</v>
      </c>
      <c r="J577" t="s">
        <v>142</v>
      </c>
    </row>
    <row r="578" spans="1:56" x14ac:dyDescent="0.25">
      <c r="A578" s="112"/>
      <c r="B578" s="113"/>
      <c r="C578" s="113"/>
      <c r="D578" s="114"/>
      <c r="E578" s="115" t="s">
        <v>27</v>
      </c>
      <c r="F578" s="116"/>
      <c r="G578" s="116"/>
      <c r="H578" s="117"/>
      <c r="I578" s="118" t="s">
        <v>28</v>
      </c>
      <c r="J578" s="119"/>
      <c r="K578" s="119"/>
      <c r="L578" s="120"/>
      <c r="M578" s="121" t="s">
        <v>7</v>
      </c>
      <c r="N578" s="122"/>
      <c r="O578" s="122"/>
      <c r="P578" s="123"/>
      <c r="Q578" s="124" t="s">
        <v>29</v>
      </c>
      <c r="R578" s="125"/>
      <c r="S578" s="125"/>
      <c r="T578" s="126"/>
      <c r="U578" s="127" t="s">
        <v>8</v>
      </c>
      <c r="V578" s="128"/>
      <c r="W578" s="128"/>
      <c r="X578" s="129"/>
      <c r="Y578" s="130" t="s">
        <v>0</v>
      </c>
      <c r="Z578" s="131"/>
      <c r="AA578" s="131"/>
      <c r="AB578" s="132"/>
      <c r="AC578" s="133" t="s">
        <v>34</v>
      </c>
      <c r="AD578" s="134"/>
      <c r="AE578" s="134"/>
      <c r="AF578" s="135"/>
      <c r="AG578" s="115" t="s">
        <v>9</v>
      </c>
      <c r="AH578" s="116"/>
      <c r="AI578" s="116"/>
      <c r="AJ578" s="117"/>
      <c r="AK578" s="136" t="s">
        <v>35</v>
      </c>
      <c r="AL578" s="137"/>
      <c r="AM578" s="137"/>
      <c r="AN578" s="138"/>
      <c r="AO578" s="139" t="s">
        <v>10</v>
      </c>
      <c r="AP578" s="140"/>
      <c r="AQ578" s="140"/>
      <c r="AR578" s="141"/>
      <c r="AS578" s="124" t="s">
        <v>36</v>
      </c>
      <c r="AT578" s="125"/>
      <c r="AU578" s="125"/>
      <c r="AV578" s="126"/>
      <c r="AW578" s="142" t="s">
        <v>11</v>
      </c>
      <c r="AX578" s="143"/>
      <c r="AY578" s="143"/>
      <c r="AZ578" s="144"/>
      <c r="BA578" s="148" t="s">
        <v>17</v>
      </c>
      <c r="BB578" s="149"/>
      <c r="BC578" s="149"/>
      <c r="BD578" s="150"/>
    </row>
    <row r="579" spans="1:56" s="1" customFormat="1" ht="15.75" thickBot="1" x14ac:dyDescent="0.3">
      <c r="A579" s="41" t="s">
        <v>13</v>
      </c>
      <c r="B579" s="42" t="s">
        <v>15</v>
      </c>
      <c r="C579" s="42" t="s">
        <v>32</v>
      </c>
      <c r="D579" s="43" t="s">
        <v>18</v>
      </c>
      <c r="E579" s="30" t="s">
        <v>30</v>
      </c>
      <c r="F579" s="31" t="s">
        <v>61</v>
      </c>
      <c r="G579" s="31" t="s">
        <v>38</v>
      </c>
      <c r="H579" s="32" t="s">
        <v>62</v>
      </c>
      <c r="I579" s="37" t="s">
        <v>31</v>
      </c>
      <c r="J579" s="38" t="s">
        <v>39</v>
      </c>
      <c r="K579" s="38" t="s">
        <v>40</v>
      </c>
      <c r="L579" s="39" t="s">
        <v>63</v>
      </c>
      <c r="M579" s="40" t="s">
        <v>19</v>
      </c>
      <c r="N579" s="7" t="s">
        <v>41</v>
      </c>
      <c r="O579" s="7" t="s">
        <v>37</v>
      </c>
      <c r="P579" s="7" t="s">
        <v>64</v>
      </c>
      <c r="Q579" s="27" t="s">
        <v>20</v>
      </c>
      <c r="R579" s="28" t="s">
        <v>60</v>
      </c>
      <c r="S579" s="28" t="s">
        <v>59</v>
      </c>
      <c r="T579" s="29" t="s">
        <v>65</v>
      </c>
      <c r="U579" s="48" t="s">
        <v>21</v>
      </c>
      <c r="V579" s="48" t="s">
        <v>42</v>
      </c>
      <c r="W579" s="48" t="s">
        <v>43</v>
      </c>
      <c r="X579" s="49" t="s">
        <v>66</v>
      </c>
      <c r="Y579" s="50" t="s">
        <v>22</v>
      </c>
      <c r="Z579" s="51" t="s">
        <v>44</v>
      </c>
      <c r="AA579" s="51" t="s">
        <v>45</v>
      </c>
      <c r="AB579" s="52" t="s">
        <v>67</v>
      </c>
      <c r="AC579" s="45" t="s">
        <v>23</v>
      </c>
      <c r="AD579" s="46" t="s">
        <v>46</v>
      </c>
      <c r="AE579" s="46" t="s">
        <v>47</v>
      </c>
      <c r="AF579" s="47" t="s">
        <v>68</v>
      </c>
      <c r="AG579" s="30" t="s">
        <v>24</v>
      </c>
      <c r="AH579" s="31" t="s">
        <v>48</v>
      </c>
      <c r="AI579" s="31" t="s">
        <v>49</v>
      </c>
      <c r="AJ579" s="32" t="s">
        <v>69</v>
      </c>
      <c r="AK579" s="53" t="s">
        <v>25</v>
      </c>
      <c r="AL579" s="54" t="s">
        <v>50</v>
      </c>
      <c r="AM579" s="54" t="s">
        <v>51</v>
      </c>
      <c r="AN579" s="55" t="s">
        <v>70</v>
      </c>
      <c r="AO579" s="56" t="s">
        <v>26</v>
      </c>
      <c r="AP579" s="57" t="s">
        <v>52</v>
      </c>
      <c r="AQ579" s="57" t="s">
        <v>53</v>
      </c>
      <c r="AR579" s="58" t="s">
        <v>71</v>
      </c>
      <c r="AS579" s="59" t="s">
        <v>55</v>
      </c>
      <c r="AT579" s="60" t="s">
        <v>54</v>
      </c>
      <c r="AU579" s="60" t="s">
        <v>56</v>
      </c>
      <c r="AV579" s="61" t="s">
        <v>76</v>
      </c>
      <c r="AW579" s="62" t="s">
        <v>72</v>
      </c>
      <c r="AX579" s="63" t="s">
        <v>73</v>
      </c>
      <c r="AY579" s="63" t="s">
        <v>74</v>
      </c>
      <c r="AZ579" s="64" t="s">
        <v>75</v>
      </c>
      <c r="BA579" s="71" t="s">
        <v>77</v>
      </c>
      <c r="BB579" s="72" t="s">
        <v>57</v>
      </c>
      <c r="BC579" s="72" t="s">
        <v>58</v>
      </c>
      <c r="BD579" s="73" t="s">
        <v>78</v>
      </c>
    </row>
    <row r="580" spans="1:56" x14ac:dyDescent="0.25">
      <c r="A580" s="17" t="s">
        <v>1</v>
      </c>
      <c r="B580" s="14">
        <v>54990</v>
      </c>
      <c r="C580" s="34">
        <f>B580/F577</f>
        <v>51.828463713477852</v>
      </c>
      <c r="D580" s="14">
        <v>1525</v>
      </c>
      <c r="E580" s="67">
        <v>0</v>
      </c>
      <c r="F580" s="69">
        <v>0</v>
      </c>
      <c r="G580" s="34" t="e">
        <f t="shared" ref="G580:G586" si="1248">E580/F580</f>
        <v>#DIV/0!</v>
      </c>
      <c r="H580" s="10" t="e">
        <f t="shared" ref="H580:H586" si="1249">G580/C580</f>
        <v>#DIV/0!</v>
      </c>
      <c r="I580" s="34">
        <v>0</v>
      </c>
      <c r="J580" s="69">
        <v>0</v>
      </c>
      <c r="K580" s="34" t="e">
        <f t="shared" ref="K580:K586" si="1250">I580/J580</f>
        <v>#DIV/0!</v>
      </c>
      <c r="L580" s="9" t="e">
        <f t="shared" ref="L580:L586" si="1251">K580/C580</f>
        <v>#DIV/0!</v>
      </c>
      <c r="M580" s="67">
        <v>0</v>
      </c>
      <c r="N580" s="26">
        <v>0</v>
      </c>
      <c r="O580" s="34" t="e">
        <f t="shared" ref="O580:O586" si="1252">M580/N580</f>
        <v>#DIV/0!</v>
      </c>
      <c r="P580" s="10" t="e">
        <f t="shared" ref="P580:P586" si="1253">O580/C580</f>
        <v>#DIV/0!</v>
      </c>
      <c r="Q580" s="35">
        <v>0</v>
      </c>
      <c r="R580" s="66">
        <v>0</v>
      </c>
      <c r="S580" s="35" t="e">
        <f t="shared" ref="S580:S586" si="1254">Q580/R580</f>
        <v>#DIV/0!</v>
      </c>
      <c r="T580" s="6" t="e">
        <f t="shared" ref="T580:T586" si="1255">S580/C580</f>
        <v>#DIV/0!</v>
      </c>
      <c r="U580" s="67">
        <v>0</v>
      </c>
      <c r="V580" s="65">
        <v>0</v>
      </c>
      <c r="W580" s="18" t="e">
        <f t="shared" ref="W580:W586" si="1256">U580/V580</f>
        <v>#DIV/0!</v>
      </c>
      <c r="X580" s="9" t="e">
        <f t="shared" ref="X580:X586" si="1257">W580/C580</f>
        <v>#DIV/0!</v>
      </c>
      <c r="Y580" s="67">
        <v>0</v>
      </c>
      <c r="Z580" s="69">
        <v>0</v>
      </c>
      <c r="AA580" s="34" t="e">
        <f t="shared" ref="AA580:AA586" si="1258">Y580/Z580</f>
        <v>#DIV/0!</v>
      </c>
      <c r="AB580" s="10" t="e">
        <f t="shared" ref="AB580:AB586" si="1259">AA580/C580</f>
        <v>#DIV/0!</v>
      </c>
      <c r="AC580" s="18">
        <v>10520</v>
      </c>
      <c r="AD580" s="33">
        <v>746</v>
      </c>
      <c r="AE580" s="34">
        <f t="shared" ref="AE580:AE586" si="1260">AC580/AD580</f>
        <v>14.101876675603217</v>
      </c>
      <c r="AF580" s="9">
        <f t="shared" ref="AF580:AF586" si="1261">AE580/C580</f>
        <v>0.27208749141325717</v>
      </c>
      <c r="AG580" s="67">
        <v>0</v>
      </c>
      <c r="AH580" s="65">
        <v>0</v>
      </c>
      <c r="AI580" s="34" t="e">
        <f t="shared" ref="AI580:AI586" si="1262">AG580/AH580</f>
        <v>#DIV/0!</v>
      </c>
      <c r="AJ580" s="9" t="e">
        <f t="shared" ref="AJ580:AJ586" si="1263">AI580/C580</f>
        <v>#DIV/0!</v>
      </c>
      <c r="AK580" s="67">
        <v>930</v>
      </c>
      <c r="AL580" s="65">
        <v>152</v>
      </c>
      <c r="AM580" s="34">
        <f t="shared" ref="AM580:AM586" si="1264">AK580/AL580</f>
        <v>6.1184210526315788</v>
      </c>
      <c r="AN580" s="9">
        <f t="shared" ref="AN580:AN586" si="1265">AM580/C580</f>
        <v>0.11805136819134579</v>
      </c>
      <c r="AO580" s="67">
        <v>0</v>
      </c>
      <c r="AP580" s="65">
        <v>0</v>
      </c>
      <c r="AQ580" s="34" t="e">
        <f t="shared" ref="AQ580:AQ586" si="1266">AO580/AP580</f>
        <v>#DIV/0!</v>
      </c>
      <c r="AR580" s="9" t="e">
        <f t="shared" ref="AR580:AR586" si="1267">AQ580/C580</f>
        <v>#DIV/0!</v>
      </c>
      <c r="AS580" s="67">
        <v>0</v>
      </c>
      <c r="AT580" s="65">
        <v>0</v>
      </c>
      <c r="AU580" s="34" t="e">
        <f t="shared" ref="AU580:AU586" si="1268">AS580/AT580</f>
        <v>#DIV/0!</v>
      </c>
      <c r="AV580" s="9" t="e">
        <f t="shared" ref="AV580:AV586" si="1269">AU580/C580</f>
        <v>#DIV/0!</v>
      </c>
      <c r="AW580" s="67">
        <v>0</v>
      </c>
      <c r="AX580" s="65">
        <v>0</v>
      </c>
      <c r="AY580" s="34" t="e">
        <f t="shared" ref="AY580:AY586" si="1270">AW580/AX580</f>
        <v>#DIV/0!</v>
      </c>
      <c r="AZ580" s="9" t="e">
        <f t="shared" ref="AZ580:AZ586" si="1271">AY580/C580</f>
        <v>#DIV/0!</v>
      </c>
      <c r="BA580" s="67">
        <v>0</v>
      </c>
      <c r="BB580" s="65">
        <v>0</v>
      </c>
      <c r="BC580" s="34" t="e">
        <f t="shared" ref="BC580:BC586" si="1272">BA580/BB580</f>
        <v>#DIV/0!</v>
      </c>
      <c r="BD580" s="10" t="e">
        <f t="shared" ref="BD580:BD586" si="1273">BC580/C580</f>
        <v>#DIV/0!</v>
      </c>
    </row>
    <row r="581" spans="1:56" x14ac:dyDescent="0.25">
      <c r="A581" s="19" t="s">
        <v>16</v>
      </c>
      <c r="B581" s="8">
        <v>64690</v>
      </c>
      <c r="C581" s="35">
        <f>B581/F577</f>
        <v>60.970782280867105</v>
      </c>
      <c r="D581" s="8">
        <v>1525</v>
      </c>
      <c r="E581" s="68">
        <v>0</v>
      </c>
      <c r="F581" s="70">
        <v>0</v>
      </c>
      <c r="G581" s="35" t="e">
        <f t="shared" si="1248"/>
        <v>#DIV/0!</v>
      </c>
      <c r="H581" s="11" t="e">
        <f t="shared" si="1249"/>
        <v>#DIV/0!</v>
      </c>
      <c r="I581" s="35">
        <v>0</v>
      </c>
      <c r="J581" s="70">
        <v>0</v>
      </c>
      <c r="K581" s="35" t="e">
        <f t="shared" si="1250"/>
        <v>#DIV/0!</v>
      </c>
      <c r="L581" s="6" t="e">
        <f t="shared" si="1251"/>
        <v>#DIV/0!</v>
      </c>
      <c r="M581" s="68">
        <v>0</v>
      </c>
      <c r="N581" s="5">
        <v>0</v>
      </c>
      <c r="O581" s="35" t="e">
        <f t="shared" si="1252"/>
        <v>#DIV/0!</v>
      </c>
      <c r="P581" s="11" t="e">
        <f t="shared" si="1253"/>
        <v>#DIV/0!</v>
      </c>
      <c r="Q581" s="35">
        <v>0</v>
      </c>
      <c r="R581" s="66">
        <v>0</v>
      </c>
      <c r="S581" s="35" t="e">
        <f t="shared" si="1254"/>
        <v>#DIV/0!</v>
      </c>
      <c r="T581" s="6" t="e">
        <f t="shared" si="1255"/>
        <v>#DIV/0!</v>
      </c>
      <c r="U581" s="68">
        <v>0</v>
      </c>
      <c r="V581" s="66">
        <v>0</v>
      </c>
      <c r="W581" s="20" t="e">
        <f t="shared" si="1256"/>
        <v>#DIV/0!</v>
      </c>
      <c r="X581" s="6" t="e">
        <f t="shared" si="1257"/>
        <v>#DIV/0!</v>
      </c>
      <c r="Y581" s="68">
        <v>0</v>
      </c>
      <c r="Z581" s="70">
        <v>0</v>
      </c>
      <c r="AA581" s="35" t="e">
        <f t="shared" si="1258"/>
        <v>#DIV/0!</v>
      </c>
      <c r="AB581" s="11" t="e">
        <f t="shared" si="1259"/>
        <v>#DIV/0!</v>
      </c>
      <c r="AC581" s="20">
        <v>13660</v>
      </c>
      <c r="AD581" s="36">
        <v>746</v>
      </c>
      <c r="AE581" s="35">
        <f t="shared" si="1260"/>
        <v>18.310991957104559</v>
      </c>
      <c r="AF581" s="6">
        <f t="shared" si="1261"/>
        <v>0.30032404492947806</v>
      </c>
      <c r="AG581" s="68">
        <v>0</v>
      </c>
      <c r="AH581" s="66">
        <v>0</v>
      </c>
      <c r="AI581" s="35" t="e">
        <f t="shared" si="1262"/>
        <v>#DIV/0!</v>
      </c>
      <c r="AJ581" s="6" t="e">
        <f t="shared" si="1263"/>
        <v>#DIV/0!</v>
      </c>
      <c r="AK581" s="68">
        <v>1340</v>
      </c>
      <c r="AL581" s="66">
        <v>152</v>
      </c>
      <c r="AM581" s="35">
        <f t="shared" si="1264"/>
        <v>8.8157894736842106</v>
      </c>
      <c r="AN581" s="6">
        <f t="shared" si="1265"/>
        <v>0.14459039467582235</v>
      </c>
      <c r="AO581" s="68">
        <v>0</v>
      </c>
      <c r="AP581" s="66">
        <v>0</v>
      </c>
      <c r="AQ581" s="35" t="e">
        <f t="shared" si="1266"/>
        <v>#DIV/0!</v>
      </c>
      <c r="AR581" s="6" t="e">
        <f t="shared" si="1267"/>
        <v>#DIV/0!</v>
      </c>
      <c r="AS581" s="68">
        <v>0</v>
      </c>
      <c r="AT581" s="66">
        <v>0</v>
      </c>
      <c r="AU581" s="35" t="e">
        <f t="shared" si="1268"/>
        <v>#DIV/0!</v>
      </c>
      <c r="AV581" s="6" t="e">
        <f t="shared" si="1269"/>
        <v>#DIV/0!</v>
      </c>
      <c r="AW581" s="68">
        <v>0</v>
      </c>
      <c r="AX581" s="66">
        <v>0</v>
      </c>
      <c r="AY581" s="35" t="e">
        <f t="shared" si="1270"/>
        <v>#DIV/0!</v>
      </c>
      <c r="AZ581" s="6" t="e">
        <f t="shared" si="1271"/>
        <v>#DIV/0!</v>
      </c>
      <c r="BA581" s="68">
        <v>0</v>
      </c>
      <c r="BB581" s="66">
        <v>0</v>
      </c>
      <c r="BC581" s="35" t="e">
        <f t="shared" si="1272"/>
        <v>#DIV/0!</v>
      </c>
      <c r="BD581" s="11" t="e">
        <f t="shared" si="1273"/>
        <v>#DIV/0!</v>
      </c>
    </row>
    <row r="582" spans="1:56" x14ac:dyDescent="0.25">
      <c r="A582" s="19" t="s">
        <v>2</v>
      </c>
      <c r="B582" s="8">
        <v>75720</v>
      </c>
      <c r="C582" s="35">
        <f>B582/F577</f>
        <v>71.366635249764371</v>
      </c>
      <c r="D582" s="8">
        <v>2100</v>
      </c>
      <c r="E582" s="68">
        <v>0</v>
      </c>
      <c r="F582" s="70">
        <v>0</v>
      </c>
      <c r="G582" s="35" t="e">
        <f t="shared" si="1248"/>
        <v>#DIV/0!</v>
      </c>
      <c r="H582" s="11" t="e">
        <f t="shared" si="1249"/>
        <v>#DIV/0!</v>
      </c>
      <c r="I582" s="35">
        <v>0</v>
      </c>
      <c r="J582" s="70">
        <v>0</v>
      </c>
      <c r="K582" s="35" t="e">
        <f t="shared" si="1250"/>
        <v>#DIV/0!</v>
      </c>
      <c r="L582" s="6" t="e">
        <f t="shared" si="1251"/>
        <v>#DIV/0!</v>
      </c>
      <c r="M582" s="68">
        <v>0</v>
      </c>
      <c r="N582" s="5">
        <v>0</v>
      </c>
      <c r="O582" s="35" t="e">
        <f t="shared" si="1252"/>
        <v>#DIV/0!</v>
      </c>
      <c r="P582" s="11" t="e">
        <f t="shared" si="1253"/>
        <v>#DIV/0!</v>
      </c>
      <c r="Q582" s="35">
        <v>0</v>
      </c>
      <c r="R582" s="66">
        <v>0</v>
      </c>
      <c r="S582" s="35" t="e">
        <f t="shared" si="1254"/>
        <v>#DIV/0!</v>
      </c>
      <c r="T582" s="6" t="e">
        <f t="shared" si="1255"/>
        <v>#DIV/0!</v>
      </c>
      <c r="U582" s="68">
        <v>0</v>
      </c>
      <c r="V582" s="66">
        <v>0</v>
      </c>
      <c r="W582" s="20" t="e">
        <f t="shared" si="1256"/>
        <v>#DIV/0!</v>
      </c>
      <c r="X582" s="6" t="e">
        <f t="shared" si="1257"/>
        <v>#DIV/0!</v>
      </c>
      <c r="Y582" s="68">
        <v>0</v>
      </c>
      <c r="Z582" s="70">
        <v>0</v>
      </c>
      <c r="AA582" s="35" t="e">
        <f t="shared" si="1258"/>
        <v>#DIV/0!</v>
      </c>
      <c r="AB582" s="11" t="e">
        <f t="shared" si="1259"/>
        <v>#DIV/0!</v>
      </c>
      <c r="AC582" s="20">
        <v>17780</v>
      </c>
      <c r="AD582" s="36">
        <v>746</v>
      </c>
      <c r="AE582" s="35">
        <f t="shared" si="1260"/>
        <v>23.833780160857909</v>
      </c>
      <c r="AF582" s="6">
        <f t="shared" si="1261"/>
        <v>0.33396250331048921</v>
      </c>
      <c r="AG582" s="68">
        <v>0</v>
      </c>
      <c r="AH582" s="66">
        <v>0</v>
      </c>
      <c r="AI582" s="35" t="e">
        <f t="shared" si="1262"/>
        <v>#DIV/0!</v>
      </c>
      <c r="AJ582" s="6" t="e">
        <f t="shared" si="1263"/>
        <v>#DIV/0!</v>
      </c>
      <c r="AK582" s="68">
        <v>1490</v>
      </c>
      <c r="AL582" s="66">
        <v>152</v>
      </c>
      <c r="AM582" s="35">
        <f t="shared" si="1264"/>
        <v>9.8026315789473681</v>
      </c>
      <c r="AN582" s="6">
        <f t="shared" si="1265"/>
        <v>0.13735594433786527</v>
      </c>
      <c r="AO582" s="68">
        <v>0</v>
      </c>
      <c r="AP582" s="66">
        <v>0</v>
      </c>
      <c r="AQ582" s="35" t="e">
        <f t="shared" si="1266"/>
        <v>#DIV/0!</v>
      </c>
      <c r="AR582" s="6" t="e">
        <f t="shared" si="1267"/>
        <v>#DIV/0!</v>
      </c>
      <c r="AS582" s="68">
        <v>0</v>
      </c>
      <c r="AT582" s="66">
        <v>0</v>
      </c>
      <c r="AU582" s="35" t="e">
        <f t="shared" si="1268"/>
        <v>#DIV/0!</v>
      </c>
      <c r="AV582" s="6" t="e">
        <f t="shared" si="1269"/>
        <v>#DIV/0!</v>
      </c>
      <c r="AW582" s="68">
        <v>0</v>
      </c>
      <c r="AX582" s="66">
        <v>0</v>
      </c>
      <c r="AY582" s="35" t="e">
        <f t="shared" si="1270"/>
        <v>#DIV/0!</v>
      </c>
      <c r="AZ582" s="6" t="e">
        <f t="shared" si="1271"/>
        <v>#DIV/0!</v>
      </c>
      <c r="BA582" s="68">
        <v>0</v>
      </c>
      <c r="BB582" s="66">
        <v>0</v>
      </c>
      <c r="BC582" s="35" t="e">
        <f t="shared" si="1272"/>
        <v>#DIV/0!</v>
      </c>
      <c r="BD582" s="11" t="e">
        <f t="shared" si="1273"/>
        <v>#DIV/0!</v>
      </c>
    </row>
    <row r="583" spans="1:56" x14ac:dyDescent="0.25">
      <c r="A583" s="19" t="s">
        <v>3</v>
      </c>
      <c r="B583" s="8">
        <v>91390</v>
      </c>
      <c r="C583" s="35">
        <f>B583/F577</f>
        <v>86.135721017907628</v>
      </c>
      <c r="D583" s="8">
        <v>2700</v>
      </c>
      <c r="E583" s="68">
        <v>0</v>
      </c>
      <c r="F583" s="70">
        <v>0</v>
      </c>
      <c r="G583" s="35" t="e">
        <f t="shared" si="1248"/>
        <v>#DIV/0!</v>
      </c>
      <c r="H583" s="11" t="e">
        <f t="shared" si="1249"/>
        <v>#DIV/0!</v>
      </c>
      <c r="I583" s="35">
        <v>0</v>
      </c>
      <c r="J583" s="70">
        <v>0</v>
      </c>
      <c r="K583" s="35" t="e">
        <f t="shared" si="1250"/>
        <v>#DIV/0!</v>
      </c>
      <c r="L583" s="6" t="e">
        <f t="shared" si="1251"/>
        <v>#DIV/0!</v>
      </c>
      <c r="M583" s="68">
        <v>0</v>
      </c>
      <c r="N583" s="5">
        <v>0</v>
      </c>
      <c r="O583" s="35" t="e">
        <f t="shared" si="1252"/>
        <v>#DIV/0!</v>
      </c>
      <c r="P583" s="11" t="e">
        <f t="shared" si="1253"/>
        <v>#DIV/0!</v>
      </c>
      <c r="Q583" s="35">
        <v>0</v>
      </c>
      <c r="R583" s="66">
        <v>0</v>
      </c>
      <c r="S583" s="35" t="e">
        <f t="shared" si="1254"/>
        <v>#DIV/0!</v>
      </c>
      <c r="T583" s="6" t="e">
        <f t="shared" si="1255"/>
        <v>#DIV/0!</v>
      </c>
      <c r="U583" s="68">
        <v>0</v>
      </c>
      <c r="V583" s="66">
        <v>0</v>
      </c>
      <c r="W583" s="20" t="e">
        <f t="shared" si="1256"/>
        <v>#DIV/0!</v>
      </c>
      <c r="X583" s="6" t="e">
        <f t="shared" si="1257"/>
        <v>#DIV/0!</v>
      </c>
      <c r="Y583" s="68">
        <v>0</v>
      </c>
      <c r="Z583" s="70">
        <v>0</v>
      </c>
      <c r="AA583" s="35" t="e">
        <f t="shared" si="1258"/>
        <v>#DIV/0!</v>
      </c>
      <c r="AB583" s="11" t="e">
        <f t="shared" si="1259"/>
        <v>#DIV/0!</v>
      </c>
      <c r="AC583" s="20">
        <v>18940</v>
      </c>
      <c r="AD583" s="36">
        <v>746</v>
      </c>
      <c r="AE583" s="35">
        <f t="shared" si="1260"/>
        <v>25.388739946380696</v>
      </c>
      <c r="AF583" s="6">
        <f t="shared" si="1261"/>
        <v>0.29475274190950784</v>
      </c>
      <c r="AG583" s="68">
        <v>0</v>
      </c>
      <c r="AH583" s="66">
        <v>0</v>
      </c>
      <c r="AI583" s="35" t="e">
        <f t="shared" si="1262"/>
        <v>#DIV/0!</v>
      </c>
      <c r="AJ583" s="6" t="e">
        <f t="shared" si="1263"/>
        <v>#DIV/0!</v>
      </c>
      <c r="AK583" s="68">
        <v>1710</v>
      </c>
      <c r="AL583" s="66">
        <v>152</v>
      </c>
      <c r="AM583" s="35">
        <f t="shared" si="1264"/>
        <v>11.25</v>
      </c>
      <c r="AN583" s="6">
        <f t="shared" si="1265"/>
        <v>0.13060783455520297</v>
      </c>
      <c r="AO583" s="68">
        <v>0</v>
      </c>
      <c r="AP583" s="66">
        <v>0</v>
      </c>
      <c r="AQ583" s="35" t="e">
        <f t="shared" si="1266"/>
        <v>#DIV/0!</v>
      </c>
      <c r="AR583" s="6" t="e">
        <f t="shared" si="1267"/>
        <v>#DIV/0!</v>
      </c>
      <c r="AS583" s="68">
        <v>0</v>
      </c>
      <c r="AT583" s="66">
        <v>0</v>
      </c>
      <c r="AU583" s="35" t="e">
        <f t="shared" si="1268"/>
        <v>#DIV/0!</v>
      </c>
      <c r="AV583" s="6" t="e">
        <f t="shared" si="1269"/>
        <v>#DIV/0!</v>
      </c>
      <c r="AW583" s="68">
        <v>0</v>
      </c>
      <c r="AX583" s="66">
        <v>0</v>
      </c>
      <c r="AY583" s="35" t="e">
        <f t="shared" si="1270"/>
        <v>#DIV/0!</v>
      </c>
      <c r="AZ583" s="6" t="e">
        <f t="shared" si="1271"/>
        <v>#DIV/0!</v>
      </c>
      <c r="BA583" s="68">
        <v>0</v>
      </c>
      <c r="BB583" s="66">
        <v>0</v>
      </c>
      <c r="BC583" s="35" t="e">
        <f t="shared" si="1272"/>
        <v>#DIV/0!</v>
      </c>
      <c r="BD583" s="11" t="e">
        <f t="shared" si="1273"/>
        <v>#DIV/0!</v>
      </c>
    </row>
    <row r="584" spans="1:56" x14ac:dyDescent="0.25">
      <c r="A584" s="19" t="s">
        <v>4</v>
      </c>
      <c r="B584" s="8">
        <v>113990</v>
      </c>
      <c r="C584" s="35">
        <f>B584/F577</f>
        <v>107.4363807728558</v>
      </c>
      <c r="D584" s="8">
        <v>5250</v>
      </c>
      <c r="E584" s="68">
        <v>0</v>
      </c>
      <c r="F584" s="70">
        <v>0</v>
      </c>
      <c r="G584" s="35" t="e">
        <f t="shared" si="1248"/>
        <v>#DIV/0!</v>
      </c>
      <c r="H584" s="11" t="e">
        <f t="shared" si="1249"/>
        <v>#DIV/0!</v>
      </c>
      <c r="I584" s="35">
        <v>0</v>
      </c>
      <c r="J584" s="70">
        <v>0</v>
      </c>
      <c r="K584" s="35" t="e">
        <f t="shared" si="1250"/>
        <v>#DIV/0!</v>
      </c>
      <c r="L584" s="6" t="e">
        <f t="shared" si="1251"/>
        <v>#DIV/0!</v>
      </c>
      <c r="M584" s="68">
        <v>0</v>
      </c>
      <c r="N584" s="5">
        <v>0</v>
      </c>
      <c r="O584" s="35" t="e">
        <f t="shared" si="1252"/>
        <v>#DIV/0!</v>
      </c>
      <c r="P584" s="11" t="e">
        <f t="shared" si="1253"/>
        <v>#DIV/0!</v>
      </c>
      <c r="Q584" s="35">
        <v>0</v>
      </c>
      <c r="R584" s="66">
        <v>0</v>
      </c>
      <c r="S584" s="35" t="e">
        <f t="shared" si="1254"/>
        <v>#DIV/0!</v>
      </c>
      <c r="T584" s="6" t="e">
        <f t="shared" si="1255"/>
        <v>#DIV/0!</v>
      </c>
      <c r="U584" s="68">
        <v>0</v>
      </c>
      <c r="V584" s="66">
        <v>0</v>
      </c>
      <c r="W584" s="20" t="e">
        <f t="shared" si="1256"/>
        <v>#DIV/0!</v>
      </c>
      <c r="X584" s="6" t="e">
        <f t="shared" si="1257"/>
        <v>#DIV/0!</v>
      </c>
      <c r="Y584" s="68">
        <v>0</v>
      </c>
      <c r="Z584" s="70">
        <v>0</v>
      </c>
      <c r="AA584" s="35" t="e">
        <f t="shared" si="1258"/>
        <v>#DIV/0!</v>
      </c>
      <c r="AB584" s="11" t="e">
        <f t="shared" si="1259"/>
        <v>#DIV/0!</v>
      </c>
      <c r="AC584" s="20">
        <v>21520</v>
      </c>
      <c r="AD584" s="36">
        <v>746</v>
      </c>
      <c r="AE584" s="35">
        <f t="shared" si="1260"/>
        <v>28.847184986595174</v>
      </c>
      <c r="AF584" s="6">
        <f t="shared" si="1261"/>
        <v>0.26850480981469849</v>
      </c>
      <c r="AG584" s="68">
        <v>0</v>
      </c>
      <c r="AH584" s="66">
        <v>0</v>
      </c>
      <c r="AI584" s="35" t="e">
        <f t="shared" si="1262"/>
        <v>#DIV/0!</v>
      </c>
      <c r="AJ584" s="6" t="e">
        <f t="shared" si="1263"/>
        <v>#DIV/0!</v>
      </c>
      <c r="AK584" s="68">
        <v>1980</v>
      </c>
      <c r="AL584" s="66">
        <v>152</v>
      </c>
      <c r="AM584" s="35">
        <f t="shared" si="1264"/>
        <v>13.026315789473685</v>
      </c>
      <c r="AN584" s="6">
        <f t="shared" si="1265"/>
        <v>0.12124678526740573</v>
      </c>
      <c r="AO584" s="68">
        <v>0</v>
      </c>
      <c r="AP584" s="66">
        <v>0</v>
      </c>
      <c r="AQ584" s="35" t="e">
        <f t="shared" si="1266"/>
        <v>#DIV/0!</v>
      </c>
      <c r="AR584" s="6" t="e">
        <f t="shared" si="1267"/>
        <v>#DIV/0!</v>
      </c>
      <c r="AS584" s="68">
        <v>0</v>
      </c>
      <c r="AT584" s="66">
        <v>0</v>
      </c>
      <c r="AU584" s="35" t="e">
        <f t="shared" si="1268"/>
        <v>#DIV/0!</v>
      </c>
      <c r="AV584" s="6" t="e">
        <f t="shared" si="1269"/>
        <v>#DIV/0!</v>
      </c>
      <c r="AW584" s="68">
        <v>0</v>
      </c>
      <c r="AX584" s="66">
        <v>0</v>
      </c>
      <c r="AY584" s="35" t="e">
        <f t="shared" si="1270"/>
        <v>#DIV/0!</v>
      </c>
      <c r="AZ584" s="6" t="e">
        <f t="shared" si="1271"/>
        <v>#DIV/0!</v>
      </c>
      <c r="BA584" s="68">
        <v>0</v>
      </c>
      <c r="BB584" s="66">
        <v>0</v>
      </c>
      <c r="BC584" s="35" t="e">
        <f t="shared" si="1272"/>
        <v>#DIV/0!</v>
      </c>
      <c r="BD584" s="11" t="e">
        <f t="shared" si="1273"/>
        <v>#DIV/0!</v>
      </c>
    </row>
    <row r="585" spans="1:56" x14ac:dyDescent="0.25">
      <c r="A585" s="19" t="s">
        <v>5</v>
      </c>
      <c r="B585" s="8">
        <v>150200</v>
      </c>
      <c r="C585" s="35">
        <f>B585/F577</f>
        <v>141.56456173421302</v>
      </c>
      <c r="D585" s="8">
        <v>7050</v>
      </c>
      <c r="E585" s="68">
        <v>0</v>
      </c>
      <c r="F585" s="70">
        <v>0</v>
      </c>
      <c r="G585" s="35" t="e">
        <f t="shared" si="1248"/>
        <v>#DIV/0!</v>
      </c>
      <c r="H585" s="11" t="e">
        <f t="shared" si="1249"/>
        <v>#DIV/0!</v>
      </c>
      <c r="I585" s="35">
        <v>0</v>
      </c>
      <c r="J585" s="70">
        <v>0</v>
      </c>
      <c r="K585" s="35" t="e">
        <f t="shared" si="1250"/>
        <v>#DIV/0!</v>
      </c>
      <c r="L585" s="6" t="e">
        <f t="shared" si="1251"/>
        <v>#DIV/0!</v>
      </c>
      <c r="M585" s="68">
        <v>0</v>
      </c>
      <c r="N585" s="5">
        <v>0</v>
      </c>
      <c r="O585" s="35" t="e">
        <f t="shared" si="1252"/>
        <v>#DIV/0!</v>
      </c>
      <c r="P585" s="11" t="e">
        <f t="shared" si="1253"/>
        <v>#DIV/0!</v>
      </c>
      <c r="Q585" s="35">
        <v>0</v>
      </c>
      <c r="R585" s="66">
        <v>0</v>
      </c>
      <c r="S585" s="35" t="e">
        <f t="shared" si="1254"/>
        <v>#DIV/0!</v>
      </c>
      <c r="T585" s="6" t="e">
        <f t="shared" si="1255"/>
        <v>#DIV/0!</v>
      </c>
      <c r="U585" s="68">
        <v>0</v>
      </c>
      <c r="V585" s="66">
        <v>0</v>
      </c>
      <c r="W585" s="20" t="e">
        <f t="shared" si="1256"/>
        <v>#DIV/0!</v>
      </c>
      <c r="X585" s="6" t="e">
        <f t="shared" si="1257"/>
        <v>#DIV/0!</v>
      </c>
      <c r="Y585" s="68">
        <v>0</v>
      </c>
      <c r="Z585" s="70">
        <v>0</v>
      </c>
      <c r="AA585" s="35" t="e">
        <f t="shared" si="1258"/>
        <v>#DIV/0!</v>
      </c>
      <c r="AB585" s="11" t="e">
        <f t="shared" si="1259"/>
        <v>#DIV/0!</v>
      </c>
      <c r="AC585" s="20">
        <v>22740</v>
      </c>
      <c r="AD585" s="36">
        <v>746</v>
      </c>
      <c r="AE585" s="35">
        <f t="shared" si="1260"/>
        <v>30.482573726541556</v>
      </c>
      <c r="AF585" s="6">
        <f t="shared" si="1261"/>
        <v>0.21532630308828621</v>
      </c>
      <c r="AG585" s="68">
        <v>0</v>
      </c>
      <c r="AH585" s="66">
        <v>0</v>
      </c>
      <c r="AI585" s="35" t="e">
        <f t="shared" si="1262"/>
        <v>#DIV/0!</v>
      </c>
      <c r="AJ585" s="6" t="e">
        <f t="shared" si="1263"/>
        <v>#DIV/0!</v>
      </c>
      <c r="AK585" s="68">
        <v>2270</v>
      </c>
      <c r="AL585" s="66">
        <v>152</v>
      </c>
      <c r="AM585" s="35">
        <f t="shared" si="1264"/>
        <v>14.934210526315789</v>
      </c>
      <c r="AN585" s="6">
        <f t="shared" si="1265"/>
        <v>0.10549399046884854</v>
      </c>
      <c r="AO585" s="68">
        <v>0</v>
      </c>
      <c r="AP585" s="66">
        <v>0</v>
      </c>
      <c r="AQ585" s="35" t="e">
        <f t="shared" si="1266"/>
        <v>#DIV/0!</v>
      </c>
      <c r="AR585" s="6" t="e">
        <f t="shared" si="1267"/>
        <v>#DIV/0!</v>
      </c>
      <c r="AS585" s="68">
        <v>0</v>
      </c>
      <c r="AT585" s="66">
        <v>0</v>
      </c>
      <c r="AU585" s="35" t="e">
        <f t="shared" si="1268"/>
        <v>#DIV/0!</v>
      </c>
      <c r="AV585" s="6" t="e">
        <f t="shared" si="1269"/>
        <v>#DIV/0!</v>
      </c>
      <c r="AW585" s="68">
        <v>0</v>
      </c>
      <c r="AX585" s="66">
        <v>0</v>
      </c>
      <c r="AY585" s="35" t="e">
        <f t="shared" si="1270"/>
        <v>#DIV/0!</v>
      </c>
      <c r="AZ585" s="6" t="e">
        <f t="shared" si="1271"/>
        <v>#DIV/0!</v>
      </c>
      <c r="BA585" s="68">
        <v>0</v>
      </c>
      <c r="BB585" s="66">
        <v>0</v>
      </c>
      <c r="BC585" s="35" t="e">
        <f t="shared" si="1272"/>
        <v>#DIV/0!</v>
      </c>
      <c r="BD585" s="11" t="e">
        <f t="shared" si="1273"/>
        <v>#DIV/0!</v>
      </c>
    </row>
    <row r="586" spans="1:56" x14ac:dyDescent="0.25">
      <c r="A586" s="19" t="s">
        <v>6</v>
      </c>
      <c r="B586" s="8">
        <v>173820</v>
      </c>
      <c r="C586" s="35">
        <f>B586/F577</f>
        <v>163.82657869934025</v>
      </c>
      <c r="D586" s="8">
        <v>10950</v>
      </c>
      <c r="E586" s="68">
        <v>0</v>
      </c>
      <c r="F586" s="70">
        <v>0</v>
      </c>
      <c r="G586" s="35" t="e">
        <f t="shared" si="1248"/>
        <v>#DIV/0!</v>
      </c>
      <c r="H586" s="11" t="e">
        <f t="shared" si="1249"/>
        <v>#DIV/0!</v>
      </c>
      <c r="I586" s="35">
        <v>0</v>
      </c>
      <c r="J586" s="70">
        <v>0</v>
      </c>
      <c r="K586" s="35" t="e">
        <f t="shared" si="1250"/>
        <v>#DIV/0!</v>
      </c>
      <c r="L586" s="6" t="e">
        <f t="shared" si="1251"/>
        <v>#DIV/0!</v>
      </c>
      <c r="M586" s="68">
        <v>0</v>
      </c>
      <c r="N586" s="5">
        <v>0</v>
      </c>
      <c r="O586" s="35" t="e">
        <f t="shared" si="1252"/>
        <v>#DIV/0!</v>
      </c>
      <c r="P586" s="11" t="e">
        <f t="shared" si="1253"/>
        <v>#DIV/0!</v>
      </c>
      <c r="Q586" s="35">
        <v>0</v>
      </c>
      <c r="R586" s="66">
        <v>0</v>
      </c>
      <c r="S586" s="35" t="e">
        <f t="shared" si="1254"/>
        <v>#DIV/0!</v>
      </c>
      <c r="T586" s="6" t="e">
        <f t="shared" si="1255"/>
        <v>#DIV/0!</v>
      </c>
      <c r="U586" s="68">
        <v>0</v>
      </c>
      <c r="V586" s="66">
        <v>0</v>
      </c>
      <c r="W586" s="20" t="e">
        <f t="shared" si="1256"/>
        <v>#DIV/0!</v>
      </c>
      <c r="X586" s="6" t="e">
        <f t="shared" si="1257"/>
        <v>#DIV/0!</v>
      </c>
      <c r="Y586" s="68">
        <v>0</v>
      </c>
      <c r="Z586" s="70">
        <v>0</v>
      </c>
      <c r="AA586" s="35" t="e">
        <f t="shared" si="1258"/>
        <v>#DIV/0!</v>
      </c>
      <c r="AB586" s="11" t="e">
        <f t="shared" si="1259"/>
        <v>#DIV/0!</v>
      </c>
      <c r="AC586" s="20">
        <v>33040</v>
      </c>
      <c r="AD586" s="36">
        <v>746</v>
      </c>
      <c r="AE586" s="35">
        <f t="shared" si="1260"/>
        <v>44.289544235924936</v>
      </c>
      <c r="AF586" s="6">
        <f t="shared" si="1261"/>
        <v>0.27034407107534436</v>
      </c>
      <c r="AG586" s="68">
        <v>0</v>
      </c>
      <c r="AH586" s="66">
        <v>0</v>
      </c>
      <c r="AI586" s="35" t="e">
        <f t="shared" si="1262"/>
        <v>#DIV/0!</v>
      </c>
      <c r="AJ586" s="6" t="e">
        <f t="shared" si="1263"/>
        <v>#DIV/0!</v>
      </c>
      <c r="AK586" s="68">
        <v>2600</v>
      </c>
      <c r="AL586" s="66">
        <v>152</v>
      </c>
      <c r="AM586" s="35">
        <f t="shared" si="1264"/>
        <v>17.105263157894736</v>
      </c>
      <c r="AN586" s="6">
        <f t="shared" si="1265"/>
        <v>0.10441079398530845</v>
      </c>
      <c r="AO586" s="68">
        <v>0</v>
      </c>
      <c r="AP586" s="66">
        <v>0</v>
      </c>
      <c r="AQ586" s="35" t="e">
        <f t="shared" si="1266"/>
        <v>#DIV/0!</v>
      </c>
      <c r="AR586" s="6" t="e">
        <f t="shared" si="1267"/>
        <v>#DIV/0!</v>
      </c>
      <c r="AS586" s="68">
        <v>0</v>
      </c>
      <c r="AT586" s="66">
        <v>0</v>
      </c>
      <c r="AU586" s="35" t="e">
        <f t="shared" si="1268"/>
        <v>#DIV/0!</v>
      </c>
      <c r="AV586" s="6" t="e">
        <f t="shared" si="1269"/>
        <v>#DIV/0!</v>
      </c>
      <c r="AW586" s="68">
        <v>0</v>
      </c>
      <c r="AX586" s="66">
        <v>0</v>
      </c>
      <c r="AY586" s="35" t="e">
        <f t="shared" si="1270"/>
        <v>#DIV/0!</v>
      </c>
      <c r="AZ586" s="6" t="e">
        <f t="shared" si="1271"/>
        <v>#DIV/0!</v>
      </c>
      <c r="BA586" s="68">
        <v>0</v>
      </c>
      <c r="BB586" s="66">
        <v>0</v>
      </c>
      <c r="BC586" s="35" t="e">
        <f t="shared" si="1272"/>
        <v>#DIV/0!</v>
      </c>
      <c r="BD586" s="11" t="e">
        <f t="shared" si="1273"/>
        <v>#DIV/0!</v>
      </c>
    </row>
    <row r="587" spans="1:56" ht="15.75" thickBot="1" x14ac:dyDescent="0.3">
      <c r="A587" s="21"/>
      <c r="B587" s="22"/>
      <c r="C587" s="23">
        <f>AVERAGE(Table11045[MA $/Sq Ft])</f>
        <v>97.589874781203733</v>
      </c>
      <c r="D587" s="22">
        <f>AVERAGE(Table11045[Basic Allowance])</f>
        <v>4442.8571428571431</v>
      </c>
      <c r="E587" s="16"/>
      <c r="F587" s="22"/>
      <c r="G587" s="15"/>
      <c r="H587" s="24" t="e">
        <f>AVERAGE(Table11045[Bsmt % Base])</f>
        <v>#DIV/0!</v>
      </c>
      <c r="I587" s="15"/>
      <c r="J587" s="15"/>
      <c r="K587" s="15"/>
      <c r="L587" s="25" t="e">
        <f>AVERAGE(Table11045[[#Headers],[#Data],[UnfBsmt % Base]])</f>
        <v>#DIV/0!</v>
      </c>
      <c r="M587" s="44"/>
      <c r="N587" s="15"/>
      <c r="O587" s="23" t="e">
        <f>AVERAGE(Table11045[LowerVal/SqFt])</f>
        <v>#DIV/0!</v>
      </c>
      <c r="P587" s="24" t="e">
        <f>AVERAGE(Table11045[Lower % Base])</f>
        <v>#DIV/0!</v>
      </c>
      <c r="Q587" s="13"/>
      <c r="R587" s="13"/>
      <c r="S587" s="13"/>
      <c r="T587" s="25" t="e">
        <f>AVERAGE(Table11045[Unf Lower % Base])</f>
        <v>#DIV/0!</v>
      </c>
      <c r="U587" s="12"/>
      <c r="V587" s="13"/>
      <c r="W587" s="13"/>
      <c r="X587" s="25" t="e">
        <f>AVERAGE(Table11045[1/2 Story % Base])</f>
        <v>#DIV/0!</v>
      </c>
      <c r="Y587" s="12"/>
      <c r="Z587" s="13"/>
      <c r="AA587" s="13"/>
      <c r="AB587" s="24" t="e">
        <f>AVERAGE(Table11045[2nd Story % Base])</f>
        <v>#DIV/0!</v>
      </c>
      <c r="AC587" s="13"/>
      <c r="AD587" s="13"/>
      <c r="AE587" s="23">
        <f>AVERAGE(Table11045[AttGarVal/SqFt])</f>
        <v>26.464955955572577</v>
      </c>
      <c r="AF587" s="25">
        <f>AVERAGE(Table11045[Att Gar % Base])</f>
        <v>0.27932885222015164</v>
      </c>
      <c r="AG587" s="12"/>
      <c r="AH587" s="13"/>
      <c r="AI587" s="13"/>
      <c r="AJ587" s="25" t="e">
        <f>AVERAGE(Table11045[Porch % Base])</f>
        <v>#DIV/0!</v>
      </c>
      <c r="AK587" s="12"/>
      <c r="AL587" s="13"/>
      <c r="AM587" s="13"/>
      <c r="AN587" s="25">
        <f>AVERAGE(Table11045[Cov Porch % Base])</f>
        <v>0.12310815878311414</v>
      </c>
      <c r="AO587" s="12"/>
      <c r="AP587" s="13"/>
      <c r="AQ587" s="13"/>
      <c r="AR587" s="25" t="e">
        <f>AVERAGE(Table11045[Deck % Base])</f>
        <v>#DIV/0!</v>
      </c>
      <c r="AS587" s="12"/>
      <c r="AT587" s="13"/>
      <c r="AU587" s="23" t="e">
        <f>AVERAGE(Table11045[CovDeckVal/SqFt])</f>
        <v>#DIV/0!</v>
      </c>
      <c r="AV587" s="25" t="e">
        <f>AVERAGE(Table11045[CovDeck % Base])</f>
        <v>#DIV/0!</v>
      </c>
      <c r="AW587" s="12"/>
      <c r="AX587" s="13"/>
      <c r="AY587" s="13"/>
      <c r="AZ587" s="25" t="e">
        <f>AVERAGE(Table11045[CarP % Base])</f>
        <v>#DIV/0!</v>
      </c>
      <c r="BA587" s="12"/>
      <c r="BB587" s="13"/>
      <c r="BC587" s="13"/>
      <c r="BD587" s="24" t="e">
        <f>AVERAGE(Table11045[EFP % Base])</f>
        <v>#DIV/0!</v>
      </c>
    </row>
    <row r="589" spans="1:56" ht="15.75" thickBot="1" x14ac:dyDescent="0.3">
      <c r="A589" s="84"/>
      <c r="B589" s="74" t="s">
        <v>79</v>
      </c>
      <c r="C589" s="86" t="s">
        <v>143</v>
      </c>
      <c r="D589" s="74"/>
      <c r="E589" s="74" t="s">
        <v>33</v>
      </c>
      <c r="F589" s="75">
        <v>1080</v>
      </c>
      <c r="G589" s="74"/>
      <c r="H589" s="74" t="s">
        <v>144</v>
      </c>
      <c r="I589" s="74"/>
      <c r="J589" s="74" t="s">
        <v>83</v>
      </c>
      <c r="K589" s="75">
        <v>1959</v>
      </c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6"/>
    </row>
    <row r="590" spans="1:56" x14ac:dyDescent="0.25">
      <c r="A590" s="112"/>
      <c r="B590" s="113"/>
      <c r="C590" s="113"/>
      <c r="D590" s="114"/>
      <c r="E590" s="115" t="s">
        <v>27</v>
      </c>
      <c r="F590" s="116"/>
      <c r="G590" s="116"/>
      <c r="H590" s="117"/>
      <c r="I590" s="118" t="s">
        <v>28</v>
      </c>
      <c r="J590" s="119"/>
      <c r="K590" s="119"/>
      <c r="L590" s="120"/>
      <c r="M590" s="121" t="s">
        <v>7</v>
      </c>
      <c r="N590" s="122"/>
      <c r="O590" s="122"/>
      <c r="P590" s="122"/>
      <c r="Q590" s="124" t="s">
        <v>29</v>
      </c>
      <c r="R590" s="125"/>
      <c r="S590" s="125"/>
      <c r="T590" s="126"/>
      <c r="U590" s="128" t="s">
        <v>8</v>
      </c>
      <c r="V590" s="128"/>
      <c r="W590" s="128"/>
      <c r="X590" s="129"/>
      <c r="Y590" s="130" t="s">
        <v>0</v>
      </c>
      <c r="Z590" s="131"/>
      <c r="AA590" s="131"/>
      <c r="AB590" s="132"/>
      <c r="AC590" s="133" t="s">
        <v>34</v>
      </c>
      <c r="AD590" s="134"/>
      <c r="AE590" s="134"/>
      <c r="AF590" s="135"/>
      <c r="AG590" s="115" t="s">
        <v>9</v>
      </c>
      <c r="AH590" s="116"/>
      <c r="AI590" s="116"/>
      <c r="AJ590" s="117"/>
      <c r="AK590" s="136" t="s">
        <v>35</v>
      </c>
      <c r="AL590" s="137"/>
      <c r="AM590" s="137"/>
      <c r="AN590" s="138"/>
      <c r="AO590" s="139" t="s">
        <v>10</v>
      </c>
      <c r="AP590" s="140"/>
      <c r="AQ590" s="140"/>
      <c r="AR590" s="141"/>
      <c r="AS590" s="124" t="s">
        <v>36</v>
      </c>
      <c r="AT590" s="125"/>
      <c r="AU590" s="125"/>
      <c r="AV590" s="126"/>
      <c r="AW590" s="142" t="s">
        <v>11</v>
      </c>
      <c r="AX590" s="143"/>
      <c r="AY590" s="143"/>
      <c r="AZ590" s="144"/>
      <c r="BA590" s="148" t="s">
        <v>17</v>
      </c>
      <c r="BB590" s="149"/>
      <c r="BC590" s="149"/>
      <c r="BD590" s="150"/>
    </row>
    <row r="591" spans="1:56" s="1" customFormat="1" ht="15.75" thickBot="1" x14ac:dyDescent="0.3">
      <c r="A591" s="41" t="s">
        <v>13</v>
      </c>
      <c r="B591" s="42" t="s">
        <v>15</v>
      </c>
      <c r="C591" s="42" t="s">
        <v>32</v>
      </c>
      <c r="D591" s="43" t="s">
        <v>18</v>
      </c>
      <c r="E591" s="30" t="s">
        <v>30</v>
      </c>
      <c r="F591" s="31" t="s">
        <v>61</v>
      </c>
      <c r="G591" s="31" t="s">
        <v>38</v>
      </c>
      <c r="H591" s="32" t="s">
        <v>62</v>
      </c>
      <c r="I591" s="37" t="s">
        <v>31</v>
      </c>
      <c r="J591" s="38" t="s">
        <v>39</v>
      </c>
      <c r="K591" s="38" t="s">
        <v>40</v>
      </c>
      <c r="L591" s="39" t="s">
        <v>63</v>
      </c>
      <c r="M591" s="40" t="s">
        <v>19</v>
      </c>
      <c r="N591" s="7" t="s">
        <v>41</v>
      </c>
      <c r="O591" s="7" t="s">
        <v>37</v>
      </c>
      <c r="P591" s="7" t="s">
        <v>64</v>
      </c>
      <c r="Q591" s="27" t="s">
        <v>20</v>
      </c>
      <c r="R591" s="28" t="s">
        <v>60</v>
      </c>
      <c r="S591" s="28" t="s">
        <v>59</v>
      </c>
      <c r="T591" s="29" t="s">
        <v>65</v>
      </c>
      <c r="U591" s="48" t="s">
        <v>21</v>
      </c>
      <c r="V591" s="48" t="s">
        <v>42</v>
      </c>
      <c r="W591" s="48" t="s">
        <v>43</v>
      </c>
      <c r="X591" s="49" t="s">
        <v>66</v>
      </c>
      <c r="Y591" s="50" t="s">
        <v>22</v>
      </c>
      <c r="Z591" s="51" t="s">
        <v>44</v>
      </c>
      <c r="AA591" s="51" t="s">
        <v>45</v>
      </c>
      <c r="AB591" s="52" t="s">
        <v>67</v>
      </c>
      <c r="AC591" s="45" t="s">
        <v>23</v>
      </c>
      <c r="AD591" s="46" t="s">
        <v>46</v>
      </c>
      <c r="AE591" s="46" t="s">
        <v>47</v>
      </c>
      <c r="AF591" s="47" t="s">
        <v>68</v>
      </c>
      <c r="AG591" s="30" t="s">
        <v>24</v>
      </c>
      <c r="AH591" s="31" t="s">
        <v>48</v>
      </c>
      <c r="AI591" s="31" t="s">
        <v>49</v>
      </c>
      <c r="AJ591" s="32" t="s">
        <v>69</v>
      </c>
      <c r="AK591" s="53" t="s">
        <v>25</v>
      </c>
      <c r="AL591" s="54" t="s">
        <v>50</v>
      </c>
      <c r="AM591" s="54" t="s">
        <v>51</v>
      </c>
      <c r="AN591" s="55" t="s">
        <v>70</v>
      </c>
      <c r="AO591" s="56" t="s">
        <v>26</v>
      </c>
      <c r="AP591" s="57" t="s">
        <v>52</v>
      </c>
      <c r="AQ591" s="57" t="s">
        <v>53</v>
      </c>
      <c r="AR591" s="58" t="s">
        <v>71</v>
      </c>
      <c r="AS591" s="59" t="s">
        <v>55</v>
      </c>
      <c r="AT591" s="60" t="s">
        <v>54</v>
      </c>
      <c r="AU591" s="60" t="s">
        <v>56</v>
      </c>
      <c r="AV591" s="61" t="s">
        <v>76</v>
      </c>
      <c r="AW591" s="62" t="s">
        <v>72</v>
      </c>
      <c r="AX591" s="63" t="s">
        <v>73</v>
      </c>
      <c r="AY591" s="63" t="s">
        <v>74</v>
      </c>
      <c r="AZ591" s="64" t="s">
        <v>75</v>
      </c>
      <c r="BA591" s="71" t="s">
        <v>77</v>
      </c>
      <c r="BB591" s="72" t="s">
        <v>57</v>
      </c>
      <c r="BC591" s="72" t="s">
        <v>58</v>
      </c>
      <c r="BD591" s="73" t="s">
        <v>78</v>
      </c>
    </row>
    <row r="592" spans="1:56" x14ac:dyDescent="0.25">
      <c r="A592" s="17" t="s">
        <v>1</v>
      </c>
      <c r="B592" s="14">
        <v>55810</v>
      </c>
      <c r="C592" s="34">
        <f>B592/F589</f>
        <v>51.675925925925924</v>
      </c>
      <c r="D592" s="14">
        <v>1525</v>
      </c>
      <c r="E592" s="67">
        <v>25980</v>
      </c>
      <c r="F592" s="69">
        <v>1080</v>
      </c>
      <c r="G592" s="34">
        <f t="shared" ref="G592:G598" si="1274">E592/F592</f>
        <v>24.055555555555557</v>
      </c>
      <c r="H592" s="10">
        <f t="shared" ref="H592:H598" si="1275">G592/C592</f>
        <v>0.46550797348145501</v>
      </c>
      <c r="I592" s="34">
        <v>0</v>
      </c>
      <c r="J592" s="69">
        <v>0</v>
      </c>
      <c r="K592" s="34" t="e">
        <f t="shared" ref="K592:K598" si="1276">I592/J592</f>
        <v>#DIV/0!</v>
      </c>
      <c r="L592" s="9" t="e">
        <f t="shared" ref="L592:L598" si="1277">K592/C592</f>
        <v>#DIV/0!</v>
      </c>
      <c r="M592" s="67">
        <v>0</v>
      </c>
      <c r="N592" s="26">
        <v>0</v>
      </c>
      <c r="O592" s="34" t="e">
        <f t="shared" ref="O592:O598" si="1278">M592/N592</f>
        <v>#DIV/0!</v>
      </c>
      <c r="P592" s="10" t="e">
        <f t="shared" ref="P592:P598" si="1279">O592/C592</f>
        <v>#DIV/0!</v>
      </c>
      <c r="Q592" s="35">
        <v>0</v>
      </c>
      <c r="R592" s="66">
        <v>0</v>
      </c>
      <c r="S592" s="35" t="e">
        <f t="shared" ref="S592:S598" si="1280">Q592/R592</f>
        <v>#DIV/0!</v>
      </c>
      <c r="T592" s="6" t="e">
        <f t="shared" ref="T592:T598" si="1281">S592/C592</f>
        <v>#DIV/0!</v>
      </c>
      <c r="U592" s="67">
        <v>0</v>
      </c>
      <c r="V592" s="65">
        <v>0</v>
      </c>
      <c r="W592" s="18" t="e">
        <f t="shared" ref="W592:W598" si="1282">U592/V592</f>
        <v>#DIV/0!</v>
      </c>
      <c r="X592" s="9" t="e">
        <f t="shared" ref="X592:X598" si="1283">W592/C592</f>
        <v>#DIV/0!</v>
      </c>
      <c r="Y592" s="67">
        <v>0</v>
      </c>
      <c r="Z592" s="69">
        <v>0</v>
      </c>
      <c r="AA592" s="34" t="e">
        <f t="shared" ref="AA592:AA598" si="1284">Y592/Z592</f>
        <v>#DIV/0!</v>
      </c>
      <c r="AB592" s="10" t="e">
        <f t="shared" ref="AB592:AB598" si="1285">AA592/C592</f>
        <v>#DIV/0!</v>
      </c>
      <c r="AC592" s="34">
        <v>0</v>
      </c>
      <c r="AD592" s="33">
        <v>0</v>
      </c>
      <c r="AE592" s="34" t="e">
        <f t="shared" ref="AE592:AE598" si="1286">AC592/AD592</f>
        <v>#DIV/0!</v>
      </c>
      <c r="AF592" s="9" t="e">
        <f t="shared" ref="AF592:AF598" si="1287">AE592/C592</f>
        <v>#DIV/0!</v>
      </c>
      <c r="AG592" s="67">
        <v>0</v>
      </c>
      <c r="AH592" s="65">
        <v>0</v>
      </c>
      <c r="AI592" s="34" t="e">
        <f t="shared" ref="AI592:AI598" si="1288">AG592/AH592</f>
        <v>#DIV/0!</v>
      </c>
      <c r="AJ592" s="9" t="e">
        <f t="shared" ref="AJ592:AJ598" si="1289">AI592/C592</f>
        <v>#DIV/0!</v>
      </c>
      <c r="AK592" s="67">
        <v>0</v>
      </c>
      <c r="AL592" s="65">
        <v>0</v>
      </c>
      <c r="AM592" s="34" t="e">
        <f t="shared" ref="AM592:AM598" si="1290">AK592/AL592</f>
        <v>#DIV/0!</v>
      </c>
      <c r="AN592" s="9" t="e">
        <f t="shared" ref="AN592:AN598" si="1291">AM592/C592</f>
        <v>#DIV/0!</v>
      </c>
      <c r="AO592" s="67">
        <v>4100</v>
      </c>
      <c r="AP592" s="65">
        <v>627</v>
      </c>
      <c r="AQ592" s="34">
        <f t="shared" ref="AQ592:AQ598" si="1292">AO592/AP592</f>
        <v>6.5390749601275919</v>
      </c>
      <c r="AR592" s="9">
        <f t="shared" ref="AR592:AR598" si="1293">AQ592/C592</f>
        <v>0.12654006373298332</v>
      </c>
      <c r="AS592" s="67">
        <v>0</v>
      </c>
      <c r="AT592" s="65">
        <v>0</v>
      </c>
      <c r="AU592" s="34" t="e">
        <f t="shared" ref="AU592:AU598" si="1294">AS592/AT592</f>
        <v>#DIV/0!</v>
      </c>
      <c r="AV592" s="9" t="e">
        <f t="shared" ref="AV592:AV598" si="1295">AU592/C592</f>
        <v>#DIV/0!</v>
      </c>
      <c r="AW592" s="67">
        <v>0</v>
      </c>
      <c r="AX592" s="65">
        <v>0</v>
      </c>
      <c r="AY592" s="34" t="e">
        <f t="shared" ref="AY592:AY598" si="1296">AW592/AX592</f>
        <v>#DIV/0!</v>
      </c>
      <c r="AZ592" s="9" t="e">
        <f t="shared" ref="AZ592:AZ598" si="1297">AY592/C592</f>
        <v>#DIV/0!</v>
      </c>
      <c r="BA592" s="67">
        <v>0</v>
      </c>
      <c r="BB592" s="65">
        <v>0</v>
      </c>
      <c r="BC592" s="34" t="e">
        <f t="shared" ref="BC592:BC598" si="1298">BA592/BB592</f>
        <v>#DIV/0!</v>
      </c>
      <c r="BD592" s="10" t="e">
        <f t="shared" ref="BD592:BD598" si="1299">BC592/C592</f>
        <v>#DIV/0!</v>
      </c>
    </row>
    <row r="593" spans="1:56" x14ac:dyDescent="0.25">
      <c r="A593" s="19" t="s">
        <v>16</v>
      </c>
      <c r="B593" s="8">
        <v>65660</v>
      </c>
      <c r="C593" s="35">
        <f>B593/F589</f>
        <v>60.796296296296298</v>
      </c>
      <c r="D593" s="8">
        <v>1525</v>
      </c>
      <c r="E593" s="68">
        <v>35020</v>
      </c>
      <c r="F593" s="70">
        <v>1080</v>
      </c>
      <c r="G593" s="35">
        <f t="shared" si="1274"/>
        <v>32.425925925925924</v>
      </c>
      <c r="H593" s="11">
        <f t="shared" si="1275"/>
        <v>0.53335363996344798</v>
      </c>
      <c r="I593" s="35">
        <v>0</v>
      </c>
      <c r="J593" s="70">
        <v>0</v>
      </c>
      <c r="K593" s="35" t="e">
        <f t="shared" si="1276"/>
        <v>#DIV/0!</v>
      </c>
      <c r="L593" s="6" t="e">
        <f t="shared" si="1277"/>
        <v>#DIV/0!</v>
      </c>
      <c r="M593" s="68">
        <v>0</v>
      </c>
      <c r="N593" s="5">
        <v>0</v>
      </c>
      <c r="O593" s="35" t="e">
        <f t="shared" si="1278"/>
        <v>#DIV/0!</v>
      </c>
      <c r="P593" s="11" t="e">
        <f t="shared" si="1279"/>
        <v>#DIV/0!</v>
      </c>
      <c r="Q593" s="35">
        <v>0</v>
      </c>
      <c r="R593" s="66">
        <v>0</v>
      </c>
      <c r="S593" s="35" t="e">
        <f t="shared" si="1280"/>
        <v>#DIV/0!</v>
      </c>
      <c r="T593" s="6" t="e">
        <f t="shared" si="1281"/>
        <v>#DIV/0!</v>
      </c>
      <c r="U593" s="68">
        <v>0</v>
      </c>
      <c r="V593" s="66">
        <v>0</v>
      </c>
      <c r="W593" s="20" t="e">
        <f t="shared" si="1282"/>
        <v>#DIV/0!</v>
      </c>
      <c r="X593" s="6" t="e">
        <f t="shared" si="1283"/>
        <v>#DIV/0!</v>
      </c>
      <c r="Y593" s="68">
        <v>0</v>
      </c>
      <c r="Z593" s="70">
        <v>0</v>
      </c>
      <c r="AA593" s="35" t="e">
        <f t="shared" si="1284"/>
        <v>#DIV/0!</v>
      </c>
      <c r="AB593" s="11" t="e">
        <f t="shared" si="1285"/>
        <v>#DIV/0!</v>
      </c>
      <c r="AC593" s="35">
        <v>0</v>
      </c>
      <c r="AD593" s="36">
        <v>0</v>
      </c>
      <c r="AE593" s="35" t="e">
        <f t="shared" si="1286"/>
        <v>#DIV/0!</v>
      </c>
      <c r="AF593" s="6" t="e">
        <f t="shared" si="1287"/>
        <v>#DIV/0!</v>
      </c>
      <c r="AG593" s="68">
        <v>0</v>
      </c>
      <c r="AH593" s="66">
        <v>0</v>
      </c>
      <c r="AI593" s="35" t="e">
        <f t="shared" si="1288"/>
        <v>#DIV/0!</v>
      </c>
      <c r="AJ593" s="6" t="e">
        <f t="shared" si="1289"/>
        <v>#DIV/0!</v>
      </c>
      <c r="AK593" s="68">
        <v>0</v>
      </c>
      <c r="AL593" s="66">
        <v>0</v>
      </c>
      <c r="AM593" s="35" t="e">
        <f t="shared" si="1290"/>
        <v>#DIV/0!</v>
      </c>
      <c r="AN593" s="6" t="e">
        <f t="shared" si="1291"/>
        <v>#DIV/0!</v>
      </c>
      <c r="AO593" s="68">
        <v>5560</v>
      </c>
      <c r="AP593" s="66">
        <v>627</v>
      </c>
      <c r="AQ593" s="35">
        <f t="shared" si="1292"/>
        <v>8.8676236044657095</v>
      </c>
      <c r="AR593" s="6">
        <f t="shared" si="1293"/>
        <v>0.14585795755137018</v>
      </c>
      <c r="AS593" s="68">
        <v>0</v>
      </c>
      <c r="AT593" s="66">
        <v>0</v>
      </c>
      <c r="AU593" s="35" t="e">
        <f t="shared" si="1294"/>
        <v>#DIV/0!</v>
      </c>
      <c r="AV593" s="6" t="e">
        <f t="shared" si="1295"/>
        <v>#DIV/0!</v>
      </c>
      <c r="AW593" s="68">
        <v>0</v>
      </c>
      <c r="AX593" s="66">
        <v>0</v>
      </c>
      <c r="AY593" s="35" t="e">
        <f t="shared" si="1296"/>
        <v>#DIV/0!</v>
      </c>
      <c r="AZ593" s="6" t="e">
        <f t="shared" si="1297"/>
        <v>#DIV/0!</v>
      </c>
      <c r="BA593" s="68">
        <v>0</v>
      </c>
      <c r="BB593" s="66">
        <v>0</v>
      </c>
      <c r="BC593" s="35" t="e">
        <f t="shared" si="1298"/>
        <v>#DIV/0!</v>
      </c>
      <c r="BD593" s="11" t="e">
        <f t="shared" si="1299"/>
        <v>#DIV/0!</v>
      </c>
    </row>
    <row r="594" spans="1:56" x14ac:dyDescent="0.25">
      <c r="A594" s="19" t="s">
        <v>2</v>
      </c>
      <c r="B594" s="8">
        <v>76840</v>
      </c>
      <c r="C594" s="35">
        <f>B594/F589</f>
        <v>71.148148148148152</v>
      </c>
      <c r="D594" s="8">
        <v>2100</v>
      </c>
      <c r="E594" s="68">
        <v>40100</v>
      </c>
      <c r="F594" s="70">
        <v>1080</v>
      </c>
      <c r="G594" s="35">
        <f t="shared" si="1274"/>
        <v>37.129629629629626</v>
      </c>
      <c r="H594" s="11">
        <f t="shared" si="1275"/>
        <v>0.52186361270171777</v>
      </c>
      <c r="I594" s="35">
        <v>0</v>
      </c>
      <c r="J594" s="70">
        <v>0</v>
      </c>
      <c r="K594" s="35" t="e">
        <f t="shared" si="1276"/>
        <v>#DIV/0!</v>
      </c>
      <c r="L594" s="6" t="e">
        <f t="shared" si="1277"/>
        <v>#DIV/0!</v>
      </c>
      <c r="M594" s="68">
        <v>0</v>
      </c>
      <c r="N594" s="5">
        <v>0</v>
      </c>
      <c r="O594" s="35" t="e">
        <f t="shared" si="1278"/>
        <v>#DIV/0!</v>
      </c>
      <c r="P594" s="11" t="e">
        <f t="shared" si="1279"/>
        <v>#DIV/0!</v>
      </c>
      <c r="Q594" s="35">
        <v>0</v>
      </c>
      <c r="R594" s="66">
        <v>0</v>
      </c>
      <c r="S594" s="35" t="e">
        <f t="shared" si="1280"/>
        <v>#DIV/0!</v>
      </c>
      <c r="T594" s="6" t="e">
        <f t="shared" si="1281"/>
        <v>#DIV/0!</v>
      </c>
      <c r="U594" s="68">
        <v>0</v>
      </c>
      <c r="V594" s="66">
        <v>0</v>
      </c>
      <c r="W594" s="20" t="e">
        <f t="shared" si="1282"/>
        <v>#DIV/0!</v>
      </c>
      <c r="X594" s="6" t="e">
        <f t="shared" si="1283"/>
        <v>#DIV/0!</v>
      </c>
      <c r="Y594" s="68">
        <v>0</v>
      </c>
      <c r="Z594" s="70">
        <v>0</v>
      </c>
      <c r="AA594" s="35" t="e">
        <f t="shared" si="1284"/>
        <v>#DIV/0!</v>
      </c>
      <c r="AB594" s="11" t="e">
        <f t="shared" si="1285"/>
        <v>#DIV/0!</v>
      </c>
      <c r="AC594" s="35">
        <v>0</v>
      </c>
      <c r="AD594" s="36">
        <v>0</v>
      </c>
      <c r="AE594" s="35" t="e">
        <f t="shared" si="1286"/>
        <v>#DIV/0!</v>
      </c>
      <c r="AF594" s="6" t="e">
        <f t="shared" si="1287"/>
        <v>#DIV/0!</v>
      </c>
      <c r="AG594" s="68">
        <v>0</v>
      </c>
      <c r="AH594" s="66">
        <v>0</v>
      </c>
      <c r="AI594" s="35" t="e">
        <f t="shared" si="1288"/>
        <v>#DIV/0!</v>
      </c>
      <c r="AJ594" s="6" t="e">
        <f t="shared" si="1289"/>
        <v>#DIV/0!</v>
      </c>
      <c r="AK594" s="68">
        <v>0</v>
      </c>
      <c r="AL594" s="66">
        <v>0</v>
      </c>
      <c r="AM594" s="35" t="e">
        <f t="shared" si="1290"/>
        <v>#DIV/0!</v>
      </c>
      <c r="AN594" s="6" t="e">
        <f t="shared" si="1291"/>
        <v>#DIV/0!</v>
      </c>
      <c r="AO594" s="68">
        <v>5870</v>
      </c>
      <c r="AP594" s="66">
        <v>627</v>
      </c>
      <c r="AQ594" s="35">
        <f t="shared" si="1292"/>
        <v>9.3620414673046248</v>
      </c>
      <c r="AR594" s="6">
        <f t="shared" si="1293"/>
        <v>0.13158517418908114</v>
      </c>
      <c r="AS594" s="68">
        <v>0</v>
      </c>
      <c r="AT594" s="66">
        <v>0</v>
      </c>
      <c r="AU594" s="35" t="e">
        <f t="shared" si="1294"/>
        <v>#DIV/0!</v>
      </c>
      <c r="AV594" s="6" t="e">
        <f t="shared" si="1295"/>
        <v>#DIV/0!</v>
      </c>
      <c r="AW594" s="68">
        <v>0</v>
      </c>
      <c r="AX594" s="66">
        <v>0</v>
      </c>
      <c r="AY594" s="35" t="e">
        <f t="shared" si="1296"/>
        <v>#DIV/0!</v>
      </c>
      <c r="AZ594" s="6" t="e">
        <f t="shared" si="1297"/>
        <v>#DIV/0!</v>
      </c>
      <c r="BA594" s="68">
        <v>0</v>
      </c>
      <c r="BB594" s="66">
        <v>0</v>
      </c>
      <c r="BC594" s="35" t="e">
        <f t="shared" si="1298"/>
        <v>#DIV/0!</v>
      </c>
      <c r="BD594" s="11" t="e">
        <f t="shared" si="1299"/>
        <v>#DIV/0!</v>
      </c>
    </row>
    <row r="595" spans="1:56" x14ac:dyDescent="0.25">
      <c r="A595" s="19" t="s">
        <v>3</v>
      </c>
      <c r="B595" s="8">
        <v>92760</v>
      </c>
      <c r="C595" s="35">
        <f>B595/F589</f>
        <v>85.888888888888886</v>
      </c>
      <c r="D595" s="8">
        <v>2700</v>
      </c>
      <c r="E595" s="68">
        <v>46150</v>
      </c>
      <c r="F595" s="70">
        <v>1080</v>
      </c>
      <c r="G595" s="35">
        <f t="shared" si="1274"/>
        <v>42.731481481481481</v>
      </c>
      <c r="H595" s="11">
        <f t="shared" si="1275"/>
        <v>0.49752048296679602</v>
      </c>
      <c r="I595" s="35">
        <v>0</v>
      </c>
      <c r="J595" s="70">
        <v>0</v>
      </c>
      <c r="K595" s="35" t="e">
        <f t="shared" si="1276"/>
        <v>#DIV/0!</v>
      </c>
      <c r="L595" s="6" t="e">
        <f t="shared" si="1277"/>
        <v>#DIV/0!</v>
      </c>
      <c r="M595" s="68">
        <v>0</v>
      </c>
      <c r="N595" s="5">
        <v>0</v>
      </c>
      <c r="O595" s="35" t="e">
        <f t="shared" si="1278"/>
        <v>#DIV/0!</v>
      </c>
      <c r="P595" s="11" t="e">
        <f t="shared" si="1279"/>
        <v>#DIV/0!</v>
      </c>
      <c r="Q595" s="35">
        <v>0</v>
      </c>
      <c r="R595" s="66">
        <v>0</v>
      </c>
      <c r="S595" s="35" t="e">
        <f t="shared" si="1280"/>
        <v>#DIV/0!</v>
      </c>
      <c r="T595" s="6" t="e">
        <f t="shared" si="1281"/>
        <v>#DIV/0!</v>
      </c>
      <c r="U595" s="68">
        <v>0</v>
      </c>
      <c r="V595" s="66">
        <v>0</v>
      </c>
      <c r="W595" s="20" t="e">
        <f t="shared" si="1282"/>
        <v>#DIV/0!</v>
      </c>
      <c r="X595" s="6" t="e">
        <f t="shared" si="1283"/>
        <v>#DIV/0!</v>
      </c>
      <c r="Y595" s="68">
        <v>0</v>
      </c>
      <c r="Z595" s="70">
        <v>0</v>
      </c>
      <c r="AA595" s="35" t="e">
        <f t="shared" si="1284"/>
        <v>#DIV/0!</v>
      </c>
      <c r="AB595" s="11" t="e">
        <f t="shared" si="1285"/>
        <v>#DIV/0!</v>
      </c>
      <c r="AC595" s="35">
        <v>0</v>
      </c>
      <c r="AD595" s="36">
        <v>0</v>
      </c>
      <c r="AE595" s="35" t="e">
        <f t="shared" si="1286"/>
        <v>#DIV/0!</v>
      </c>
      <c r="AF595" s="6" t="e">
        <f t="shared" si="1287"/>
        <v>#DIV/0!</v>
      </c>
      <c r="AG595" s="68">
        <v>0</v>
      </c>
      <c r="AH595" s="66">
        <v>0</v>
      </c>
      <c r="AI595" s="35" t="e">
        <f t="shared" si="1288"/>
        <v>#DIV/0!</v>
      </c>
      <c r="AJ595" s="6" t="e">
        <f t="shared" si="1289"/>
        <v>#DIV/0!</v>
      </c>
      <c r="AK595" s="68">
        <v>0</v>
      </c>
      <c r="AL595" s="66">
        <v>0</v>
      </c>
      <c r="AM595" s="35" t="e">
        <f t="shared" si="1290"/>
        <v>#DIV/0!</v>
      </c>
      <c r="AN595" s="6" t="e">
        <f t="shared" si="1291"/>
        <v>#DIV/0!</v>
      </c>
      <c r="AO595" s="68">
        <v>6170</v>
      </c>
      <c r="AP595" s="66">
        <v>627</v>
      </c>
      <c r="AQ595" s="35">
        <f t="shared" si="1292"/>
        <v>9.8405103668261571</v>
      </c>
      <c r="AR595" s="6">
        <f t="shared" si="1293"/>
        <v>0.11457256571983883</v>
      </c>
      <c r="AS595" s="68">
        <v>0</v>
      </c>
      <c r="AT595" s="66">
        <v>0</v>
      </c>
      <c r="AU595" s="35" t="e">
        <f t="shared" si="1294"/>
        <v>#DIV/0!</v>
      </c>
      <c r="AV595" s="6" t="e">
        <f t="shared" si="1295"/>
        <v>#DIV/0!</v>
      </c>
      <c r="AW595" s="68">
        <v>0</v>
      </c>
      <c r="AX595" s="66">
        <v>0</v>
      </c>
      <c r="AY595" s="35" t="e">
        <f t="shared" si="1296"/>
        <v>#DIV/0!</v>
      </c>
      <c r="AZ595" s="6" t="e">
        <f t="shared" si="1297"/>
        <v>#DIV/0!</v>
      </c>
      <c r="BA595" s="68">
        <v>0</v>
      </c>
      <c r="BB595" s="66">
        <v>0</v>
      </c>
      <c r="BC595" s="35" t="e">
        <f t="shared" si="1298"/>
        <v>#DIV/0!</v>
      </c>
      <c r="BD595" s="11" t="e">
        <f t="shared" si="1299"/>
        <v>#DIV/0!</v>
      </c>
    </row>
    <row r="596" spans="1:56" x14ac:dyDescent="0.25">
      <c r="A596" s="19" t="s">
        <v>4</v>
      </c>
      <c r="B596" s="8">
        <v>115700</v>
      </c>
      <c r="C596" s="35">
        <f>B596/F589</f>
        <v>107.12962962962963</v>
      </c>
      <c r="D596" s="8">
        <v>5250</v>
      </c>
      <c r="E596" s="68">
        <v>65740</v>
      </c>
      <c r="F596" s="70">
        <v>1080</v>
      </c>
      <c r="G596" s="35">
        <f t="shared" si="1274"/>
        <v>60.870370370370374</v>
      </c>
      <c r="H596" s="11">
        <f t="shared" si="1275"/>
        <v>0.56819360414866038</v>
      </c>
      <c r="I596" s="35">
        <v>0</v>
      </c>
      <c r="J596" s="70">
        <v>0</v>
      </c>
      <c r="K596" s="35" t="e">
        <f t="shared" si="1276"/>
        <v>#DIV/0!</v>
      </c>
      <c r="L596" s="6" t="e">
        <f t="shared" si="1277"/>
        <v>#DIV/0!</v>
      </c>
      <c r="M596" s="68">
        <v>0</v>
      </c>
      <c r="N596" s="5">
        <v>0</v>
      </c>
      <c r="O596" s="35" t="e">
        <f t="shared" si="1278"/>
        <v>#DIV/0!</v>
      </c>
      <c r="P596" s="11" t="e">
        <f t="shared" si="1279"/>
        <v>#DIV/0!</v>
      </c>
      <c r="Q596" s="35">
        <v>0</v>
      </c>
      <c r="R596" s="66">
        <v>0</v>
      </c>
      <c r="S596" s="35" t="e">
        <f t="shared" si="1280"/>
        <v>#DIV/0!</v>
      </c>
      <c r="T596" s="6" t="e">
        <f t="shared" si="1281"/>
        <v>#DIV/0!</v>
      </c>
      <c r="U596" s="68">
        <v>0</v>
      </c>
      <c r="V596" s="66">
        <v>0</v>
      </c>
      <c r="W596" s="20" t="e">
        <f t="shared" si="1282"/>
        <v>#DIV/0!</v>
      </c>
      <c r="X596" s="6" t="e">
        <f t="shared" si="1283"/>
        <v>#DIV/0!</v>
      </c>
      <c r="Y596" s="68">
        <v>0</v>
      </c>
      <c r="Z596" s="70">
        <v>0</v>
      </c>
      <c r="AA596" s="35" t="e">
        <f t="shared" si="1284"/>
        <v>#DIV/0!</v>
      </c>
      <c r="AB596" s="11" t="e">
        <f t="shared" si="1285"/>
        <v>#DIV/0!</v>
      </c>
      <c r="AC596" s="35">
        <v>0</v>
      </c>
      <c r="AD596" s="36">
        <v>0</v>
      </c>
      <c r="AE596" s="35" t="e">
        <f t="shared" si="1286"/>
        <v>#DIV/0!</v>
      </c>
      <c r="AF596" s="6" t="e">
        <f t="shared" si="1287"/>
        <v>#DIV/0!</v>
      </c>
      <c r="AG596" s="68">
        <v>0</v>
      </c>
      <c r="AH596" s="66">
        <v>0</v>
      </c>
      <c r="AI596" s="35" t="e">
        <f t="shared" si="1288"/>
        <v>#DIV/0!</v>
      </c>
      <c r="AJ596" s="6" t="e">
        <f t="shared" si="1289"/>
        <v>#DIV/0!</v>
      </c>
      <c r="AK596" s="68">
        <v>0</v>
      </c>
      <c r="AL596" s="66">
        <v>0</v>
      </c>
      <c r="AM596" s="35" t="e">
        <f t="shared" si="1290"/>
        <v>#DIV/0!</v>
      </c>
      <c r="AN596" s="6" t="e">
        <f t="shared" si="1291"/>
        <v>#DIV/0!</v>
      </c>
      <c r="AO596" s="68">
        <v>8210</v>
      </c>
      <c r="AP596" s="66">
        <v>627</v>
      </c>
      <c r="AQ596" s="35">
        <f t="shared" si="1292"/>
        <v>13.094098883572567</v>
      </c>
      <c r="AR596" s="6">
        <f t="shared" si="1293"/>
        <v>0.12222667929350364</v>
      </c>
      <c r="AS596" s="68">
        <v>0</v>
      </c>
      <c r="AT596" s="66">
        <v>0</v>
      </c>
      <c r="AU596" s="35" t="e">
        <f t="shared" si="1294"/>
        <v>#DIV/0!</v>
      </c>
      <c r="AV596" s="6" t="e">
        <f t="shared" si="1295"/>
        <v>#DIV/0!</v>
      </c>
      <c r="AW596" s="68">
        <v>0</v>
      </c>
      <c r="AX596" s="66">
        <v>0</v>
      </c>
      <c r="AY596" s="35" t="e">
        <f t="shared" si="1296"/>
        <v>#DIV/0!</v>
      </c>
      <c r="AZ596" s="6" t="e">
        <f t="shared" si="1297"/>
        <v>#DIV/0!</v>
      </c>
      <c r="BA596" s="68">
        <v>0</v>
      </c>
      <c r="BB596" s="66">
        <v>0</v>
      </c>
      <c r="BC596" s="35" t="e">
        <f t="shared" si="1298"/>
        <v>#DIV/0!</v>
      </c>
      <c r="BD596" s="11" t="e">
        <f t="shared" si="1299"/>
        <v>#DIV/0!</v>
      </c>
    </row>
    <row r="597" spans="1:56" x14ac:dyDescent="0.25">
      <c r="A597" s="19" t="s">
        <v>5</v>
      </c>
      <c r="B597" s="8">
        <v>152390</v>
      </c>
      <c r="C597" s="35">
        <f>B597/F589</f>
        <v>141.10185185185185</v>
      </c>
      <c r="D597" s="8">
        <v>7050</v>
      </c>
      <c r="E597" s="68">
        <v>74160</v>
      </c>
      <c r="F597" s="70">
        <v>1080</v>
      </c>
      <c r="G597" s="35">
        <f t="shared" si="1274"/>
        <v>68.666666666666671</v>
      </c>
      <c r="H597" s="11">
        <f t="shared" si="1275"/>
        <v>0.48664610538749264</v>
      </c>
      <c r="I597" s="35">
        <v>0</v>
      </c>
      <c r="J597" s="70">
        <v>0</v>
      </c>
      <c r="K597" s="35" t="e">
        <f t="shared" si="1276"/>
        <v>#DIV/0!</v>
      </c>
      <c r="L597" s="6" t="e">
        <f t="shared" si="1277"/>
        <v>#DIV/0!</v>
      </c>
      <c r="M597" s="68">
        <v>0</v>
      </c>
      <c r="N597" s="5">
        <v>0</v>
      </c>
      <c r="O597" s="35" t="e">
        <f t="shared" si="1278"/>
        <v>#DIV/0!</v>
      </c>
      <c r="P597" s="11" t="e">
        <f t="shared" si="1279"/>
        <v>#DIV/0!</v>
      </c>
      <c r="Q597" s="35">
        <v>0</v>
      </c>
      <c r="R597" s="66">
        <v>0</v>
      </c>
      <c r="S597" s="35" t="e">
        <f t="shared" si="1280"/>
        <v>#DIV/0!</v>
      </c>
      <c r="T597" s="6" t="e">
        <f t="shared" si="1281"/>
        <v>#DIV/0!</v>
      </c>
      <c r="U597" s="68">
        <v>0</v>
      </c>
      <c r="V597" s="66">
        <v>0</v>
      </c>
      <c r="W597" s="20" t="e">
        <f t="shared" si="1282"/>
        <v>#DIV/0!</v>
      </c>
      <c r="X597" s="6" t="e">
        <f t="shared" si="1283"/>
        <v>#DIV/0!</v>
      </c>
      <c r="Y597" s="68">
        <v>0</v>
      </c>
      <c r="Z597" s="70">
        <v>0</v>
      </c>
      <c r="AA597" s="35" t="e">
        <f t="shared" si="1284"/>
        <v>#DIV/0!</v>
      </c>
      <c r="AB597" s="11" t="e">
        <f t="shared" si="1285"/>
        <v>#DIV/0!</v>
      </c>
      <c r="AC597" s="35">
        <v>0</v>
      </c>
      <c r="AD597" s="36">
        <v>0</v>
      </c>
      <c r="AE597" s="35" t="e">
        <f t="shared" si="1286"/>
        <v>#DIV/0!</v>
      </c>
      <c r="AF597" s="6" t="e">
        <f t="shared" si="1287"/>
        <v>#DIV/0!</v>
      </c>
      <c r="AG597" s="68">
        <v>0</v>
      </c>
      <c r="AH597" s="66">
        <v>0</v>
      </c>
      <c r="AI597" s="35" t="e">
        <f t="shared" si="1288"/>
        <v>#DIV/0!</v>
      </c>
      <c r="AJ597" s="6" t="e">
        <f t="shared" si="1289"/>
        <v>#DIV/0!</v>
      </c>
      <c r="AK597" s="68">
        <v>0</v>
      </c>
      <c r="AL597" s="66">
        <v>0</v>
      </c>
      <c r="AM597" s="35" t="e">
        <f t="shared" si="1290"/>
        <v>#DIV/0!</v>
      </c>
      <c r="AN597" s="6" t="e">
        <f t="shared" si="1291"/>
        <v>#DIV/0!</v>
      </c>
      <c r="AO597" s="68">
        <v>10080</v>
      </c>
      <c r="AP597" s="66">
        <v>627</v>
      </c>
      <c r="AQ597" s="35">
        <f t="shared" si="1292"/>
        <v>16.076555023923444</v>
      </c>
      <c r="AR597" s="6">
        <f t="shared" si="1293"/>
        <v>0.11393581879281658</v>
      </c>
      <c r="AS597" s="68">
        <v>0</v>
      </c>
      <c r="AT597" s="66">
        <v>0</v>
      </c>
      <c r="AU597" s="35" t="e">
        <f t="shared" si="1294"/>
        <v>#DIV/0!</v>
      </c>
      <c r="AV597" s="6" t="e">
        <f t="shared" si="1295"/>
        <v>#DIV/0!</v>
      </c>
      <c r="AW597" s="68">
        <v>0</v>
      </c>
      <c r="AX597" s="66">
        <v>0</v>
      </c>
      <c r="AY597" s="35" t="e">
        <f t="shared" si="1296"/>
        <v>#DIV/0!</v>
      </c>
      <c r="AZ597" s="6" t="e">
        <f t="shared" si="1297"/>
        <v>#DIV/0!</v>
      </c>
      <c r="BA597" s="68">
        <v>0</v>
      </c>
      <c r="BB597" s="66">
        <v>0</v>
      </c>
      <c r="BC597" s="35" t="e">
        <f t="shared" si="1298"/>
        <v>#DIV/0!</v>
      </c>
      <c r="BD597" s="11" t="e">
        <f t="shared" si="1299"/>
        <v>#DIV/0!</v>
      </c>
    </row>
    <row r="598" spans="1:56" x14ac:dyDescent="0.25">
      <c r="A598" s="19" t="s">
        <v>6</v>
      </c>
      <c r="B598" s="8">
        <v>176940</v>
      </c>
      <c r="C598" s="35">
        <f>B598/F589</f>
        <v>163.83333333333334</v>
      </c>
      <c r="D598" s="8">
        <v>10950</v>
      </c>
      <c r="E598" s="68">
        <v>91450</v>
      </c>
      <c r="F598" s="70">
        <v>1080</v>
      </c>
      <c r="G598" s="35">
        <f t="shared" si="1274"/>
        <v>84.675925925925924</v>
      </c>
      <c r="H598" s="11">
        <f t="shared" si="1275"/>
        <v>0.51684186729964954</v>
      </c>
      <c r="I598" s="35">
        <v>0</v>
      </c>
      <c r="J598" s="70">
        <v>0</v>
      </c>
      <c r="K598" s="35" t="e">
        <f t="shared" si="1276"/>
        <v>#DIV/0!</v>
      </c>
      <c r="L598" s="6" t="e">
        <f t="shared" si="1277"/>
        <v>#DIV/0!</v>
      </c>
      <c r="M598" s="68">
        <v>0</v>
      </c>
      <c r="N598" s="5">
        <v>0</v>
      </c>
      <c r="O598" s="35" t="e">
        <f t="shared" si="1278"/>
        <v>#DIV/0!</v>
      </c>
      <c r="P598" s="11" t="e">
        <f t="shared" si="1279"/>
        <v>#DIV/0!</v>
      </c>
      <c r="Q598" s="35">
        <v>0</v>
      </c>
      <c r="R598" s="66">
        <v>0</v>
      </c>
      <c r="S598" s="35" t="e">
        <f t="shared" si="1280"/>
        <v>#DIV/0!</v>
      </c>
      <c r="T598" s="6" t="e">
        <f t="shared" si="1281"/>
        <v>#DIV/0!</v>
      </c>
      <c r="U598" s="68">
        <v>0</v>
      </c>
      <c r="V598" s="66">
        <v>0</v>
      </c>
      <c r="W598" s="20" t="e">
        <f t="shared" si="1282"/>
        <v>#DIV/0!</v>
      </c>
      <c r="X598" s="6" t="e">
        <f t="shared" si="1283"/>
        <v>#DIV/0!</v>
      </c>
      <c r="Y598" s="68">
        <v>0</v>
      </c>
      <c r="Z598" s="70">
        <v>0</v>
      </c>
      <c r="AA598" s="35" t="e">
        <f t="shared" si="1284"/>
        <v>#DIV/0!</v>
      </c>
      <c r="AB598" s="11" t="e">
        <f t="shared" si="1285"/>
        <v>#DIV/0!</v>
      </c>
      <c r="AC598" s="35">
        <v>0</v>
      </c>
      <c r="AD598" s="36">
        <v>0</v>
      </c>
      <c r="AE598" s="35" t="e">
        <f t="shared" si="1286"/>
        <v>#DIV/0!</v>
      </c>
      <c r="AF598" s="6" t="e">
        <f t="shared" si="1287"/>
        <v>#DIV/0!</v>
      </c>
      <c r="AG598" s="68">
        <v>0</v>
      </c>
      <c r="AH598" s="66">
        <v>0</v>
      </c>
      <c r="AI598" s="35" t="e">
        <f t="shared" si="1288"/>
        <v>#DIV/0!</v>
      </c>
      <c r="AJ598" s="6" t="e">
        <f t="shared" si="1289"/>
        <v>#DIV/0!</v>
      </c>
      <c r="AK598" s="68">
        <v>0</v>
      </c>
      <c r="AL598" s="66">
        <v>0</v>
      </c>
      <c r="AM598" s="35" t="e">
        <f t="shared" si="1290"/>
        <v>#DIV/0!</v>
      </c>
      <c r="AN598" s="6" t="e">
        <f t="shared" si="1291"/>
        <v>#DIV/0!</v>
      </c>
      <c r="AO598" s="68">
        <v>10720</v>
      </c>
      <c r="AP598" s="66">
        <v>627</v>
      </c>
      <c r="AQ598" s="35">
        <f t="shared" si="1292"/>
        <v>17.097288676236044</v>
      </c>
      <c r="AR598" s="6">
        <f t="shared" si="1293"/>
        <v>0.10435781491090158</v>
      </c>
      <c r="AS598" s="68">
        <v>0</v>
      </c>
      <c r="AT598" s="66">
        <v>0</v>
      </c>
      <c r="AU598" s="35" t="e">
        <f t="shared" si="1294"/>
        <v>#DIV/0!</v>
      </c>
      <c r="AV598" s="6" t="e">
        <f t="shared" si="1295"/>
        <v>#DIV/0!</v>
      </c>
      <c r="AW598" s="68">
        <v>0</v>
      </c>
      <c r="AX598" s="66">
        <v>0</v>
      </c>
      <c r="AY598" s="35" t="e">
        <f t="shared" si="1296"/>
        <v>#DIV/0!</v>
      </c>
      <c r="AZ598" s="6" t="e">
        <f t="shared" si="1297"/>
        <v>#DIV/0!</v>
      </c>
      <c r="BA598" s="68">
        <v>0</v>
      </c>
      <c r="BB598" s="66">
        <v>0</v>
      </c>
      <c r="BC598" s="35" t="e">
        <f t="shared" si="1298"/>
        <v>#DIV/0!</v>
      </c>
      <c r="BD598" s="11" t="e">
        <f t="shared" si="1299"/>
        <v>#DIV/0!</v>
      </c>
    </row>
    <row r="599" spans="1:56" ht="15.75" thickBot="1" x14ac:dyDescent="0.3">
      <c r="A599" s="21"/>
      <c r="B599" s="22"/>
      <c r="C599" s="23">
        <f>AVERAGE(Table11052[MA $/Sq Ft])</f>
        <v>97.36772486772486</v>
      </c>
      <c r="D599" s="22">
        <f>AVERAGE(Table11052[Basic Allowance])</f>
        <v>4442.8571428571431</v>
      </c>
      <c r="E599" s="16"/>
      <c r="F599" s="22"/>
      <c r="G599" s="15"/>
      <c r="H599" s="24">
        <f>AVERAGE(Table11052[Bsmt % Base])</f>
        <v>0.51284675513560274</v>
      </c>
      <c r="I599" s="15"/>
      <c r="J599" s="15"/>
      <c r="K599" s="15"/>
      <c r="L599" s="25" t="e">
        <f>AVERAGE(Table11052[[#Headers],[#Data],[UnfBsmt % Base]])</f>
        <v>#DIV/0!</v>
      </c>
      <c r="M599" s="44"/>
      <c r="N599" s="15"/>
      <c r="O599" s="23" t="e">
        <f>AVERAGE(Table11052[LowerVal/SqFt])</f>
        <v>#DIV/0!</v>
      </c>
      <c r="P599" s="24" t="e">
        <f>AVERAGE(Table11052[Lower % Base])</f>
        <v>#DIV/0!</v>
      </c>
      <c r="Q599" s="13"/>
      <c r="R599" s="13"/>
      <c r="S599" s="13"/>
      <c r="T599" s="25" t="e">
        <f>AVERAGE(Table11052[Unf Lower % Base])</f>
        <v>#DIV/0!</v>
      </c>
      <c r="U599" s="12"/>
      <c r="V599" s="13"/>
      <c r="W599" s="13"/>
      <c r="X599" s="25" t="e">
        <f>AVERAGE(Table11052[1/2 Story % Base])</f>
        <v>#DIV/0!</v>
      </c>
      <c r="Y599" s="12"/>
      <c r="Z599" s="13"/>
      <c r="AA599" s="13"/>
      <c r="AB599" s="24" t="e">
        <f>AVERAGE(Table11052[2nd Story % Base])</f>
        <v>#DIV/0!</v>
      </c>
      <c r="AC599" s="13"/>
      <c r="AD599" s="13"/>
      <c r="AE599" s="23" t="e">
        <f>AVERAGE(Table11052[AttGarVal/SqFt])</f>
        <v>#DIV/0!</v>
      </c>
      <c r="AF599" s="25" t="e">
        <f>AVERAGE(Table11052[Att Gar % Base])</f>
        <v>#DIV/0!</v>
      </c>
      <c r="AG599" s="12"/>
      <c r="AH599" s="13"/>
      <c r="AI599" s="13"/>
      <c r="AJ599" s="25" t="e">
        <f>AVERAGE(Table11052[Porch % Base])</f>
        <v>#DIV/0!</v>
      </c>
      <c r="AK599" s="12"/>
      <c r="AL599" s="13"/>
      <c r="AM599" s="13"/>
      <c r="AN599" s="25" t="e">
        <f>AVERAGE(Table11052[Cov Porch % Base])</f>
        <v>#DIV/0!</v>
      </c>
      <c r="AO599" s="12"/>
      <c r="AP599" s="13"/>
      <c r="AQ599" s="13"/>
      <c r="AR599" s="25">
        <f>AVERAGE(Table11052[Deck % Base])</f>
        <v>0.12272515345578504</v>
      </c>
      <c r="AS599" s="12"/>
      <c r="AT599" s="13"/>
      <c r="AU599" s="23" t="e">
        <f>AVERAGE(Table11052[CovDeckVal/SqFt])</f>
        <v>#DIV/0!</v>
      </c>
      <c r="AV599" s="25" t="e">
        <f>AVERAGE(Table11052[CovDeck % Base])</f>
        <v>#DIV/0!</v>
      </c>
      <c r="AW599" s="12"/>
      <c r="AX599" s="13"/>
      <c r="AY599" s="13"/>
      <c r="AZ599" s="25" t="e">
        <f>AVERAGE(Table11052[CarP % Base])</f>
        <v>#DIV/0!</v>
      </c>
      <c r="BA599" s="12"/>
      <c r="BB599" s="13"/>
      <c r="BC599" s="13"/>
      <c r="BD599" s="24" t="e">
        <f>AVERAGE(Table11052[EFP % Base])</f>
        <v>#DIV/0!</v>
      </c>
    </row>
    <row r="601" spans="1:56" ht="15.75" thickBot="1" x14ac:dyDescent="0.3">
      <c r="A601" s="84"/>
      <c r="B601" s="74" t="s">
        <v>79</v>
      </c>
      <c r="C601" s="86" t="s">
        <v>145</v>
      </c>
      <c r="D601" s="74"/>
      <c r="E601" s="74" t="s">
        <v>33</v>
      </c>
      <c r="F601" s="75">
        <v>1152</v>
      </c>
      <c r="G601" s="74"/>
      <c r="H601" s="74" t="s">
        <v>197</v>
      </c>
      <c r="I601" s="74"/>
      <c r="J601" s="74" t="s">
        <v>83</v>
      </c>
      <c r="K601" s="75">
        <v>1949</v>
      </c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6"/>
    </row>
    <row r="602" spans="1:56" x14ac:dyDescent="0.25">
      <c r="A602" s="112"/>
      <c r="B602" s="113"/>
      <c r="C602" s="113"/>
      <c r="D602" s="114"/>
      <c r="E602" s="115" t="s">
        <v>27</v>
      </c>
      <c r="F602" s="116"/>
      <c r="G602" s="116"/>
      <c r="H602" s="117"/>
      <c r="I602" s="118" t="s">
        <v>28</v>
      </c>
      <c r="J602" s="119"/>
      <c r="K602" s="119"/>
      <c r="L602" s="120"/>
      <c r="M602" s="121" t="s">
        <v>7</v>
      </c>
      <c r="N602" s="122"/>
      <c r="O602" s="122"/>
      <c r="P602" s="122"/>
      <c r="Q602" s="124" t="s">
        <v>29</v>
      </c>
      <c r="R602" s="125"/>
      <c r="S602" s="125"/>
      <c r="T602" s="126"/>
      <c r="U602" s="128" t="s">
        <v>8</v>
      </c>
      <c r="V602" s="128"/>
      <c r="W602" s="128"/>
      <c r="X602" s="129"/>
      <c r="Y602" s="130" t="s">
        <v>0</v>
      </c>
      <c r="Z602" s="131"/>
      <c r="AA602" s="131"/>
      <c r="AB602" s="132"/>
      <c r="AC602" s="133" t="s">
        <v>34</v>
      </c>
      <c r="AD602" s="134"/>
      <c r="AE602" s="134"/>
      <c r="AF602" s="135"/>
      <c r="AG602" s="115" t="s">
        <v>9</v>
      </c>
      <c r="AH602" s="116"/>
      <c r="AI602" s="116"/>
      <c r="AJ602" s="117"/>
      <c r="AK602" s="136" t="s">
        <v>35</v>
      </c>
      <c r="AL602" s="137"/>
      <c r="AM602" s="137"/>
      <c r="AN602" s="138"/>
      <c r="AO602" s="139" t="s">
        <v>10</v>
      </c>
      <c r="AP602" s="140"/>
      <c r="AQ602" s="140"/>
      <c r="AR602" s="141"/>
      <c r="AS602" s="124" t="s">
        <v>36</v>
      </c>
      <c r="AT602" s="125"/>
      <c r="AU602" s="125"/>
      <c r="AV602" s="126"/>
      <c r="AW602" s="142" t="s">
        <v>11</v>
      </c>
      <c r="AX602" s="143"/>
      <c r="AY602" s="143"/>
      <c r="AZ602" s="144"/>
      <c r="BA602" s="148" t="s">
        <v>17</v>
      </c>
      <c r="BB602" s="149"/>
      <c r="BC602" s="149"/>
      <c r="BD602" s="150"/>
    </row>
    <row r="603" spans="1:56" s="1" customFormat="1" ht="15.75" thickBot="1" x14ac:dyDescent="0.3">
      <c r="A603" s="41" t="s">
        <v>13</v>
      </c>
      <c r="B603" s="42" t="s">
        <v>15</v>
      </c>
      <c r="C603" s="42" t="s">
        <v>32</v>
      </c>
      <c r="D603" s="43" t="s">
        <v>18</v>
      </c>
      <c r="E603" s="30" t="s">
        <v>30</v>
      </c>
      <c r="F603" s="31" t="s">
        <v>61</v>
      </c>
      <c r="G603" s="31" t="s">
        <v>38</v>
      </c>
      <c r="H603" s="32" t="s">
        <v>62</v>
      </c>
      <c r="I603" s="37" t="s">
        <v>31</v>
      </c>
      <c r="J603" s="38" t="s">
        <v>39</v>
      </c>
      <c r="K603" s="38" t="s">
        <v>40</v>
      </c>
      <c r="L603" s="39" t="s">
        <v>63</v>
      </c>
      <c r="M603" s="40" t="s">
        <v>19</v>
      </c>
      <c r="N603" s="7" t="s">
        <v>41</v>
      </c>
      <c r="O603" s="7" t="s">
        <v>37</v>
      </c>
      <c r="P603" s="7" t="s">
        <v>64</v>
      </c>
      <c r="Q603" s="27" t="s">
        <v>20</v>
      </c>
      <c r="R603" s="28" t="s">
        <v>60</v>
      </c>
      <c r="S603" s="28" t="s">
        <v>59</v>
      </c>
      <c r="T603" s="29" t="s">
        <v>65</v>
      </c>
      <c r="U603" s="48" t="s">
        <v>21</v>
      </c>
      <c r="V603" s="48" t="s">
        <v>42</v>
      </c>
      <c r="W603" s="48" t="s">
        <v>43</v>
      </c>
      <c r="X603" s="49" t="s">
        <v>66</v>
      </c>
      <c r="Y603" s="50" t="s">
        <v>22</v>
      </c>
      <c r="Z603" s="51" t="s">
        <v>44</v>
      </c>
      <c r="AA603" s="51" t="s">
        <v>45</v>
      </c>
      <c r="AB603" s="52" t="s">
        <v>67</v>
      </c>
      <c r="AC603" s="45" t="s">
        <v>23</v>
      </c>
      <c r="AD603" s="46" t="s">
        <v>46</v>
      </c>
      <c r="AE603" s="46" t="s">
        <v>47</v>
      </c>
      <c r="AF603" s="47" t="s">
        <v>68</v>
      </c>
      <c r="AG603" s="30" t="s">
        <v>24</v>
      </c>
      <c r="AH603" s="31" t="s">
        <v>48</v>
      </c>
      <c r="AI603" s="31" t="s">
        <v>49</v>
      </c>
      <c r="AJ603" s="32" t="s">
        <v>69</v>
      </c>
      <c r="AK603" s="53" t="s">
        <v>25</v>
      </c>
      <c r="AL603" s="54" t="s">
        <v>50</v>
      </c>
      <c r="AM603" s="54" t="s">
        <v>51</v>
      </c>
      <c r="AN603" s="55" t="s">
        <v>70</v>
      </c>
      <c r="AO603" s="56" t="s">
        <v>26</v>
      </c>
      <c r="AP603" s="57" t="s">
        <v>52</v>
      </c>
      <c r="AQ603" s="57" t="s">
        <v>53</v>
      </c>
      <c r="AR603" s="58" t="s">
        <v>71</v>
      </c>
      <c r="AS603" s="59" t="s">
        <v>55</v>
      </c>
      <c r="AT603" s="60" t="s">
        <v>54</v>
      </c>
      <c r="AU603" s="60" t="s">
        <v>56</v>
      </c>
      <c r="AV603" s="61" t="s">
        <v>76</v>
      </c>
      <c r="AW603" s="62" t="s">
        <v>72</v>
      </c>
      <c r="AX603" s="63" t="s">
        <v>73</v>
      </c>
      <c r="AY603" s="63" t="s">
        <v>74</v>
      </c>
      <c r="AZ603" s="64" t="s">
        <v>75</v>
      </c>
      <c r="BA603" s="71" t="s">
        <v>77</v>
      </c>
      <c r="BB603" s="72" t="s">
        <v>57</v>
      </c>
      <c r="BC603" s="72" t="s">
        <v>58</v>
      </c>
      <c r="BD603" s="73" t="s">
        <v>78</v>
      </c>
    </row>
    <row r="604" spans="1:56" x14ac:dyDescent="0.25">
      <c r="A604" s="17" t="s">
        <v>1</v>
      </c>
      <c r="B604" s="14">
        <v>58880</v>
      </c>
      <c r="C604" s="34">
        <f>B604/F601</f>
        <v>51.111111111111114</v>
      </c>
      <c r="D604" s="14">
        <v>1525</v>
      </c>
      <c r="E604" s="67">
        <v>27300</v>
      </c>
      <c r="F604" s="69">
        <v>1152</v>
      </c>
      <c r="G604" s="34">
        <f t="shared" ref="G604:G610" si="1300">E604/F604</f>
        <v>23.697916666666668</v>
      </c>
      <c r="H604" s="10">
        <f t="shared" ref="H604:H610" si="1301">G604/C604</f>
        <v>0.46365489130434784</v>
      </c>
      <c r="I604" s="34">
        <v>0</v>
      </c>
      <c r="J604" s="69">
        <v>0</v>
      </c>
      <c r="K604" s="34" t="e">
        <f t="shared" ref="K604:K610" si="1302">I604/J604</f>
        <v>#DIV/0!</v>
      </c>
      <c r="L604" s="9" t="e">
        <f t="shared" ref="L604:L610" si="1303">K604/C604</f>
        <v>#DIV/0!</v>
      </c>
      <c r="M604" s="67">
        <v>0</v>
      </c>
      <c r="N604" s="26">
        <v>0</v>
      </c>
      <c r="O604" s="34" t="e">
        <f t="shared" ref="O604:O610" si="1304">M604/N604</f>
        <v>#DIV/0!</v>
      </c>
      <c r="P604" s="10" t="e">
        <f t="shared" ref="P604:P610" si="1305">O604/C604</f>
        <v>#DIV/0!</v>
      </c>
      <c r="Q604" s="35">
        <v>0</v>
      </c>
      <c r="R604" s="66">
        <v>0</v>
      </c>
      <c r="S604" s="35" t="e">
        <f t="shared" ref="S604:S610" si="1306">Q604/R604</f>
        <v>#DIV/0!</v>
      </c>
      <c r="T604" s="6" t="e">
        <f t="shared" ref="T604:T610" si="1307">S604/C604</f>
        <v>#DIV/0!</v>
      </c>
      <c r="U604" s="67">
        <v>13960</v>
      </c>
      <c r="V604" s="65">
        <v>393</v>
      </c>
      <c r="W604" s="18">
        <f t="shared" ref="W604:W610" si="1308">U604/V604</f>
        <v>35.521628498727736</v>
      </c>
      <c r="X604" s="9">
        <f t="shared" ref="X604:X610" si="1309">W604/C604</f>
        <v>0.69498838367075999</v>
      </c>
      <c r="Y604" s="67">
        <v>0</v>
      </c>
      <c r="Z604" s="69">
        <v>0</v>
      </c>
      <c r="AA604" s="34" t="e">
        <f t="shared" ref="AA604:AA610" si="1310">Y604/Z604</f>
        <v>#DIV/0!</v>
      </c>
      <c r="AB604" s="10" t="e">
        <f t="shared" ref="AB604:AB610" si="1311">AA604/C604</f>
        <v>#DIV/0!</v>
      </c>
      <c r="AC604" s="34">
        <v>0</v>
      </c>
      <c r="AD604" s="33">
        <v>0</v>
      </c>
      <c r="AE604" s="34" t="e">
        <f t="shared" ref="AE604:AE610" si="1312">AC604/AD604</f>
        <v>#DIV/0!</v>
      </c>
      <c r="AF604" s="9" t="e">
        <f t="shared" ref="AF604:AF610" si="1313">AE604/C604</f>
        <v>#DIV/0!</v>
      </c>
      <c r="AG604" s="67">
        <v>0</v>
      </c>
      <c r="AH604" s="65">
        <v>0</v>
      </c>
      <c r="AI604" s="34" t="e">
        <f t="shared" ref="AI604:AI610" si="1314">AG604/AH604</f>
        <v>#DIV/0!</v>
      </c>
      <c r="AJ604" s="9" t="e">
        <f t="shared" ref="AJ604:AJ610" si="1315">AI604/C604</f>
        <v>#DIV/0!</v>
      </c>
      <c r="AK604" s="67">
        <v>790</v>
      </c>
      <c r="AL604" s="65">
        <v>144</v>
      </c>
      <c r="AM604" s="34">
        <f t="shared" ref="AM604:AM610" si="1316">AK604/AL604</f>
        <v>5.4861111111111107</v>
      </c>
      <c r="AN604" s="9">
        <f t="shared" ref="AN604:AN610" si="1317">AM604/C604</f>
        <v>0.10733695652173912</v>
      </c>
      <c r="AO604" s="67">
        <v>0</v>
      </c>
      <c r="AP604" s="65">
        <v>0</v>
      </c>
      <c r="AQ604" s="34" t="e">
        <f t="shared" ref="AQ604:AQ610" si="1318">AO604/AP604</f>
        <v>#DIV/0!</v>
      </c>
      <c r="AR604" s="9" t="e">
        <f t="shared" ref="AR604:AR610" si="1319">AQ604/C604</f>
        <v>#DIV/0!</v>
      </c>
      <c r="AS604" s="67">
        <v>0</v>
      </c>
      <c r="AT604" s="65">
        <v>0</v>
      </c>
      <c r="AU604" s="34" t="e">
        <f t="shared" ref="AU604:AU610" si="1320">AS604/AT604</f>
        <v>#DIV/0!</v>
      </c>
      <c r="AV604" s="9" t="e">
        <f t="shared" ref="AV604:AV610" si="1321">AU604/C604</f>
        <v>#DIV/0!</v>
      </c>
      <c r="AW604" s="67">
        <v>0</v>
      </c>
      <c r="AX604" s="65">
        <v>0</v>
      </c>
      <c r="AY604" s="34" t="e">
        <f t="shared" ref="AY604:AY610" si="1322">AW604/AX604</f>
        <v>#DIV/0!</v>
      </c>
      <c r="AZ604" s="9" t="e">
        <f t="shared" ref="AZ604:AZ610" si="1323">AY604/C604</f>
        <v>#DIV/0!</v>
      </c>
      <c r="BA604" s="67">
        <v>0</v>
      </c>
      <c r="BB604" s="65">
        <v>0</v>
      </c>
      <c r="BC604" s="34" t="e">
        <f t="shared" ref="BC604:BC610" si="1324">BA604/BB604</f>
        <v>#DIV/0!</v>
      </c>
      <c r="BD604" s="10" t="e">
        <f t="shared" ref="BD604:BD610" si="1325">BC604/C604</f>
        <v>#DIV/0!</v>
      </c>
    </row>
    <row r="605" spans="1:56" x14ac:dyDescent="0.25">
      <c r="A605" s="19" t="s">
        <v>16</v>
      </c>
      <c r="B605" s="8">
        <v>69280</v>
      </c>
      <c r="C605" s="35">
        <f>B605/F601</f>
        <v>60.138888888888886</v>
      </c>
      <c r="D605" s="8">
        <v>1525</v>
      </c>
      <c r="E605" s="68">
        <v>36980</v>
      </c>
      <c r="F605" s="70">
        <v>1152</v>
      </c>
      <c r="G605" s="35">
        <f t="shared" si="1300"/>
        <v>32.100694444444443</v>
      </c>
      <c r="H605" s="11">
        <f t="shared" si="1301"/>
        <v>0.53377598152424943</v>
      </c>
      <c r="I605" s="35">
        <v>0</v>
      </c>
      <c r="J605" s="70">
        <v>0</v>
      </c>
      <c r="K605" s="35" t="e">
        <f t="shared" si="1302"/>
        <v>#DIV/0!</v>
      </c>
      <c r="L605" s="6" t="e">
        <f t="shared" si="1303"/>
        <v>#DIV/0!</v>
      </c>
      <c r="M605" s="68">
        <v>0</v>
      </c>
      <c r="N605" s="5">
        <v>0</v>
      </c>
      <c r="O605" s="35" t="e">
        <f t="shared" si="1304"/>
        <v>#DIV/0!</v>
      </c>
      <c r="P605" s="11" t="e">
        <f t="shared" si="1305"/>
        <v>#DIV/0!</v>
      </c>
      <c r="Q605" s="35">
        <v>0</v>
      </c>
      <c r="R605" s="66">
        <v>0</v>
      </c>
      <c r="S605" s="35" t="e">
        <f t="shared" si="1306"/>
        <v>#DIV/0!</v>
      </c>
      <c r="T605" s="6" t="e">
        <f t="shared" si="1307"/>
        <v>#DIV/0!</v>
      </c>
      <c r="U605" s="68">
        <v>18040</v>
      </c>
      <c r="V605" s="66">
        <v>393</v>
      </c>
      <c r="W605" s="20">
        <f t="shared" si="1308"/>
        <v>45.903307888040715</v>
      </c>
      <c r="X605" s="6">
        <f t="shared" si="1309"/>
        <v>0.76328826049397958</v>
      </c>
      <c r="Y605" s="68">
        <v>0</v>
      </c>
      <c r="Z605" s="70">
        <v>0</v>
      </c>
      <c r="AA605" s="35" t="e">
        <f t="shared" si="1310"/>
        <v>#DIV/0!</v>
      </c>
      <c r="AB605" s="11" t="e">
        <f t="shared" si="1311"/>
        <v>#DIV/0!</v>
      </c>
      <c r="AC605" s="35">
        <v>0</v>
      </c>
      <c r="AD605" s="36">
        <v>0</v>
      </c>
      <c r="AE605" s="35" t="e">
        <f t="shared" si="1312"/>
        <v>#DIV/0!</v>
      </c>
      <c r="AF605" s="6" t="e">
        <f t="shared" si="1313"/>
        <v>#DIV/0!</v>
      </c>
      <c r="AG605" s="68">
        <v>0</v>
      </c>
      <c r="AH605" s="66">
        <v>0</v>
      </c>
      <c r="AI605" s="35" t="e">
        <f t="shared" si="1314"/>
        <v>#DIV/0!</v>
      </c>
      <c r="AJ605" s="6" t="e">
        <f t="shared" si="1315"/>
        <v>#DIV/0!</v>
      </c>
      <c r="AK605" s="68">
        <v>1170</v>
      </c>
      <c r="AL605" s="66">
        <v>144</v>
      </c>
      <c r="AM605" s="35">
        <f t="shared" si="1316"/>
        <v>8.125</v>
      </c>
      <c r="AN605" s="6">
        <f t="shared" si="1317"/>
        <v>0.1351039260969977</v>
      </c>
      <c r="AO605" s="68">
        <v>0</v>
      </c>
      <c r="AP605" s="66">
        <v>0</v>
      </c>
      <c r="AQ605" s="35" t="e">
        <f t="shared" si="1318"/>
        <v>#DIV/0!</v>
      </c>
      <c r="AR605" s="6" t="e">
        <f t="shared" si="1319"/>
        <v>#DIV/0!</v>
      </c>
      <c r="AS605" s="68">
        <v>0</v>
      </c>
      <c r="AT605" s="66">
        <v>0</v>
      </c>
      <c r="AU605" s="35" t="e">
        <f t="shared" si="1320"/>
        <v>#DIV/0!</v>
      </c>
      <c r="AV605" s="6" t="e">
        <f t="shared" si="1321"/>
        <v>#DIV/0!</v>
      </c>
      <c r="AW605" s="68">
        <v>0</v>
      </c>
      <c r="AX605" s="66">
        <v>0</v>
      </c>
      <c r="AY605" s="35" t="e">
        <f t="shared" si="1322"/>
        <v>#DIV/0!</v>
      </c>
      <c r="AZ605" s="6" t="e">
        <f t="shared" si="1323"/>
        <v>#DIV/0!</v>
      </c>
      <c r="BA605" s="68">
        <v>0</v>
      </c>
      <c r="BB605" s="66">
        <v>0</v>
      </c>
      <c r="BC605" s="35" t="e">
        <f t="shared" si="1324"/>
        <v>#DIV/0!</v>
      </c>
      <c r="BD605" s="11" t="e">
        <f t="shared" si="1325"/>
        <v>#DIV/0!</v>
      </c>
    </row>
    <row r="606" spans="1:56" x14ac:dyDescent="0.25">
      <c r="A606" s="19" t="s">
        <v>2</v>
      </c>
      <c r="B606" s="8">
        <v>81050</v>
      </c>
      <c r="C606" s="35">
        <f>B606/F601</f>
        <v>70.355902777777771</v>
      </c>
      <c r="D606" s="8">
        <v>2100</v>
      </c>
      <c r="E606" s="68">
        <v>42420</v>
      </c>
      <c r="F606" s="70">
        <v>1152</v>
      </c>
      <c r="G606" s="35">
        <f t="shared" si="1300"/>
        <v>36.822916666666664</v>
      </c>
      <c r="H606" s="11">
        <f t="shared" si="1301"/>
        <v>0.52338062924120909</v>
      </c>
      <c r="I606" s="35">
        <v>0</v>
      </c>
      <c r="J606" s="70">
        <v>0</v>
      </c>
      <c r="K606" s="35" t="e">
        <f t="shared" si="1302"/>
        <v>#DIV/0!</v>
      </c>
      <c r="L606" s="6" t="e">
        <f t="shared" si="1303"/>
        <v>#DIV/0!</v>
      </c>
      <c r="M606" s="68">
        <v>0</v>
      </c>
      <c r="N606" s="5">
        <v>0</v>
      </c>
      <c r="O606" s="35" t="e">
        <f t="shared" si="1304"/>
        <v>#DIV/0!</v>
      </c>
      <c r="P606" s="11" t="e">
        <f t="shared" si="1305"/>
        <v>#DIV/0!</v>
      </c>
      <c r="Q606" s="35">
        <v>0</v>
      </c>
      <c r="R606" s="66">
        <v>0</v>
      </c>
      <c r="S606" s="35" t="e">
        <f t="shared" si="1306"/>
        <v>#DIV/0!</v>
      </c>
      <c r="T606" s="6" t="e">
        <f t="shared" si="1307"/>
        <v>#DIV/0!</v>
      </c>
      <c r="U606" s="68">
        <v>23180</v>
      </c>
      <c r="V606" s="66">
        <v>393</v>
      </c>
      <c r="W606" s="20">
        <f t="shared" si="1308"/>
        <v>58.982188295165393</v>
      </c>
      <c r="X606" s="6">
        <f t="shared" si="1309"/>
        <v>0.83834029507748964</v>
      </c>
      <c r="Y606" s="68">
        <v>0</v>
      </c>
      <c r="Z606" s="70">
        <v>0</v>
      </c>
      <c r="AA606" s="35" t="e">
        <f t="shared" si="1310"/>
        <v>#DIV/0!</v>
      </c>
      <c r="AB606" s="11" t="e">
        <f t="shared" si="1311"/>
        <v>#DIV/0!</v>
      </c>
      <c r="AC606" s="35">
        <v>0</v>
      </c>
      <c r="AD606" s="36">
        <v>0</v>
      </c>
      <c r="AE606" s="35" t="e">
        <f t="shared" si="1312"/>
        <v>#DIV/0!</v>
      </c>
      <c r="AF606" s="6" t="e">
        <f t="shared" si="1313"/>
        <v>#DIV/0!</v>
      </c>
      <c r="AG606" s="68">
        <v>0</v>
      </c>
      <c r="AH606" s="66">
        <v>0</v>
      </c>
      <c r="AI606" s="35" t="e">
        <f t="shared" si="1314"/>
        <v>#DIV/0!</v>
      </c>
      <c r="AJ606" s="6" t="e">
        <f t="shared" si="1315"/>
        <v>#DIV/0!</v>
      </c>
      <c r="AK606" s="68">
        <v>1270</v>
      </c>
      <c r="AL606" s="66">
        <v>144</v>
      </c>
      <c r="AM606" s="35">
        <f t="shared" si="1316"/>
        <v>8.8194444444444446</v>
      </c>
      <c r="AN606" s="6">
        <f t="shared" si="1317"/>
        <v>0.1253547193090685</v>
      </c>
      <c r="AO606" s="68">
        <v>0</v>
      </c>
      <c r="AP606" s="66">
        <v>0</v>
      </c>
      <c r="AQ606" s="35" t="e">
        <f t="shared" si="1318"/>
        <v>#DIV/0!</v>
      </c>
      <c r="AR606" s="6" t="e">
        <f t="shared" si="1319"/>
        <v>#DIV/0!</v>
      </c>
      <c r="AS606" s="68">
        <v>0</v>
      </c>
      <c r="AT606" s="66">
        <v>0</v>
      </c>
      <c r="AU606" s="35" t="e">
        <f t="shared" si="1320"/>
        <v>#DIV/0!</v>
      </c>
      <c r="AV606" s="6" t="e">
        <f t="shared" si="1321"/>
        <v>#DIV/0!</v>
      </c>
      <c r="AW606" s="68">
        <v>0</v>
      </c>
      <c r="AX606" s="66">
        <v>0</v>
      </c>
      <c r="AY606" s="35" t="e">
        <f t="shared" si="1322"/>
        <v>#DIV/0!</v>
      </c>
      <c r="AZ606" s="6" t="e">
        <f t="shared" si="1323"/>
        <v>#DIV/0!</v>
      </c>
      <c r="BA606" s="68">
        <v>0</v>
      </c>
      <c r="BB606" s="66">
        <v>0</v>
      </c>
      <c r="BC606" s="35" t="e">
        <f t="shared" si="1324"/>
        <v>#DIV/0!</v>
      </c>
      <c r="BD606" s="11" t="e">
        <f t="shared" si="1325"/>
        <v>#DIV/0!</v>
      </c>
    </row>
    <row r="607" spans="1:56" x14ac:dyDescent="0.25">
      <c r="A607" s="19" t="s">
        <v>3</v>
      </c>
      <c r="B607" s="8">
        <v>97840</v>
      </c>
      <c r="C607" s="35">
        <f>B607/F601</f>
        <v>84.930555555555557</v>
      </c>
      <c r="D607" s="8">
        <v>2700</v>
      </c>
      <c r="E607" s="68">
        <v>48810</v>
      </c>
      <c r="F607" s="70">
        <v>1152</v>
      </c>
      <c r="G607" s="35">
        <f t="shared" si="1300"/>
        <v>42.369791666666664</v>
      </c>
      <c r="H607" s="11">
        <f t="shared" si="1301"/>
        <v>0.4988757154538021</v>
      </c>
      <c r="I607" s="35">
        <v>0</v>
      </c>
      <c r="J607" s="70">
        <v>0</v>
      </c>
      <c r="K607" s="35" t="e">
        <f t="shared" si="1302"/>
        <v>#DIV/0!</v>
      </c>
      <c r="L607" s="6" t="e">
        <f t="shared" si="1303"/>
        <v>#DIV/0!</v>
      </c>
      <c r="M607" s="68">
        <v>0</v>
      </c>
      <c r="N607" s="5">
        <v>0</v>
      </c>
      <c r="O607" s="35" t="e">
        <f t="shared" si="1304"/>
        <v>#DIV/0!</v>
      </c>
      <c r="P607" s="11" t="e">
        <f t="shared" si="1305"/>
        <v>#DIV/0!</v>
      </c>
      <c r="Q607" s="35">
        <v>0</v>
      </c>
      <c r="R607" s="66">
        <v>0</v>
      </c>
      <c r="S607" s="35" t="e">
        <f t="shared" si="1306"/>
        <v>#DIV/0!</v>
      </c>
      <c r="T607" s="6" t="e">
        <f t="shared" si="1307"/>
        <v>#DIV/0!</v>
      </c>
      <c r="U607" s="68">
        <v>28690</v>
      </c>
      <c r="V607" s="66">
        <v>393</v>
      </c>
      <c r="W607" s="20">
        <f t="shared" si="1308"/>
        <v>73.002544529262082</v>
      </c>
      <c r="X607" s="6">
        <f t="shared" si="1309"/>
        <v>0.85955571645247253</v>
      </c>
      <c r="Y607" s="68">
        <v>0</v>
      </c>
      <c r="Z607" s="70">
        <v>0</v>
      </c>
      <c r="AA607" s="35" t="e">
        <f t="shared" si="1310"/>
        <v>#DIV/0!</v>
      </c>
      <c r="AB607" s="11" t="e">
        <f t="shared" si="1311"/>
        <v>#DIV/0!</v>
      </c>
      <c r="AC607" s="35">
        <v>0</v>
      </c>
      <c r="AD607" s="36">
        <v>0</v>
      </c>
      <c r="AE607" s="35" t="e">
        <f t="shared" si="1312"/>
        <v>#DIV/0!</v>
      </c>
      <c r="AF607" s="6" t="e">
        <f t="shared" si="1313"/>
        <v>#DIV/0!</v>
      </c>
      <c r="AG607" s="68">
        <v>0</v>
      </c>
      <c r="AH607" s="66">
        <v>0</v>
      </c>
      <c r="AI607" s="35" t="e">
        <f t="shared" si="1314"/>
        <v>#DIV/0!</v>
      </c>
      <c r="AJ607" s="6" t="e">
        <f t="shared" si="1315"/>
        <v>#DIV/0!</v>
      </c>
      <c r="AK607" s="68">
        <v>1370</v>
      </c>
      <c r="AL607" s="66">
        <v>144</v>
      </c>
      <c r="AM607" s="35">
        <f t="shared" si="1316"/>
        <v>9.5138888888888893</v>
      </c>
      <c r="AN607" s="6">
        <f t="shared" si="1317"/>
        <v>0.11201962387571546</v>
      </c>
      <c r="AO607" s="68">
        <v>0</v>
      </c>
      <c r="AP607" s="66">
        <v>0</v>
      </c>
      <c r="AQ607" s="35" t="e">
        <f t="shared" si="1318"/>
        <v>#DIV/0!</v>
      </c>
      <c r="AR607" s="6" t="e">
        <f t="shared" si="1319"/>
        <v>#DIV/0!</v>
      </c>
      <c r="AS607" s="68">
        <v>0</v>
      </c>
      <c r="AT607" s="66">
        <v>0</v>
      </c>
      <c r="AU607" s="35" t="e">
        <f t="shared" si="1320"/>
        <v>#DIV/0!</v>
      </c>
      <c r="AV607" s="6" t="e">
        <f t="shared" si="1321"/>
        <v>#DIV/0!</v>
      </c>
      <c r="AW607" s="68">
        <v>0</v>
      </c>
      <c r="AX607" s="66">
        <v>0</v>
      </c>
      <c r="AY607" s="35" t="e">
        <f t="shared" si="1322"/>
        <v>#DIV/0!</v>
      </c>
      <c r="AZ607" s="6" t="e">
        <f t="shared" si="1323"/>
        <v>#DIV/0!</v>
      </c>
      <c r="BA607" s="68">
        <v>0</v>
      </c>
      <c r="BB607" s="66">
        <v>0</v>
      </c>
      <c r="BC607" s="35" t="e">
        <f t="shared" si="1324"/>
        <v>#DIV/0!</v>
      </c>
      <c r="BD607" s="11" t="e">
        <f t="shared" si="1325"/>
        <v>#DIV/0!</v>
      </c>
    </row>
    <row r="608" spans="1:56" x14ac:dyDescent="0.25">
      <c r="A608" s="19" t="s">
        <v>4</v>
      </c>
      <c r="B608" s="8">
        <v>122070</v>
      </c>
      <c r="C608" s="35">
        <f>B608/F601</f>
        <v>105.96354166666667</v>
      </c>
      <c r="D608" s="8">
        <v>5250</v>
      </c>
      <c r="E608" s="68">
        <v>69430</v>
      </c>
      <c r="F608" s="70">
        <v>1152</v>
      </c>
      <c r="G608" s="35">
        <f t="shared" si="1300"/>
        <v>60.269097222222221</v>
      </c>
      <c r="H608" s="11">
        <f t="shared" si="1301"/>
        <v>0.56877201605636107</v>
      </c>
      <c r="I608" s="35">
        <v>0</v>
      </c>
      <c r="J608" s="70">
        <v>0</v>
      </c>
      <c r="K608" s="35" t="e">
        <f t="shared" si="1302"/>
        <v>#DIV/0!</v>
      </c>
      <c r="L608" s="6" t="e">
        <f t="shared" si="1303"/>
        <v>#DIV/0!</v>
      </c>
      <c r="M608" s="68">
        <v>0</v>
      </c>
      <c r="N608" s="5">
        <v>0</v>
      </c>
      <c r="O608" s="35" t="e">
        <f t="shared" si="1304"/>
        <v>#DIV/0!</v>
      </c>
      <c r="P608" s="11" t="e">
        <f t="shared" si="1305"/>
        <v>#DIV/0!</v>
      </c>
      <c r="Q608" s="35">
        <v>0</v>
      </c>
      <c r="R608" s="66">
        <v>0</v>
      </c>
      <c r="S608" s="35" t="e">
        <f t="shared" si="1306"/>
        <v>#DIV/0!</v>
      </c>
      <c r="T608" s="6" t="e">
        <f t="shared" si="1307"/>
        <v>#DIV/0!</v>
      </c>
      <c r="U608" s="68">
        <v>35680</v>
      </c>
      <c r="V608" s="66">
        <v>393</v>
      </c>
      <c r="W608" s="20">
        <f t="shared" si="1308"/>
        <v>90.788804071246815</v>
      </c>
      <c r="X608" s="6">
        <f t="shared" si="1309"/>
        <v>0.85679284254998223</v>
      </c>
      <c r="Y608" s="68">
        <v>0</v>
      </c>
      <c r="Z608" s="70">
        <v>0</v>
      </c>
      <c r="AA608" s="35" t="e">
        <f t="shared" si="1310"/>
        <v>#DIV/0!</v>
      </c>
      <c r="AB608" s="11" t="e">
        <f t="shared" si="1311"/>
        <v>#DIV/0!</v>
      </c>
      <c r="AC608" s="35">
        <v>0</v>
      </c>
      <c r="AD608" s="36">
        <v>0</v>
      </c>
      <c r="AE608" s="35" t="e">
        <f t="shared" si="1312"/>
        <v>#DIV/0!</v>
      </c>
      <c r="AF608" s="6" t="e">
        <f t="shared" si="1313"/>
        <v>#DIV/0!</v>
      </c>
      <c r="AG608" s="68">
        <v>0</v>
      </c>
      <c r="AH608" s="66">
        <v>0</v>
      </c>
      <c r="AI608" s="35" t="e">
        <f t="shared" si="1314"/>
        <v>#DIV/0!</v>
      </c>
      <c r="AJ608" s="6" t="e">
        <f t="shared" si="1315"/>
        <v>#DIV/0!</v>
      </c>
      <c r="AK608" s="68">
        <v>1630</v>
      </c>
      <c r="AL608" s="66">
        <v>144</v>
      </c>
      <c r="AM608" s="35">
        <f t="shared" si="1316"/>
        <v>11.319444444444445</v>
      </c>
      <c r="AN608" s="6">
        <f t="shared" si="1317"/>
        <v>0.10682395346932087</v>
      </c>
      <c r="AO608" s="68">
        <v>0</v>
      </c>
      <c r="AP608" s="66">
        <v>0</v>
      </c>
      <c r="AQ608" s="35" t="e">
        <f t="shared" si="1318"/>
        <v>#DIV/0!</v>
      </c>
      <c r="AR608" s="6" t="e">
        <f t="shared" si="1319"/>
        <v>#DIV/0!</v>
      </c>
      <c r="AS608" s="68">
        <v>0</v>
      </c>
      <c r="AT608" s="66">
        <v>0</v>
      </c>
      <c r="AU608" s="35" t="e">
        <f t="shared" si="1320"/>
        <v>#DIV/0!</v>
      </c>
      <c r="AV608" s="6" t="e">
        <f t="shared" si="1321"/>
        <v>#DIV/0!</v>
      </c>
      <c r="AW608" s="68">
        <v>0</v>
      </c>
      <c r="AX608" s="66">
        <v>0</v>
      </c>
      <c r="AY608" s="35" t="e">
        <f t="shared" si="1322"/>
        <v>#DIV/0!</v>
      </c>
      <c r="AZ608" s="6" t="e">
        <f t="shared" si="1323"/>
        <v>#DIV/0!</v>
      </c>
      <c r="BA608" s="68">
        <v>0</v>
      </c>
      <c r="BB608" s="66">
        <v>0</v>
      </c>
      <c r="BC608" s="35" t="e">
        <f t="shared" si="1324"/>
        <v>#DIV/0!</v>
      </c>
      <c r="BD608" s="11" t="e">
        <f t="shared" si="1325"/>
        <v>#DIV/0!</v>
      </c>
    </row>
    <row r="609" spans="1:56" x14ac:dyDescent="0.25">
      <c r="A609" s="19" t="s">
        <v>5</v>
      </c>
      <c r="B609" s="8">
        <v>160520</v>
      </c>
      <c r="C609" s="35">
        <f>B609/F601</f>
        <v>139.34027777777777</v>
      </c>
      <c r="D609" s="8">
        <v>7050</v>
      </c>
      <c r="E609" s="68">
        <v>78160</v>
      </c>
      <c r="F609" s="70">
        <v>1152</v>
      </c>
      <c r="G609" s="35">
        <f t="shared" si="1300"/>
        <v>67.847222222222229</v>
      </c>
      <c r="H609" s="11">
        <f t="shared" si="1301"/>
        <v>0.48691751806628464</v>
      </c>
      <c r="I609" s="35">
        <v>0</v>
      </c>
      <c r="J609" s="70">
        <v>0</v>
      </c>
      <c r="K609" s="35" t="e">
        <f t="shared" si="1302"/>
        <v>#DIV/0!</v>
      </c>
      <c r="L609" s="6" t="e">
        <f t="shared" si="1303"/>
        <v>#DIV/0!</v>
      </c>
      <c r="M609" s="68">
        <v>0</v>
      </c>
      <c r="N609" s="5">
        <v>0</v>
      </c>
      <c r="O609" s="35" t="e">
        <f t="shared" si="1304"/>
        <v>#DIV/0!</v>
      </c>
      <c r="P609" s="11" t="e">
        <f t="shared" si="1305"/>
        <v>#DIV/0!</v>
      </c>
      <c r="Q609" s="35">
        <v>0</v>
      </c>
      <c r="R609" s="66">
        <v>0</v>
      </c>
      <c r="S609" s="35" t="e">
        <f t="shared" si="1306"/>
        <v>#DIV/0!</v>
      </c>
      <c r="T609" s="6" t="e">
        <f t="shared" si="1307"/>
        <v>#DIV/0!</v>
      </c>
      <c r="U609" s="68">
        <v>48710</v>
      </c>
      <c r="V609" s="66">
        <v>393</v>
      </c>
      <c r="W609" s="20">
        <f t="shared" si="1308"/>
        <v>123.94402035623409</v>
      </c>
      <c r="X609" s="6">
        <f t="shared" si="1309"/>
        <v>0.88950605189622278</v>
      </c>
      <c r="Y609" s="68">
        <v>0</v>
      </c>
      <c r="Z609" s="70">
        <v>0</v>
      </c>
      <c r="AA609" s="35" t="e">
        <f t="shared" si="1310"/>
        <v>#DIV/0!</v>
      </c>
      <c r="AB609" s="11" t="e">
        <f t="shared" si="1311"/>
        <v>#DIV/0!</v>
      </c>
      <c r="AC609" s="35">
        <v>0</v>
      </c>
      <c r="AD609" s="36">
        <v>0</v>
      </c>
      <c r="AE609" s="35" t="e">
        <f t="shared" si="1312"/>
        <v>#DIV/0!</v>
      </c>
      <c r="AF609" s="6" t="e">
        <f t="shared" si="1313"/>
        <v>#DIV/0!</v>
      </c>
      <c r="AG609" s="68">
        <v>0</v>
      </c>
      <c r="AH609" s="66">
        <v>0</v>
      </c>
      <c r="AI609" s="35" t="e">
        <f t="shared" si="1314"/>
        <v>#DIV/0!</v>
      </c>
      <c r="AJ609" s="6" t="e">
        <f t="shared" si="1315"/>
        <v>#DIV/0!</v>
      </c>
      <c r="AK609" s="68">
        <v>1790</v>
      </c>
      <c r="AL609" s="66">
        <v>144</v>
      </c>
      <c r="AM609" s="35">
        <f t="shared" si="1316"/>
        <v>12.430555555555555</v>
      </c>
      <c r="AN609" s="6">
        <f t="shared" si="1317"/>
        <v>8.9210067281335667E-2</v>
      </c>
      <c r="AO609" s="68">
        <v>0</v>
      </c>
      <c r="AP609" s="66">
        <v>0</v>
      </c>
      <c r="AQ609" s="35" t="e">
        <f t="shared" si="1318"/>
        <v>#DIV/0!</v>
      </c>
      <c r="AR609" s="6" t="e">
        <f t="shared" si="1319"/>
        <v>#DIV/0!</v>
      </c>
      <c r="AS609" s="68">
        <v>0</v>
      </c>
      <c r="AT609" s="66">
        <v>0</v>
      </c>
      <c r="AU609" s="35" t="e">
        <f t="shared" si="1320"/>
        <v>#DIV/0!</v>
      </c>
      <c r="AV609" s="6" t="e">
        <f t="shared" si="1321"/>
        <v>#DIV/0!</v>
      </c>
      <c r="AW609" s="68">
        <v>0</v>
      </c>
      <c r="AX609" s="66">
        <v>0</v>
      </c>
      <c r="AY609" s="35" t="e">
        <f t="shared" si="1322"/>
        <v>#DIV/0!</v>
      </c>
      <c r="AZ609" s="6" t="e">
        <f t="shared" si="1323"/>
        <v>#DIV/0!</v>
      </c>
      <c r="BA609" s="68">
        <v>0</v>
      </c>
      <c r="BB609" s="66">
        <v>0</v>
      </c>
      <c r="BC609" s="35" t="e">
        <f t="shared" si="1324"/>
        <v>#DIV/0!</v>
      </c>
      <c r="BD609" s="11" t="e">
        <f t="shared" si="1325"/>
        <v>#DIV/0!</v>
      </c>
    </row>
    <row r="610" spans="1:56" x14ac:dyDescent="0.25">
      <c r="A610" s="19" t="s">
        <v>6</v>
      </c>
      <c r="B610" s="8">
        <v>188730</v>
      </c>
      <c r="C610" s="35">
        <f>B610/F601</f>
        <v>163.828125</v>
      </c>
      <c r="D610" s="8">
        <v>10950</v>
      </c>
      <c r="E610" s="68">
        <v>97430</v>
      </c>
      <c r="F610" s="70">
        <v>1152</v>
      </c>
      <c r="G610" s="35">
        <f t="shared" si="1300"/>
        <v>84.574652777777771</v>
      </c>
      <c r="H610" s="11">
        <f t="shared" si="1301"/>
        <v>0.51624013140465208</v>
      </c>
      <c r="I610" s="35">
        <v>0</v>
      </c>
      <c r="J610" s="70">
        <v>0</v>
      </c>
      <c r="K610" s="35" t="e">
        <f t="shared" si="1302"/>
        <v>#DIV/0!</v>
      </c>
      <c r="L610" s="6" t="e">
        <f t="shared" si="1303"/>
        <v>#DIV/0!</v>
      </c>
      <c r="M610" s="68">
        <v>0</v>
      </c>
      <c r="N610" s="5">
        <v>0</v>
      </c>
      <c r="O610" s="35" t="e">
        <f t="shared" si="1304"/>
        <v>#DIV/0!</v>
      </c>
      <c r="P610" s="11" t="e">
        <f t="shared" si="1305"/>
        <v>#DIV/0!</v>
      </c>
      <c r="Q610" s="35">
        <v>0</v>
      </c>
      <c r="R610" s="66">
        <v>0</v>
      </c>
      <c r="S610" s="35" t="e">
        <f t="shared" si="1306"/>
        <v>#DIV/0!</v>
      </c>
      <c r="T610" s="6" t="e">
        <f t="shared" si="1307"/>
        <v>#DIV/0!</v>
      </c>
      <c r="U610" s="68">
        <v>59590</v>
      </c>
      <c r="V610" s="66">
        <v>393</v>
      </c>
      <c r="W610" s="20">
        <f t="shared" si="1308"/>
        <v>151.62849872773538</v>
      </c>
      <c r="X610" s="6">
        <f t="shared" si="1309"/>
        <v>0.92553399318789353</v>
      </c>
      <c r="Y610" s="68">
        <v>0</v>
      </c>
      <c r="Z610" s="70">
        <v>0</v>
      </c>
      <c r="AA610" s="35" t="e">
        <f t="shared" si="1310"/>
        <v>#DIV/0!</v>
      </c>
      <c r="AB610" s="11" t="e">
        <f t="shared" si="1311"/>
        <v>#DIV/0!</v>
      </c>
      <c r="AC610" s="35">
        <v>0</v>
      </c>
      <c r="AD610" s="36">
        <v>0</v>
      </c>
      <c r="AE610" s="35" t="e">
        <f t="shared" si="1312"/>
        <v>#DIV/0!</v>
      </c>
      <c r="AF610" s="6" t="e">
        <f t="shared" si="1313"/>
        <v>#DIV/0!</v>
      </c>
      <c r="AG610" s="68">
        <v>0</v>
      </c>
      <c r="AH610" s="66">
        <v>0</v>
      </c>
      <c r="AI610" s="35" t="e">
        <f t="shared" si="1314"/>
        <v>#DIV/0!</v>
      </c>
      <c r="AJ610" s="6" t="e">
        <f t="shared" si="1315"/>
        <v>#DIV/0!</v>
      </c>
      <c r="AK610" s="68">
        <v>2010</v>
      </c>
      <c r="AL610" s="66">
        <v>144</v>
      </c>
      <c r="AM610" s="35">
        <f t="shared" si="1316"/>
        <v>13.958333333333334</v>
      </c>
      <c r="AN610" s="6">
        <f t="shared" si="1317"/>
        <v>8.5201080909235422E-2</v>
      </c>
      <c r="AO610" s="68">
        <v>0</v>
      </c>
      <c r="AP610" s="66">
        <v>0</v>
      </c>
      <c r="AQ610" s="35" t="e">
        <f t="shared" si="1318"/>
        <v>#DIV/0!</v>
      </c>
      <c r="AR610" s="6" t="e">
        <f t="shared" si="1319"/>
        <v>#DIV/0!</v>
      </c>
      <c r="AS610" s="68">
        <v>0</v>
      </c>
      <c r="AT610" s="66">
        <v>0</v>
      </c>
      <c r="AU610" s="35" t="e">
        <f t="shared" si="1320"/>
        <v>#DIV/0!</v>
      </c>
      <c r="AV610" s="6" t="e">
        <f t="shared" si="1321"/>
        <v>#DIV/0!</v>
      </c>
      <c r="AW610" s="68">
        <v>0</v>
      </c>
      <c r="AX610" s="66">
        <v>0</v>
      </c>
      <c r="AY610" s="35" t="e">
        <f t="shared" si="1322"/>
        <v>#DIV/0!</v>
      </c>
      <c r="AZ610" s="6" t="e">
        <f t="shared" si="1323"/>
        <v>#DIV/0!</v>
      </c>
      <c r="BA610" s="68">
        <v>0</v>
      </c>
      <c r="BB610" s="66">
        <v>0</v>
      </c>
      <c r="BC610" s="35" t="e">
        <f t="shared" si="1324"/>
        <v>#DIV/0!</v>
      </c>
      <c r="BD610" s="11" t="e">
        <f t="shared" si="1325"/>
        <v>#DIV/0!</v>
      </c>
    </row>
    <row r="611" spans="1:56" ht="15.75" thickBot="1" x14ac:dyDescent="0.3">
      <c r="A611" s="21"/>
      <c r="B611" s="22"/>
      <c r="C611" s="23">
        <f>AVERAGE(Table11053[MA $/Sq Ft])</f>
        <v>96.524057539682545</v>
      </c>
      <c r="D611" s="22">
        <f>AVERAGE(Table11053[Basic Allowance])</f>
        <v>4442.8571428571431</v>
      </c>
      <c r="E611" s="16"/>
      <c r="F611" s="22"/>
      <c r="G611" s="15"/>
      <c r="H611" s="24">
        <f>AVERAGE(Table11053[Bsmt % Base])</f>
        <v>0.51308812615012944</v>
      </c>
      <c r="I611" s="15"/>
      <c r="J611" s="15"/>
      <c r="K611" s="15"/>
      <c r="L611" s="25" t="e">
        <f>AVERAGE(Table11053[[#Headers],[#Data],[UnfBsmt % Base]])</f>
        <v>#DIV/0!</v>
      </c>
      <c r="M611" s="44"/>
      <c r="N611" s="15"/>
      <c r="O611" s="23" t="e">
        <f>AVERAGE(Table11053[LowerVal/SqFt])</f>
        <v>#DIV/0!</v>
      </c>
      <c r="P611" s="24" t="e">
        <f>AVERAGE(Table11053[Lower % Base])</f>
        <v>#DIV/0!</v>
      </c>
      <c r="Q611" s="13"/>
      <c r="R611" s="13"/>
      <c r="S611" s="13"/>
      <c r="T611" s="25" t="e">
        <f>AVERAGE(Table11053[Unf Lower % Base])</f>
        <v>#DIV/0!</v>
      </c>
      <c r="U611" s="12"/>
      <c r="V611" s="13"/>
      <c r="W611" s="13"/>
      <c r="X611" s="25">
        <f>AVERAGE(Table11053[1/2 Story % Base])</f>
        <v>0.83257222047554291</v>
      </c>
      <c r="Y611" s="12"/>
      <c r="Z611" s="13"/>
      <c r="AA611" s="13"/>
      <c r="AB611" s="24" t="e">
        <f>AVERAGE(Table11053[2nd Story % Base])</f>
        <v>#DIV/0!</v>
      </c>
      <c r="AC611" s="13"/>
      <c r="AD611" s="13"/>
      <c r="AE611" s="23" t="e">
        <f>AVERAGE(Table11053[AttGarVal/SqFt])</f>
        <v>#DIV/0!</v>
      </c>
      <c r="AF611" s="25" t="e">
        <f>AVERAGE(Table11053[Att Gar % Base])</f>
        <v>#DIV/0!</v>
      </c>
      <c r="AG611" s="12"/>
      <c r="AH611" s="13"/>
      <c r="AI611" s="13"/>
      <c r="AJ611" s="25" t="e">
        <f>AVERAGE(Table11053[Porch % Base])</f>
        <v>#DIV/0!</v>
      </c>
      <c r="AK611" s="12"/>
      <c r="AL611" s="13"/>
      <c r="AM611" s="13"/>
      <c r="AN611" s="25">
        <f>AVERAGE(Table11053[Cov Porch % Base])</f>
        <v>0.10872147535191609</v>
      </c>
      <c r="AO611" s="12"/>
      <c r="AP611" s="13"/>
      <c r="AQ611" s="13"/>
      <c r="AR611" s="25" t="e">
        <f>AVERAGE(Table11053[Deck % Base])</f>
        <v>#DIV/0!</v>
      </c>
      <c r="AS611" s="12"/>
      <c r="AT611" s="13"/>
      <c r="AU611" s="23" t="e">
        <f>AVERAGE(Table11053[CovDeckVal/SqFt])</f>
        <v>#DIV/0!</v>
      </c>
      <c r="AV611" s="25" t="e">
        <f>AVERAGE(Table11053[CovDeck % Base])</f>
        <v>#DIV/0!</v>
      </c>
      <c r="AW611" s="12"/>
      <c r="AX611" s="13"/>
      <c r="AY611" s="13"/>
      <c r="AZ611" s="25" t="e">
        <f>AVERAGE(Table11053[CarP % Base])</f>
        <v>#DIV/0!</v>
      </c>
      <c r="BA611" s="12"/>
      <c r="BB611" s="13"/>
      <c r="BC611" s="13"/>
      <c r="BD611" s="24" t="e">
        <f>AVERAGE(Table11053[EFP % Base])</f>
        <v>#DIV/0!</v>
      </c>
    </row>
    <row r="613" spans="1:56" ht="15.75" thickBot="1" x14ac:dyDescent="0.3">
      <c r="A613" s="82"/>
      <c r="B613" t="s">
        <v>79</v>
      </c>
      <c r="C613" s="78" t="s">
        <v>146</v>
      </c>
      <c r="E613" t="s">
        <v>33</v>
      </c>
      <c r="F613" s="79">
        <v>1363</v>
      </c>
      <c r="H613" t="s">
        <v>80</v>
      </c>
      <c r="I613" t="s">
        <v>198</v>
      </c>
    </row>
    <row r="614" spans="1:56" x14ac:dyDescent="0.25">
      <c r="A614" s="112"/>
      <c r="B614" s="113"/>
      <c r="C614" s="113"/>
      <c r="D614" s="114"/>
      <c r="E614" s="115" t="s">
        <v>27</v>
      </c>
      <c r="F614" s="116"/>
      <c r="G614" s="116"/>
      <c r="H614" s="117"/>
      <c r="I614" s="118" t="s">
        <v>28</v>
      </c>
      <c r="J614" s="119"/>
      <c r="K614" s="119"/>
      <c r="L614" s="120"/>
      <c r="M614" s="121" t="s">
        <v>7</v>
      </c>
      <c r="N614" s="122"/>
      <c r="O614" s="122"/>
      <c r="P614" s="123"/>
      <c r="Q614" s="124" t="s">
        <v>29</v>
      </c>
      <c r="R614" s="125"/>
      <c r="S614" s="125"/>
      <c r="T614" s="126"/>
      <c r="U614" s="127" t="s">
        <v>8</v>
      </c>
      <c r="V614" s="128"/>
      <c r="W614" s="128"/>
      <c r="X614" s="129"/>
      <c r="Y614" s="130" t="s">
        <v>0</v>
      </c>
      <c r="Z614" s="131"/>
      <c r="AA614" s="131"/>
      <c r="AB614" s="132"/>
      <c r="AC614" s="133" t="s">
        <v>34</v>
      </c>
      <c r="AD614" s="134"/>
      <c r="AE614" s="134"/>
      <c r="AF614" s="135"/>
      <c r="AG614" s="115" t="s">
        <v>9</v>
      </c>
      <c r="AH614" s="116"/>
      <c r="AI614" s="116"/>
      <c r="AJ614" s="117"/>
      <c r="AK614" s="136" t="s">
        <v>35</v>
      </c>
      <c r="AL614" s="137"/>
      <c r="AM614" s="137"/>
      <c r="AN614" s="138"/>
      <c r="AO614" s="139" t="s">
        <v>10</v>
      </c>
      <c r="AP614" s="140"/>
      <c r="AQ614" s="140"/>
      <c r="AR614" s="141"/>
      <c r="AS614" s="124" t="s">
        <v>36</v>
      </c>
      <c r="AT614" s="125"/>
      <c r="AU614" s="125"/>
      <c r="AV614" s="126"/>
      <c r="AW614" s="142" t="s">
        <v>11</v>
      </c>
      <c r="AX614" s="143"/>
      <c r="AY614" s="143"/>
      <c r="AZ614" s="144"/>
      <c r="BA614" s="148" t="s">
        <v>17</v>
      </c>
      <c r="BB614" s="149"/>
      <c r="BC614" s="149"/>
      <c r="BD614" s="150"/>
    </row>
    <row r="615" spans="1:56" s="1" customFormat="1" ht="15.75" thickBot="1" x14ac:dyDescent="0.3">
      <c r="A615" s="41" t="s">
        <v>13</v>
      </c>
      <c r="B615" s="42" t="s">
        <v>15</v>
      </c>
      <c r="C615" s="42" t="s">
        <v>32</v>
      </c>
      <c r="D615" s="43" t="s">
        <v>18</v>
      </c>
      <c r="E615" s="30" t="s">
        <v>30</v>
      </c>
      <c r="F615" s="31" t="s">
        <v>61</v>
      </c>
      <c r="G615" s="31" t="s">
        <v>38</v>
      </c>
      <c r="H615" s="32" t="s">
        <v>62</v>
      </c>
      <c r="I615" s="37" t="s">
        <v>31</v>
      </c>
      <c r="J615" s="38" t="s">
        <v>39</v>
      </c>
      <c r="K615" s="38" t="s">
        <v>40</v>
      </c>
      <c r="L615" s="39" t="s">
        <v>63</v>
      </c>
      <c r="M615" s="40" t="s">
        <v>19</v>
      </c>
      <c r="N615" s="7" t="s">
        <v>41</v>
      </c>
      <c r="O615" s="7" t="s">
        <v>37</v>
      </c>
      <c r="P615" s="7" t="s">
        <v>64</v>
      </c>
      <c r="Q615" s="27" t="s">
        <v>20</v>
      </c>
      <c r="R615" s="28" t="s">
        <v>60</v>
      </c>
      <c r="S615" s="28" t="s">
        <v>59</v>
      </c>
      <c r="T615" s="29" t="s">
        <v>65</v>
      </c>
      <c r="U615" s="48" t="s">
        <v>21</v>
      </c>
      <c r="V615" s="48" t="s">
        <v>42</v>
      </c>
      <c r="W615" s="48" t="s">
        <v>43</v>
      </c>
      <c r="X615" s="49" t="s">
        <v>66</v>
      </c>
      <c r="Y615" s="50" t="s">
        <v>22</v>
      </c>
      <c r="Z615" s="51" t="s">
        <v>44</v>
      </c>
      <c r="AA615" s="51" t="s">
        <v>45</v>
      </c>
      <c r="AB615" s="52" t="s">
        <v>67</v>
      </c>
      <c r="AC615" s="45" t="s">
        <v>23</v>
      </c>
      <c r="AD615" s="46" t="s">
        <v>46</v>
      </c>
      <c r="AE615" s="46" t="s">
        <v>47</v>
      </c>
      <c r="AF615" s="47" t="s">
        <v>68</v>
      </c>
      <c r="AG615" s="30" t="s">
        <v>24</v>
      </c>
      <c r="AH615" s="31" t="s">
        <v>48</v>
      </c>
      <c r="AI615" s="31" t="s">
        <v>49</v>
      </c>
      <c r="AJ615" s="32" t="s">
        <v>69</v>
      </c>
      <c r="AK615" s="53" t="s">
        <v>25</v>
      </c>
      <c r="AL615" s="54" t="s">
        <v>50</v>
      </c>
      <c r="AM615" s="54" t="s">
        <v>51</v>
      </c>
      <c r="AN615" s="55" t="s">
        <v>70</v>
      </c>
      <c r="AO615" s="56" t="s">
        <v>26</v>
      </c>
      <c r="AP615" s="57" t="s">
        <v>52</v>
      </c>
      <c r="AQ615" s="57" t="s">
        <v>53</v>
      </c>
      <c r="AR615" s="58" t="s">
        <v>71</v>
      </c>
      <c r="AS615" s="59" t="s">
        <v>55</v>
      </c>
      <c r="AT615" s="60" t="s">
        <v>54</v>
      </c>
      <c r="AU615" s="60" t="s">
        <v>56</v>
      </c>
      <c r="AV615" s="61" t="s">
        <v>76</v>
      </c>
      <c r="AW615" s="62" t="s">
        <v>72</v>
      </c>
      <c r="AX615" s="63" t="s">
        <v>73</v>
      </c>
      <c r="AY615" s="63" t="s">
        <v>74</v>
      </c>
      <c r="AZ615" s="64" t="s">
        <v>75</v>
      </c>
      <c r="BA615" s="71" t="s">
        <v>77</v>
      </c>
      <c r="BB615" s="72" t="s">
        <v>57</v>
      </c>
      <c r="BC615" s="72" t="s">
        <v>58</v>
      </c>
      <c r="BD615" s="73" t="s">
        <v>78</v>
      </c>
    </row>
    <row r="616" spans="1:56" ht="15.75" thickBot="1" x14ac:dyDescent="0.3">
      <c r="A616" s="17" t="s">
        <v>1</v>
      </c>
      <c r="B616" s="14">
        <v>67820</v>
      </c>
      <c r="C616" s="34">
        <f>B616/F613</f>
        <v>49.757887013939836</v>
      </c>
      <c r="D616" s="14">
        <v>1525</v>
      </c>
      <c r="E616" s="67">
        <v>0</v>
      </c>
      <c r="F616" s="69">
        <v>0</v>
      </c>
      <c r="G616" s="34" t="e">
        <f t="shared" ref="G616:G622" si="1326">E616/F616</f>
        <v>#DIV/0!</v>
      </c>
      <c r="H616" s="10" t="e">
        <f t="shared" ref="H616:H622" si="1327">G616/C616</f>
        <v>#DIV/0!</v>
      </c>
      <c r="I616" s="34">
        <v>0</v>
      </c>
      <c r="J616" s="69">
        <v>0</v>
      </c>
      <c r="K616" s="34" t="e">
        <f t="shared" ref="K616:K622" si="1328">I616/J616</f>
        <v>#DIV/0!</v>
      </c>
      <c r="L616" s="9" t="e">
        <f t="shared" ref="L616:L622" si="1329">K616/C616</f>
        <v>#DIV/0!</v>
      </c>
      <c r="M616" s="67">
        <v>0</v>
      </c>
      <c r="N616" s="26">
        <v>0</v>
      </c>
      <c r="O616" s="34" t="e">
        <f t="shared" ref="O616:O622" si="1330">M616/N616</f>
        <v>#DIV/0!</v>
      </c>
      <c r="P616" s="10" t="e">
        <f t="shared" ref="P616:P622" si="1331">O616/C616</f>
        <v>#DIV/0!</v>
      </c>
      <c r="Q616" s="35">
        <v>0</v>
      </c>
      <c r="R616" s="66">
        <v>0</v>
      </c>
      <c r="S616" s="35" t="e">
        <f t="shared" ref="S616:S622" si="1332">Q616/R616</f>
        <v>#DIV/0!</v>
      </c>
      <c r="T616" s="6" t="e">
        <f t="shared" ref="T616:T622" si="1333">S616/C616</f>
        <v>#DIV/0!</v>
      </c>
      <c r="U616" s="67">
        <v>14170</v>
      </c>
      <c r="V616" s="65">
        <v>525</v>
      </c>
      <c r="W616" s="18">
        <f t="shared" ref="W616:W622" si="1334">U616/V616</f>
        <v>26.990476190476191</v>
      </c>
      <c r="X616" s="9">
        <f t="shared" ref="X616:X622" si="1335">W616/C616</f>
        <v>0.54243614048391398</v>
      </c>
      <c r="Y616" s="67">
        <v>16460</v>
      </c>
      <c r="Z616" s="69">
        <v>372</v>
      </c>
      <c r="AA616" s="34">
        <f t="shared" ref="AA616:AA622" si="1336">Y616/Z616</f>
        <v>44.247311827956992</v>
      </c>
      <c r="AB616" s="10">
        <f t="shared" ref="AB616:AB622" si="1337">AA616/C616</f>
        <v>0.88925222679895877</v>
      </c>
      <c r="AC616" s="18">
        <v>0</v>
      </c>
      <c r="AD616" s="33">
        <v>0</v>
      </c>
      <c r="AE616" s="34" t="e">
        <f t="shared" ref="AE616:AE622" si="1338">AC616/AD616</f>
        <v>#DIV/0!</v>
      </c>
      <c r="AF616" s="9" t="e">
        <f t="shared" ref="AF616:AF622" si="1339">AE616/C616</f>
        <v>#DIV/0!</v>
      </c>
      <c r="AG616" s="67">
        <v>0</v>
      </c>
      <c r="AH616" s="65">
        <v>0</v>
      </c>
      <c r="AI616" s="34" t="e">
        <f t="shared" ref="AI616:AI622" si="1340">AG616/AH616</f>
        <v>#DIV/0!</v>
      </c>
      <c r="AJ616" s="9" t="e">
        <f t="shared" ref="AJ616:AJ622" si="1341">AI616/C616</f>
        <v>#DIV/0!</v>
      </c>
      <c r="AK616" s="67">
        <v>0</v>
      </c>
      <c r="AL616" s="65">
        <v>0</v>
      </c>
      <c r="AM616" s="34" t="e">
        <f t="shared" ref="AM616:AM622" si="1342">AK616/AL616</f>
        <v>#DIV/0!</v>
      </c>
      <c r="AN616" s="9" t="e">
        <f t="shared" ref="AN616:AN622" si="1343">AM616/C616</f>
        <v>#DIV/0!</v>
      </c>
      <c r="AO616" s="67">
        <v>0</v>
      </c>
      <c r="AP616" s="65">
        <v>0</v>
      </c>
      <c r="AQ616" s="34" t="e">
        <f t="shared" ref="AQ616:AQ622" si="1344">AO616/AP616</f>
        <v>#DIV/0!</v>
      </c>
      <c r="AR616" s="9" t="e">
        <f t="shared" ref="AR616:AR622" si="1345">AQ616/C616</f>
        <v>#DIV/0!</v>
      </c>
      <c r="AS616" s="67">
        <v>0</v>
      </c>
      <c r="AT616" s="65">
        <v>0</v>
      </c>
      <c r="AU616" s="34" t="e">
        <f t="shared" ref="AU616:AU622" si="1346">AS616/AT616</f>
        <v>#DIV/0!</v>
      </c>
      <c r="AV616" s="9" t="e">
        <f t="shared" ref="AV616:AV622" si="1347">AU616/C616</f>
        <v>#DIV/0!</v>
      </c>
      <c r="AW616" s="67">
        <v>0</v>
      </c>
      <c r="AX616" s="65">
        <v>0</v>
      </c>
      <c r="AY616" s="34" t="e">
        <f t="shared" ref="AY616:AY622" si="1348">AW616/AX616</f>
        <v>#DIV/0!</v>
      </c>
      <c r="AZ616" s="9" t="e">
        <f t="shared" ref="AZ616:AZ622" si="1349">AY616/C616</f>
        <v>#DIV/0!</v>
      </c>
      <c r="BA616" s="67">
        <v>0</v>
      </c>
      <c r="BB616" s="65">
        <v>0</v>
      </c>
      <c r="BC616" s="34" t="e">
        <f t="shared" ref="BC616:BC622" si="1350">BA616/BB616</f>
        <v>#DIV/0!</v>
      </c>
      <c r="BD616" s="10" t="e">
        <f t="shared" ref="BD616:BD622" si="1351">BC616/C616</f>
        <v>#DIV/0!</v>
      </c>
    </row>
    <row r="617" spans="1:56" ht="15.75" thickBot="1" x14ac:dyDescent="0.3">
      <c r="A617" s="19" t="s">
        <v>16</v>
      </c>
      <c r="B617" s="8">
        <v>79790</v>
      </c>
      <c r="C617" s="35">
        <f>B617/F613</f>
        <v>58.539985326485692</v>
      </c>
      <c r="D617" s="8">
        <v>1525</v>
      </c>
      <c r="E617" s="68">
        <v>0</v>
      </c>
      <c r="F617" s="70">
        <v>0</v>
      </c>
      <c r="G617" s="35" t="e">
        <f t="shared" si="1326"/>
        <v>#DIV/0!</v>
      </c>
      <c r="H617" s="11" t="e">
        <f t="shared" si="1327"/>
        <v>#DIV/0!</v>
      </c>
      <c r="I617" s="35">
        <v>0</v>
      </c>
      <c r="J617" s="70">
        <v>0</v>
      </c>
      <c r="K617" s="35" t="e">
        <f t="shared" si="1328"/>
        <v>#DIV/0!</v>
      </c>
      <c r="L617" s="6" t="e">
        <f t="shared" si="1329"/>
        <v>#DIV/0!</v>
      </c>
      <c r="M617" s="68">
        <v>0</v>
      </c>
      <c r="N617" s="5">
        <v>0</v>
      </c>
      <c r="O617" s="35" t="e">
        <f t="shared" si="1330"/>
        <v>#DIV/0!</v>
      </c>
      <c r="P617" s="11" t="e">
        <f t="shared" si="1331"/>
        <v>#DIV/0!</v>
      </c>
      <c r="Q617" s="35">
        <v>0</v>
      </c>
      <c r="R617" s="66">
        <v>0</v>
      </c>
      <c r="S617" s="35" t="e">
        <f t="shared" si="1332"/>
        <v>#DIV/0!</v>
      </c>
      <c r="T617" s="6" t="e">
        <f t="shared" si="1333"/>
        <v>#DIV/0!</v>
      </c>
      <c r="U617" s="68">
        <v>18820</v>
      </c>
      <c r="V617" s="65">
        <v>525</v>
      </c>
      <c r="W617" s="20">
        <f t="shared" si="1334"/>
        <v>35.847619047619048</v>
      </c>
      <c r="X617" s="6">
        <f t="shared" si="1335"/>
        <v>0.6123612578256018</v>
      </c>
      <c r="Y617" s="68">
        <v>23180</v>
      </c>
      <c r="Z617" s="69">
        <v>372</v>
      </c>
      <c r="AA617" s="35">
        <f t="shared" si="1336"/>
        <v>62.311827956989248</v>
      </c>
      <c r="AB617" s="11">
        <f t="shared" si="1337"/>
        <v>1.0644319025614282</v>
      </c>
      <c r="AC617" s="20">
        <v>0</v>
      </c>
      <c r="AD617" s="36">
        <v>0</v>
      </c>
      <c r="AE617" s="35" t="e">
        <f t="shared" si="1338"/>
        <v>#DIV/0!</v>
      </c>
      <c r="AF617" s="6" t="e">
        <f t="shared" si="1339"/>
        <v>#DIV/0!</v>
      </c>
      <c r="AG617" s="68">
        <v>0</v>
      </c>
      <c r="AH617" s="66">
        <v>0</v>
      </c>
      <c r="AI617" s="35" t="e">
        <f t="shared" si="1340"/>
        <v>#DIV/0!</v>
      </c>
      <c r="AJ617" s="6" t="e">
        <f t="shared" si="1341"/>
        <v>#DIV/0!</v>
      </c>
      <c r="AK617" s="68">
        <v>0</v>
      </c>
      <c r="AL617" s="66">
        <v>0</v>
      </c>
      <c r="AM617" s="35" t="e">
        <f t="shared" si="1342"/>
        <v>#DIV/0!</v>
      </c>
      <c r="AN617" s="6" t="e">
        <f t="shared" si="1343"/>
        <v>#DIV/0!</v>
      </c>
      <c r="AO617" s="68">
        <v>0</v>
      </c>
      <c r="AP617" s="66">
        <v>0</v>
      </c>
      <c r="AQ617" s="35" t="e">
        <f t="shared" si="1344"/>
        <v>#DIV/0!</v>
      </c>
      <c r="AR617" s="6" t="e">
        <f t="shared" si="1345"/>
        <v>#DIV/0!</v>
      </c>
      <c r="AS617" s="68">
        <v>0</v>
      </c>
      <c r="AT617" s="66">
        <v>0</v>
      </c>
      <c r="AU617" s="35" t="e">
        <f t="shared" si="1346"/>
        <v>#DIV/0!</v>
      </c>
      <c r="AV617" s="6" t="e">
        <f t="shared" si="1347"/>
        <v>#DIV/0!</v>
      </c>
      <c r="AW617" s="68">
        <v>0</v>
      </c>
      <c r="AX617" s="66">
        <v>0</v>
      </c>
      <c r="AY617" s="35" t="e">
        <f t="shared" si="1348"/>
        <v>#DIV/0!</v>
      </c>
      <c r="AZ617" s="6" t="e">
        <f t="shared" si="1349"/>
        <v>#DIV/0!</v>
      </c>
      <c r="BA617" s="68">
        <v>0</v>
      </c>
      <c r="BB617" s="66">
        <v>0</v>
      </c>
      <c r="BC617" s="35" t="e">
        <f t="shared" si="1350"/>
        <v>#DIV/0!</v>
      </c>
      <c r="BD617" s="11" t="e">
        <f t="shared" si="1351"/>
        <v>#DIV/0!</v>
      </c>
    </row>
    <row r="618" spans="1:56" ht="15.75" thickBot="1" x14ac:dyDescent="0.3">
      <c r="A618" s="19" t="s">
        <v>2</v>
      </c>
      <c r="B618" s="8">
        <v>93270</v>
      </c>
      <c r="C618" s="35">
        <f>B618/F613</f>
        <v>68.429933969185626</v>
      </c>
      <c r="D618" s="8">
        <v>2100</v>
      </c>
      <c r="E618" s="68">
        <v>0</v>
      </c>
      <c r="F618" s="70">
        <v>0</v>
      </c>
      <c r="G618" s="35" t="e">
        <f t="shared" si="1326"/>
        <v>#DIV/0!</v>
      </c>
      <c r="H618" s="11" t="e">
        <f t="shared" si="1327"/>
        <v>#DIV/0!</v>
      </c>
      <c r="I618" s="35">
        <v>0</v>
      </c>
      <c r="J618" s="70">
        <v>0</v>
      </c>
      <c r="K618" s="35" t="e">
        <f t="shared" si="1328"/>
        <v>#DIV/0!</v>
      </c>
      <c r="L618" s="6" t="e">
        <f t="shared" si="1329"/>
        <v>#DIV/0!</v>
      </c>
      <c r="M618" s="68">
        <v>0</v>
      </c>
      <c r="N618" s="5">
        <v>0</v>
      </c>
      <c r="O618" s="35" t="e">
        <f t="shared" si="1330"/>
        <v>#DIV/0!</v>
      </c>
      <c r="P618" s="11" t="e">
        <f t="shared" si="1331"/>
        <v>#DIV/0!</v>
      </c>
      <c r="Q618" s="35">
        <v>0</v>
      </c>
      <c r="R618" s="66">
        <v>0</v>
      </c>
      <c r="S618" s="35" t="e">
        <f t="shared" si="1332"/>
        <v>#DIV/0!</v>
      </c>
      <c r="T618" s="6" t="e">
        <f t="shared" si="1333"/>
        <v>#DIV/0!</v>
      </c>
      <c r="U618" s="68">
        <v>23070</v>
      </c>
      <c r="V618" s="65">
        <v>525</v>
      </c>
      <c r="W618" s="20">
        <f t="shared" si="1334"/>
        <v>43.942857142857143</v>
      </c>
      <c r="X618" s="6">
        <f t="shared" si="1335"/>
        <v>0.64215840340639307</v>
      </c>
      <c r="Y618" s="68">
        <v>26710</v>
      </c>
      <c r="Z618" s="69">
        <v>372</v>
      </c>
      <c r="AA618" s="35">
        <f t="shared" si="1336"/>
        <v>71.8010752688172</v>
      </c>
      <c r="AB618" s="11">
        <f t="shared" si="1337"/>
        <v>1.0492641319974036</v>
      </c>
      <c r="AC618" s="20">
        <v>0</v>
      </c>
      <c r="AD618" s="36">
        <v>0</v>
      </c>
      <c r="AE618" s="35" t="e">
        <f t="shared" si="1338"/>
        <v>#DIV/0!</v>
      </c>
      <c r="AF618" s="6" t="e">
        <f t="shared" si="1339"/>
        <v>#DIV/0!</v>
      </c>
      <c r="AG618" s="68">
        <v>0</v>
      </c>
      <c r="AH618" s="66">
        <v>0</v>
      </c>
      <c r="AI618" s="35" t="e">
        <f t="shared" si="1340"/>
        <v>#DIV/0!</v>
      </c>
      <c r="AJ618" s="6" t="e">
        <f t="shared" si="1341"/>
        <v>#DIV/0!</v>
      </c>
      <c r="AK618" s="68">
        <v>0</v>
      </c>
      <c r="AL618" s="66">
        <v>0</v>
      </c>
      <c r="AM618" s="35" t="e">
        <f t="shared" si="1342"/>
        <v>#DIV/0!</v>
      </c>
      <c r="AN618" s="6" t="e">
        <f t="shared" si="1343"/>
        <v>#DIV/0!</v>
      </c>
      <c r="AO618" s="68">
        <v>0</v>
      </c>
      <c r="AP618" s="66">
        <v>0</v>
      </c>
      <c r="AQ618" s="35" t="e">
        <f t="shared" si="1344"/>
        <v>#DIV/0!</v>
      </c>
      <c r="AR618" s="6" t="e">
        <f t="shared" si="1345"/>
        <v>#DIV/0!</v>
      </c>
      <c r="AS618" s="68">
        <v>0</v>
      </c>
      <c r="AT618" s="66">
        <v>0</v>
      </c>
      <c r="AU618" s="35" t="e">
        <f t="shared" si="1346"/>
        <v>#DIV/0!</v>
      </c>
      <c r="AV618" s="6" t="e">
        <f t="shared" si="1347"/>
        <v>#DIV/0!</v>
      </c>
      <c r="AW618" s="68">
        <v>0</v>
      </c>
      <c r="AX618" s="66">
        <v>0</v>
      </c>
      <c r="AY618" s="35" t="e">
        <f t="shared" si="1348"/>
        <v>#DIV/0!</v>
      </c>
      <c r="AZ618" s="6" t="e">
        <f t="shared" si="1349"/>
        <v>#DIV/0!</v>
      </c>
      <c r="BA618" s="68">
        <v>0</v>
      </c>
      <c r="BB618" s="66">
        <v>0</v>
      </c>
      <c r="BC618" s="35" t="e">
        <f t="shared" si="1350"/>
        <v>#DIV/0!</v>
      </c>
      <c r="BD618" s="11" t="e">
        <f t="shared" si="1351"/>
        <v>#DIV/0!</v>
      </c>
    </row>
    <row r="619" spans="1:56" ht="15.75" thickBot="1" x14ac:dyDescent="0.3">
      <c r="A619" s="19" t="s">
        <v>3</v>
      </c>
      <c r="B619" s="8">
        <v>112790</v>
      </c>
      <c r="C619" s="35">
        <f>B619/F613</f>
        <v>82.751283932501835</v>
      </c>
      <c r="D619" s="8">
        <v>2700</v>
      </c>
      <c r="E619" s="68">
        <v>0</v>
      </c>
      <c r="F619" s="70">
        <v>0</v>
      </c>
      <c r="G619" s="35" t="e">
        <f t="shared" si="1326"/>
        <v>#DIV/0!</v>
      </c>
      <c r="H619" s="11" t="e">
        <f t="shared" si="1327"/>
        <v>#DIV/0!</v>
      </c>
      <c r="I619" s="35">
        <v>0</v>
      </c>
      <c r="J619" s="70">
        <v>0</v>
      </c>
      <c r="K619" s="35" t="e">
        <f t="shared" si="1328"/>
        <v>#DIV/0!</v>
      </c>
      <c r="L619" s="6" t="e">
        <f t="shared" si="1329"/>
        <v>#DIV/0!</v>
      </c>
      <c r="M619" s="68">
        <v>0</v>
      </c>
      <c r="N619" s="5">
        <v>0</v>
      </c>
      <c r="O619" s="35" t="e">
        <f t="shared" si="1330"/>
        <v>#DIV/0!</v>
      </c>
      <c r="P619" s="11" t="e">
        <f t="shared" si="1331"/>
        <v>#DIV/0!</v>
      </c>
      <c r="Q619" s="35">
        <v>0</v>
      </c>
      <c r="R619" s="66">
        <v>0</v>
      </c>
      <c r="S619" s="35" t="e">
        <f t="shared" si="1332"/>
        <v>#DIV/0!</v>
      </c>
      <c r="T619" s="6" t="e">
        <f t="shared" si="1333"/>
        <v>#DIV/0!</v>
      </c>
      <c r="U619" s="68">
        <v>26040</v>
      </c>
      <c r="V619" s="65">
        <v>525</v>
      </c>
      <c r="W619" s="20">
        <f t="shared" si="1334"/>
        <v>49.6</v>
      </c>
      <c r="X619" s="6">
        <f t="shared" si="1335"/>
        <v>0.59938647043177584</v>
      </c>
      <c r="Y619" s="68">
        <v>26640</v>
      </c>
      <c r="Z619" s="69">
        <v>372</v>
      </c>
      <c r="AA619" s="35">
        <f t="shared" si="1336"/>
        <v>71.612903225806448</v>
      </c>
      <c r="AB619" s="11">
        <f t="shared" si="1337"/>
        <v>0.86539930044129965</v>
      </c>
      <c r="AC619" s="20">
        <v>0</v>
      </c>
      <c r="AD619" s="36">
        <v>0</v>
      </c>
      <c r="AE619" s="35" t="e">
        <f t="shared" si="1338"/>
        <v>#DIV/0!</v>
      </c>
      <c r="AF619" s="6" t="e">
        <f t="shared" si="1339"/>
        <v>#DIV/0!</v>
      </c>
      <c r="AG619" s="68">
        <v>0</v>
      </c>
      <c r="AH619" s="66">
        <v>0</v>
      </c>
      <c r="AI619" s="35" t="e">
        <f t="shared" si="1340"/>
        <v>#DIV/0!</v>
      </c>
      <c r="AJ619" s="6" t="e">
        <f t="shared" si="1341"/>
        <v>#DIV/0!</v>
      </c>
      <c r="AK619" s="68">
        <v>0</v>
      </c>
      <c r="AL619" s="66">
        <v>0</v>
      </c>
      <c r="AM619" s="35" t="e">
        <f t="shared" si="1342"/>
        <v>#DIV/0!</v>
      </c>
      <c r="AN619" s="6" t="e">
        <f t="shared" si="1343"/>
        <v>#DIV/0!</v>
      </c>
      <c r="AO619" s="68">
        <v>0</v>
      </c>
      <c r="AP619" s="66">
        <v>0</v>
      </c>
      <c r="AQ619" s="35" t="e">
        <f t="shared" si="1344"/>
        <v>#DIV/0!</v>
      </c>
      <c r="AR619" s="6" t="e">
        <f t="shared" si="1345"/>
        <v>#DIV/0!</v>
      </c>
      <c r="AS619" s="68">
        <v>0</v>
      </c>
      <c r="AT619" s="66">
        <v>0</v>
      </c>
      <c r="AU619" s="35" t="e">
        <f t="shared" si="1346"/>
        <v>#DIV/0!</v>
      </c>
      <c r="AV619" s="6" t="e">
        <f t="shared" si="1347"/>
        <v>#DIV/0!</v>
      </c>
      <c r="AW619" s="68">
        <v>0</v>
      </c>
      <c r="AX619" s="66">
        <v>0</v>
      </c>
      <c r="AY619" s="35" t="e">
        <f t="shared" si="1348"/>
        <v>#DIV/0!</v>
      </c>
      <c r="AZ619" s="6" t="e">
        <f t="shared" si="1349"/>
        <v>#DIV/0!</v>
      </c>
      <c r="BA619" s="68">
        <v>0</v>
      </c>
      <c r="BB619" s="66">
        <v>0</v>
      </c>
      <c r="BC619" s="35" t="e">
        <f t="shared" si="1350"/>
        <v>#DIV/0!</v>
      </c>
      <c r="BD619" s="11" t="e">
        <f t="shared" si="1351"/>
        <v>#DIV/0!</v>
      </c>
    </row>
    <row r="620" spans="1:56" ht="15.75" thickBot="1" x14ac:dyDescent="0.3">
      <c r="A620" s="19" t="s">
        <v>4</v>
      </c>
      <c r="B620" s="8">
        <v>140310</v>
      </c>
      <c r="C620" s="35">
        <f>B620/F613</f>
        <v>102.94203961848862</v>
      </c>
      <c r="D620" s="8">
        <v>5250</v>
      </c>
      <c r="E620" s="68">
        <v>0</v>
      </c>
      <c r="F620" s="70">
        <v>0</v>
      </c>
      <c r="G620" s="35" t="e">
        <f t="shared" si="1326"/>
        <v>#DIV/0!</v>
      </c>
      <c r="H620" s="11" t="e">
        <f t="shared" si="1327"/>
        <v>#DIV/0!</v>
      </c>
      <c r="I620" s="35">
        <v>0</v>
      </c>
      <c r="J620" s="70">
        <v>0</v>
      </c>
      <c r="K620" s="35" t="e">
        <f t="shared" si="1328"/>
        <v>#DIV/0!</v>
      </c>
      <c r="L620" s="6" t="e">
        <f t="shared" si="1329"/>
        <v>#DIV/0!</v>
      </c>
      <c r="M620" s="68">
        <v>0</v>
      </c>
      <c r="N620" s="5">
        <v>0</v>
      </c>
      <c r="O620" s="35" t="e">
        <f t="shared" si="1330"/>
        <v>#DIV/0!</v>
      </c>
      <c r="P620" s="11" t="e">
        <f t="shared" si="1331"/>
        <v>#DIV/0!</v>
      </c>
      <c r="Q620" s="35">
        <v>0</v>
      </c>
      <c r="R620" s="66">
        <v>0</v>
      </c>
      <c r="S620" s="35" t="e">
        <f t="shared" si="1332"/>
        <v>#DIV/0!</v>
      </c>
      <c r="T620" s="6" t="e">
        <f t="shared" si="1333"/>
        <v>#DIV/0!</v>
      </c>
      <c r="U620" s="68">
        <v>30570</v>
      </c>
      <c r="V620" s="65">
        <v>525</v>
      </c>
      <c r="W620" s="20">
        <f t="shared" si="1334"/>
        <v>58.228571428571428</v>
      </c>
      <c r="X620" s="6">
        <f t="shared" si="1335"/>
        <v>0.56564423674109376</v>
      </c>
      <c r="Y620" s="68">
        <v>32640</v>
      </c>
      <c r="Z620" s="69">
        <v>372</v>
      </c>
      <c r="AA620" s="35">
        <f t="shared" si="1336"/>
        <v>87.741935483870961</v>
      </c>
      <c r="AB620" s="11">
        <f t="shared" si="1337"/>
        <v>0.85234308363278544</v>
      </c>
      <c r="AC620" s="20">
        <v>0</v>
      </c>
      <c r="AD620" s="36">
        <v>0</v>
      </c>
      <c r="AE620" s="35" t="e">
        <f t="shared" si="1338"/>
        <v>#DIV/0!</v>
      </c>
      <c r="AF620" s="6" t="e">
        <f t="shared" si="1339"/>
        <v>#DIV/0!</v>
      </c>
      <c r="AG620" s="68">
        <v>0</v>
      </c>
      <c r="AH620" s="66">
        <v>0</v>
      </c>
      <c r="AI620" s="35" t="e">
        <f t="shared" si="1340"/>
        <v>#DIV/0!</v>
      </c>
      <c r="AJ620" s="6" t="e">
        <f t="shared" si="1341"/>
        <v>#DIV/0!</v>
      </c>
      <c r="AK620" s="68">
        <v>0</v>
      </c>
      <c r="AL620" s="66">
        <v>0</v>
      </c>
      <c r="AM620" s="35" t="e">
        <f t="shared" si="1342"/>
        <v>#DIV/0!</v>
      </c>
      <c r="AN620" s="6" t="e">
        <f t="shared" si="1343"/>
        <v>#DIV/0!</v>
      </c>
      <c r="AO620" s="68">
        <v>0</v>
      </c>
      <c r="AP620" s="66">
        <v>0</v>
      </c>
      <c r="AQ620" s="35" t="e">
        <f t="shared" si="1344"/>
        <v>#DIV/0!</v>
      </c>
      <c r="AR620" s="6" t="e">
        <f t="shared" si="1345"/>
        <v>#DIV/0!</v>
      </c>
      <c r="AS620" s="68">
        <v>0</v>
      </c>
      <c r="AT620" s="66">
        <v>0</v>
      </c>
      <c r="AU620" s="35" t="e">
        <f t="shared" si="1346"/>
        <v>#DIV/0!</v>
      </c>
      <c r="AV620" s="6" t="e">
        <f t="shared" si="1347"/>
        <v>#DIV/0!</v>
      </c>
      <c r="AW620" s="68">
        <v>0</v>
      </c>
      <c r="AX620" s="66">
        <v>0</v>
      </c>
      <c r="AY620" s="35" t="e">
        <f t="shared" si="1348"/>
        <v>#DIV/0!</v>
      </c>
      <c r="AZ620" s="6" t="e">
        <f t="shared" si="1349"/>
        <v>#DIV/0!</v>
      </c>
      <c r="BA620" s="68">
        <v>0</v>
      </c>
      <c r="BB620" s="66">
        <v>0</v>
      </c>
      <c r="BC620" s="35" t="e">
        <f t="shared" si="1350"/>
        <v>#DIV/0!</v>
      </c>
      <c r="BD620" s="11" t="e">
        <f t="shared" si="1351"/>
        <v>#DIV/0!</v>
      </c>
    </row>
    <row r="621" spans="1:56" ht="15.75" thickBot="1" x14ac:dyDescent="0.3">
      <c r="A621" s="19" t="s">
        <v>5</v>
      </c>
      <c r="B621" s="8">
        <v>185240</v>
      </c>
      <c r="C621" s="35">
        <f>B621/F613</f>
        <v>135.90608950843728</v>
      </c>
      <c r="D621" s="8">
        <v>7050</v>
      </c>
      <c r="E621" s="68">
        <v>0</v>
      </c>
      <c r="F621" s="70">
        <v>0</v>
      </c>
      <c r="G621" s="35" t="e">
        <f t="shared" si="1326"/>
        <v>#DIV/0!</v>
      </c>
      <c r="H621" s="11" t="e">
        <f t="shared" si="1327"/>
        <v>#DIV/0!</v>
      </c>
      <c r="I621" s="35">
        <v>0</v>
      </c>
      <c r="J621" s="70">
        <v>0</v>
      </c>
      <c r="K621" s="35" t="e">
        <f t="shared" si="1328"/>
        <v>#DIV/0!</v>
      </c>
      <c r="L621" s="6" t="e">
        <f t="shared" si="1329"/>
        <v>#DIV/0!</v>
      </c>
      <c r="M621" s="68">
        <v>0</v>
      </c>
      <c r="N621" s="5">
        <v>0</v>
      </c>
      <c r="O621" s="35" t="e">
        <f t="shared" si="1330"/>
        <v>#DIV/0!</v>
      </c>
      <c r="P621" s="11" t="e">
        <f t="shared" si="1331"/>
        <v>#DIV/0!</v>
      </c>
      <c r="Q621" s="35">
        <v>0</v>
      </c>
      <c r="R621" s="66">
        <v>0</v>
      </c>
      <c r="S621" s="35" t="e">
        <f t="shared" si="1332"/>
        <v>#DIV/0!</v>
      </c>
      <c r="T621" s="6" t="e">
        <f t="shared" si="1333"/>
        <v>#DIV/0!</v>
      </c>
      <c r="U621" s="68">
        <v>41760</v>
      </c>
      <c r="V621" s="65">
        <v>525</v>
      </c>
      <c r="W621" s="20">
        <f t="shared" si="1334"/>
        <v>79.542857142857144</v>
      </c>
      <c r="X621" s="6">
        <f t="shared" si="1335"/>
        <v>0.58527809482678839</v>
      </c>
      <c r="Y621" s="68">
        <v>42640</v>
      </c>
      <c r="Z621" s="69">
        <v>372</v>
      </c>
      <c r="AA621" s="35">
        <f t="shared" si="1336"/>
        <v>114.6236559139785</v>
      </c>
      <c r="AB621" s="11">
        <f t="shared" si="1337"/>
        <v>0.84340338485614708</v>
      </c>
      <c r="AC621" s="20">
        <v>0</v>
      </c>
      <c r="AD621" s="36">
        <v>0</v>
      </c>
      <c r="AE621" s="35" t="e">
        <f t="shared" si="1338"/>
        <v>#DIV/0!</v>
      </c>
      <c r="AF621" s="6" t="e">
        <f t="shared" si="1339"/>
        <v>#DIV/0!</v>
      </c>
      <c r="AG621" s="68">
        <v>0</v>
      </c>
      <c r="AH621" s="66">
        <v>0</v>
      </c>
      <c r="AI621" s="35" t="e">
        <f t="shared" si="1340"/>
        <v>#DIV/0!</v>
      </c>
      <c r="AJ621" s="6" t="e">
        <f t="shared" si="1341"/>
        <v>#DIV/0!</v>
      </c>
      <c r="AK621" s="68">
        <v>0</v>
      </c>
      <c r="AL621" s="66">
        <v>0</v>
      </c>
      <c r="AM621" s="35" t="e">
        <f t="shared" si="1342"/>
        <v>#DIV/0!</v>
      </c>
      <c r="AN621" s="6" t="e">
        <f t="shared" si="1343"/>
        <v>#DIV/0!</v>
      </c>
      <c r="AO621" s="68">
        <v>0</v>
      </c>
      <c r="AP621" s="66">
        <v>0</v>
      </c>
      <c r="AQ621" s="35" t="e">
        <f t="shared" si="1344"/>
        <v>#DIV/0!</v>
      </c>
      <c r="AR621" s="6" t="e">
        <f t="shared" si="1345"/>
        <v>#DIV/0!</v>
      </c>
      <c r="AS621" s="68">
        <v>0</v>
      </c>
      <c r="AT621" s="66">
        <v>0</v>
      </c>
      <c r="AU621" s="35" t="e">
        <f t="shared" si="1346"/>
        <v>#DIV/0!</v>
      </c>
      <c r="AV621" s="6" t="e">
        <f t="shared" si="1347"/>
        <v>#DIV/0!</v>
      </c>
      <c r="AW621" s="68">
        <v>0</v>
      </c>
      <c r="AX621" s="66">
        <v>0</v>
      </c>
      <c r="AY621" s="35" t="e">
        <f t="shared" si="1348"/>
        <v>#DIV/0!</v>
      </c>
      <c r="AZ621" s="6" t="e">
        <f t="shared" si="1349"/>
        <v>#DIV/0!</v>
      </c>
      <c r="BA621" s="68">
        <v>0</v>
      </c>
      <c r="BB621" s="66">
        <v>0</v>
      </c>
      <c r="BC621" s="35" t="e">
        <f t="shared" si="1350"/>
        <v>#DIV/0!</v>
      </c>
      <c r="BD621" s="11" t="e">
        <f t="shared" si="1351"/>
        <v>#DIV/0!</v>
      </c>
    </row>
    <row r="622" spans="1:56" x14ac:dyDescent="0.25">
      <c r="A622" s="19" t="s">
        <v>6</v>
      </c>
      <c r="B622" s="8">
        <v>223300</v>
      </c>
      <c r="C622" s="35">
        <f>B622/F613</f>
        <v>163.82978723404256</v>
      </c>
      <c r="D622" s="8">
        <v>10950</v>
      </c>
      <c r="E622" s="68">
        <v>0</v>
      </c>
      <c r="F622" s="70">
        <v>0</v>
      </c>
      <c r="G622" s="35" t="e">
        <f t="shared" si="1326"/>
        <v>#DIV/0!</v>
      </c>
      <c r="H622" s="11" t="e">
        <f t="shared" si="1327"/>
        <v>#DIV/0!</v>
      </c>
      <c r="I622" s="35">
        <v>0</v>
      </c>
      <c r="J622" s="70">
        <v>0</v>
      </c>
      <c r="K622" s="35" t="e">
        <f t="shared" si="1328"/>
        <v>#DIV/0!</v>
      </c>
      <c r="L622" s="6" t="e">
        <f t="shared" si="1329"/>
        <v>#DIV/0!</v>
      </c>
      <c r="M622" s="68">
        <v>0</v>
      </c>
      <c r="N622" s="5">
        <v>0</v>
      </c>
      <c r="O622" s="35" t="e">
        <f t="shared" si="1330"/>
        <v>#DIV/0!</v>
      </c>
      <c r="P622" s="11" t="e">
        <f t="shared" si="1331"/>
        <v>#DIV/0!</v>
      </c>
      <c r="Q622" s="35">
        <v>0</v>
      </c>
      <c r="R622" s="66">
        <v>0</v>
      </c>
      <c r="S622" s="35" t="e">
        <f t="shared" si="1332"/>
        <v>#DIV/0!</v>
      </c>
      <c r="T622" s="6" t="e">
        <f t="shared" si="1333"/>
        <v>#DIV/0!</v>
      </c>
      <c r="U622" s="68">
        <v>49460</v>
      </c>
      <c r="V622" s="65">
        <v>525</v>
      </c>
      <c r="W622" s="20">
        <f t="shared" si="1334"/>
        <v>94.209523809523816</v>
      </c>
      <c r="X622" s="6">
        <f t="shared" si="1335"/>
        <v>0.5750451453308596</v>
      </c>
      <c r="Y622" s="68">
        <v>46700</v>
      </c>
      <c r="Z622" s="69">
        <v>372</v>
      </c>
      <c r="AA622" s="35">
        <f t="shared" si="1336"/>
        <v>125.53763440860214</v>
      </c>
      <c r="AB622" s="11">
        <f t="shared" si="1337"/>
        <v>0.76626867755900008</v>
      </c>
      <c r="AC622" s="20">
        <v>0</v>
      </c>
      <c r="AD622" s="36">
        <v>0</v>
      </c>
      <c r="AE622" s="35" t="e">
        <f t="shared" si="1338"/>
        <v>#DIV/0!</v>
      </c>
      <c r="AF622" s="6" t="e">
        <f t="shared" si="1339"/>
        <v>#DIV/0!</v>
      </c>
      <c r="AG622" s="68">
        <v>0</v>
      </c>
      <c r="AH622" s="66">
        <v>0</v>
      </c>
      <c r="AI622" s="35" t="e">
        <f t="shared" si="1340"/>
        <v>#DIV/0!</v>
      </c>
      <c r="AJ622" s="6" t="e">
        <f t="shared" si="1341"/>
        <v>#DIV/0!</v>
      </c>
      <c r="AK622" s="68">
        <v>0</v>
      </c>
      <c r="AL622" s="66">
        <v>0</v>
      </c>
      <c r="AM622" s="35" t="e">
        <f t="shared" si="1342"/>
        <v>#DIV/0!</v>
      </c>
      <c r="AN622" s="6" t="e">
        <f t="shared" si="1343"/>
        <v>#DIV/0!</v>
      </c>
      <c r="AO622" s="68">
        <v>0</v>
      </c>
      <c r="AP622" s="66">
        <v>0</v>
      </c>
      <c r="AQ622" s="35" t="e">
        <f t="shared" si="1344"/>
        <v>#DIV/0!</v>
      </c>
      <c r="AR622" s="6" t="e">
        <f t="shared" si="1345"/>
        <v>#DIV/0!</v>
      </c>
      <c r="AS622" s="68">
        <v>0</v>
      </c>
      <c r="AT622" s="66">
        <v>0</v>
      </c>
      <c r="AU622" s="35" t="e">
        <f t="shared" si="1346"/>
        <v>#DIV/0!</v>
      </c>
      <c r="AV622" s="6" t="e">
        <f t="shared" si="1347"/>
        <v>#DIV/0!</v>
      </c>
      <c r="AW622" s="68">
        <v>0</v>
      </c>
      <c r="AX622" s="66">
        <v>0</v>
      </c>
      <c r="AY622" s="35" t="e">
        <f t="shared" si="1348"/>
        <v>#DIV/0!</v>
      </c>
      <c r="AZ622" s="6" t="e">
        <f t="shared" si="1349"/>
        <v>#DIV/0!</v>
      </c>
      <c r="BA622" s="68">
        <v>0</v>
      </c>
      <c r="BB622" s="66">
        <v>0</v>
      </c>
      <c r="BC622" s="35" t="e">
        <f t="shared" si="1350"/>
        <v>#DIV/0!</v>
      </c>
      <c r="BD622" s="11" t="e">
        <f t="shared" si="1351"/>
        <v>#DIV/0!</v>
      </c>
    </row>
    <row r="623" spans="1:56" ht="15.75" thickBot="1" x14ac:dyDescent="0.3">
      <c r="A623" s="21"/>
      <c r="B623" s="22"/>
      <c r="C623" s="23">
        <f>AVERAGE(Table1102[MA $/Sq Ft])</f>
        <v>94.593858086154484</v>
      </c>
      <c r="D623" s="22">
        <f>AVERAGE(Table1102[Basic Allowance])</f>
        <v>4442.8571428571431</v>
      </c>
      <c r="E623" s="16"/>
      <c r="F623" s="22"/>
      <c r="G623" s="15"/>
      <c r="H623" s="24" t="e">
        <f>AVERAGE(Table1102[Bsmt % Base])</f>
        <v>#DIV/0!</v>
      </c>
      <c r="I623" s="15"/>
      <c r="J623" s="15"/>
      <c r="K623" s="15"/>
      <c r="L623" s="25" t="e">
        <f>AVERAGE(Table1102[[#Headers],[#Data],[UnfBsmt % Base]])</f>
        <v>#DIV/0!</v>
      </c>
      <c r="M623" s="44"/>
      <c r="N623" s="15"/>
      <c r="O623" s="23" t="e">
        <f>AVERAGE(Table1102[LowerVal/SqFt])</f>
        <v>#DIV/0!</v>
      </c>
      <c r="P623" s="24" t="e">
        <f>AVERAGE(Table1102[Lower % Base])</f>
        <v>#DIV/0!</v>
      </c>
      <c r="Q623" s="13"/>
      <c r="R623" s="13"/>
      <c r="S623" s="13"/>
      <c r="T623" s="25" t="e">
        <f>AVERAGE(Table1102[Unf Lower % Base])</f>
        <v>#DIV/0!</v>
      </c>
      <c r="U623" s="12"/>
      <c r="V623" s="13"/>
      <c r="W623" s="13"/>
      <c r="X623" s="25">
        <f>AVERAGE(Table1102[1/2 Story % Base])</f>
        <v>0.58890139272091802</v>
      </c>
      <c r="Y623" s="12"/>
      <c r="Z623" s="13"/>
      <c r="AA623" s="13"/>
      <c r="AB623" s="24">
        <f>AVERAGE(Table1102[2nd Story % Base])</f>
        <v>0.90433752969243186</v>
      </c>
      <c r="AC623" s="13"/>
      <c r="AD623" s="13"/>
      <c r="AE623" s="23" t="e">
        <f>AVERAGE(Table1102[AttGarVal/SqFt])</f>
        <v>#DIV/0!</v>
      </c>
      <c r="AF623" s="25" t="e">
        <f>AVERAGE(Table1102[Att Gar % Base])</f>
        <v>#DIV/0!</v>
      </c>
      <c r="AG623" s="12"/>
      <c r="AH623" s="13"/>
      <c r="AI623" s="13"/>
      <c r="AJ623" s="25" t="e">
        <f>AVERAGE(Table1102[Porch % Base])</f>
        <v>#DIV/0!</v>
      </c>
      <c r="AK623" s="12"/>
      <c r="AL623" s="13"/>
      <c r="AM623" s="13"/>
      <c r="AN623" s="25" t="e">
        <f>AVERAGE(Table1102[Cov Porch % Base])</f>
        <v>#DIV/0!</v>
      </c>
      <c r="AO623" s="12"/>
      <c r="AP623" s="13"/>
      <c r="AQ623" s="13"/>
      <c r="AR623" s="25" t="e">
        <f>AVERAGE(Table1102[Deck % Base])</f>
        <v>#DIV/0!</v>
      </c>
      <c r="AS623" s="12"/>
      <c r="AT623" s="13"/>
      <c r="AU623" s="23" t="e">
        <f>AVERAGE(Table1102[CovDeckVal/SqFt])</f>
        <v>#DIV/0!</v>
      </c>
      <c r="AV623" s="25" t="e">
        <f>AVERAGE(Table1102[CovDeck % Base])</f>
        <v>#DIV/0!</v>
      </c>
      <c r="AW623" s="12"/>
      <c r="AX623" s="13"/>
      <c r="AY623" s="13"/>
      <c r="AZ623" s="25" t="e">
        <f>AVERAGE(Table1102[CarP % Base])</f>
        <v>#DIV/0!</v>
      </c>
      <c r="BA623" s="12"/>
      <c r="BB623" s="13"/>
      <c r="BC623" s="13"/>
      <c r="BD623" s="24" t="e">
        <f>AVERAGE(Table1102[EFP % Base])</f>
        <v>#DIV/0!</v>
      </c>
    </row>
    <row r="625" spans="1:56" ht="15.75" thickBot="1" x14ac:dyDescent="0.3">
      <c r="A625" s="82"/>
      <c r="B625" t="s">
        <v>79</v>
      </c>
      <c r="C625" s="78" t="s">
        <v>147</v>
      </c>
      <c r="E625" t="s">
        <v>33</v>
      </c>
      <c r="F625" s="79">
        <v>980</v>
      </c>
      <c r="H625" t="s">
        <v>80</v>
      </c>
      <c r="I625" t="s">
        <v>134</v>
      </c>
    </row>
    <row r="626" spans="1:56" x14ac:dyDescent="0.25">
      <c r="A626" s="112"/>
      <c r="B626" s="113"/>
      <c r="C626" s="113"/>
      <c r="D626" s="114"/>
      <c r="E626" s="115" t="s">
        <v>27</v>
      </c>
      <c r="F626" s="116"/>
      <c r="G626" s="116"/>
      <c r="H626" s="117"/>
      <c r="I626" s="118" t="s">
        <v>28</v>
      </c>
      <c r="J626" s="119"/>
      <c r="K626" s="119"/>
      <c r="L626" s="120"/>
      <c r="M626" s="121" t="s">
        <v>7</v>
      </c>
      <c r="N626" s="122"/>
      <c r="O626" s="122"/>
      <c r="P626" s="123"/>
      <c r="Q626" s="124" t="s">
        <v>29</v>
      </c>
      <c r="R626" s="125"/>
      <c r="S626" s="125"/>
      <c r="T626" s="126"/>
      <c r="U626" s="127" t="s">
        <v>8</v>
      </c>
      <c r="V626" s="128"/>
      <c r="W626" s="128"/>
      <c r="X626" s="129"/>
      <c r="Y626" s="130" t="s">
        <v>0</v>
      </c>
      <c r="Z626" s="131"/>
      <c r="AA626" s="131"/>
      <c r="AB626" s="132"/>
      <c r="AC626" s="133" t="s">
        <v>34</v>
      </c>
      <c r="AD626" s="134"/>
      <c r="AE626" s="134"/>
      <c r="AF626" s="135"/>
      <c r="AG626" s="115" t="s">
        <v>9</v>
      </c>
      <c r="AH626" s="116"/>
      <c r="AI626" s="116"/>
      <c r="AJ626" s="117"/>
      <c r="AK626" s="136" t="s">
        <v>35</v>
      </c>
      <c r="AL626" s="137"/>
      <c r="AM626" s="137"/>
      <c r="AN626" s="138"/>
      <c r="AO626" s="139" t="s">
        <v>10</v>
      </c>
      <c r="AP626" s="140"/>
      <c r="AQ626" s="140"/>
      <c r="AR626" s="141"/>
      <c r="AS626" s="124" t="s">
        <v>36</v>
      </c>
      <c r="AT626" s="125"/>
      <c r="AU626" s="125"/>
      <c r="AV626" s="126"/>
      <c r="AW626" s="142" t="s">
        <v>11</v>
      </c>
      <c r="AX626" s="143"/>
      <c r="AY626" s="143"/>
      <c r="AZ626" s="144"/>
      <c r="BA626" s="145" t="s">
        <v>130</v>
      </c>
      <c r="BB626" s="146"/>
      <c r="BC626" s="146"/>
      <c r="BD626" s="147"/>
    </row>
    <row r="627" spans="1:56" s="1" customFormat="1" ht="15.75" thickBot="1" x14ac:dyDescent="0.3">
      <c r="A627" s="41" t="s">
        <v>13</v>
      </c>
      <c r="B627" s="42" t="s">
        <v>15</v>
      </c>
      <c r="C627" s="42" t="s">
        <v>32</v>
      </c>
      <c r="D627" s="43" t="s">
        <v>18</v>
      </c>
      <c r="E627" s="30" t="s">
        <v>30</v>
      </c>
      <c r="F627" s="31" t="s">
        <v>61</v>
      </c>
      <c r="G627" s="31" t="s">
        <v>38</v>
      </c>
      <c r="H627" s="32" t="s">
        <v>62</v>
      </c>
      <c r="I627" s="37" t="s">
        <v>31</v>
      </c>
      <c r="J627" s="38" t="s">
        <v>39</v>
      </c>
      <c r="K627" s="38" t="s">
        <v>40</v>
      </c>
      <c r="L627" s="39" t="s">
        <v>63</v>
      </c>
      <c r="M627" s="40" t="s">
        <v>19</v>
      </c>
      <c r="N627" s="7" t="s">
        <v>41</v>
      </c>
      <c r="O627" s="7" t="s">
        <v>37</v>
      </c>
      <c r="P627" s="7" t="s">
        <v>64</v>
      </c>
      <c r="Q627" s="27" t="s">
        <v>20</v>
      </c>
      <c r="R627" s="28" t="s">
        <v>60</v>
      </c>
      <c r="S627" s="28" t="s">
        <v>59</v>
      </c>
      <c r="T627" s="29" t="s">
        <v>65</v>
      </c>
      <c r="U627" s="48" t="s">
        <v>21</v>
      </c>
      <c r="V627" s="48" t="s">
        <v>42</v>
      </c>
      <c r="W627" s="48" t="s">
        <v>43</v>
      </c>
      <c r="X627" s="49" t="s">
        <v>66</v>
      </c>
      <c r="Y627" s="50" t="s">
        <v>22</v>
      </c>
      <c r="Z627" s="51" t="s">
        <v>44</v>
      </c>
      <c r="AA627" s="51" t="s">
        <v>45</v>
      </c>
      <c r="AB627" s="52" t="s">
        <v>67</v>
      </c>
      <c r="AC627" s="45" t="s">
        <v>23</v>
      </c>
      <c r="AD627" s="46" t="s">
        <v>46</v>
      </c>
      <c r="AE627" s="46" t="s">
        <v>47</v>
      </c>
      <c r="AF627" s="47" t="s">
        <v>68</v>
      </c>
      <c r="AG627" s="30" t="s">
        <v>24</v>
      </c>
      <c r="AH627" s="31" t="s">
        <v>48</v>
      </c>
      <c r="AI627" s="31" t="s">
        <v>49</v>
      </c>
      <c r="AJ627" s="32" t="s">
        <v>69</v>
      </c>
      <c r="AK627" s="53" t="s">
        <v>25</v>
      </c>
      <c r="AL627" s="54" t="s">
        <v>50</v>
      </c>
      <c r="AM627" s="54" t="s">
        <v>51</v>
      </c>
      <c r="AN627" s="55" t="s">
        <v>70</v>
      </c>
      <c r="AO627" s="56" t="s">
        <v>26</v>
      </c>
      <c r="AP627" s="57" t="s">
        <v>52</v>
      </c>
      <c r="AQ627" s="57" t="s">
        <v>53</v>
      </c>
      <c r="AR627" s="58" t="s">
        <v>71</v>
      </c>
      <c r="AS627" s="59" t="s">
        <v>55</v>
      </c>
      <c r="AT627" s="60" t="s">
        <v>54</v>
      </c>
      <c r="AU627" s="60" t="s">
        <v>56</v>
      </c>
      <c r="AV627" s="61" t="s">
        <v>76</v>
      </c>
      <c r="AW627" s="62" t="s">
        <v>72</v>
      </c>
      <c r="AX627" s="63" t="s">
        <v>73</v>
      </c>
      <c r="AY627" s="63" t="s">
        <v>74</v>
      </c>
      <c r="AZ627" s="64" t="s">
        <v>75</v>
      </c>
      <c r="BA627" s="71" t="s">
        <v>77</v>
      </c>
      <c r="BB627" s="72" t="s">
        <v>57</v>
      </c>
      <c r="BC627" s="72" t="s">
        <v>58</v>
      </c>
      <c r="BD627" s="73" t="s">
        <v>78</v>
      </c>
    </row>
    <row r="628" spans="1:56" ht="15.75" thickBot="1" x14ac:dyDescent="0.3">
      <c r="A628" s="17" t="s">
        <v>1</v>
      </c>
      <c r="B628" s="14">
        <v>51470</v>
      </c>
      <c r="C628" s="34">
        <f>B628/F625</f>
        <v>52.520408163265309</v>
      </c>
      <c r="D628" s="14">
        <v>1525</v>
      </c>
      <c r="E628" s="67">
        <v>0</v>
      </c>
      <c r="F628" s="69">
        <v>0</v>
      </c>
      <c r="G628" s="34" t="e">
        <f t="shared" ref="G628:G634" si="1352">E628/F628</f>
        <v>#DIV/0!</v>
      </c>
      <c r="H628" s="10" t="e">
        <f t="shared" ref="H628:H634" si="1353">G628/C628</f>
        <v>#DIV/0!</v>
      </c>
      <c r="I628" s="34">
        <v>0</v>
      </c>
      <c r="J628" s="69">
        <v>0</v>
      </c>
      <c r="K628" s="34" t="e">
        <f t="shared" ref="K628:K634" si="1354">I628/J628</f>
        <v>#DIV/0!</v>
      </c>
      <c r="L628" s="9" t="e">
        <f t="shared" ref="L628:L634" si="1355">K628/C628</f>
        <v>#DIV/0!</v>
      </c>
      <c r="M628" s="67">
        <v>0</v>
      </c>
      <c r="N628" s="26">
        <v>0</v>
      </c>
      <c r="O628" s="34" t="e">
        <f t="shared" ref="O628:O634" si="1356">M628/N628</f>
        <v>#DIV/0!</v>
      </c>
      <c r="P628" s="10" t="e">
        <f t="shared" ref="P628:P634" si="1357">O628/C628</f>
        <v>#DIV/0!</v>
      </c>
      <c r="Q628" s="35">
        <v>0</v>
      </c>
      <c r="R628" s="66">
        <v>0</v>
      </c>
      <c r="S628" s="35" t="e">
        <f t="shared" ref="S628:S634" si="1358">Q628/R628</f>
        <v>#DIV/0!</v>
      </c>
      <c r="T628" s="6" t="e">
        <f t="shared" ref="T628:T634" si="1359">S628/C628</f>
        <v>#DIV/0!</v>
      </c>
      <c r="U628" s="67">
        <v>0</v>
      </c>
      <c r="V628" s="65">
        <v>0</v>
      </c>
      <c r="W628" s="18" t="e">
        <f t="shared" ref="W628:W634" si="1360">U628/V628</f>
        <v>#DIV/0!</v>
      </c>
      <c r="X628" s="9" t="e">
        <f t="shared" ref="X628:X634" si="1361">W628/C628</f>
        <v>#DIV/0!</v>
      </c>
      <c r="Y628" s="67">
        <v>0</v>
      </c>
      <c r="Z628" s="69">
        <v>0</v>
      </c>
      <c r="AA628" s="34" t="e">
        <f t="shared" ref="AA628:AA634" si="1362">Y628/Z628</f>
        <v>#DIV/0!</v>
      </c>
      <c r="AB628" s="10" t="e">
        <f t="shared" ref="AB628:AB634" si="1363">AA628/C628</f>
        <v>#DIV/0!</v>
      </c>
      <c r="AC628" s="18">
        <v>0</v>
      </c>
      <c r="AD628" s="33">
        <v>0</v>
      </c>
      <c r="AE628" s="34" t="e">
        <f t="shared" ref="AE628:AE634" si="1364">AC628/AD628</f>
        <v>#DIV/0!</v>
      </c>
      <c r="AF628" s="9" t="e">
        <f t="shared" ref="AF628:AF634" si="1365">AE628/C628</f>
        <v>#DIV/0!</v>
      </c>
      <c r="AG628" s="67">
        <v>0</v>
      </c>
      <c r="AH628" s="65">
        <v>0</v>
      </c>
      <c r="AI628" s="34" t="e">
        <f t="shared" ref="AI628:AI634" si="1366">AG628/AH628</f>
        <v>#DIV/0!</v>
      </c>
      <c r="AJ628" s="9" t="e">
        <f t="shared" ref="AJ628:AJ634" si="1367">AI628/C628</f>
        <v>#DIV/0!</v>
      </c>
      <c r="AK628" s="67">
        <v>0</v>
      </c>
      <c r="AL628" s="65">
        <v>0</v>
      </c>
      <c r="AM628" s="34" t="e">
        <f t="shared" ref="AM628:AM634" si="1368">AK628/AL628</f>
        <v>#DIV/0!</v>
      </c>
      <c r="AN628" s="9" t="e">
        <f t="shared" ref="AN628:AN634" si="1369">AM628/C628</f>
        <v>#DIV/0!</v>
      </c>
      <c r="AO628" s="67">
        <v>0</v>
      </c>
      <c r="AP628" s="65">
        <v>0</v>
      </c>
      <c r="AQ628" s="34" t="e">
        <f t="shared" ref="AQ628:AQ634" si="1370">AO628/AP628</f>
        <v>#DIV/0!</v>
      </c>
      <c r="AR628" s="9" t="e">
        <f t="shared" ref="AR628:AR634" si="1371">AQ628/C628</f>
        <v>#DIV/0!</v>
      </c>
      <c r="AS628" s="67">
        <v>0</v>
      </c>
      <c r="AT628" s="65">
        <v>0</v>
      </c>
      <c r="AU628" s="34" t="e">
        <f t="shared" ref="AU628:AU634" si="1372">AS628/AT628</f>
        <v>#DIV/0!</v>
      </c>
      <c r="AV628" s="9" t="e">
        <f t="shared" ref="AV628:AV634" si="1373">AU628/C628</f>
        <v>#DIV/0!</v>
      </c>
      <c r="AW628" s="67">
        <v>0</v>
      </c>
      <c r="AX628" s="65">
        <v>0</v>
      </c>
      <c r="AY628" s="34" t="e">
        <f t="shared" ref="AY628:AY634" si="1374">AW628/AX628</f>
        <v>#DIV/0!</v>
      </c>
      <c r="AZ628" s="9" t="e">
        <f t="shared" ref="AZ628:AZ634" si="1375">AY628/C628</f>
        <v>#DIV/0!</v>
      </c>
      <c r="BA628" s="67">
        <v>5940</v>
      </c>
      <c r="BB628" s="65">
        <v>234</v>
      </c>
      <c r="BC628" s="34">
        <f t="shared" ref="BC628:BC634" si="1376">BA628/BB628</f>
        <v>25.384615384615383</v>
      </c>
      <c r="BD628" s="10">
        <f t="shared" ref="BD628:BD634" si="1377">BC628/C628</f>
        <v>0.48332860067851319</v>
      </c>
    </row>
    <row r="629" spans="1:56" ht="15.75" thickBot="1" x14ac:dyDescent="0.3">
      <c r="A629" s="19" t="s">
        <v>16</v>
      </c>
      <c r="B629" s="8">
        <v>60550</v>
      </c>
      <c r="C629" s="35">
        <f>B629/F625</f>
        <v>61.785714285714285</v>
      </c>
      <c r="D629" s="8">
        <v>1525</v>
      </c>
      <c r="E629" s="68">
        <v>0</v>
      </c>
      <c r="F629" s="70">
        <v>0</v>
      </c>
      <c r="G629" s="35" t="e">
        <f t="shared" si="1352"/>
        <v>#DIV/0!</v>
      </c>
      <c r="H629" s="11" t="e">
        <f t="shared" si="1353"/>
        <v>#DIV/0!</v>
      </c>
      <c r="I629" s="35">
        <v>0</v>
      </c>
      <c r="J629" s="70">
        <v>0</v>
      </c>
      <c r="K629" s="35" t="e">
        <f t="shared" si="1354"/>
        <v>#DIV/0!</v>
      </c>
      <c r="L629" s="6" t="e">
        <f t="shared" si="1355"/>
        <v>#DIV/0!</v>
      </c>
      <c r="M629" s="68">
        <v>0</v>
      </c>
      <c r="N629" s="5">
        <v>0</v>
      </c>
      <c r="O629" s="35" t="e">
        <f t="shared" si="1356"/>
        <v>#DIV/0!</v>
      </c>
      <c r="P629" s="11" t="e">
        <f t="shared" si="1357"/>
        <v>#DIV/0!</v>
      </c>
      <c r="Q629" s="35">
        <v>0</v>
      </c>
      <c r="R629" s="66">
        <v>0</v>
      </c>
      <c r="S629" s="35" t="e">
        <f t="shared" si="1358"/>
        <v>#DIV/0!</v>
      </c>
      <c r="T629" s="6" t="e">
        <f t="shared" si="1359"/>
        <v>#DIV/0!</v>
      </c>
      <c r="U629" s="68">
        <v>0</v>
      </c>
      <c r="V629" s="66">
        <v>0</v>
      </c>
      <c r="W629" s="20" t="e">
        <f t="shared" si="1360"/>
        <v>#DIV/0!</v>
      </c>
      <c r="X629" s="6" t="e">
        <f t="shared" si="1361"/>
        <v>#DIV/0!</v>
      </c>
      <c r="Y629" s="68">
        <v>0</v>
      </c>
      <c r="Z629" s="70">
        <v>0</v>
      </c>
      <c r="AA629" s="35" t="e">
        <f t="shared" si="1362"/>
        <v>#DIV/0!</v>
      </c>
      <c r="AB629" s="11" t="e">
        <f t="shared" si="1363"/>
        <v>#DIV/0!</v>
      </c>
      <c r="AC629" s="20">
        <v>0</v>
      </c>
      <c r="AD629" s="36">
        <v>0</v>
      </c>
      <c r="AE629" s="35" t="e">
        <f t="shared" si="1364"/>
        <v>#DIV/0!</v>
      </c>
      <c r="AF629" s="6" t="e">
        <f t="shared" si="1365"/>
        <v>#DIV/0!</v>
      </c>
      <c r="AG629" s="68">
        <v>0</v>
      </c>
      <c r="AH629" s="66">
        <v>0</v>
      </c>
      <c r="AI629" s="35" t="e">
        <f t="shared" si="1366"/>
        <v>#DIV/0!</v>
      </c>
      <c r="AJ629" s="6" t="e">
        <f t="shared" si="1367"/>
        <v>#DIV/0!</v>
      </c>
      <c r="AK629" s="68">
        <v>0</v>
      </c>
      <c r="AL629" s="66">
        <v>0</v>
      </c>
      <c r="AM629" s="35" t="e">
        <f t="shared" si="1368"/>
        <v>#DIV/0!</v>
      </c>
      <c r="AN629" s="6" t="e">
        <f t="shared" si="1369"/>
        <v>#DIV/0!</v>
      </c>
      <c r="AO629" s="68">
        <v>0</v>
      </c>
      <c r="AP629" s="66">
        <v>0</v>
      </c>
      <c r="AQ629" s="35" t="e">
        <f t="shared" si="1370"/>
        <v>#DIV/0!</v>
      </c>
      <c r="AR629" s="6" t="e">
        <f t="shared" si="1371"/>
        <v>#DIV/0!</v>
      </c>
      <c r="AS629" s="68">
        <v>0</v>
      </c>
      <c r="AT629" s="66">
        <v>0</v>
      </c>
      <c r="AU629" s="35" t="e">
        <f t="shared" si="1372"/>
        <v>#DIV/0!</v>
      </c>
      <c r="AV629" s="6" t="e">
        <f t="shared" si="1373"/>
        <v>#DIV/0!</v>
      </c>
      <c r="AW629" s="68">
        <v>0</v>
      </c>
      <c r="AX629" s="66">
        <v>0</v>
      </c>
      <c r="AY629" s="35" t="e">
        <f t="shared" si="1374"/>
        <v>#DIV/0!</v>
      </c>
      <c r="AZ629" s="6" t="e">
        <f t="shared" si="1375"/>
        <v>#DIV/0!</v>
      </c>
      <c r="BA629" s="68">
        <v>8730</v>
      </c>
      <c r="BB629" s="65">
        <v>234</v>
      </c>
      <c r="BC629" s="35">
        <f t="shared" si="1376"/>
        <v>37.307692307692307</v>
      </c>
      <c r="BD629" s="11">
        <f t="shared" si="1377"/>
        <v>0.60382392174299693</v>
      </c>
    </row>
    <row r="630" spans="1:56" ht="15.75" thickBot="1" x14ac:dyDescent="0.3">
      <c r="A630" s="19" t="s">
        <v>2</v>
      </c>
      <c r="B630" s="8">
        <v>70900</v>
      </c>
      <c r="C630" s="35">
        <f>B630/F625</f>
        <v>72.34693877551021</v>
      </c>
      <c r="D630" s="8">
        <v>2100</v>
      </c>
      <c r="E630" s="68">
        <v>0</v>
      </c>
      <c r="F630" s="70">
        <v>0</v>
      </c>
      <c r="G630" s="35" t="e">
        <f t="shared" si="1352"/>
        <v>#DIV/0!</v>
      </c>
      <c r="H630" s="11" t="e">
        <f t="shared" si="1353"/>
        <v>#DIV/0!</v>
      </c>
      <c r="I630" s="35">
        <v>0</v>
      </c>
      <c r="J630" s="70">
        <v>0</v>
      </c>
      <c r="K630" s="35" t="e">
        <f t="shared" si="1354"/>
        <v>#DIV/0!</v>
      </c>
      <c r="L630" s="6" t="e">
        <f t="shared" si="1355"/>
        <v>#DIV/0!</v>
      </c>
      <c r="M630" s="68">
        <v>0</v>
      </c>
      <c r="N630" s="5">
        <v>0</v>
      </c>
      <c r="O630" s="35" t="e">
        <f t="shared" si="1356"/>
        <v>#DIV/0!</v>
      </c>
      <c r="P630" s="11" t="e">
        <f t="shared" si="1357"/>
        <v>#DIV/0!</v>
      </c>
      <c r="Q630" s="35">
        <v>0</v>
      </c>
      <c r="R630" s="66">
        <v>0</v>
      </c>
      <c r="S630" s="35" t="e">
        <f t="shared" si="1358"/>
        <v>#DIV/0!</v>
      </c>
      <c r="T630" s="6" t="e">
        <f t="shared" si="1359"/>
        <v>#DIV/0!</v>
      </c>
      <c r="U630" s="68">
        <v>0</v>
      </c>
      <c r="V630" s="66">
        <v>0</v>
      </c>
      <c r="W630" s="20" t="e">
        <f t="shared" si="1360"/>
        <v>#DIV/0!</v>
      </c>
      <c r="X630" s="6" t="e">
        <f t="shared" si="1361"/>
        <v>#DIV/0!</v>
      </c>
      <c r="Y630" s="68">
        <v>0</v>
      </c>
      <c r="Z630" s="70">
        <v>0</v>
      </c>
      <c r="AA630" s="35" t="e">
        <f t="shared" si="1362"/>
        <v>#DIV/0!</v>
      </c>
      <c r="AB630" s="11" t="e">
        <f t="shared" si="1363"/>
        <v>#DIV/0!</v>
      </c>
      <c r="AC630" s="20">
        <v>0</v>
      </c>
      <c r="AD630" s="36">
        <v>0</v>
      </c>
      <c r="AE630" s="35" t="e">
        <f t="shared" si="1364"/>
        <v>#DIV/0!</v>
      </c>
      <c r="AF630" s="6" t="e">
        <f t="shared" si="1365"/>
        <v>#DIV/0!</v>
      </c>
      <c r="AG630" s="68">
        <v>0</v>
      </c>
      <c r="AH630" s="66">
        <v>0</v>
      </c>
      <c r="AI630" s="35" t="e">
        <f t="shared" si="1366"/>
        <v>#DIV/0!</v>
      </c>
      <c r="AJ630" s="6" t="e">
        <f t="shared" si="1367"/>
        <v>#DIV/0!</v>
      </c>
      <c r="AK630" s="68">
        <v>0</v>
      </c>
      <c r="AL630" s="66">
        <v>0</v>
      </c>
      <c r="AM630" s="35" t="e">
        <f t="shared" si="1368"/>
        <v>#DIV/0!</v>
      </c>
      <c r="AN630" s="6" t="e">
        <f t="shared" si="1369"/>
        <v>#DIV/0!</v>
      </c>
      <c r="AO630" s="68">
        <v>0</v>
      </c>
      <c r="AP630" s="66">
        <v>0</v>
      </c>
      <c r="AQ630" s="35" t="e">
        <f t="shared" si="1370"/>
        <v>#DIV/0!</v>
      </c>
      <c r="AR630" s="6" t="e">
        <f t="shared" si="1371"/>
        <v>#DIV/0!</v>
      </c>
      <c r="AS630" s="68">
        <v>0</v>
      </c>
      <c r="AT630" s="66">
        <v>0</v>
      </c>
      <c r="AU630" s="35" t="e">
        <f t="shared" si="1372"/>
        <v>#DIV/0!</v>
      </c>
      <c r="AV630" s="6" t="e">
        <f t="shared" si="1373"/>
        <v>#DIV/0!</v>
      </c>
      <c r="AW630" s="68">
        <v>0</v>
      </c>
      <c r="AX630" s="66">
        <v>0</v>
      </c>
      <c r="AY630" s="35" t="e">
        <f t="shared" si="1374"/>
        <v>#DIV/0!</v>
      </c>
      <c r="AZ630" s="6" t="e">
        <f t="shared" si="1375"/>
        <v>#DIV/0!</v>
      </c>
      <c r="BA630" s="68">
        <v>9800</v>
      </c>
      <c r="BB630" s="65">
        <v>234</v>
      </c>
      <c r="BC630" s="35">
        <f t="shared" si="1376"/>
        <v>41.880341880341881</v>
      </c>
      <c r="BD630" s="11">
        <f t="shared" si="1377"/>
        <v>0.57888201752799773</v>
      </c>
    </row>
    <row r="631" spans="1:56" ht="15.75" thickBot="1" x14ac:dyDescent="0.3">
      <c r="A631" s="19" t="s">
        <v>3</v>
      </c>
      <c r="B631" s="8">
        <v>85480</v>
      </c>
      <c r="C631" s="35">
        <f>B631/F625</f>
        <v>87.224489795918373</v>
      </c>
      <c r="D631" s="8">
        <v>2700</v>
      </c>
      <c r="E631" s="68">
        <v>0</v>
      </c>
      <c r="F631" s="70">
        <v>0</v>
      </c>
      <c r="G631" s="35" t="e">
        <f t="shared" si="1352"/>
        <v>#DIV/0!</v>
      </c>
      <c r="H631" s="11" t="e">
        <f t="shared" si="1353"/>
        <v>#DIV/0!</v>
      </c>
      <c r="I631" s="35">
        <v>0</v>
      </c>
      <c r="J631" s="70">
        <v>0</v>
      </c>
      <c r="K631" s="35" t="e">
        <f t="shared" si="1354"/>
        <v>#DIV/0!</v>
      </c>
      <c r="L631" s="6" t="e">
        <f t="shared" si="1355"/>
        <v>#DIV/0!</v>
      </c>
      <c r="M631" s="68">
        <v>0</v>
      </c>
      <c r="N631" s="5">
        <v>0</v>
      </c>
      <c r="O631" s="35" t="e">
        <f t="shared" si="1356"/>
        <v>#DIV/0!</v>
      </c>
      <c r="P631" s="11" t="e">
        <f t="shared" si="1357"/>
        <v>#DIV/0!</v>
      </c>
      <c r="Q631" s="35">
        <v>0</v>
      </c>
      <c r="R631" s="66">
        <v>0</v>
      </c>
      <c r="S631" s="35" t="e">
        <f t="shared" si="1358"/>
        <v>#DIV/0!</v>
      </c>
      <c r="T631" s="6" t="e">
        <f t="shared" si="1359"/>
        <v>#DIV/0!</v>
      </c>
      <c r="U631" s="68">
        <v>0</v>
      </c>
      <c r="V631" s="66">
        <v>0</v>
      </c>
      <c r="W631" s="20" t="e">
        <f t="shared" si="1360"/>
        <v>#DIV/0!</v>
      </c>
      <c r="X631" s="6" t="e">
        <f t="shared" si="1361"/>
        <v>#DIV/0!</v>
      </c>
      <c r="Y631" s="68">
        <v>0</v>
      </c>
      <c r="Z631" s="70">
        <v>0</v>
      </c>
      <c r="AA631" s="35" t="e">
        <f t="shared" si="1362"/>
        <v>#DIV/0!</v>
      </c>
      <c r="AB631" s="11" t="e">
        <f t="shared" si="1363"/>
        <v>#DIV/0!</v>
      </c>
      <c r="AC631" s="20">
        <v>0</v>
      </c>
      <c r="AD631" s="36">
        <v>0</v>
      </c>
      <c r="AE631" s="35" t="e">
        <f t="shared" si="1364"/>
        <v>#DIV/0!</v>
      </c>
      <c r="AF631" s="6" t="e">
        <f t="shared" si="1365"/>
        <v>#DIV/0!</v>
      </c>
      <c r="AG631" s="68">
        <v>0</v>
      </c>
      <c r="AH631" s="66">
        <v>0</v>
      </c>
      <c r="AI631" s="35" t="e">
        <f t="shared" si="1366"/>
        <v>#DIV/0!</v>
      </c>
      <c r="AJ631" s="6" t="e">
        <f t="shared" si="1367"/>
        <v>#DIV/0!</v>
      </c>
      <c r="AK631" s="68">
        <v>0</v>
      </c>
      <c r="AL631" s="66">
        <v>0</v>
      </c>
      <c r="AM631" s="35" t="e">
        <f t="shared" si="1368"/>
        <v>#DIV/0!</v>
      </c>
      <c r="AN631" s="6" t="e">
        <f t="shared" si="1369"/>
        <v>#DIV/0!</v>
      </c>
      <c r="AO631" s="68">
        <v>0</v>
      </c>
      <c r="AP631" s="66">
        <v>0</v>
      </c>
      <c r="AQ631" s="35" t="e">
        <f t="shared" si="1370"/>
        <v>#DIV/0!</v>
      </c>
      <c r="AR631" s="6" t="e">
        <f t="shared" si="1371"/>
        <v>#DIV/0!</v>
      </c>
      <c r="AS631" s="68">
        <v>0</v>
      </c>
      <c r="AT631" s="66">
        <v>0</v>
      </c>
      <c r="AU631" s="35" t="e">
        <f t="shared" si="1372"/>
        <v>#DIV/0!</v>
      </c>
      <c r="AV631" s="6" t="e">
        <f t="shared" si="1373"/>
        <v>#DIV/0!</v>
      </c>
      <c r="AW631" s="68">
        <v>0</v>
      </c>
      <c r="AX631" s="66">
        <v>0</v>
      </c>
      <c r="AY631" s="35" t="e">
        <f t="shared" si="1374"/>
        <v>#DIV/0!</v>
      </c>
      <c r="AZ631" s="6" t="e">
        <f t="shared" si="1375"/>
        <v>#DIV/0!</v>
      </c>
      <c r="BA631" s="68">
        <v>11480</v>
      </c>
      <c r="BB631" s="65">
        <v>234</v>
      </c>
      <c r="BC631" s="35">
        <f t="shared" si="1376"/>
        <v>49.059829059829063</v>
      </c>
      <c r="BD631" s="11">
        <f t="shared" si="1377"/>
        <v>0.56245475524839117</v>
      </c>
    </row>
    <row r="632" spans="1:56" ht="15.75" thickBot="1" x14ac:dyDescent="0.3">
      <c r="A632" s="19" t="s">
        <v>4</v>
      </c>
      <c r="B632" s="8">
        <v>106640</v>
      </c>
      <c r="C632" s="35">
        <f>B632/F625</f>
        <v>108.81632653061224</v>
      </c>
      <c r="D632" s="8">
        <v>5250</v>
      </c>
      <c r="E632" s="68">
        <v>0</v>
      </c>
      <c r="F632" s="70">
        <v>0</v>
      </c>
      <c r="G632" s="35" t="e">
        <f t="shared" si="1352"/>
        <v>#DIV/0!</v>
      </c>
      <c r="H632" s="11" t="e">
        <f t="shared" si="1353"/>
        <v>#DIV/0!</v>
      </c>
      <c r="I632" s="35">
        <v>0</v>
      </c>
      <c r="J632" s="70">
        <v>0</v>
      </c>
      <c r="K632" s="35" t="e">
        <f t="shared" si="1354"/>
        <v>#DIV/0!</v>
      </c>
      <c r="L632" s="6" t="e">
        <f t="shared" si="1355"/>
        <v>#DIV/0!</v>
      </c>
      <c r="M632" s="68">
        <v>0</v>
      </c>
      <c r="N632" s="5">
        <v>0</v>
      </c>
      <c r="O632" s="35" t="e">
        <f t="shared" si="1356"/>
        <v>#DIV/0!</v>
      </c>
      <c r="P632" s="11" t="e">
        <f t="shared" si="1357"/>
        <v>#DIV/0!</v>
      </c>
      <c r="Q632" s="35">
        <v>0</v>
      </c>
      <c r="R632" s="66">
        <v>0</v>
      </c>
      <c r="S632" s="35" t="e">
        <f t="shared" si="1358"/>
        <v>#DIV/0!</v>
      </c>
      <c r="T632" s="6" t="e">
        <f t="shared" si="1359"/>
        <v>#DIV/0!</v>
      </c>
      <c r="U632" s="68">
        <v>0</v>
      </c>
      <c r="V632" s="66">
        <v>0</v>
      </c>
      <c r="W632" s="20" t="e">
        <f t="shared" si="1360"/>
        <v>#DIV/0!</v>
      </c>
      <c r="X632" s="6" t="e">
        <f t="shared" si="1361"/>
        <v>#DIV/0!</v>
      </c>
      <c r="Y632" s="68">
        <v>0</v>
      </c>
      <c r="Z632" s="70">
        <v>0</v>
      </c>
      <c r="AA632" s="35" t="e">
        <f t="shared" si="1362"/>
        <v>#DIV/0!</v>
      </c>
      <c r="AB632" s="11" t="e">
        <f t="shared" si="1363"/>
        <v>#DIV/0!</v>
      </c>
      <c r="AC632" s="20">
        <v>0</v>
      </c>
      <c r="AD632" s="36">
        <v>0</v>
      </c>
      <c r="AE632" s="35" t="e">
        <f t="shared" si="1364"/>
        <v>#DIV/0!</v>
      </c>
      <c r="AF632" s="6" t="e">
        <f t="shared" si="1365"/>
        <v>#DIV/0!</v>
      </c>
      <c r="AG632" s="68">
        <v>0</v>
      </c>
      <c r="AH632" s="66">
        <v>0</v>
      </c>
      <c r="AI632" s="35" t="e">
        <f t="shared" si="1366"/>
        <v>#DIV/0!</v>
      </c>
      <c r="AJ632" s="6" t="e">
        <f t="shared" si="1367"/>
        <v>#DIV/0!</v>
      </c>
      <c r="AK632" s="68">
        <v>0</v>
      </c>
      <c r="AL632" s="66">
        <v>0</v>
      </c>
      <c r="AM632" s="35" t="e">
        <f t="shared" si="1368"/>
        <v>#DIV/0!</v>
      </c>
      <c r="AN632" s="6" t="e">
        <f t="shared" si="1369"/>
        <v>#DIV/0!</v>
      </c>
      <c r="AO632" s="68">
        <v>0</v>
      </c>
      <c r="AP632" s="66">
        <v>0</v>
      </c>
      <c r="AQ632" s="35" t="e">
        <f t="shared" si="1370"/>
        <v>#DIV/0!</v>
      </c>
      <c r="AR632" s="6" t="e">
        <f t="shared" si="1371"/>
        <v>#DIV/0!</v>
      </c>
      <c r="AS632" s="68">
        <v>0</v>
      </c>
      <c r="AT632" s="66">
        <v>0</v>
      </c>
      <c r="AU632" s="35" t="e">
        <f t="shared" si="1372"/>
        <v>#DIV/0!</v>
      </c>
      <c r="AV632" s="6" t="e">
        <f t="shared" si="1373"/>
        <v>#DIV/0!</v>
      </c>
      <c r="AW632" s="68">
        <v>0</v>
      </c>
      <c r="AX632" s="66">
        <v>0</v>
      </c>
      <c r="AY632" s="35" t="e">
        <f t="shared" si="1374"/>
        <v>#DIV/0!</v>
      </c>
      <c r="AZ632" s="6" t="e">
        <f t="shared" si="1375"/>
        <v>#DIV/0!</v>
      </c>
      <c r="BA632" s="68">
        <v>14260</v>
      </c>
      <c r="BB632" s="65">
        <v>234</v>
      </c>
      <c r="BC632" s="35">
        <f t="shared" si="1376"/>
        <v>60.940170940170937</v>
      </c>
      <c r="BD632" s="11">
        <f t="shared" si="1377"/>
        <v>0.56002782746968793</v>
      </c>
    </row>
    <row r="633" spans="1:56" ht="15.75" thickBot="1" x14ac:dyDescent="0.3">
      <c r="A633" s="19" t="s">
        <v>5</v>
      </c>
      <c r="B633" s="8">
        <v>140190</v>
      </c>
      <c r="C633" s="35">
        <f>B633/F625</f>
        <v>143.05102040816325</v>
      </c>
      <c r="D633" s="8">
        <v>7050</v>
      </c>
      <c r="E633" s="68">
        <v>0</v>
      </c>
      <c r="F633" s="70">
        <v>0</v>
      </c>
      <c r="G633" s="35" t="e">
        <f t="shared" si="1352"/>
        <v>#DIV/0!</v>
      </c>
      <c r="H633" s="11" t="e">
        <f t="shared" si="1353"/>
        <v>#DIV/0!</v>
      </c>
      <c r="I633" s="35">
        <v>0</v>
      </c>
      <c r="J633" s="70">
        <v>0</v>
      </c>
      <c r="K633" s="35" t="e">
        <f t="shared" si="1354"/>
        <v>#DIV/0!</v>
      </c>
      <c r="L633" s="6" t="e">
        <f t="shared" si="1355"/>
        <v>#DIV/0!</v>
      </c>
      <c r="M633" s="68">
        <v>0</v>
      </c>
      <c r="N633" s="5">
        <v>0</v>
      </c>
      <c r="O633" s="35" t="e">
        <f t="shared" si="1356"/>
        <v>#DIV/0!</v>
      </c>
      <c r="P633" s="11" t="e">
        <f t="shared" si="1357"/>
        <v>#DIV/0!</v>
      </c>
      <c r="Q633" s="35">
        <v>0</v>
      </c>
      <c r="R633" s="66">
        <v>0</v>
      </c>
      <c r="S633" s="35" t="e">
        <f t="shared" si="1358"/>
        <v>#DIV/0!</v>
      </c>
      <c r="T633" s="6" t="e">
        <f t="shared" si="1359"/>
        <v>#DIV/0!</v>
      </c>
      <c r="U633" s="68">
        <v>0</v>
      </c>
      <c r="V633" s="66">
        <v>0</v>
      </c>
      <c r="W633" s="20" t="e">
        <f t="shared" si="1360"/>
        <v>#DIV/0!</v>
      </c>
      <c r="X633" s="6" t="e">
        <f t="shared" si="1361"/>
        <v>#DIV/0!</v>
      </c>
      <c r="Y633" s="68">
        <v>0</v>
      </c>
      <c r="Z633" s="70">
        <v>0</v>
      </c>
      <c r="AA633" s="35" t="e">
        <f t="shared" si="1362"/>
        <v>#DIV/0!</v>
      </c>
      <c r="AB633" s="11" t="e">
        <f t="shared" si="1363"/>
        <v>#DIV/0!</v>
      </c>
      <c r="AC633" s="20">
        <v>0</v>
      </c>
      <c r="AD633" s="36">
        <v>0</v>
      </c>
      <c r="AE633" s="35" t="e">
        <f t="shared" si="1364"/>
        <v>#DIV/0!</v>
      </c>
      <c r="AF633" s="6" t="e">
        <f t="shared" si="1365"/>
        <v>#DIV/0!</v>
      </c>
      <c r="AG633" s="68">
        <v>0</v>
      </c>
      <c r="AH633" s="66">
        <v>0</v>
      </c>
      <c r="AI633" s="35" t="e">
        <f t="shared" si="1366"/>
        <v>#DIV/0!</v>
      </c>
      <c r="AJ633" s="6" t="e">
        <f t="shared" si="1367"/>
        <v>#DIV/0!</v>
      </c>
      <c r="AK633" s="68">
        <v>0</v>
      </c>
      <c r="AL633" s="66">
        <v>0</v>
      </c>
      <c r="AM633" s="35" t="e">
        <f t="shared" si="1368"/>
        <v>#DIV/0!</v>
      </c>
      <c r="AN633" s="6" t="e">
        <f t="shared" si="1369"/>
        <v>#DIV/0!</v>
      </c>
      <c r="AO633" s="68">
        <v>0</v>
      </c>
      <c r="AP633" s="66">
        <v>0</v>
      </c>
      <c r="AQ633" s="35" t="e">
        <f t="shared" si="1370"/>
        <v>#DIV/0!</v>
      </c>
      <c r="AR633" s="6" t="e">
        <f t="shared" si="1371"/>
        <v>#DIV/0!</v>
      </c>
      <c r="AS633" s="68">
        <v>0</v>
      </c>
      <c r="AT633" s="66">
        <v>0</v>
      </c>
      <c r="AU633" s="35" t="e">
        <f t="shared" si="1372"/>
        <v>#DIV/0!</v>
      </c>
      <c r="AV633" s="6" t="e">
        <f t="shared" si="1373"/>
        <v>#DIV/0!</v>
      </c>
      <c r="AW633" s="68">
        <v>0</v>
      </c>
      <c r="AX633" s="66">
        <v>0</v>
      </c>
      <c r="AY633" s="35" t="e">
        <f t="shared" si="1374"/>
        <v>#DIV/0!</v>
      </c>
      <c r="AZ633" s="6" t="e">
        <f t="shared" si="1375"/>
        <v>#DIV/0!</v>
      </c>
      <c r="BA633" s="68">
        <v>16630</v>
      </c>
      <c r="BB633" s="65">
        <v>234</v>
      </c>
      <c r="BC633" s="35">
        <f t="shared" si="1376"/>
        <v>71.068376068376068</v>
      </c>
      <c r="BD633" s="11">
        <f t="shared" si="1377"/>
        <v>0.49680439793857301</v>
      </c>
    </row>
    <row r="634" spans="1:56" x14ac:dyDescent="0.25">
      <c r="A634" s="19" t="s">
        <v>6</v>
      </c>
      <c r="B634" s="8">
        <v>160550</v>
      </c>
      <c r="C634" s="35">
        <f>B634/F625</f>
        <v>163.82653061224491</v>
      </c>
      <c r="D634" s="8">
        <v>10950</v>
      </c>
      <c r="E634" s="68">
        <v>0</v>
      </c>
      <c r="F634" s="70">
        <v>0</v>
      </c>
      <c r="G634" s="35" t="e">
        <f t="shared" si="1352"/>
        <v>#DIV/0!</v>
      </c>
      <c r="H634" s="11" t="e">
        <f t="shared" si="1353"/>
        <v>#DIV/0!</v>
      </c>
      <c r="I634" s="35">
        <v>0</v>
      </c>
      <c r="J634" s="70">
        <v>0</v>
      </c>
      <c r="K634" s="35" t="e">
        <f t="shared" si="1354"/>
        <v>#DIV/0!</v>
      </c>
      <c r="L634" s="6" t="e">
        <f t="shared" si="1355"/>
        <v>#DIV/0!</v>
      </c>
      <c r="M634" s="68">
        <v>0</v>
      </c>
      <c r="N634" s="5">
        <v>0</v>
      </c>
      <c r="O634" s="35" t="e">
        <f t="shared" si="1356"/>
        <v>#DIV/0!</v>
      </c>
      <c r="P634" s="11" t="e">
        <f t="shared" si="1357"/>
        <v>#DIV/0!</v>
      </c>
      <c r="Q634" s="35">
        <v>0</v>
      </c>
      <c r="R634" s="66">
        <v>0</v>
      </c>
      <c r="S634" s="35" t="e">
        <f t="shared" si="1358"/>
        <v>#DIV/0!</v>
      </c>
      <c r="T634" s="6" t="e">
        <f t="shared" si="1359"/>
        <v>#DIV/0!</v>
      </c>
      <c r="U634" s="68">
        <v>0</v>
      </c>
      <c r="V634" s="66">
        <v>0</v>
      </c>
      <c r="W634" s="20" t="e">
        <f t="shared" si="1360"/>
        <v>#DIV/0!</v>
      </c>
      <c r="X634" s="6" t="e">
        <f t="shared" si="1361"/>
        <v>#DIV/0!</v>
      </c>
      <c r="Y634" s="68">
        <v>0</v>
      </c>
      <c r="Z634" s="70">
        <v>0</v>
      </c>
      <c r="AA634" s="35" t="e">
        <f t="shared" si="1362"/>
        <v>#DIV/0!</v>
      </c>
      <c r="AB634" s="11" t="e">
        <f t="shared" si="1363"/>
        <v>#DIV/0!</v>
      </c>
      <c r="AC634" s="20">
        <v>0</v>
      </c>
      <c r="AD634" s="36">
        <v>0</v>
      </c>
      <c r="AE634" s="35" t="e">
        <f t="shared" si="1364"/>
        <v>#DIV/0!</v>
      </c>
      <c r="AF634" s="6" t="e">
        <f t="shared" si="1365"/>
        <v>#DIV/0!</v>
      </c>
      <c r="AG634" s="68">
        <v>0</v>
      </c>
      <c r="AH634" s="66">
        <v>0</v>
      </c>
      <c r="AI634" s="35" t="e">
        <f t="shared" si="1366"/>
        <v>#DIV/0!</v>
      </c>
      <c r="AJ634" s="6" t="e">
        <f t="shared" si="1367"/>
        <v>#DIV/0!</v>
      </c>
      <c r="AK634" s="68">
        <v>0</v>
      </c>
      <c r="AL634" s="66">
        <v>0</v>
      </c>
      <c r="AM634" s="35" t="e">
        <f t="shared" si="1368"/>
        <v>#DIV/0!</v>
      </c>
      <c r="AN634" s="6" t="e">
        <f t="shared" si="1369"/>
        <v>#DIV/0!</v>
      </c>
      <c r="AO634" s="68">
        <v>0</v>
      </c>
      <c r="AP634" s="66">
        <v>0</v>
      </c>
      <c r="AQ634" s="35" t="e">
        <f t="shared" si="1370"/>
        <v>#DIV/0!</v>
      </c>
      <c r="AR634" s="6" t="e">
        <f t="shared" si="1371"/>
        <v>#DIV/0!</v>
      </c>
      <c r="AS634" s="68">
        <v>0</v>
      </c>
      <c r="AT634" s="66">
        <v>0</v>
      </c>
      <c r="AU634" s="35" t="e">
        <f t="shared" si="1372"/>
        <v>#DIV/0!</v>
      </c>
      <c r="AV634" s="6" t="e">
        <f t="shared" si="1373"/>
        <v>#DIV/0!</v>
      </c>
      <c r="AW634" s="68">
        <v>0</v>
      </c>
      <c r="AX634" s="66">
        <v>0</v>
      </c>
      <c r="AY634" s="35" t="e">
        <f t="shared" si="1374"/>
        <v>#DIV/0!</v>
      </c>
      <c r="AZ634" s="6" t="e">
        <f t="shared" si="1375"/>
        <v>#DIV/0!</v>
      </c>
      <c r="BA634" s="68">
        <v>19250</v>
      </c>
      <c r="BB634" s="65">
        <v>234</v>
      </c>
      <c r="BC634" s="35">
        <f t="shared" si="1376"/>
        <v>82.26495726495726</v>
      </c>
      <c r="BD634" s="11">
        <f t="shared" si="1377"/>
        <v>0.50214673385025299</v>
      </c>
    </row>
    <row r="635" spans="1:56" ht="15.75" thickBot="1" x14ac:dyDescent="0.3">
      <c r="A635" s="21"/>
      <c r="B635" s="22"/>
      <c r="C635" s="23">
        <f>AVERAGE(Table11026[MA $/Sq Ft])</f>
        <v>98.510204081632651</v>
      </c>
      <c r="D635" s="22">
        <f>AVERAGE(Table11026[Basic Allowance])</f>
        <v>4442.8571428571431</v>
      </c>
      <c r="E635" s="16"/>
      <c r="F635" s="22"/>
      <c r="G635" s="15"/>
      <c r="H635" s="24" t="e">
        <f>AVERAGE(Table11026[Bsmt % Base])</f>
        <v>#DIV/0!</v>
      </c>
      <c r="I635" s="15"/>
      <c r="J635" s="15"/>
      <c r="K635" s="15"/>
      <c r="L635" s="25" t="e">
        <f>AVERAGE(Table11026[[#Headers],[#Data],[UnfBsmt % Base]])</f>
        <v>#DIV/0!</v>
      </c>
      <c r="M635" s="44"/>
      <c r="N635" s="15"/>
      <c r="O635" s="23" t="e">
        <f>AVERAGE(Table11026[LowerVal/SqFt])</f>
        <v>#DIV/0!</v>
      </c>
      <c r="P635" s="24" t="e">
        <f>AVERAGE(Table11026[Lower % Base])</f>
        <v>#DIV/0!</v>
      </c>
      <c r="Q635" s="13"/>
      <c r="R635" s="13"/>
      <c r="S635" s="13"/>
      <c r="T635" s="25" t="e">
        <f>AVERAGE(Table11026[Unf Lower % Base])</f>
        <v>#DIV/0!</v>
      </c>
      <c r="U635" s="12"/>
      <c r="V635" s="13"/>
      <c r="W635" s="13"/>
      <c r="X635" s="25" t="e">
        <f>AVERAGE(Table11026[1/2 Story % Base])</f>
        <v>#DIV/0!</v>
      </c>
      <c r="Y635" s="12"/>
      <c r="Z635" s="13"/>
      <c r="AA635" s="13"/>
      <c r="AB635" s="24" t="e">
        <f>AVERAGE(Table11026[2nd Story % Base])</f>
        <v>#DIV/0!</v>
      </c>
      <c r="AC635" s="13"/>
      <c r="AD635" s="13"/>
      <c r="AE635" s="23" t="e">
        <f>AVERAGE(Table11026[AttGarVal/SqFt])</f>
        <v>#DIV/0!</v>
      </c>
      <c r="AF635" s="25" t="e">
        <f>AVERAGE(Table11026[Att Gar % Base])</f>
        <v>#DIV/0!</v>
      </c>
      <c r="AG635" s="12"/>
      <c r="AH635" s="13"/>
      <c r="AI635" s="13"/>
      <c r="AJ635" s="25" t="e">
        <f>AVERAGE(Table11026[Porch % Base])</f>
        <v>#DIV/0!</v>
      </c>
      <c r="AK635" s="12"/>
      <c r="AL635" s="13"/>
      <c r="AM635" s="13"/>
      <c r="AN635" s="25" t="e">
        <f>AVERAGE(Table11026[Cov Porch % Base])</f>
        <v>#DIV/0!</v>
      </c>
      <c r="AO635" s="12"/>
      <c r="AP635" s="13"/>
      <c r="AQ635" s="13"/>
      <c r="AR635" s="25" t="e">
        <f>AVERAGE(Table11026[Deck % Base])</f>
        <v>#DIV/0!</v>
      </c>
      <c r="AS635" s="12"/>
      <c r="AT635" s="13"/>
      <c r="AU635" s="23" t="e">
        <f>AVERAGE(Table11026[CovDeckVal/SqFt])</f>
        <v>#DIV/0!</v>
      </c>
      <c r="AV635" s="25" t="e">
        <f>AVERAGE(Table11026[CovDeck % Base])</f>
        <v>#DIV/0!</v>
      </c>
      <c r="AW635" s="12"/>
      <c r="AX635" s="13"/>
      <c r="AY635" s="13"/>
      <c r="AZ635" s="25" t="e">
        <f>AVERAGE(Table11026[CarP % Base])</f>
        <v>#DIV/0!</v>
      </c>
      <c r="BA635" s="12"/>
      <c r="BB635" s="13"/>
      <c r="BC635" s="13"/>
      <c r="BD635" s="24">
        <f>AVERAGE(Table11026[EFP % Base])</f>
        <v>0.54106689349377324</v>
      </c>
    </row>
    <row r="637" spans="1:56" ht="15.75" thickBot="1" x14ac:dyDescent="0.3">
      <c r="A637" s="82"/>
      <c r="B637" t="s">
        <v>79</v>
      </c>
      <c r="C637" s="78" t="s">
        <v>148</v>
      </c>
      <c r="E637" t="s">
        <v>33</v>
      </c>
      <c r="F637" s="79">
        <v>816</v>
      </c>
      <c r="H637" t="s">
        <v>80</v>
      </c>
      <c r="I637" t="s">
        <v>95</v>
      </c>
    </row>
    <row r="638" spans="1:56" x14ac:dyDescent="0.25">
      <c r="A638" s="112"/>
      <c r="B638" s="113"/>
      <c r="C638" s="113"/>
      <c r="D638" s="114"/>
      <c r="E638" s="115" t="s">
        <v>27</v>
      </c>
      <c r="F638" s="116"/>
      <c r="G638" s="116"/>
      <c r="H638" s="117"/>
      <c r="I638" s="118" t="s">
        <v>28</v>
      </c>
      <c r="J638" s="119"/>
      <c r="K638" s="119"/>
      <c r="L638" s="120"/>
      <c r="M638" s="121" t="s">
        <v>7</v>
      </c>
      <c r="N638" s="122"/>
      <c r="O638" s="122"/>
      <c r="P638" s="123"/>
      <c r="Q638" s="124" t="s">
        <v>29</v>
      </c>
      <c r="R638" s="125"/>
      <c r="S638" s="125"/>
      <c r="T638" s="126"/>
      <c r="U638" s="127" t="s">
        <v>8</v>
      </c>
      <c r="V638" s="128"/>
      <c r="W638" s="128"/>
      <c r="X638" s="129"/>
      <c r="Y638" s="130" t="s">
        <v>0</v>
      </c>
      <c r="Z638" s="131"/>
      <c r="AA638" s="131"/>
      <c r="AB638" s="132"/>
      <c r="AC638" s="133" t="s">
        <v>34</v>
      </c>
      <c r="AD638" s="134"/>
      <c r="AE638" s="134"/>
      <c r="AF638" s="135"/>
      <c r="AG638" s="115" t="s">
        <v>9</v>
      </c>
      <c r="AH638" s="116"/>
      <c r="AI638" s="116"/>
      <c r="AJ638" s="117"/>
      <c r="AK638" s="136" t="s">
        <v>35</v>
      </c>
      <c r="AL638" s="137"/>
      <c r="AM638" s="137"/>
      <c r="AN638" s="138"/>
      <c r="AO638" s="139" t="s">
        <v>10</v>
      </c>
      <c r="AP638" s="140"/>
      <c r="AQ638" s="140"/>
      <c r="AR638" s="141"/>
      <c r="AS638" s="124" t="s">
        <v>36</v>
      </c>
      <c r="AT638" s="125"/>
      <c r="AU638" s="125"/>
      <c r="AV638" s="126"/>
      <c r="AW638" s="142" t="s">
        <v>11</v>
      </c>
      <c r="AX638" s="143"/>
      <c r="AY638" s="143"/>
      <c r="AZ638" s="144"/>
      <c r="BA638" s="145" t="s">
        <v>130</v>
      </c>
      <c r="BB638" s="149"/>
      <c r="BC638" s="149"/>
      <c r="BD638" s="150"/>
    </row>
    <row r="639" spans="1:56" s="1" customFormat="1" ht="15.75" thickBot="1" x14ac:dyDescent="0.3">
      <c r="A639" s="41" t="s">
        <v>13</v>
      </c>
      <c r="B639" s="42" t="s">
        <v>15</v>
      </c>
      <c r="C639" s="42" t="s">
        <v>32</v>
      </c>
      <c r="D639" s="43" t="s">
        <v>18</v>
      </c>
      <c r="E639" s="30" t="s">
        <v>30</v>
      </c>
      <c r="F639" s="31" t="s">
        <v>61</v>
      </c>
      <c r="G639" s="31" t="s">
        <v>38</v>
      </c>
      <c r="H639" s="32" t="s">
        <v>62</v>
      </c>
      <c r="I639" s="37" t="s">
        <v>31</v>
      </c>
      <c r="J639" s="38" t="s">
        <v>39</v>
      </c>
      <c r="K639" s="38" t="s">
        <v>40</v>
      </c>
      <c r="L639" s="39" t="s">
        <v>63</v>
      </c>
      <c r="M639" s="40" t="s">
        <v>19</v>
      </c>
      <c r="N639" s="7" t="s">
        <v>41</v>
      </c>
      <c r="O639" s="7" t="s">
        <v>37</v>
      </c>
      <c r="P639" s="7" t="s">
        <v>64</v>
      </c>
      <c r="Q639" s="27" t="s">
        <v>20</v>
      </c>
      <c r="R639" s="28" t="s">
        <v>60</v>
      </c>
      <c r="S639" s="28" t="s">
        <v>59</v>
      </c>
      <c r="T639" s="29" t="s">
        <v>65</v>
      </c>
      <c r="U639" s="48" t="s">
        <v>21</v>
      </c>
      <c r="V639" s="48" t="s">
        <v>42</v>
      </c>
      <c r="W639" s="48" t="s">
        <v>43</v>
      </c>
      <c r="X639" s="49" t="s">
        <v>66</v>
      </c>
      <c r="Y639" s="50" t="s">
        <v>22</v>
      </c>
      <c r="Z639" s="51" t="s">
        <v>44</v>
      </c>
      <c r="AA639" s="51" t="s">
        <v>45</v>
      </c>
      <c r="AB639" s="52" t="s">
        <v>67</v>
      </c>
      <c r="AC639" s="45" t="s">
        <v>23</v>
      </c>
      <c r="AD639" s="46" t="s">
        <v>46</v>
      </c>
      <c r="AE639" s="46" t="s">
        <v>47</v>
      </c>
      <c r="AF639" s="47" t="s">
        <v>68</v>
      </c>
      <c r="AG639" s="30" t="s">
        <v>24</v>
      </c>
      <c r="AH639" s="31" t="s">
        <v>48</v>
      </c>
      <c r="AI639" s="31" t="s">
        <v>49</v>
      </c>
      <c r="AJ639" s="32" t="s">
        <v>69</v>
      </c>
      <c r="AK639" s="53" t="s">
        <v>25</v>
      </c>
      <c r="AL639" s="54" t="s">
        <v>50</v>
      </c>
      <c r="AM639" s="54" t="s">
        <v>51</v>
      </c>
      <c r="AN639" s="55" t="s">
        <v>70</v>
      </c>
      <c r="AO639" s="56" t="s">
        <v>26</v>
      </c>
      <c r="AP639" s="57" t="s">
        <v>52</v>
      </c>
      <c r="AQ639" s="57" t="s">
        <v>53</v>
      </c>
      <c r="AR639" s="58" t="s">
        <v>71</v>
      </c>
      <c r="AS639" s="59" t="s">
        <v>55</v>
      </c>
      <c r="AT639" s="60" t="s">
        <v>54</v>
      </c>
      <c r="AU639" s="60" t="s">
        <v>56</v>
      </c>
      <c r="AV639" s="61" t="s">
        <v>76</v>
      </c>
      <c r="AW639" s="62" t="s">
        <v>72</v>
      </c>
      <c r="AX639" s="63" t="s">
        <v>73</v>
      </c>
      <c r="AY639" s="63" t="s">
        <v>74</v>
      </c>
      <c r="AZ639" s="64" t="s">
        <v>75</v>
      </c>
      <c r="BA639" s="71" t="s">
        <v>77</v>
      </c>
      <c r="BB639" s="72" t="s">
        <v>57</v>
      </c>
      <c r="BC639" s="72" t="s">
        <v>58</v>
      </c>
      <c r="BD639" s="73" t="s">
        <v>78</v>
      </c>
    </row>
    <row r="640" spans="1:56" ht="15.75" thickBot="1" x14ac:dyDescent="0.3">
      <c r="A640" s="17" t="s">
        <v>1</v>
      </c>
      <c r="B640" s="14">
        <v>44310</v>
      </c>
      <c r="C640" s="34">
        <f>B640/F637</f>
        <v>54.301470588235297</v>
      </c>
      <c r="D640" s="14">
        <v>1525</v>
      </c>
      <c r="E640" s="67">
        <v>12290</v>
      </c>
      <c r="F640" s="69">
        <v>408</v>
      </c>
      <c r="G640" s="34">
        <f t="shared" ref="G640:G646" si="1378">E640/F640</f>
        <v>30.122549019607842</v>
      </c>
      <c r="H640" s="10">
        <f t="shared" ref="H640:H646" si="1379">G640/C640</f>
        <v>0.55472805235838407</v>
      </c>
      <c r="I640" s="34">
        <v>0</v>
      </c>
      <c r="J640" s="69">
        <v>0</v>
      </c>
      <c r="K640" s="34" t="e">
        <f t="shared" ref="K640:K646" si="1380">I640/J640</f>
        <v>#DIV/0!</v>
      </c>
      <c r="L640" s="9" t="e">
        <f t="shared" ref="L640:L646" si="1381">K640/C640</f>
        <v>#DIV/0!</v>
      </c>
      <c r="M640" s="67">
        <v>0</v>
      </c>
      <c r="N640" s="26">
        <v>0</v>
      </c>
      <c r="O640" s="34" t="e">
        <f t="shared" ref="O640:O646" si="1382">M640/N640</f>
        <v>#DIV/0!</v>
      </c>
      <c r="P640" s="10" t="e">
        <f t="shared" ref="P640:P646" si="1383">O640/C640</f>
        <v>#DIV/0!</v>
      </c>
      <c r="Q640" s="35">
        <v>0</v>
      </c>
      <c r="R640" s="66">
        <v>0</v>
      </c>
      <c r="S640" s="35" t="e">
        <f t="shared" ref="S640:S646" si="1384">Q640/R640</f>
        <v>#DIV/0!</v>
      </c>
      <c r="T640" s="6" t="e">
        <f t="shared" ref="T640:T646" si="1385">S640/C640</f>
        <v>#DIV/0!</v>
      </c>
      <c r="U640" s="67">
        <v>0</v>
      </c>
      <c r="V640" s="65">
        <v>0</v>
      </c>
      <c r="W640" s="18" t="e">
        <f t="shared" ref="W640:W646" si="1386">U640/V640</f>
        <v>#DIV/0!</v>
      </c>
      <c r="X640" s="9" t="e">
        <f t="shared" ref="X640:X646" si="1387">W640/C640</f>
        <v>#DIV/0!</v>
      </c>
      <c r="Y640" s="67">
        <v>0</v>
      </c>
      <c r="Z640" s="69">
        <v>0</v>
      </c>
      <c r="AA640" s="34" t="e">
        <f t="shared" ref="AA640:AA646" si="1388">Y640/Z640</f>
        <v>#DIV/0!</v>
      </c>
      <c r="AB640" s="10" t="e">
        <f t="shared" ref="AB640:AB646" si="1389">AA640/C640</f>
        <v>#DIV/0!</v>
      </c>
      <c r="AC640" s="18">
        <v>0</v>
      </c>
      <c r="AD640" s="33">
        <v>0</v>
      </c>
      <c r="AE640" s="34" t="e">
        <f t="shared" ref="AE640:AE646" si="1390">AC640/AD640</f>
        <v>#DIV/0!</v>
      </c>
      <c r="AF640" s="9" t="e">
        <f t="shared" ref="AF640:AF646" si="1391">AE640/C640</f>
        <v>#DIV/0!</v>
      </c>
      <c r="AG640" s="67">
        <v>0</v>
      </c>
      <c r="AH640" s="65">
        <v>0</v>
      </c>
      <c r="AI640" s="34" t="e">
        <f t="shared" ref="AI640:AI646" si="1392">AG640/AH640</f>
        <v>#DIV/0!</v>
      </c>
      <c r="AJ640" s="9" t="e">
        <f t="shared" ref="AJ640:AJ646" si="1393">AI640/C640</f>
        <v>#DIV/0!</v>
      </c>
      <c r="AK640" s="67">
        <v>880</v>
      </c>
      <c r="AL640" s="65">
        <v>160</v>
      </c>
      <c r="AM640" s="34">
        <f t="shared" ref="AM640:AM646" si="1394">AK640/AL640</f>
        <v>5.5</v>
      </c>
      <c r="AN640" s="9">
        <f t="shared" ref="AN640:AN646" si="1395">AM640/C640</f>
        <v>0.1012863913337847</v>
      </c>
      <c r="AO640" s="67">
        <v>0</v>
      </c>
      <c r="AP640" s="65">
        <v>0</v>
      </c>
      <c r="AQ640" s="34" t="e">
        <f t="shared" ref="AQ640:AQ646" si="1396">AO640/AP640</f>
        <v>#DIV/0!</v>
      </c>
      <c r="AR640" s="9" t="e">
        <f t="shared" ref="AR640:AR646" si="1397">AQ640/C640</f>
        <v>#DIV/0!</v>
      </c>
      <c r="AS640" s="67">
        <v>0</v>
      </c>
      <c r="AT640" s="65">
        <v>0</v>
      </c>
      <c r="AU640" s="34" t="e">
        <f t="shared" ref="AU640:AU646" si="1398">AS640/AT640</f>
        <v>#DIV/0!</v>
      </c>
      <c r="AV640" s="9" t="e">
        <f t="shared" ref="AV640:AV646" si="1399">AU640/C640</f>
        <v>#DIV/0!</v>
      </c>
      <c r="AW640" s="67">
        <v>0</v>
      </c>
      <c r="AX640" s="65">
        <v>0</v>
      </c>
      <c r="AY640" s="34" t="e">
        <f t="shared" ref="AY640:AY646" si="1400">AW640/AX640</f>
        <v>#DIV/0!</v>
      </c>
      <c r="AZ640" s="9" t="e">
        <f t="shared" ref="AZ640:AZ646" si="1401">AY640/C640</f>
        <v>#DIV/0!</v>
      </c>
      <c r="BA640" s="67">
        <v>6620</v>
      </c>
      <c r="BB640" s="65">
        <v>272</v>
      </c>
      <c r="BC640" s="34">
        <f t="shared" ref="BC640:BC646" si="1402">BA640/BB640</f>
        <v>24.338235294117649</v>
      </c>
      <c r="BD640" s="10">
        <f t="shared" ref="BD640:BD646" si="1403">BC640/C640</f>
        <v>0.44820582261340558</v>
      </c>
    </row>
    <row r="641" spans="1:56" ht="15.75" thickBot="1" x14ac:dyDescent="0.3">
      <c r="A641" s="19" t="s">
        <v>16</v>
      </c>
      <c r="B641" s="8">
        <v>52140</v>
      </c>
      <c r="C641" s="35">
        <f>B641/F637</f>
        <v>63.897058823529413</v>
      </c>
      <c r="D641" s="8">
        <v>1525</v>
      </c>
      <c r="E641" s="68">
        <v>16170</v>
      </c>
      <c r="F641" s="69">
        <v>408</v>
      </c>
      <c r="G641" s="35">
        <f t="shared" si="1378"/>
        <v>39.632352941176471</v>
      </c>
      <c r="H641" s="11">
        <f t="shared" si="1379"/>
        <v>0.620253164556962</v>
      </c>
      <c r="I641" s="35">
        <v>0</v>
      </c>
      <c r="J641" s="70">
        <v>0</v>
      </c>
      <c r="K641" s="35" t="e">
        <f t="shared" si="1380"/>
        <v>#DIV/0!</v>
      </c>
      <c r="L641" s="6" t="e">
        <f t="shared" si="1381"/>
        <v>#DIV/0!</v>
      </c>
      <c r="M641" s="68">
        <v>0</v>
      </c>
      <c r="N641" s="5">
        <v>0</v>
      </c>
      <c r="O641" s="35" t="e">
        <f t="shared" si="1382"/>
        <v>#DIV/0!</v>
      </c>
      <c r="P641" s="11" t="e">
        <f t="shared" si="1383"/>
        <v>#DIV/0!</v>
      </c>
      <c r="Q641" s="35">
        <v>0</v>
      </c>
      <c r="R641" s="66">
        <v>0</v>
      </c>
      <c r="S641" s="35" t="e">
        <f t="shared" si="1384"/>
        <v>#DIV/0!</v>
      </c>
      <c r="T641" s="6" t="e">
        <f t="shared" si="1385"/>
        <v>#DIV/0!</v>
      </c>
      <c r="U641" s="68">
        <v>0</v>
      </c>
      <c r="V641" s="66">
        <v>0</v>
      </c>
      <c r="W641" s="20" t="e">
        <f t="shared" si="1386"/>
        <v>#DIV/0!</v>
      </c>
      <c r="X641" s="6" t="e">
        <f t="shared" si="1387"/>
        <v>#DIV/0!</v>
      </c>
      <c r="Y641" s="68">
        <v>0</v>
      </c>
      <c r="Z641" s="70">
        <v>0</v>
      </c>
      <c r="AA641" s="35" t="e">
        <f t="shared" si="1388"/>
        <v>#DIV/0!</v>
      </c>
      <c r="AB641" s="11" t="e">
        <f t="shared" si="1389"/>
        <v>#DIV/0!</v>
      </c>
      <c r="AC641" s="20">
        <v>0</v>
      </c>
      <c r="AD641" s="36">
        <v>0</v>
      </c>
      <c r="AE641" s="35" t="e">
        <f t="shared" si="1390"/>
        <v>#DIV/0!</v>
      </c>
      <c r="AF641" s="6" t="e">
        <f t="shared" si="1391"/>
        <v>#DIV/0!</v>
      </c>
      <c r="AG641" s="68">
        <v>0</v>
      </c>
      <c r="AH641" s="66">
        <v>0</v>
      </c>
      <c r="AI641" s="35" t="e">
        <f t="shared" si="1392"/>
        <v>#DIV/0!</v>
      </c>
      <c r="AJ641" s="6" t="e">
        <f t="shared" si="1393"/>
        <v>#DIV/0!</v>
      </c>
      <c r="AK641" s="68">
        <v>1300</v>
      </c>
      <c r="AL641" s="65">
        <v>160</v>
      </c>
      <c r="AM641" s="35">
        <f t="shared" si="1394"/>
        <v>8.125</v>
      </c>
      <c r="AN641" s="6">
        <f t="shared" si="1395"/>
        <v>0.12715765247410818</v>
      </c>
      <c r="AO641" s="68">
        <v>0</v>
      </c>
      <c r="AP641" s="66">
        <v>0</v>
      </c>
      <c r="AQ641" s="35" t="e">
        <f t="shared" si="1396"/>
        <v>#DIV/0!</v>
      </c>
      <c r="AR641" s="6" t="e">
        <f t="shared" si="1397"/>
        <v>#DIV/0!</v>
      </c>
      <c r="AS641" s="68">
        <v>0</v>
      </c>
      <c r="AT641" s="66">
        <v>0</v>
      </c>
      <c r="AU641" s="35" t="e">
        <f t="shared" si="1398"/>
        <v>#DIV/0!</v>
      </c>
      <c r="AV641" s="6" t="e">
        <f t="shared" si="1399"/>
        <v>#DIV/0!</v>
      </c>
      <c r="AW641" s="68">
        <v>0</v>
      </c>
      <c r="AX641" s="66">
        <v>0</v>
      </c>
      <c r="AY641" s="35" t="e">
        <f t="shared" si="1400"/>
        <v>#DIV/0!</v>
      </c>
      <c r="AZ641" s="6" t="e">
        <f t="shared" si="1401"/>
        <v>#DIV/0!</v>
      </c>
      <c r="BA641" s="68">
        <v>9700</v>
      </c>
      <c r="BB641" s="65">
        <v>272</v>
      </c>
      <c r="BC641" s="35">
        <f t="shared" si="1402"/>
        <v>35.661764705882355</v>
      </c>
      <c r="BD641" s="11">
        <f t="shared" si="1403"/>
        <v>0.55811277330264675</v>
      </c>
    </row>
    <row r="642" spans="1:56" ht="15.75" thickBot="1" x14ac:dyDescent="0.3">
      <c r="A642" s="19" t="s">
        <v>2</v>
      </c>
      <c r="B642" s="8">
        <v>61100</v>
      </c>
      <c r="C642" s="35">
        <f>B642/F637</f>
        <v>74.877450980392155</v>
      </c>
      <c r="D642" s="8">
        <v>2100</v>
      </c>
      <c r="E642" s="68">
        <v>18480</v>
      </c>
      <c r="F642" s="69">
        <v>408</v>
      </c>
      <c r="G642" s="35">
        <f t="shared" si="1378"/>
        <v>45.294117647058826</v>
      </c>
      <c r="H642" s="11">
        <f t="shared" si="1379"/>
        <v>0.60490998363338799</v>
      </c>
      <c r="I642" s="35">
        <v>0</v>
      </c>
      <c r="J642" s="70">
        <v>0</v>
      </c>
      <c r="K642" s="35" t="e">
        <f t="shared" si="1380"/>
        <v>#DIV/0!</v>
      </c>
      <c r="L642" s="6" t="e">
        <f t="shared" si="1381"/>
        <v>#DIV/0!</v>
      </c>
      <c r="M642" s="68">
        <v>0</v>
      </c>
      <c r="N642" s="5">
        <v>0</v>
      </c>
      <c r="O642" s="35" t="e">
        <f t="shared" si="1382"/>
        <v>#DIV/0!</v>
      </c>
      <c r="P642" s="11" t="e">
        <f t="shared" si="1383"/>
        <v>#DIV/0!</v>
      </c>
      <c r="Q642" s="35">
        <v>0</v>
      </c>
      <c r="R642" s="66">
        <v>0</v>
      </c>
      <c r="S642" s="35" t="e">
        <f t="shared" si="1384"/>
        <v>#DIV/0!</v>
      </c>
      <c r="T642" s="6" t="e">
        <f t="shared" si="1385"/>
        <v>#DIV/0!</v>
      </c>
      <c r="U642" s="68">
        <v>0</v>
      </c>
      <c r="V642" s="66">
        <v>0</v>
      </c>
      <c r="W642" s="20" t="e">
        <f t="shared" si="1386"/>
        <v>#DIV/0!</v>
      </c>
      <c r="X642" s="6" t="e">
        <f t="shared" si="1387"/>
        <v>#DIV/0!</v>
      </c>
      <c r="Y642" s="68">
        <v>0</v>
      </c>
      <c r="Z642" s="70">
        <v>0</v>
      </c>
      <c r="AA642" s="35" t="e">
        <f t="shared" si="1388"/>
        <v>#DIV/0!</v>
      </c>
      <c r="AB642" s="11" t="e">
        <f t="shared" si="1389"/>
        <v>#DIV/0!</v>
      </c>
      <c r="AC642" s="20">
        <v>0</v>
      </c>
      <c r="AD642" s="36">
        <v>0</v>
      </c>
      <c r="AE642" s="35" t="e">
        <f t="shared" si="1390"/>
        <v>#DIV/0!</v>
      </c>
      <c r="AF642" s="6" t="e">
        <f t="shared" si="1391"/>
        <v>#DIV/0!</v>
      </c>
      <c r="AG642" s="68">
        <v>0</v>
      </c>
      <c r="AH642" s="66">
        <v>0</v>
      </c>
      <c r="AI642" s="35" t="e">
        <f t="shared" si="1392"/>
        <v>#DIV/0!</v>
      </c>
      <c r="AJ642" s="6" t="e">
        <f t="shared" si="1393"/>
        <v>#DIV/0!</v>
      </c>
      <c r="AK642" s="68">
        <v>1410</v>
      </c>
      <c r="AL642" s="65">
        <v>160</v>
      </c>
      <c r="AM642" s="35">
        <f t="shared" si="1394"/>
        <v>8.8125</v>
      </c>
      <c r="AN642" s="6">
        <f t="shared" si="1395"/>
        <v>0.11769230769230769</v>
      </c>
      <c r="AO642" s="68">
        <v>0</v>
      </c>
      <c r="AP642" s="66">
        <v>0</v>
      </c>
      <c r="AQ642" s="35" t="e">
        <f t="shared" si="1396"/>
        <v>#DIV/0!</v>
      </c>
      <c r="AR642" s="6" t="e">
        <f t="shared" si="1397"/>
        <v>#DIV/0!</v>
      </c>
      <c r="AS642" s="68">
        <v>0</v>
      </c>
      <c r="AT642" s="66">
        <v>0</v>
      </c>
      <c r="AU642" s="35" t="e">
        <f t="shared" si="1398"/>
        <v>#DIV/0!</v>
      </c>
      <c r="AV642" s="6" t="e">
        <f t="shared" si="1399"/>
        <v>#DIV/0!</v>
      </c>
      <c r="AW642" s="68">
        <v>0</v>
      </c>
      <c r="AX642" s="66">
        <v>0</v>
      </c>
      <c r="AY642" s="35" t="e">
        <f t="shared" si="1400"/>
        <v>#DIV/0!</v>
      </c>
      <c r="AZ642" s="6" t="e">
        <f t="shared" si="1401"/>
        <v>#DIV/0!</v>
      </c>
      <c r="BA642" s="68">
        <v>10910</v>
      </c>
      <c r="BB642" s="65">
        <v>272</v>
      </c>
      <c r="BC642" s="35">
        <f t="shared" si="1402"/>
        <v>40.110294117647058</v>
      </c>
      <c r="BD642" s="11">
        <f t="shared" si="1403"/>
        <v>0.53567921440261868</v>
      </c>
    </row>
    <row r="643" spans="1:56" ht="15.75" thickBot="1" x14ac:dyDescent="0.3">
      <c r="A643" s="19" t="s">
        <v>3</v>
      </c>
      <c r="B643" s="8">
        <v>73040</v>
      </c>
      <c r="C643" s="35">
        <f>B643/F637</f>
        <v>89.509803921568633</v>
      </c>
      <c r="D643" s="8">
        <v>2700</v>
      </c>
      <c r="E643" s="68">
        <v>19770</v>
      </c>
      <c r="F643" s="69">
        <v>408</v>
      </c>
      <c r="G643" s="35">
        <f t="shared" si="1378"/>
        <v>48.455882352941174</v>
      </c>
      <c r="H643" s="11">
        <f t="shared" si="1379"/>
        <v>0.5413472070098575</v>
      </c>
      <c r="I643" s="35">
        <v>0</v>
      </c>
      <c r="J643" s="70">
        <v>0</v>
      </c>
      <c r="K643" s="35" t="e">
        <f t="shared" si="1380"/>
        <v>#DIV/0!</v>
      </c>
      <c r="L643" s="6" t="e">
        <f t="shared" si="1381"/>
        <v>#DIV/0!</v>
      </c>
      <c r="M643" s="68">
        <v>0</v>
      </c>
      <c r="N643" s="5">
        <v>0</v>
      </c>
      <c r="O643" s="35" t="e">
        <f t="shared" si="1382"/>
        <v>#DIV/0!</v>
      </c>
      <c r="P643" s="11" t="e">
        <f t="shared" si="1383"/>
        <v>#DIV/0!</v>
      </c>
      <c r="Q643" s="35">
        <v>0</v>
      </c>
      <c r="R643" s="66">
        <v>0</v>
      </c>
      <c r="S643" s="35" t="e">
        <f t="shared" si="1384"/>
        <v>#DIV/0!</v>
      </c>
      <c r="T643" s="6" t="e">
        <f t="shared" si="1385"/>
        <v>#DIV/0!</v>
      </c>
      <c r="U643" s="68">
        <v>0</v>
      </c>
      <c r="V643" s="66">
        <v>0</v>
      </c>
      <c r="W643" s="20" t="e">
        <f t="shared" si="1386"/>
        <v>#DIV/0!</v>
      </c>
      <c r="X643" s="6" t="e">
        <f t="shared" si="1387"/>
        <v>#DIV/0!</v>
      </c>
      <c r="Y643" s="68">
        <v>0</v>
      </c>
      <c r="Z643" s="70">
        <v>0</v>
      </c>
      <c r="AA643" s="35" t="e">
        <f t="shared" si="1388"/>
        <v>#DIV/0!</v>
      </c>
      <c r="AB643" s="11" t="e">
        <f t="shared" si="1389"/>
        <v>#DIV/0!</v>
      </c>
      <c r="AC643" s="20">
        <v>0</v>
      </c>
      <c r="AD643" s="36">
        <v>0</v>
      </c>
      <c r="AE643" s="35" t="e">
        <f t="shared" si="1390"/>
        <v>#DIV/0!</v>
      </c>
      <c r="AF643" s="6" t="e">
        <f t="shared" si="1391"/>
        <v>#DIV/0!</v>
      </c>
      <c r="AG643" s="68">
        <v>0</v>
      </c>
      <c r="AH643" s="66">
        <v>0</v>
      </c>
      <c r="AI643" s="35" t="e">
        <f t="shared" si="1392"/>
        <v>#DIV/0!</v>
      </c>
      <c r="AJ643" s="6" t="e">
        <f t="shared" si="1393"/>
        <v>#DIV/0!</v>
      </c>
      <c r="AK643" s="68">
        <v>1530</v>
      </c>
      <c r="AL643" s="65">
        <v>160</v>
      </c>
      <c r="AM643" s="35">
        <f t="shared" si="1394"/>
        <v>9.5625</v>
      </c>
      <c r="AN643" s="6">
        <f t="shared" si="1395"/>
        <v>0.10683187294633077</v>
      </c>
      <c r="AO643" s="68">
        <v>0</v>
      </c>
      <c r="AP643" s="66">
        <v>0</v>
      </c>
      <c r="AQ643" s="35" t="e">
        <f t="shared" si="1396"/>
        <v>#DIV/0!</v>
      </c>
      <c r="AR643" s="6" t="e">
        <f t="shared" si="1397"/>
        <v>#DIV/0!</v>
      </c>
      <c r="AS643" s="68">
        <v>0</v>
      </c>
      <c r="AT643" s="66">
        <v>0</v>
      </c>
      <c r="AU643" s="35" t="e">
        <f t="shared" si="1398"/>
        <v>#DIV/0!</v>
      </c>
      <c r="AV643" s="6" t="e">
        <f t="shared" si="1399"/>
        <v>#DIV/0!</v>
      </c>
      <c r="AW643" s="68">
        <v>0</v>
      </c>
      <c r="AX643" s="66">
        <v>0</v>
      </c>
      <c r="AY643" s="35" t="e">
        <f t="shared" si="1400"/>
        <v>#DIV/0!</v>
      </c>
      <c r="AZ643" s="6" t="e">
        <f t="shared" si="1401"/>
        <v>#DIV/0!</v>
      </c>
      <c r="BA643" s="68">
        <v>12810</v>
      </c>
      <c r="BB643" s="65">
        <v>272</v>
      </c>
      <c r="BC643" s="35">
        <f t="shared" si="1402"/>
        <v>47.095588235294116</v>
      </c>
      <c r="BD643" s="11">
        <f t="shared" si="1403"/>
        <v>0.5261500547645126</v>
      </c>
    </row>
    <row r="644" spans="1:56" ht="15.75" thickBot="1" x14ac:dyDescent="0.3">
      <c r="A644" s="19" t="s">
        <v>4</v>
      </c>
      <c r="B644" s="8">
        <v>91460</v>
      </c>
      <c r="C644" s="35">
        <f>B644/F637</f>
        <v>112.08333333333333</v>
      </c>
      <c r="D644" s="8">
        <v>5250</v>
      </c>
      <c r="E644" s="68">
        <v>26780</v>
      </c>
      <c r="F644" s="69">
        <v>408</v>
      </c>
      <c r="G644" s="35">
        <f t="shared" si="1378"/>
        <v>65.637254901960787</v>
      </c>
      <c r="H644" s="11">
        <f t="shared" si="1379"/>
        <v>0.58561119615132307</v>
      </c>
      <c r="I644" s="35">
        <v>0</v>
      </c>
      <c r="J644" s="70">
        <v>0</v>
      </c>
      <c r="K644" s="35" t="e">
        <f t="shared" si="1380"/>
        <v>#DIV/0!</v>
      </c>
      <c r="L644" s="6" t="e">
        <f t="shared" si="1381"/>
        <v>#DIV/0!</v>
      </c>
      <c r="M644" s="68">
        <v>0</v>
      </c>
      <c r="N644" s="5">
        <v>0</v>
      </c>
      <c r="O644" s="35" t="e">
        <f t="shared" si="1382"/>
        <v>#DIV/0!</v>
      </c>
      <c r="P644" s="11" t="e">
        <f t="shared" si="1383"/>
        <v>#DIV/0!</v>
      </c>
      <c r="Q644" s="35">
        <v>0</v>
      </c>
      <c r="R644" s="66">
        <v>0</v>
      </c>
      <c r="S644" s="35" t="e">
        <f t="shared" si="1384"/>
        <v>#DIV/0!</v>
      </c>
      <c r="T644" s="6" t="e">
        <f t="shared" si="1385"/>
        <v>#DIV/0!</v>
      </c>
      <c r="U644" s="68">
        <v>0</v>
      </c>
      <c r="V644" s="66">
        <v>0</v>
      </c>
      <c r="W644" s="20" t="e">
        <f t="shared" si="1386"/>
        <v>#DIV/0!</v>
      </c>
      <c r="X644" s="6" t="e">
        <f t="shared" si="1387"/>
        <v>#DIV/0!</v>
      </c>
      <c r="Y644" s="68">
        <v>0</v>
      </c>
      <c r="Z644" s="70">
        <v>0</v>
      </c>
      <c r="AA644" s="35" t="e">
        <f t="shared" si="1388"/>
        <v>#DIV/0!</v>
      </c>
      <c r="AB644" s="11" t="e">
        <f t="shared" si="1389"/>
        <v>#DIV/0!</v>
      </c>
      <c r="AC644" s="20">
        <v>0</v>
      </c>
      <c r="AD644" s="36">
        <v>0</v>
      </c>
      <c r="AE644" s="35" t="e">
        <f t="shared" si="1390"/>
        <v>#DIV/0!</v>
      </c>
      <c r="AF644" s="6" t="e">
        <f t="shared" si="1391"/>
        <v>#DIV/0!</v>
      </c>
      <c r="AG644" s="68">
        <v>0</v>
      </c>
      <c r="AH644" s="66">
        <v>0</v>
      </c>
      <c r="AI644" s="35" t="e">
        <f t="shared" si="1392"/>
        <v>#DIV/0!</v>
      </c>
      <c r="AJ644" s="6" t="e">
        <f t="shared" si="1393"/>
        <v>#DIV/0!</v>
      </c>
      <c r="AK644" s="68">
        <v>1810</v>
      </c>
      <c r="AL644" s="65">
        <v>160</v>
      </c>
      <c r="AM644" s="35">
        <f t="shared" si="1394"/>
        <v>11.3125</v>
      </c>
      <c r="AN644" s="6">
        <f t="shared" si="1395"/>
        <v>0.10092936802973979</v>
      </c>
      <c r="AO644" s="68">
        <v>0</v>
      </c>
      <c r="AP644" s="66">
        <v>0</v>
      </c>
      <c r="AQ644" s="35" t="e">
        <f t="shared" si="1396"/>
        <v>#DIV/0!</v>
      </c>
      <c r="AR644" s="6" t="e">
        <f t="shared" si="1397"/>
        <v>#DIV/0!</v>
      </c>
      <c r="AS644" s="68">
        <v>0</v>
      </c>
      <c r="AT644" s="66">
        <v>0</v>
      </c>
      <c r="AU644" s="35" t="e">
        <f t="shared" si="1398"/>
        <v>#DIV/0!</v>
      </c>
      <c r="AV644" s="6" t="e">
        <f t="shared" si="1399"/>
        <v>#DIV/0!</v>
      </c>
      <c r="AW644" s="68">
        <v>0</v>
      </c>
      <c r="AX644" s="66">
        <v>0</v>
      </c>
      <c r="AY644" s="35" t="e">
        <f t="shared" si="1400"/>
        <v>#DIV/0!</v>
      </c>
      <c r="AZ644" s="6" t="e">
        <f t="shared" si="1401"/>
        <v>#DIV/0!</v>
      </c>
      <c r="BA644" s="68">
        <v>15970</v>
      </c>
      <c r="BB644" s="65">
        <v>272</v>
      </c>
      <c r="BC644" s="35">
        <f t="shared" si="1402"/>
        <v>58.713235294117645</v>
      </c>
      <c r="BD644" s="11">
        <f t="shared" si="1403"/>
        <v>0.52383555652744374</v>
      </c>
    </row>
    <row r="645" spans="1:56" ht="15.75" thickBot="1" x14ac:dyDescent="0.3">
      <c r="A645" s="19" t="s">
        <v>5</v>
      </c>
      <c r="B645" s="8">
        <v>116730</v>
      </c>
      <c r="C645" s="35">
        <f>B645/F637</f>
        <v>143.0514705882353</v>
      </c>
      <c r="D645" s="8">
        <v>7050</v>
      </c>
      <c r="E645" s="68">
        <v>29720</v>
      </c>
      <c r="F645" s="69">
        <v>408</v>
      </c>
      <c r="G645" s="35">
        <f t="shared" si="1378"/>
        <v>72.843137254901961</v>
      </c>
      <c r="H645" s="11">
        <f t="shared" si="1379"/>
        <v>0.50920928638738971</v>
      </c>
      <c r="I645" s="35">
        <v>0</v>
      </c>
      <c r="J645" s="70">
        <v>0</v>
      </c>
      <c r="K645" s="35" t="e">
        <f t="shared" si="1380"/>
        <v>#DIV/0!</v>
      </c>
      <c r="L645" s="6" t="e">
        <f t="shared" si="1381"/>
        <v>#DIV/0!</v>
      </c>
      <c r="M645" s="68">
        <v>0</v>
      </c>
      <c r="N645" s="5">
        <v>0</v>
      </c>
      <c r="O645" s="35" t="e">
        <f t="shared" si="1382"/>
        <v>#DIV/0!</v>
      </c>
      <c r="P645" s="11" t="e">
        <f t="shared" si="1383"/>
        <v>#DIV/0!</v>
      </c>
      <c r="Q645" s="35">
        <v>0</v>
      </c>
      <c r="R645" s="66">
        <v>0</v>
      </c>
      <c r="S645" s="35" t="e">
        <f t="shared" si="1384"/>
        <v>#DIV/0!</v>
      </c>
      <c r="T645" s="6" t="e">
        <f t="shared" si="1385"/>
        <v>#DIV/0!</v>
      </c>
      <c r="U645" s="68">
        <v>0</v>
      </c>
      <c r="V645" s="66">
        <v>0</v>
      </c>
      <c r="W645" s="20" t="e">
        <f t="shared" si="1386"/>
        <v>#DIV/0!</v>
      </c>
      <c r="X645" s="6" t="e">
        <f t="shared" si="1387"/>
        <v>#DIV/0!</v>
      </c>
      <c r="Y645" s="68">
        <v>0</v>
      </c>
      <c r="Z645" s="70">
        <v>0</v>
      </c>
      <c r="AA645" s="35" t="e">
        <f t="shared" si="1388"/>
        <v>#DIV/0!</v>
      </c>
      <c r="AB645" s="11" t="e">
        <f t="shared" si="1389"/>
        <v>#DIV/0!</v>
      </c>
      <c r="AC645" s="20">
        <v>0</v>
      </c>
      <c r="AD645" s="36">
        <v>0</v>
      </c>
      <c r="AE645" s="35" t="e">
        <f t="shared" si="1390"/>
        <v>#DIV/0!</v>
      </c>
      <c r="AF645" s="6" t="e">
        <f t="shared" si="1391"/>
        <v>#DIV/0!</v>
      </c>
      <c r="AG645" s="68">
        <v>0</v>
      </c>
      <c r="AH645" s="66">
        <v>0</v>
      </c>
      <c r="AI645" s="35" t="e">
        <f t="shared" si="1392"/>
        <v>#DIV/0!</v>
      </c>
      <c r="AJ645" s="6" t="e">
        <f t="shared" si="1393"/>
        <v>#DIV/0!</v>
      </c>
      <c r="AK645" s="68">
        <v>2000</v>
      </c>
      <c r="AL645" s="65">
        <v>160</v>
      </c>
      <c r="AM645" s="35">
        <f t="shared" si="1394"/>
        <v>12.5</v>
      </c>
      <c r="AN645" s="6">
        <f t="shared" si="1395"/>
        <v>8.7381135954767403E-2</v>
      </c>
      <c r="AO645" s="68">
        <v>0</v>
      </c>
      <c r="AP645" s="66">
        <v>0</v>
      </c>
      <c r="AQ645" s="35" t="e">
        <f t="shared" si="1396"/>
        <v>#DIV/0!</v>
      </c>
      <c r="AR645" s="6" t="e">
        <f t="shared" si="1397"/>
        <v>#DIV/0!</v>
      </c>
      <c r="AS645" s="68">
        <v>0</v>
      </c>
      <c r="AT645" s="66">
        <v>0</v>
      </c>
      <c r="AU645" s="35" t="e">
        <f t="shared" si="1398"/>
        <v>#DIV/0!</v>
      </c>
      <c r="AV645" s="6" t="e">
        <f t="shared" si="1399"/>
        <v>#DIV/0!</v>
      </c>
      <c r="AW645" s="68">
        <v>0</v>
      </c>
      <c r="AX645" s="66">
        <v>0</v>
      </c>
      <c r="AY645" s="35" t="e">
        <f t="shared" si="1400"/>
        <v>#DIV/0!</v>
      </c>
      <c r="AZ645" s="6" t="e">
        <f t="shared" si="1401"/>
        <v>#DIV/0!</v>
      </c>
      <c r="BA645" s="68">
        <v>18590</v>
      </c>
      <c r="BB645" s="65">
        <v>272</v>
      </c>
      <c r="BC645" s="35">
        <f t="shared" si="1402"/>
        <v>68.345588235294116</v>
      </c>
      <c r="BD645" s="11">
        <f t="shared" si="1403"/>
        <v>0.47776921099974295</v>
      </c>
    </row>
    <row r="646" spans="1:56" x14ac:dyDescent="0.25">
      <c r="A646" s="19" t="s">
        <v>6</v>
      </c>
      <c r="B646" s="8">
        <v>133690</v>
      </c>
      <c r="C646" s="35">
        <f>B646/F637</f>
        <v>163.8357843137255</v>
      </c>
      <c r="D646" s="8">
        <v>10950</v>
      </c>
      <c r="E646" s="68">
        <v>35740</v>
      </c>
      <c r="F646" s="69">
        <v>408</v>
      </c>
      <c r="G646" s="35">
        <f t="shared" si="1378"/>
        <v>87.598039215686271</v>
      </c>
      <c r="H646" s="11">
        <f t="shared" si="1379"/>
        <v>0.53466975839628983</v>
      </c>
      <c r="I646" s="35">
        <v>0</v>
      </c>
      <c r="J646" s="70">
        <v>0</v>
      </c>
      <c r="K646" s="35" t="e">
        <f t="shared" si="1380"/>
        <v>#DIV/0!</v>
      </c>
      <c r="L646" s="6" t="e">
        <f t="shared" si="1381"/>
        <v>#DIV/0!</v>
      </c>
      <c r="M646" s="68">
        <v>0</v>
      </c>
      <c r="N646" s="5">
        <v>0</v>
      </c>
      <c r="O646" s="35" t="e">
        <f t="shared" si="1382"/>
        <v>#DIV/0!</v>
      </c>
      <c r="P646" s="11" t="e">
        <f t="shared" si="1383"/>
        <v>#DIV/0!</v>
      </c>
      <c r="Q646" s="35">
        <v>0</v>
      </c>
      <c r="R646" s="66">
        <v>0</v>
      </c>
      <c r="S646" s="35" t="e">
        <f t="shared" si="1384"/>
        <v>#DIV/0!</v>
      </c>
      <c r="T646" s="6" t="e">
        <f t="shared" si="1385"/>
        <v>#DIV/0!</v>
      </c>
      <c r="U646" s="68">
        <v>0</v>
      </c>
      <c r="V646" s="66">
        <v>0</v>
      </c>
      <c r="W646" s="20" t="e">
        <f t="shared" si="1386"/>
        <v>#DIV/0!</v>
      </c>
      <c r="X646" s="6" t="e">
        <f t="shared" si="1387"/>
        <v>#DIV/0!</v>
      </c>
      <c r="Y646" s="68">
        <v>0</v>
      </c>
      <c r="Z646" s="70">
        <v>0</v>
      </c>
      <c r="AA646" s="35" t="e">
        <f t="shared" si="1388"/>
        <v>#DIV/0!</v>
      </c>
      <c r="AB646" s="11" t="e">
        <f t="shared" si="1389"/>
        <v>#DIV/0!</v>
      </c>
      <c r="AC646" s="20">
        <v>0</v>
      </c>
      <c r="AD646" s="36">
        <v>0</v>
      </c>
      <c r="AE646" s="35" t="e">
        <f t="shared" si="1390"/>
        <v>#DIV/0!</v>
      </c>
      <c r="AF646" s="6" t="e">
        <f t="shared" si="1391"/>
        <v>#DIV/0!</v>
      </c>
      <c r="AG646" s="68">
        <v>0</v>
      </c>
      <c r="AH646" s="66">
        <v>0</v>
      </c>
      <c r="AI646" s="35" t="e">
        <f t="shared" si="1392"/>
        <v>#DIV/0!</v>
      </c>
      <c r="AJ646" s="6" t="e">
        <f t="shared" si="1393"/>
        <v>#DIV/0!</v>
      </c>
      <c r="AK646" s="68">
        <v>2230</v>
      </c>
      <c r="AL646" s="65">
        <v>160</v>
      </c>
      <c r="AM646" s="35">
        <f t="shared" si="1394"/>
        <v>13.9375</v>
      </c>
      <c r="AN646" s="6">
        <f t="shared" si="1395"/>
        <v>8.5069937916074492E-2</v>
      </c>
      <c r="AO646" s="68">
        <v>0</v>
      </c>
      <c r="AP646" s="66">
        <v>0</v>
      </c>
      <c r="AQ646" s="35" t="e">
        <f t="shared" si="1396"/>
        <v>#DIV/0!</v>
      </c>
      <c r="AR646" s="6" t="e">
        <f t="shared" si="1397"/>
        <v>#DIV/0!</v>
      </c>
      <c r="AS646" s="68">
        <v>0</v>
      </c>
      <c r="AT646" s="66">
        <v>0</v>
      </c>
      <c r="AU646" s="35" t="e">
        <f t="shared" si="1398"/>
        <v>#DIV/0!</v>
      </c>
      <c r="AV646" s="6" t="e">
        <f t="shared" si="1399"/>
        <v>#DIV/0!</v>
      </c>
      <c r="AW646" s="68">
        <v>0</v>
      </c>
      <c r="AX646" s="66">
        <v>0</v>
      </c>
      <c r="AY646" s="35" t="e">
        <f t="shared" si="1400"/>
        <v>#DIV/0!</v>
      </c>
      <c r="AZ646" s="6" t="e">
        <f t="shared" si="1401"/>
        <v>#DIV/0!</v>
      </c>
      <c r="BA646" s="68">
        <v>21520</v>
      </c>
      <c r="BB646" s="65">
        <v>272</v>
      </c>
      <c r="BC646" s="35">
        <f t="shared" si="1402"/>
        <v>79.117647058823536</v>
      </c>
      <c r="BD646" s="11">
        <f t="shared" si="1403"/>
        <v>0.48290822051013543</v>
      </c>
    </row>
    <row r="647" spans="1:56" ht="15.75" thickBot="1" x14ac:dyDescent="0.3">
      <c r="A647" s="21"/>
      <c r="B647" s="22"/>
      <c r="C647" s="23">
        <f>AVERAGE(Table11046[MA $/Sq Ft])</f>
        <v>100.22233893557424</v>
      </c>
      <c r="D647" s="22">
        <f>AVERAGE(Table11046[Basic Allowance])</f>
        <v>4442.8571428571431</v>
      </c>
      <c r="E647" s="16"/>
      <c r="F647" s="22"/>
      <c r="G647" s="15"/>
      <c r="H647" s="24">
        <f>AVERAGE(Table11046[Bsmt % Base])</f>
        <v>0.56438980692765628</v>
      </c>
      <c r="I647" s="15"/>
      <c r="J647" s="15"/>
      <c r="K647" s="15"/>
      <c r="L647" s="25" t="e">
        <f>AVERAGE(Table11046[[#Headers],[#Data],[UnfBsmt % Base]])</f>
        <v>#DIV/0!</v>
      </c>
      <c r="M647" s="44"/>
      <c r="N647" s="15"/>
      <c r="O647" s="23" t="e">
        <f>AVERAGE(Table11046[LowerVal/SqFt])</f>
        <v>#DIV/0!</v>
      </c>
      <c r="P647" s="24" t="e">
        <f>AVERAGE(Table11046[Lower % Base])</f>
        <v>#DIV/0!</v>
      </c>
      <c r="Q647" s="13"/>
      <c r="R647" s="13"/>
      <c r="S647" s="13"/>
      <c r="T647" s="25" t="e">
        <f>AVERAGE(Table11046[Unf Lower % Base])</f>
        <v>#DIV/0!</v>
      </c>
      <c r="U647" s="12"/>
      <c r="V647" s="13"/>
      <c r="W647" s="13"/>
      <c r="X647" s="25" t="e">
        <f>AVERAGE(Table11046[1/2 Story % Base])</f>
        <v>#DIV/0!</v>
      </c>
      <c r="Y647" s="12"/>
      <c r="Z647" s="13"/>
      <c r="AA647" s="13"/>
      <c r="AB647" s="24" t="e">
        <f>AVERAGE(Table11046[2nd Story % Base])</f>
        <v>#DIV/0!</v>
      </c>
      <c r="AC647" s="13"/>
      <c r="AD647" s="13"/>
      <c r="AE647" s="23" t="e">
        <f>AVERAGE(Table11046[AttGarVal/SqFt])</f>
        <v>#DIV/0!</v>
      </c>
      <c r="AF647" s="25" t="e">
        <f>AVERAGE(Table11046[Att Gar % Base])</f>
        <v>#DIV/0!</v>
      </c>
      <c r="AG647" s="12"/>
      <c r="AH647" s="13"/>
      <c r="AI647" s="13"/>
      <c r="AJ647" s="25" t="e">
        <f>AVERAGE(Table11046[Porch % Base])</f>
        <v>#DIV/0!</v>
      </c>
      <c r="AK647" s="12"/>
      <c r="AL647" s="13"/>
      <c r="AM647" s="13"/>
      <c r="AN647" s="25">
        <f>AVERAGE(Table11046[Cov Porch % Base])</f>
        <v>0.10376409519244471</v>
      </c>
      <c r="AO647" s="12"/>
      <c r="AP647" s="13"/>
      <c r="AQ647" s="13"/>
      <c r="AR647" s="25" t="e">
        <f>AVERAGE(Table11046[Deck % Base])</f>
        <v>#DIV/0!</v>
      </c>
      <c r="AS647" s="12"/>
      <c r="AT647" s="13"/>
      <c r="AU647" s="23" t="e">
        <f>AVERAGE(Table11046[CovDeckVal/SqFt])</f>
        <v>#DIV/0!</v>
      </c>
      <c r="AV647" s="25" t="e">
        <f>AVERAGE(Table11046[CovDeck % Base])</f>
        <v>#DIV/0!</v>
      </c>
      <c r="AW647" s="12"/>
      <c r="AX647" s="13"/>
      <c r="AY647" s="13"/>
      <c r="AZ647" s="25" t="e">
        <f>AVERAGE(Table11046[CarP % Base])</f>
        <v>#DIV/0!</v>
      </c>
      <c r="BA647" s="12"/>
      <c r="BB647" s="13"/>
      <c r="BC647" s="13"/>
      <c r="BD647" s="24">
        <f>AVERAGE(Table11046[EFP % Base])</f>
        <v>0.5075229790172151</v>
      </c>
    </row>
    <row r="649" spans="1:56" ht="15.75" thickBot="1" x14ac:dyDescent="0.3">
      <c r="A649" s="82"/>
      <c r="B649" t="s">
        <v>79</v>
      </c>
      <c r="C649" s="78" t="s">
        <v>149</v>
      </c>
      <c r="E649" t="s">
        <v>33</v>
      </c>
      <c r="F649" s="79">
        <v>1100</v>
      </c>
      <c r="H649" t="s">
        <v>80</v>
      </c>
      <c r="I649" t="s">
        <v>150</v>
      </c>
    </row>
    <row r="650" spans="1:56" x14ac:dyDescent="0.25">
      <c r="A650" s="112"/>
      <c r="B650" s="113"/>
      <c r="C650" s="113"/>
      <c r="D650" s="114"/>
      <c r="E650" s="115" t="s">
        <v>27</v>
      </c>
      <c r="F650" s="116"/>
      <c r="G650" s="116"/>
      <c r="H650" s="117"/>
      <c r="I650" s="118" t="s">
        <v>28</v>
      </c>
      <c r="J650" s="119"/>
      <c r="K650" s="119"/>
      <c r="L650" s="120"/>
      <c r="M650" s="121" t="s">
        <v>7</v>
      </c>
      <c r="N650" s="122"/>
      <c r="O650" s="122"/>
      <c r="P650" s="123"/>
      <c r="Q650" s="124" t="s">
        <v>29</v>
      </c>
      <c r="R650" s="125"/>
      <c r="S650" s="125"/>
      <c r="T650" s="126"/>
      <c r="U650" s="127" t="s">
        <v>8</v>
      </c>
      <c r="V650" s="128"/>
      <c r="W650" s="128"/>
      <c r="X650" s="129"/>
      <c r="Y650" s="130" t="s">
        <v>0</v>
      </c>
      <c r="Z650" s="131"/>
      <c r="AA650" s="131"/>
      <c r="AB650" s="132"/>
      <c r="AC650" s="133" t="s">
        <v>34</v>
      </c>
      <c r="AD650" s="134"/>
      <c r="AE650" s="134"/>
      <c r="AF650" s="135"/>
      <c r="AG650" s="115" t="s">
        <v>9</v>
      </c>
      <c r="AH650" s="116"/>
      <c r="AI650" s="116"/>
      <c r="AJ650" s="117"/>
      <c r="AK650" s="136" t="s">
        <v>35</v>
      </c>
      <c r="AL650" s="137"/>
      <c r="AM650" s="137"/>
      <c r="AN650" s="138"/>
      <c r="AO650" s="139" t="s">
        <v>10</v>
      </c>
      <c r="AP650" s="140"/>
      <c r="AQ650" s="140"/>
      <c r="AR650" s="141"/>
      <c r="AS650" s="124" t="s">
        <v>36</v>
      </c>
      <c r="AT650" s="125"/>
      <c r="AU650" s="125"/>
      <c r="AV650" s="126"/>
      <c r="AW650" s="142" t="s">
        <v>11</v>
      </c>
      <c r="AX650" s="143"/>
      <c r="AY650" s="143"/>
      <c r="AZ650" s="144"/>
      <c r="BA650" s="145" t="s">
        <v>130</v>
      </c>
      <c r="BB650" s="146"/>
      <c r="BC650" s="146"/>
      <c r="BD650" s="147"/>
    </row>
    <row r="651" spans="1:56" s="1" customFormat="1" ht="15.75" thickBot="1" x14ac:dyDescent="0.3">
      <c r="A651" s="41" t="s">
        <v>13</v>
      </c>
      <c r="B651" s="42" t="s">
        <v>15</v>
      </c>
      <c r="C651" s="42" t="s">
        <v>32</v>
      </c>
      <c r="D651" s="43" t="s">
        <v>18</v>
      </c>
      <c r="E651" s="30" t="s">
        <v>30</v>
      </c>
      <c r="F651" s="31" t="s">
        <v>61</v>
      </c>
      <c r="G651" s="31" t="s">
        <v>38</v>
      </c>
      <c r="H651" s="32" t="s">
        <v>62</v>
      </c>
      <c r="I651" s="37" t="s">
        <v>31</v>
      </c>
      <c r="J651" s="38" t="s">
        <v>39</v>
      </c>
      <c r="K651" s="38" t="s">
        <v>40</v>
      </c>
      <c r="L651" s="39" t="s">
        <v>63</v>
      </c>
      <c r="M651" s="40" t="s">
        <v>19</v>
      </c>
      <c r="N651" s="7" t="s">
        <v>41</v>
      </c>
      <c r="O651" s="7" t="s">
        <v>37</v>
      </c>
      <c r="P651" s="7" t="s">
        <v>64</v>
      </c>
      <c r="Q651" s="27" t="s">
        <v>20</v>
      </c>
      <c r="R651" s="28" t="s">
        <v>60</v>
      </c>
      <c r="S651" s="28" t="s">
        <v>59</v>
      </c>
      <c r="T651" s="29" t="s">
        <v>65</v>
      </c>
      <c r="U651" s="48" t="s">
        <v>21</v>
      </c>
      <c r="V651" s="48" t="s">
        <v>42</v>
      </c>
      <c r="W651" s="48" t="s">
        <v>43</v>
      </c>
      <c r="X651" s="49" t="s">
        <v>66</v>
      </c>
      <c r="Y651" s="50" t="s">
        <v>22</v>
      </c>
      <c r="Z651" s="51" t="s">
        <v>44</v>
      </c>
      <c r="AA651" s="51" t="s">
        <v>45</v>
      </c>
      <c r="AB651" s="52" t="s">
        <v>67</v>
      </c>
      <c r="AC651" s="45" t="s">
        <v>23</v>
      </c>
      <c r="AD651" s="46" t="s">
        <v>46</v>
      </c>
      <c r="AE651" s="46" t="s">
        <v>47</v>
      </c>
      <c r="AF651" s="47" t="s">
        <v>68</v>
      </c>
      <c r="AG651" s="30" t="s">
        <v>24</v>
      </c>
      <c r="AH651" s="31" t="s">
        <v>48</v>
      </c>
      <c r="AI651" s="31" t="s">
        <v>49</v>
      </c>
      <c r="AJ651" s="32" t="s">
        <v>69</v>
      </c>
      <c r="AK651" s="53" t="s">
        <v>25</v>
      </c>
      <c r="AL651" s="54" t="s">
        <v>50</v>
      </c>
      <c r="AM651" s="54" t="s">
        <v>51</v>
      </c>
      <c r="AN651" s="55" t="s">
        <v>70</v>
      </c>
      <c r="AO651" s="56" t="s">
        <v>26</v>
      </c>
      <c r="AP651" s="57" t="s">
        <v>52</v>
      </c>
      <c r="AQ651" s="57" t="s">
        <v>53</v>
      </c>
      <c r="AR651" s="58" t="s">
        <v>71</v>
      </c>
      <c r="AS651" s="59" t="s">
        <v>55</v>
      </c>
      <c r="AT651" s="60" t="s">
        <v>54</v>
      </c>
      <c r="AU651" s="60" t="s">
        <v>56</v>
      </c>
      <c r="AV651" s="61" t="s">
        <v>76</v>
      </c>
      <c r="AW651" s="62" t="s">
        <v>72</v>
      </c>
      <c r="AX651" s="63" t="s">
        <v>73</v>
      </c>
      <c r="AY651" s="63" t="s">
        <v>74</v>
      </c>
      <c r="AZ651" s="64" t="s">
        <v>75</v>
      </c>
      <c r="BA651" s="71" t="s">
        <v>77</v>
      </c>
      <c r="BB651" s="72" t="s">
        <v>57</v>
      </c>
      <c r="BC651" s="72" t="s">
        <v>58</v>
      </c>
      <c r="BD651" s="73" t="s">
        <v>78</v>
      </c>
    </row>
    <row r="652" spans="1:56" ht="15.75" thickBot="1" x14ac:dyDescent="0.3">
      <c r="A652" s="17" t="s">
        <v>1</v>
      </c>
      <c r="B652" s="14">
        <v>56670</v>
      </c>
      <c r="C652" s="34">
        <f>B652/F649</f>
        <v>51.518181818181816</v>
      </c>
      <c r="D652" s="14">
        <v>1525</v>
      </c>
      <c r="E652" s="67">
        <v>0</v>
      </c>
      <c r="F652" s="69">
        <v>0</v>
      </c>
      <c r="G652" s="34" t="e">
        <f t="shared" ref="G652:G658" si="1404">E652/F652</f>
        <v>#DIV/0!</v>
      </c>
      <c r="H652" s="10" t="e">
        <f t="shared" ref="H652:H658" si="1405">G652/C652</f>
        <v>#DIV/0!</v>
      </c>
      <c r="I652" s="34">
        <v>0</v>
      </c>
      <c r="J652" s="69">
        <v>0</v>
      </c>
      <c r="K652" s="34" t="e">
        <f t="shared" ref="K652:K658" si="1406">I652/J652</f>
        <v>#DIV/0!</v>
      </c>
      <c r="L652" s="9" t="e">
        <f t="shared" ref="L652:L658" si="1407">K652/C652</f>
        <v>#DIV/0!</v>
      </c>
      <c r="M652" s="67">
        <v>0</v>
      </c>
      <c r="N652" s="26">
        <v>0</v>
      </c>
      <c r="O652" s="34" t="e">
        <f t="shared" ref="O652:O658" si="1408">M652/N652</f>
        <v>#DIV/0!</v>
      </c>
      <c r="P652" s="10" t="e">
        <f t="shared" ref="P652:P658" si="1409">O652/C652</f>
        <v>#DIV/0!</v>
      </c>
      <c r="Q652" s="35">
        <v>0</v>
      </c>
      <c r="R652" s="66">
        <v>0</v>
      </c>
      <c r="S652" s="35" t="e">
        <f t="shared" ref="S652:S658" si="1410">Q652/R652</f>
        <v>#DIV/0!</v>
      </c>
      <c r="T652" s="6" t="e">
        <f t="shared" ref="T652:T658" si="1411">S652/C652</f>
        <v>#DIV/0!</v>
      </c>
      <c r="U652" s="67">
        <v>17820</v>
      </c>
      <c r="V652" s="65">
        <v>589</v>
      </c>
      <c r="W652" s="18">
        <f t="shared" ref="W652:W658" si="1412">U652/V652</f>
        <v>30.254668930390494</v>
      </c>
      <c r="X652" s="9">
        <f t="shared" ref="X652:X658" si="1413">W652/C652</f>
        <v>0.58726196970936195</v>
      </c>
      <c r="Y652" s="67">
        <v>0</v>
      </c>
      <c r="Z652" s="69">
        <v>0</v>
      </c>
      <c r="AA652" s="34" t="e">
        <f t="shared" ref="AA652:AA658" si="1414">Y652/Z652</f>
        <v>#DIV/0!</v>
      </c>
      <c r="AB652" s="10" t="e">
        <f t="shared" ref="AB652:AB658" si="1415">AA652/C652</f>
        <v>#DIV/0!</v>
      </c>
      <c r="AC652" s="18">
        <v>0</v>
      </c>
      <c r="AD652" s="33">
        <v>0</v>
      </c>
      <c r="AE652" s="34" t="e">
        <f t="shared" ref="AE652:AE658" si="1416">AC652/AD652</f>
        <v>#DIV/0!</v>
      </c>
      <c r="AF652" s="9" t="e">
        <f t="shared" ref="AF652:AF658" si="1417">AE652/C652</f>
        <v>#DIV/0!</v>
      </c>
      <c r="AG652" s="67">
        <v>0</v>
      </c>
      <c r="AH652" s="65">
        <v>0</v>
      </c>
      <c r="AI652" s="34" t="e">
        <f t="shared" ref="AI652:AI658" si="1418">AG652/AH652</f>
        <v>#DIV/0!</v>
      </c>
      <c r="AJ652" s="9" t="e">
        <f t="shared" ref="AJ652:AJ658" si="1419">AI652/C652</f>
        <v>#DIV/0!</v>
      </c>
      <c r="AK652" s="67">
        <v>3170</v>
      </c>
      <c r="AL652" s="65">
        <v>192</v>
      </c>
      <c r="AM652" s="34">
        <f t="shared" ref="AM652:AM658" si="1420">AK652/AL652</f>
        <v>16.510416666666668</v>
      </c>
      <c r="AN652" s="9">
        <f t="shared" ref="AN652:AN658" si="1421">AM652/C652</f>
        <v>0.32047747191341691</v>
      </c>
      <c r="AO652" s="67">
        <v>0</v>
      </c>
      <c r="AP652" s="65">
        <v>0</v>
      </c>
      <c r="AQ652" s="34" t="e">
        <f t="shared" ref="AQ652:AQ658" si="1422">AO652/AP652</f>
        <v>#DIV/0!</v>
      </c>
      <c r="AR652" s="9" t="e">
        <f t="shared" ref="AR652:AR658" si="1423">AQ652/C652</f>
        <v>#DIV/0!</v>
      </c>
      <c r="AS652" s="67">
        <v>0</v>
      </c>
      <c r="AT652" s="65">
        <v>0</v>
      </c>
      <c r="AU652" s="34" t="e">
        <f t="shared" ref="AU652:AU658" si="1424">AS652/AT652</f>
        <v>#DIV/0!</v>
      </c>
      <c r="AV652" s="9" t="e">
        <f t="shared" ref="AV652:AV658" si="1425">AU652/C652</f>
        <v>#DIV/0!</v>
      </c>
      <c r="AW652" s="67">
        <v>0</v>
      </c>
      <c r="AX652" s="65">
        <v>0</v>
      </c>
      <c r="AY652" s="34" t="e">
        <f t="shared" ref="AY652:AY658" si="1426">AW652/AX652</f>
        <v>#DIV/0!</v>
      </c>
      <c r="AZ652" s="9" t="e">
        <f t="shared" ref="AZ652:AZ658" si="1427">AY652/C652</f>
        <v>#DIV/0!</v>
      </c>
      <c r="BA652" s="67">
        <v>3480</v>
      </c>
      <c r="BB652" s="65">
        <v>144</v>
      </c>
      <c r="BC652" s="34">
        <f t="shared" ref="BC652:BC658" si="1428">BA652/BB652</f>
        <v>24.166666666666668</v>
      </c>
      <c r="BD652" s="10">
        <f t="shared" ref="BD652:BD658" si="1429">BC652/C652</f>
        <v>0.46909005352626321</v>
      </c>
    </row>
    <row r="653" spans="1:56" ht="15.75" thickBot="1" x14ac:dyDescent="0.3">
      <c r="A653" s="19" t="s">
        <v>16</v>
      </c>
      <c r="B653" s="8">
        <v>66680</v>
      </c>
      <c r="C653" s="35">
        <f>B653/F649</f>
        <v>60.618181818181817</v>
      </c>
      <c r="D653" s="8">
        <v>1525</v>
      </c>
      <c r="E653" s="68">
        <v>0</v>
      </c>
      <c r="F653" s="70">
        <v>0</v>
      </c>
      <c r="G653" s="35" t="e">
        <f t="shared" si="1404"/>
        <v>#DIV/0!</v>
      </c>
      <c r="H653" s="11" t="e">
        <f t="shared" si="1405"/>
        <v>#DIV/0!</v>
      </c>
      <c r="I653" s="35">
        <v>0</v>
      </c>
      <c r="J653" s="70">
        <v>0</v>
      </c>
      <c r="K653" s="35" t="e">
        <f t="shared" si="1406"/>
        <v>#DIV/0!</v>
      </c>
      <c r="L653" s="6" t="e">
        <f t="shared" si="1407"/>
        <v>#DIV/0!</v>
      </c>
      <c r="M653" s="68">
        <v>0</v>
      </c>
      <c r="N653" s="5">
        <v>0</v>
      </c>
      <c r="O653" s="35" t="e">
        <f t="shared" si="1408"/>
        <v>#DIV/0!</v>
      </c>
      <c r="P653" s="11" t="e">
        <f t="shared" si="1409"/>
        <v>#DIV/0!</v>
      </c>
      <c r="Q653" s="35">
        <v>0</v>
      </c>
      <c r="R653" s="66">
        <v>0</v>
      </c>
      <c r="S653" s="35" t="e">
        <f t="shared" si="1410"/>
        <v>#DIV/0!</v>
      </c>
      <c r="T653" s="6" t="e">
        <f t="shared" si="1411"/>
        <v>#DIV/0!</v>
      </c>
      <c r="U653" s="68">
        <v>23040</v>
      </c>
      <c r="V653" s="65">
        <v>589</v>
      </c>
      <c r="W653" s="20">
        <f t="shared" si="1412"/>
        <v>39.117147707979626</v>
      </c>
      <c r="X653" s="6">
        <f t="shared" si="1413"/>
        <v>0.64530387640638254</v>
      </c>
      <c r="Y653" s="68">
        <v>0</v>
      </c>
      <c r="Z653" s="70">
        <v>0</v>
      </c>
      <c r="AA653" s="35" t="e">
        <f t="shared" si="1414"/>
        <v>#DIV/0!</v>
      </c>
      <c r="AB653" s="11" t="e">
        <f t="shared" si="1415"/>
        <v>#DIV/0!</v>
      </c>
      <c r="AC653" s="20">
        <v>0</v>
      </c>
      <c r="AD653" s="36">
        <v>0</v>
      </c>
      <c r="AE653" s="35" t="e">
        <f t="shared" si="1416"/>
        <v>#DIV/0!</v>
      </c>
      <c r="AF653" s="6" t="e">
        <f t="shared" si="1417"/>
        <v>#DIV/0!</v>
      </c>
      <c r="AG653" s="68">
        <v>0</v>
      </c>
      <c r="AH653" s="66">
        <v>0</v>
      </c>
      <c r="AI653" s="35" t="e">
        <f t="shared" si="1418"/>
        <v>#DIV/0!</v>
      </c>
      <c r="AJ653" s="6" t="e">
        <f t="shared" si="1419"/>
        <v>#DIV/0!</v>
      </c>
      <c r="AK653" s="68">
        <v>4520</v>
      </c>
      <c r="AL653" s="65">
        <v>192</v>
      </c>
      <c r="AM653" s="35">
        <f t="shared" si="1420"/>
        <v>23.541666666666668</v>
      </c>
      <c r="AN653" s="6">
        <f t="shared" si="1421"/>
        <v>0.38835982803439317</v>
      </c>
      <c r="AO653" s="68">
        <v>0</v>
      </c>
      <c r="AP653" s="66">
        <v>0</v>
      </c>
      <c r="AQ653" s="35" t="e">
        <f t="shared" si="1422"/>
        <v>#DIV/0!</v>
      </c>
      <c r="AR653" s="6" t="e">
        <f t="shared" si="1423"/>
        <v>#DIV/0!</v>
      </c>
      <c r="AS653" s="68">
        <v>0</v>
      </c>
      <c r="AT653" s="66">
        <v>0</v>
      </c>
      <c r="AU653" s="35" t="e">
        <f t="shared" si="1424"/>
        <v>#DIV/0!</v>
      </c>
      <c r="AV653" s="6" t="e">
        <f t="shared" si="1425"/>
        <v>#DIV/0!</v>
      </c>
      <c r="AW653" s="68">
        <v>0</v>
      </c>
      <c r="AX653" s="66">
        <v>0</v>
      </c>
      <c r="AY653" s="35" t="e">
        <f t="shared" si="1426"/>
        <v>#DIV/0!</v>
      </c>
      <c r="AZ653" s="6" t="e">
        <f t="shared" si="1427"/>
        <v>#DIV/0!</v>
      </c>
      <c r="BA653" s="68">
        <v>5100</v>
      </c>
      <c r="BB653" s="65">
        <v>144</v>
      </c>
      <c r="BC653" s="35">
        <f t="shared" si="1428"/>
        <v>35.416666666666664</v>
      </c>
      <c r="BD653" s="11">
        <f t="shared" si="1429"/>
        <v>0.58425814837032586</v>
      </c>
    </row>
    <row r="654" spans="1:56" ht="15.75" thickBot="1" x14ac:dyDescent="0.3">
      <c r="A654" s="19" t="s">
        <v>2</v>
      </c>
      <c r="B654" s="8">
        <v>78020</v>
      </c>
      <c r="C654" s="35">
        <f>B654/F649</f>
        <v>70.927272727272722</v>
      </c>
      <c r="D654" s="8">
        <v>2100</v>
      </c>
      <c r="E654" s="68">
        <v>0</v>
      </c>
      <c r="F654" s="70">
        <v>0</v>
      </c>
      <c r="G654" s="35" t="e">
        <f t="shared" si="1404"/>
        <v>#DIV/0!</v>
      </c>
      <c r="H654" s="11" t="e">
        <f t="shared" si="1405"/>
        <v>#DIV/0!</v>
      </c>
      <c r="I654" s="35">
        <v>0</v>
      </c>
      <c r="J654" s="70">
        <v>0</v>
      </c>
      <c r="K654" s="35" t="e">
        <f t="shared" si="1406"/>
        <v>#DIV/0!</v>
      </c>
      <c r="L654" s="6" t="e">
        <f t="shared" si="1407"/>
        <v>#DIV/0!</v>
      </c>
      <c r="M654" s="68">
        <v>0</v>
      </c>
      <c r="N654" s="5">
        <v>0</v>
      </c>
      <c r="O654" s="35" t="e">
        <f t="shared" si="1408"/>
        <v>#DIV/0!</v>
      </c>
      <c r="P654" s="11" t="e">
        <f t="shared" si="1409"/>
        <v>#DIV/0!</v>
      </c>
      <c r="Q654" s="35">
        <v>0</v>
      </c>
      <c r="R654" s="66">
        <v>0</v>
      </c>
      <c r="S654" s="35" t="e">
        <f t="shared" si="1410"/>
        <v>#DIV/0!</v>
      </c>
      <c r="T654" s="6" t="e">
        <f t="shared" si="1411"/>
        <v>#DIV/0!</v>
      </c>
      <c r="U654" s="68">
        <v>28820</v>
      </c>
      <c r="V654" s="65">
        <v>589</v>
      </c>
      <c r="W654" s="20">
        <f t="shared" si="1412"/>
        <v>48.930390492359933</v>
      </c>
      <c r="X654" s="6">
        <f t="shared" si="1413"/>
        <v>0.68986707948725878</v>
      </c>
      <c r="Y654" s="68">
        <v>0</v>
      </c>
      <c r="Z654" s="70">
        <v>0</v>
      </c>
      <c r="AA654" s="35" t="e">
        <f t="shared" si="1414"/>
        <v>#DIV/0!</v>
      </c>
      <c r="AB654" s="11" t="e">
        <f t="shared" si="1415"/>
        <v>#DIV/0!</v>
      </c>
      <c r="AC654" s="20">
        <v>0</v>
      </c>
      <c r="AD654" s="36">
        <v>0</v>
      </c>
      <c r="AE654" s="35" t="e">
        <f t="shared" si="1416"/>
        <v>#DIV/0!</v>
      </c>
      <c r="AF654" s="6" t="e">
        <f t="shared" si="1417"/>
        <v>#DIV/0!</v>
      </c>
      <c r="AG654" s="68">
        <v>0</v>
      </c>
      <c r="AH654" s="66">
        <v>0</v>
      </c>
      <c r="AI654" s="35" t="e">
        <f t="shared" si="1418"/>
        <v>#DIV/0!</v>
      </c>
      <c r="AJ654" s="6" t="e">
        <f t="shared" si="1419"/>
        <v>#DIV/0!</v>
      </c>
      <c r="AK654" s="68">
        <v>4980</v>
      </c>
      <c r="AL654" s="65">
        <v>192</v>
      </c>
      <c r="AM654" s="35">
        <f t="shared" si="1420"/>
        <v>25.9375</v>
      </c>
      <c r="AN654" s="6">
        <f t="shared" si="1421"/>
        <v>0.36569148936170215</v>
      </c>
      <c r="AO654" s="68">
        <v>0</v>
      </c>
      <c r="AP654" s="66">
        <v>0</v>
      </c>
      <c r="AQ654" s="35" t="e">
        <f t="shared" si="1422"/>
        <v>#DIV/0!</v>
      </c>
      <c r="AR654" s="6" t="e">
        <f t="shared" si="1423"/>
        <v>#DIV/0!</v>
      </c>
      <c r="AS654" s="68">
        <v>0</v>
      </c>
      <c r="AT654" s="66">
        <v>0</v>
      </c>
      <c r="AU654" s="35" t="e">
        <f t="shared" si="1424"/>
        <v>#DIV/0!</v>
      </c>
      <c r="AV654" s="6" t="e">
        <f t="shared" si="1425"/>
        <v>#DIV/0!</v>
      </c>
      <c r="AW654" s="68">
        <v>0</v>
      </c>
      <c r="AX654" s="66">
        <v>0</v>
      </c>
      <c r="AY654" s="35" t="e">
        <f t="shared" si="1426"/>
        <v>#DIV/0!</v>
      </c>
      <c r="AZ654" s="6" t="e">
        <f t="shared" si="1427"/>
        <v>#DIV/0!</v>
      </c>
      <c r="BA654" s="68">
        <v>5740</v>
      </c>
      <c r="BB654" s="65">
        <v>144</v>
      </c>
      <c r="BC654" s="35">
        <f t="shared" si="1428"/>
        <v>39.861111111111114</v>
      </c>
      <c r="BD654" s="11">
        <f t="shared" si="1429"/>
        <v>0.56199977213819829</v>
      </c>
    </row>
    <row r="655" spans="1:56" ht="15.75" thickBot="1" x14ac:dyDescent="0.3">
      <c r="A655" s="19" t="s">
        <v>3</v>
      </c>
      <c r="B655" s="8">
        <v>94180</v>
      </c>
      <c r="C655" s="35">
        <f>B655/F649</f>
        <v>85.618181818181824</v>
      </c>
      <c r="D655" s="8">
        <v>2700</v>
      </c>
      <c r="E655" s="68">
        <v>0</v>
      </c>
      <c r="F655" s="70">
        <v>0</v>
      </c>
      <c r="G655" s="35" t="e">
        <f t="shared" si="1404"/>
        <v>#DIV/0!</v>
      </c>
      <c r="H655" s="11" t="e">
        <f t="shared" si="1405"/>
        <v>#DIV/0!</v>
      </c>
      <c r="I655" s="35">
        <v>0</v>
      </c>
      <c r="J655" s="70">
        <v>0</v>
      </c>
      <c r="K655" s="35" t="e">
        <f t="shared" si="1406"/>
        <v>#DIV/0!</v>
      </c>
      <c r="L655" s="6" t="e">
        <f t="shared" si="1407"/>
        <v>#DIV/0!</v>
      </c>
      <c r="M655" s="68">
        <v>0</v>
      </c>
      <c r="N655" s="5">
        <v>0</v>
      </c>
      <c r="O655" s="35" t="e">
        <f t="shared" si="1408"/>
        <v>#DIV/0!</v>
      </c>
      <c r="P655" s="11" t="e">
        <f t="shared" si="1409"/>
        <v>#DIV/0!</v>
      </c>
      <c r="Q655" s="35">
        <v>0</v>
      </c>
      <c r="R655" s="66">
        <v>0</v>
      </c>
      <c r="S655" s="35" t="e">
        <f t="shared" si="1410"/>
        <v>#DIV/0!</v>
      </c>
      <c r="T655" s="6" t="e">
        <f t="shared" si="1411"/>
        <v>#DIV/0!</v>
      </c>
      <c r="U655" s="68">
        <v>34670</v>
      </c>
      <c r="V655" s="65">
        <v>589</v>
      </c>
      <c r="W655" s="20">
        <f t="shared" si="1412"/>
        <v>58.862478777589132</v>
      </c>
      <c r="X655" s="6">
        <f t="shared" si="1413"/>
        <v>0.68749975212728864</v>
      </c>
      <c r="Y655" s="68">
        <v>0</v>
      </c>
      <c r="Z655" s="70">
        <v>0</v>
      </c>
      <c r="AA655" s="35" t="e">
        <f t="shared" si="1414"/>
        <v>#DIV/0!</v>
      </c>
      <c r="AB655" s="11" t="e">
        <f t="shared" si="1415"/>
        <v>#DIV/0!</v>
      </c>
      <c r="AC655" s="20">
        <v>0</v>
      </c>
      <c r="AD655" s="36">
        <v>0</v>
      </c>
      <c r="AE655" s="35" t="e">
        <f t="shared" si="1416"/>
        <v>#DIV/0!</v>
      </c>
      <c r="AF655" s="6" t="e">
        <f t="shared" si="1417"/>
        <v>#DIV/0!</v>
      </c>
      <c r="AG655" s="68">
        <v>0</v>
      </c>
      <c r="AH655" s="66">
        <v>0</v>
      </c>
      <c r="AI655" s="35" t="e">
        <f t="shared" si="1418"/>
        <v>#DIV/0!</v>
      </c>
      <c r="AJ655" s="6" t="e">
        <f t="shared" si="1419"/>
        <v>#DIV/0!</v>
      </c>
      <c r="AK655" s="68">
        <v>5870</v>
      </c>
      <c r="AL655" s="65">
        <v>192</v>
      </c>
      <c r="AM655" s="35">
        <f t="shared" si="1420"/>
        <v>30.572916666666668</v>
      </c>
      <c r="AN655" s="6">
        <f t="shared" si="1421"/>
        <v>0.3570843951298931</v>
      </c>
      <c r="AO655" s="68">
        <v>0</v>
      </c>
      <c r="AP655" s="66">
        <v>0</v>
      </c>
      <c r="AQ655" s="35" t="e">
        <f t="shared" si="1422"/>
        <v>#DIV/0!</v>
      </c>
      <c r="AR655" s="6" t="e">
        <f t="shared" si="1423"/>
        <v>#DIV/0!</v>
      </c>
      <c r="AS655" s="68">
        <v>0</v>
      </c>
      <c r="AT655" s="66">
        <v>0</v>
      </c>
      <c r="AU655" s="35" t="e">
        <f t="shared" si="1424"/>
        <v>#DIV/0!</v>
      </c>
      <c r="AV655" s="6" t="e">
        <f t="shared" si="1425"/>
        <v>#DIV/0!</v>
      </c>
      <c r="AW655" s="68">
        <v>0</v>
      </c>
      <c r="AX655" s="66">
        <v>0</v>
      </c>
      <c r="AY655" s="35" t="e">
        <f t="shared" si="1426"/>
        <v>#DIV/0!</v>
      </c>
      <c r="AZ655" s="6" t="e">
        <f t="shared" si="1427"/>
        <v>#DIV/0!</v>
      </c>
      <c r="BA655" s="68">
        <v>6740</v>
      </c>
      <c r="BB655" s="65">
        <v>144</v>
      </c>
      <c r="BC655" s="35">
        <f t="shared" si="1428"/>
        <v>46.805555555555557</v>
      </c>
      <c r="BD655" s="11">
        <f t="shared" si="1429"/>
        <v>0.54667775654184658</v>
      </c>
    </row>
    <row r="656" spans="1:56" ht="15.75" thickBot="1" x14ac:dyDescent="0.3">
      <c r="A656" s="19" t="s">
        <v>4</v>
      </c>
      <c r="B656" s="8">
        <v>117490</v>
      </c>
      <c r="C656" s="35">
        <f>B656/F649</f>
        <v>106.80909090909091</v>
      </c>
      <c r="D656" s="8">
        <v>5250</v>
      </c>
      <c r="E656" s="68">
        <v>0</v>
      </c>
      <c r="F656" s="70">
        <v>0</v>
      </c>
      <c r="G656" s="35" t="e">
        <f t="shared" si="1404"/>
        <v>#DIV/0!</v>
      </c>
      <c r="H656" s="11" t="e">
        <f t="shared" si="1405"/>
        <v>#DIV/0!</v>
      </c>
      <c r="I656" s="35">
        <v>0</v>
      </c>
      <c r="J656" s="70">
        <v>0</v>
      </c>
      <c r="K656" s="35" t="e">
        <f t="shared" si="1406"/>
        <v>#DIV/0!</v>
      </c>
      <c r="L656" s="6" t="e">
        <f t="shared" si="1407"/>
        <v>#DIV/0!</v>
      </c>
      <c r="M656" s="68">
        <v>0</v>
      </c>
      <c r="N656" s="5">
        <v>0</v>
      </c>
      <c r="O656" s="35" t="e">
        <f t="shared" si="1408"/>
        <v>#DIV/0!</v>
      </c>
      <c r="P656" s="11" t="e">
        <f t="shared" si="1409"/>
        <v>#DIV/0!</v>
      </c>
      <c r="Q656" s="35">
        <v>0</v>
      </c>
      <c r="R656" s="66">
        <v>0</v>
      </c>
      <c r="S656" s="35" t="e">
        <f t="shared" si="1410"/>
        <v>#DIV/0!</v>
      </c>
      <c r="T656" s="6" t="e">
        <f t="shared" si="1411"/>
        <v>#DIV/0!</v>
      </c>
      <c r="U656" s="68">
        <v>42450</v>
      </c>
      <c r="V656" s="65">
        <v>589</v>
      </c>
      <c r="W656" s="20">
        <f t="shared" si="1412"/>
        <v>72.071307300509332</v>
      </c>
      <c r="X656" s="6">
        <f t="shared" si="1413"/>
        <v>0.67476753792288924</v>
      </c>
      <c r="Y656" s="68">
        <v>0</v>
      </c>
      <c r="Z656" s="70">
        <v>0</v>
      </c>
      <c r="AA656" s="35" t="e">
        <f t="shared" si="1414"/>
        <v>#DIV/0!</v>
      </c>
      <c r="AB656" s="11" t="e">
        <f t="shared" si="1415"/>
        <v>#DIV/0!</v>
      </c>
      <c r="AC656" s="20">
        <v>0</v>
      </c>
      <c r="AD656" s="36">
        <v>0</v>
      </c>
      <c r="AE656" s="35" t="e">
        <f t="shared" si="1416"/>
        <v>#DIV/0!</v>
      </c>
      <c r="AF656" s="6" t="e">
        <f t="shared" si="1417"/>
        <v>#DIV/0!</v>
      </c>
      <c r="AG656" s="68">
        <v>0</v>
      </c>
      <c r="AH656" s="66">
        <v>0</v>
      </c>
      <c r="AI656" s="35" t="e">
        <f t="shared" si="1418"/>
        <v>#DIV/0!</v>
      </c>
      <c r="AJ656" s="6" t="e">
        <f t="shared" si="1419"/>
        <v>#DIV/0!</v>
      </c>
      <c r="AK656" s="68">
        <v>6930</v>
      </c>
      <c r="AL656" s="65">
        <v>192</v>
      </c>
      <c r="AM656" s="35">
        <f t="shared" si="1420"/>
        <v>36.09375</v>
      </c>
      <c r="AN656" s="6">
        <f t="shared" si="1421"/>
        <v>0.33792769597412547</v>
      </c>
      <c r="AO656" s="68">
        <v>0</v>
      </c>
      <c r="AP656" s="66">
        <v>0</v>
      </c>
      <c r="AQ656" s="35" t="e">
        <f t="shared" si="1422"/>
        <v>#DIV/0!</v>
      </c>
      <c r="AR656" s="6" t="e">
        <f t="shared" si="1423"/>
        <v>#DIV/0!</v>
      </c>
      <c r="AS656" s="68">
        <v>0</v>
      </c>
      <c r="AT656" s="66">
        <v>0</v>
      </c>
      <c r="AU656" s="35" t="e">
        <f t="shared" si="1424"/>
        <v>#DIV/0!</v>
      </c>
      <c r="AV656" s="6" t="e">
        <f t="shared" si="1425"/>
        <v>#DIV/0!</v>
      </c>
      <c r="AW656" s="68">
        <v>0</v>
      </c>
      <c r="AX656" s="66">
        <v>0</v>
      </c>
      <c r="AY656" s="35" t="e">
        <f t="shared" si="1426"/>
        <v>#DIV/0!</v>
      </c>
      <c r="AZ656" s="6" t="e">
        <f t="shared" si="1427"/>
        <v>#DIV/0!</v>
      </c>
      <c r="BA656" s="68">
        <v>8400</v>
      </c>
      <c r="BB656" s="65">
        <v>144</v>
      </c>
      <c r="BC656" s="35">
        <f t="shared" si="1428"/>
        <v>58.333333333333336</v>
      </c>
      <c r="BD656" s="11">
        <f t="shared" si="1429"/>
        <v>0.54614577127131392</v>
      </c>
    </row>
    <row r="657" spans="1:56" ht="15.75" thickBot="1" x14ac:dyDescent="0.3">
      <c r="A657" s="19" t="s">
        <v>5</v>
      </c>
      <c r="B657" s="8">
        <v>154670</v>
      </c>
      <c r="C657" s="35">
        <f>B657/F649</f>
        <v>140.6090909090909</v>
      </c>
      <c r="D657" s="8">
        <v>7050</v>
      </c>
      <c r="E657" s="68">
        <v>0</v>
      </c>
      <c r="F657" s="70">
        <v>0</v>
      </c>
      <c r="G657" s="35" t="e">
        <f t="shared" si="1404"/>
        <v>#DIV/0!</v>
      </c>
      <c r="H657" s="11" t="e">
        <f t="shared" si="1405"/>
        <v>#DIV/0!</v>
      </c>
      <c r="I657" s="35">
        <v>0</v>
      </c>
      <c r="J657" s="70">
        <v>0</v>
      </c>
      <c r="K657" s="35" t="e">
        <f t="shared" si="1406"/>
        <v>#DIV/0!</v>
      </c>
      <c r="L657" s="6" t="e">
        <f t="shared" si="1407"/>
        <v>#DIV/0!</v>
      </c>
      <c r="M657" s="68">
        <v>0</v>
      </c>
      <c r="N657" s="5">
        <v>0</v>
      </c>
      <c r="O657" s="35" t="e">
        <f t="shared" si="1408"/>
        <v>#DIV/0!</v>
      </c>
      <c r="P657" s="11" t="e">
        <f t="shared" si="1409"/>
        <v>#DIV/0!</v>
      </c>
      <c r="Q657" s="35">
        <v>0</v>
      </c>
      <c r="R657" s="66">
        <v>0</v>
      </c>
      <c r="S657" s="35" t="e">
        <f t="shared" si="1410"/>
        <v>#DIV/0!</v>
      </c>
      <c r="T657" s="6" t="e">
        <f t="shared" si="1411"/>
        <v>#DIV/0!</v>
      </c>
      <c r="U657" s="68">
        <v>58630</v>
      </c>
      <c r="V657" s="65">
        <v>589</v>
      </c>
      <c r="W657" s="20">
        <f t="shared" si="1412"/>
        <v>99.541595925297116</v>
      </c>
      <c r="X657" s="6">
        <f t="shared" si="1413"/>
        <v>0.70793143801530256</v>
      </c>
      <c r="Y657" s="68">
        <v>0</v>
      </c>
      <c r="Z657" s="70">
        <v>0</v>
      </c>
      <c r="AA657" s="35" t="e">
        <f t="shared" si="1414"/>
        <v>#DIV/0!</v>
      </c>
      <c r="AB657" s="11" t="e">
        <f t="shared" si="1415"/>
        <v>#DIV/0!</v>
      </c>
      <c r="AC657" s="20">
        <v>0</v>
      </c>
      <c r="AD657" s="36">
        <v>0</v>
      </c>
      <c r="AE657" s="35" t="e">
        <f t="shared" si="1416"/>
        <v>#DIV/0!</v>
      </c>
      <c r="AF657" s="6" t="e">
        <f t="shared" si="1417"/>
        <v>#DIV/0!</v>
      </c>
      <c r="AG657" s="68">
        <v>0</v>
      </c>
      <c r="AH657" s="66">
        <v>0</v>
      </c>
      <c r="AI657" s="35" t="e">
        <f t="shared" si="1418"/>
        <v>#DIV/0!</v>
      </c>
      <c r="AJ657" s="6" t="e">
        <f t="shared" si="1419"/>
        <v>#DIV/0!</v>
      </c>
      <c r="AK657" s="68">
        <v>8050</v>
      </c>
      <c r="AL657" s="65">
        <v>192</v>
      </c>
      <c r="AM657" s="35">
        <f t="shared" si="1420"/>
        <v>41.927083333333336</v>
      </c>
      <c r="AN657" s="6">
        <f t="shared" si="1421"/>
        <v>0.29818188185599453</v>
      </c>
      <c r="AO657" s="68">
        <v>0</v>
      </c>
      <c r="AP657" s="66">
        <v>0</v>
      </c>
      <c r="AQ657" s="35" t="e">
        <f t="shared" si="1422"/>
        <v>#DIV/0!</v>
      </c>
      <c r="AR657" s="6" t="e">
        <f t="shared" si="1423"/>
        <v>#DIV/0!</v>
      </c>
      <c r="AS657" s="68">
        <v>0</v>
      </c>
      <c r="AT657" s="66">
        <v>0</v>
      </c>
      <c r="AU657" s="35" t="e">
        <f t="shared" si="1424"/>
        <v>#DIV/0!</v>
      </c>
      <c r="AV657" s="6" t="e">
        <f t="shared" si="1425"/>
        <v>#DIV/0!</v>
      </c>
      <c r="AW657" s="68">
        <v>0</v>
      </c>
      <c r="AX657" s="66">
        <v>0</v>
      </c>
      <c r="AY657" s="35" t="e">
        <f t="shared" si="1426"/>
        <v>#DIV/0!</v>
      </c>
      <c r="AZ657" s="6" t="e">
        <f t="shared" si="1427"/>
        <v>#DIV/0!</v>
      </c>
      <c r="BA657" s="68">
        <v>9780</v>
      </c>
      <c r="BB657" s="65">
        <v>144</v>
      </c>
      <c r="BC657" s="35">
        <f t="shared" si="1428"/>
        <v>67.916666666666671</v>
      </c>
      <c r="BD657" s="11">
        <f t="shared" si="1429"/>
        <v>0.48301760737915139</v>
      </c>
    </row>
    <row r="658" spans="1:56" x14ac:dyDescent="0.25">
      <c r="A658" s="19" t="s">
        <v>6</v>
      </c>
      <c r="B658" s="8">
        <v>180210</v>
      </c>
      <c r="C658" s="35">
        <f>B658/F649</f>
        <v>163.82727272727271</v>
      </c>
      <c r="D658" s="8">
        <v>10950</v>
      </c>
      <c r="E658" s="68">
        <v>0</v>
      </c>
      <c r="F658" s="70">
        <v>0</v>
      </c>
      <c r="G658" s="35" t="e">
        <f t="shared" si="1404"/>
        <v>#DIV/0!</v>
      </c>
      <c r="H658" s="11" t="e">
        <f t="shared" si="1405"/>
        <v>#DIV/0!</v>
      </c>
      <c r="I658" s="35">
        <v>0</v>
      </c>
      <c r="J658" s="70">
        <v>0</v>
      </c>
      <c r="K658" s="35" t="e">
        <f t="shared" si="1406"/>
        <v>#DIV/0!</v>
      </c>
      <c r="L658" s="6" t="e">
        <f t="shared" si="1407"/>
        <v>#DIV/0!</v>
      </c>
      <c r="M658" s="68">
        <v>0</v>
      </c>
      <c r="N658" s="5">
        <v>0</v>
      </c>
      <c r="O658" s="35" t="e">
        <f t="shared" si="1408"/>
        <v>#DIV/0!</v>
      </c>
      <c r="P658" s="11" t="e">
        <f t="shared" si="1409"/>
        <v>#DIV/0!</v>
      </c>
      <c r="Q658" s="35">
        <v>0</v>
      </c>
      <c r="R658" s="66">
        <v>0</v>
      </c>
      <c r="S658" s="35" t="e">
        <f t="shared" si="1410"/>
        <v>#DIV/0!</v>
      </c>
      <c r="T658" s="6" t="e">
        <f t="shared" si="1411"/>
        <v>#DIV/0!</v>
      </c>
      <c r="U658" s="68">
        <v>70680</v>
      </c>
      <c r="V658" s="65">
        <v>589</v>
      </c>
      <c r="W658" s="20">
        <f t="shared" si="1412"/>
        <v>120</v>
      </c>
      <c r="X658" s="6">
        <f t="shared" si="1413"/>
        <v>0.73247877476277679</v>
      </c>
      <c r="Y658" s="68">
        <v>0</v>
      </c>
      <c r="Z658" s="70">
        <v>0</v>
      </c>
      <c r="AA658" s="35" t="e">
        <f t="shared" si="1414"/>
        <v>#DIV/0!</v>
      </c>
      <c r="AB658" s="11" t="e">
        <f t="shared" si="1415"/>
        <v>#DIV/0!</v>
      </c>
      <c r="AC658" s="20">
        <v>0</v>
      </c>
      <c r="AD658" s="36">
        <v>0</v>
      </c>
      <c r="AE658" s="35" t="e">
        <f t="shared" si="1416"/>
        <v>#DIV/0!</v>
      </c>
      <c r="AF658" s="6" t="e">
        <f t="shared" si="1417"/>
        <v>#DIV/0!</v>
      </c>
      <c r="AG658" s="68">
        <v>0</v>
      </c>
      <c r="AH658" s="66">
        <v>0</v>
      </c>
      <c r="AI658" s="35" t="e">
        <f t="shared" si="1418"/>
        <v>#DIV/0!</v>
      </c>
      <c r="AJ658" s="6" t="e">
        <f t="shared" si="1419"/>
        <v>#DIV/0!</v>
      </c>
      <c r="AK658" s="68">
        <v>9140</v>
      </c>
      <c r="AL658" s="65">
        <v>192</v>
      </c>
      <c r="AM658" s="35">
        <f t="shared" si="1420"/>
        <v>47.604166666666664</v>
      </c>
      <c r="AN658" s="6">
        <f t="shared" si="1421"/>
        <v>0.29057534728002515</v>
      </c>
      <c r="AO658" s="68">
        <v>0</v>
      </c>
      <c r="AP658" s="66">
        <v>0</v>
      </c>
      <c r="AQ658" s="35" t="e">
        <f t="shared" si="1422"/>
        <v>#DIV/0!</v>
      </c>
      <c r="AR658" s="6" t="e">
        <f t="shared" si="1423"/>
        <v>#DIV/0!</v>
      </c>
      <c r="AS658" s="68">
        <v>0</v>
      </c>
      <c r="AT658" s="66">
        <v>0</v>
      </c>
      <c r="AU658" s="35" t="e">
        <f t="shared" si="1424"/>
        <v>#DIV/0!</v>
      </c>
      <c r="AV658" s="6" t="e">
        <f t="shared" si="1425"/>
        <v>#DIV/0!</v>
      </c>
      <c r="AW658" s="68">
        <v>0</v>
      </c>
      <c r="AX658" s="66">
        <v>0</v>
      </c>
      <c r="AY658" s="35" t="e">
        <f t="shared" si="1426"/>
        <v>#DIV/0!</v>
      </c>
      <c r="AZ658" s="6" t="e">
        <f t="shared" si="1427"/>
        <v>#DIV/0!</v>
      </c>
      <c r="BA658" s="68">
        <v>11320</v>
      </c>
      <c r="BB658" s="65">
        <v>144</v>
      </c>
      <c r="BC658" s="35">
        <f t="shared" si="1428"/>
        <v>78.611111111111114</v>
      </c>
      <c r="BD658" s="11">
        <f t="shared" si="1429"/>
        <v>0.47984141957839316</v>
      </c>
    </row>
    <row r="659" spans="1:56" ht="15.75" thickBot="1" x14ac:dyDescent="0.3">
      <c r="A659" s="21"/>
      <c r="B659" s="22"/>
      <c r="C659" s="23">
        <f>AVERAGE(Table11047[MA $/Sq Ft])</f>
        <v>97.132467532467544</v>
      </c>
      <c r="D659" s="22">
        <f>AVERAGE(Table11047[Basic Allowance])</f>
        <v>4442.8571428571431</v>
      </c>
      <c r="E659" s="16"/>
      <c r="F659" s="22"/>
      <c r="G659" s="15"/>
      <c r="H659" s="24" t="e">
        <f>AVERAGE(Table11047[Bsmt % Base])</f>
        <v>#DIV/0!</v>
      </c>
      <c r="I659" s="15"/>
      <c r="J659" s="15"/>
      <c r="K659" s="15"/>
      <c r="L659" s="25" t="e">
        <f>AVERAGE(Table11047[[#Headers],[#Data],[UnfBsmt % Base]])</f>
        <v>#DIV/0!</v>
      </c>
      <c r="M659" s="44"/>
      <c r="N659" s="15"/>
      <c r="O659" s="23" t="e">
        <f>AVERAGE(Table11047[LowerVal/SqFt])</f>
        <v>#DIV/0!</v>
      </c>
      <c r="P659" s="24" t="e">
        <f>AVERAGE(Table11047[Lower % Base])</f>
        <v>#DIV/0!</v>
      </c>
      <c r="Q659" s="13"/>
      <c r="R659" s="13"/>
      <c r="S659" s="13"/>
      <c r="T659" s="25" t="e">
        <f>AVERAGE(Table11047[Unf Lower % Base])</f>
        <v>#DIV/0!</v>
      </c>
      <c r="U659" s="12"/>
      <c r="V659" s="13"/>
      <c r="W659" s="13"/>
      <c r="X659" s="25">
        <f>AVERAGE(Table11047[1/2 Story % Base])</f>
        <v>0.6750157754901801</v>
      </c>
      <c r="Y659" s="12"/>
      <c r="Z659" s="13"/>
      <c r="AA659" s="13"/>
      <c r="AB659" s="24" t="e">
        <f>AVERAGE(Table11047[2nd Story % Base])</f>
        <v>#DIV/0!</v>
      </c>
      <c r="AC659" s="13"/>
      <c r="AD659" s="13"/>
      <c r="AE659" s="23" t="e">
        <f>AVERAGE(Table11047[AttGarVal/SqFt])</f>
        <v>#DIV/0!</v>
      </c>
      <c r="AF659" s="25" t="e">
        <f>AVERAGE(Table11047[Att Gar % Base])</f>
        <v>#DIV/0!</v>
      </c>
      <c r="AG659" s="12"/>
      <c r="AH659" s="13"/>
      <c r="AI659" s="13"/>
      <c r="AJ659" s="25" t="e">
        <f>AVERAGE(Table11047[Porch % Base])</f>
        <v>#DIV/0!</v>
      </c>
      <c r="AK659" s="12"/>
      <c r="AL659" s="13"/>
      <c r="AM659" s="13"/>
      <c r="AN659" s="25">
        <f>AVERAGE(Table11047[Cov Porch % Base])</f>
        <v>0.33689972993565009</v>
      </c>
      <c r="AO659" s="12"/>
      <c r="AP659" s="13"/>
      <c r="AQ659" s="13"/>
      <c r="AR659" s="25" t="e">
        <f>AVERAGE(Table11047[Deck % Base])</f>
        <v>#DIV/0!</v>
      </c>
      <c r="AS659" s="12"/>
      <c r="AT659" s="13"/>
      <c r="AU659" s="23" t="e">
        <f>AVERAGE(Table11047[CovDeckVal/SqFt])</f>
        <v>#DIV/0!</v>
      </c>
      <c r="AV659" s="25" t="e">
        <f>AVERAGE(Table11047[CovDeck % Base])</f>
        <v>#DIV/0!</v>
      </c>
      <c r="AW659" s="12"/>
      <c r="AX659" s="13"/>
      <c r="AY659" s="13"/>
      <c r="AZ659" s="25" t="e">
        <f>AVERAGE(Table11047[CarP % Base])</f>
        <v>#DIV/0!</v>
      </c>
      <c r="BA659" s="12"/>
      <c r="BB659" s="13"/>
      <c r="BC659" s="13"/>
      <c r="BD659" s="24">
        <f>AVERAGE(Table11047[EFP % Base])</f>
        <v>0.52443293268649893</v>
      </c>
    </row>
    <row r="661" spans="1:56" ht="15.75" thickBot="1" x14ac:dyDescent="0.3">
      <c r="A661" s="82"/>
      <c r="B661" t="s">
        <v>79</v>
      </c>
      <c r="C661" s="78" t="s">
        <v>151</v>
      </c>
      <c r="E661" t="s">
        <v>33</v>
      </c>
      <c r="F661" s="79">
        <v>1301</v>
      </c>
      <c r="H661" t="s">
        <v>80</v>
      </c>
      <c r="I661" t="s">
        <v>152</v>
      </c>
    </row>
    <row r="662" spans="1:56" x14ac:dyDescent="0.25">
      <c r="A662" s="112"/>
      <c r="B662" s="113"/>
      <c r="C662" s="113"/>
      <c r="D662" s="114"/>
      <c r="E662" s="115" t="s">
        <v>27</v>
      </c>
      <c r="F662" s="116"/>
      <c r="G662" s="116"/>
      <c r="H662" s="117"/>
      <c r="I662" s="118" t="s">
        <v>28</v>
      </c>
      <c r="J662" s="119"/>
      <c r="K662" s="119"/>
      <c r="L662" s="120"/>
      <c r="M662" s="121" t="s">
        <v>7</v>
      </c>
      <c r="N662" s="122"/>
      <c r="O662" s="122"/>
      <c r="P662" s="123"/>
      <c r="Q662" s="124" t="s">
        <v>29</v>
      </c>
      <c r="R662" s="125"/>
      <c r="S662" s="125"/>
      <c r="T662" s="126"/>
      <c r="U662" s="127" t="s">
        <v>8</v>
      </c>
      <c r="V662" s="128"/>
      <c r="W662" s="128"/>
      <c r="X662" s="129"/>
      <c r="Y662" s="130" t="s">
        <v>0</v>
      </c>
      <c r="Z662" s="131"/>
      <c r="AA662" s="131"/>
      <c r="AB662" s="132"/>
      <c r="AC662" s="133" t="s">
        <v>34</v>
      </c>
      <c r="AD662" s="134"/>
      <c r="AE662" s="134"/>
      <c r="AF662" s="135"/>
      <c r="AG662" s="115" t="s">
        <v>9</v>
      </c>
      <c r="AH662" s="116"/>
      <c r="AI662" s="116"/>
      <c r="AJ662" s="117"/>
      <c r="AK662" s="136" t="s">
        <v>35</v>
      </c>
      <c r="AL662" s="137"/>
      <c r="AM662" s="137"/>
      <c r="AN662" s="138"/>
      <c r="AO662" s="139" t="s">
        <v>10</v>
      </c>
      <c r="AP662" s="140"/>
      <c r="AQ662" s="140"/>
      <c r="AR662" s="141"/>
      <c r="AS662" s="124" t="s">
        <v>36</v>
      </c>
      <c r="AT662" s="125"/>
      <c r="AU662" s="125"/>
      <c r="AV662" s="126"/>
      <c r="AW662" s="142" t="s">
        <v>11</v>
      </c>
      <c r="AX662" s="143"/>
      <c r="AY662" s="143"/>
      <c r="AZ662" s="144"/>
      <c r="BA662" s="145" t="s">
        <v>153</v>
      </c>
      <c r="BB662" s="149"/>
      <c r="BC662" s="149"/>
      <c r="BD662" s="150"/>
    </row>
    <row r="663" spans="1:56" s="1" customFormat="1" ht="15.75" thickBot="1" x14ac:dyDescent="0.3">
      <c r="A663" s="41" t="s">
        <v>13</v>
      </c>
      <c r="B663" s="42" t="s">
        <v>15</v>
      </c>
      <c r="C663" s="42" t="s">
        <v>32</v>
      </c>
      <c r="D663" s="43" t="s">
        <v>18</v>
      </c>
      <c r="E663" s="30" t="s">
        <v>30</v>
      </c>
      <c r="F663" s="31" t="s">
        <v>61</v>
      </c>
      <c r="G663" s="31" t="s">
        <v>38</v>
      </c>
      <c r="H663" s="32" t="s">
        <v>62</v>
      </c>
      <c r="I663" s="37" t="s">
        <v>31</v>
      </c>
      <c r="J663" s="38" t="s">
        <v>39</v>
      </c>
      <c r="K663" s="38" t="s">
        <v>40</v>
      </c>
      <c r="L663" s="39" t="s">
        <v>63</v>
      </c>
      <c r="M663" s="40" t="s">
        <v>19</v>
      </c>
      <c r="N663" s="7" t="s">
        <v>41</v>
      </c>
      <c r="O663" s="7" t="s">
        <v>37</v>
      </c>
      <c r="P663" s="7" t="s">
        <v>64</v>
      </c>
      <c r="Q663" s="27" t="s">
        <v>20</v>
      </c>
      <c r="R663" s="28" t="s">
        <v>60</v>
      </c>
      <c r="S663" s="28" t="s">
        <v>59</v>
      </c>
      <c r="T663" s="29" t="s">
        <v>65</v>
      </c>
      <c r="U663" s="48" t="s">
        <v>21</v>
      </c>
      <c r="V663" s="48" t="s">
        <v>42</v>
      </c>
      <c r="W663" s="48" t="s">
        <v>43</v>
      </c>
      <c r="X663" s="49" t="s">
        <v>66</v>
      </c>
      <c r="Y663" s="50" t="s">
        <v>22</v>
      </c>
      <c r="Z663" s="51" t="s">
        <v>44</v>
      </c>
      <c r="AA663" s="51" t="s">
        <v>45</v>
      </c>
      <c r="AB663" s="52" t="s">
        <v>67</v>
      </c>
      <c r="AC663" s="45" t="s">
        <v>23</v>
      </c>
      <c r="AD663" s="46" t="s">
        <v>46</v>
      </c>
      <c r="AE663" s="46" t="s">
        <v>47</v>
      </c>
      <c r="AF663" s="47" t="s">
        <v>68</v>
      </c>
      <c r="AG663" s="30" t="s">
        <v>24</v>
      </c>
      <c r="AH663" s="31" t="s">
        <v>48</v>
      </c>
      <c r="AI663" s="31" t="s">
        <v>49</v>
      </c>
      <c r="AJ663" s="32" t="s">
        <v>69</v>
      </c>
      <c r="AK663" s="53" t="s">
        <v>25</v>
      </c>
      <c r="AL663" s="54" t="s">
        <v>50</v>
      </c>
      <c r="AM663" s="54" t="s">
        <v>51</v>
      </c>
      <c r="AN663" s="55" t="s">
        <v>70</v>
      </c>
      <c r="AO663" s="56" t="s">
        <v>26</v>
      </c>
      <c r="AP663" s="57" t="s">
        <v>52</v>
      </c>
      <c r="AQ663" s="57" t="s">
        <v>53</v>
      </c>
      <c r="AR663" s="58" t="s">
        <v>71</v>
      </c>
      <c r="AS663" s="59" t="s">
        <v>55</v>
      </c>
      <c r="AT663" s="60" t="s">
        <v>54</v>
      </c>
      <c r="AU663" s="60" t="s">
        <v>56</v>
      </c>
      <c r="AV663" s="61" t="s">
        <v>76</v>
      </c>
      <c r="AW663" s="62" t="s">
        <v>72</v>
      </c>
      <c r="AX663" s="63" t="s">
        <v>73</v>
      </c>
      <c r="AY663" s="63" t="s">
        <v>74</v>
      </c>
      <c r="AZ663" s="64" t="s">
        <v>75</v>
      </c>
      <c r="BA663" s="71" t="s">
        <v>77</v>
      </c>
      <c r="BB663" s="72" t="s">
        <v>57</v>
      </c>
      <c r="BC663" s="72" t="s">
        <v>58</v>
      </c>
      <c r="BD663" s="73" t="s">
        <v>78</v>
      </c>
    </row>
    <row r="664" spans="1:56" ht="15.75" thickBot="1" x14ac:dyDescent="0.3">
      <c r="A664" s="17" t="s">
        <v>1</v>
      </c>
      <c r="B664" s="14">
        <v>65220</v>
      </c>
      <c r="C664" s="34">
        <f>B664/F661</f>
        <v>50.130668716372021</v>
      </c>
      <c r="D664" s="14">
        <v>1525</v>
      </c>
      <c r="E664" s="67">
        <v>0</v>
      </c>
      <c r="F664" s="69">
        <v>0</v>
      </c>
      <c r="G664" s="34" t="e">
        <f t="shared" ref="G664:G670" si="1430">E664/F664</f>
        <v>#DIV/0!</v>
      </c>
      <c r="H664" s="10" t="e">
        <f t="shared" ref="H664:H670" si="1431">G664/C664</f>
        <v>#DIV/0!</v>
      </c>
      <c r="I664" s="34">
        <v>0</v>
      </c>
      <c r="J664" s="69">
        <v>0</v>
      </c>
      <c r="K664" s="34" t="e">
        <f t="shared" ref="K664:K670" si="1432">I664/J664</f>
        <v>#DIV/0!</v>
      </c>
      <c r="L664" s="9" t="e">
        <f t="shared" ref="L664:L670" si="1433">K664/C664</f>
        <v>#DIV/0!</v>
      </c>
      <c r="M664" s="67">
        <v>0</v>
      </c>
      <c r="N664" s="26">
        <v>0</v>
      </c>
      <c r="O664" s="34" t="e">
        <f t="shared" ref="O664:O670" si="1434">M664/N664</f>
        <v>#DIV/0!</v>
      </c>
      <c r="P664" s="10" t="e">
        <f t="shared" ref="P664:P670" si="1435">O664/C664</f>
        <v>#DIV/0!</v>
      </c>
      <c r="Q664" s="35">
        <v>0</v>
      </c>
      <c r="R664" s="66">
        <v>0</v>
      </c>
      <c r="S664" s="35" t="e">
        <f t="shared" ref="S664:S670" si="1436">Q664/R664</f>
        <v>#DIV/0!</v>
      </c>
      <c r="T664" s="6" t="e">
        <f t="shared" ref="T664:T670" si="1437">S664/C664</f>
        <v>#DIV/0!</v>
      </c>
      <c r="U664" s="67">
        <v>19260</v>
      </c>
      <c r="V664" s="65">
        <v>631</v>
      </c>
      <c r="W664" s="18">
        <f t="shared" ref="W664:W670" si="1438">U664/V664</f>
        <v>30.522979397781299</v>
      </c>
      <c r="X664" s="9">
        <f t="shared" ref="X664:X670" si="1439">W664/C664</f>
        <v>0.60886838694439538</v>
      </c>
      <c r="Y664" s="67">
        <v>0</v>
      </c>
      <c r="Z664" s="69">
        <v>0</v>
      </c>
      <c r="AA664" s="34" t="e">
        <f t="shared" ref="AA664:AA670" si="1440">Y664/Z664</f>
        <v>#DIV/0!</v>
      </c>
      <c r="AB664" s="10" t="e">
        <f t="shared" ref="AB664:AB670" si="1441">AA664/C664</f>
        <v>#DIV/0!</v>
      </c>
      <c r="AC664" s="18">
        <v>0</v>
      </c>
      <c r="AD664" s="33">
        <v>0</v>
      </c>
      <c r="AE664" s="34" t="e">
        <f t="shared" ref="AE664:AE670" si="1442">AC664/AD664</f>
        <v>#DIV/0!</v>
      </c>
      <c r="AF664" s="9" t="e">
        <f t="shared" ref="AF664:AF670" si="1443">AE664/C664</f>
        <v>#DIV/0!</v>
      </c>
      <c r="AG664" s="67">
        <v>0</v>
      </c>
      <c r="AH664" s="65">
        <v>0</v>
      </c>
      <c r="AI664" s="34" t="e">
        <f t="shared" ref="AI664:AI670" si="1444">AG664/AH664</f>
        <v>#DIV/0!</v>
      </c>
      <c r="AJ664" s="9" t="e">
        <f t="shared" ref="AJ664:AJ670" si="1445">AI664/C664</f>
        <v>#DIV/0!</v>
      </c>
      <c r="AK664" s="67">
        <v>0</v>
      </c>
      <c r="AL664" s="65">
        <v>0</v>
      </c>
      <c r="AM664" s="34" t="e">
        <f t="shared" ref="AM664:AM670" si="1446">AK664/AL664</f>
        <v>#DIV/0!</v>
      </c>
      <c r="AN664" s="9" t="e">
        <f t="shared" ref="AN664:AN670" si="1447">AM664/C664</f>
        <v>#DIV/0!</v>
      </c>
      <c r="AO664" s="67">
        <v>0</v>
      </c>
      <c r="AP664" s="65">
        <v>0</v>
      </c>
      <c r="AQ664" s="34" t="e">
        <f t="shared" ref="AQ664:AQ670" si="1448">AO664/AP664</f>
        <v>#DIV/0!</v>
      </c>
      <c r="AR664" s="9" t="e">
        <f t="shared" ref="AR664:AR670" si="1449">AQ664/C664</f>
        <v>#DIV/0!</v>
      </c>
      <c r="AS664" s="67">
        <v>1190</v>
      </c>
      <c r="AT664" s="65">
        <v>63</v>
      </c>
      <c r="AU664" s="34">
        <f t="shared" ref="AU664:AU670" si="1450">AS664/AT664</f>
        <v>18.888888888888889</v>
      </c>
      <c r="AV664" s="9">
        <f t="shared" ref="AV664:AV670" si="1451">AU664/C664</f>
        <v>0.37679307642509113</v>
      </c>
      <c r="AW664" s="67">
        <v>0</v>
      </c>
      <c r="AX664" s="65">
        <v>0</v>
      </c>
      <c r="AY664" s="34" t="e">
        <f t="shared" ref="AY664:AY670" si="1452">AW664/AX664</f>
        <v>#DIV/0!</v>
      </c>
      <c r="AZ664" s="9" t="e">
        <f t="shared" ref="AZ664:AZ670" si="1453">AY664/C664</f>
        <v>#DIV/0!</v>
      </c>
      <c r="BA664" s="67">
        <v>1650</v>
      </c>
      <c r="BB664" s="65">
        <v>36</v>
      </c>
      <c r="BC664" s="34">
        <f t="shared" ref="BC664:BC670" si="1454">BA664/BB664</f>
        <v>45.833333333333336</v>
      </c>
      <c r="BD664" s="10">
        <f t="shared" ref="BD664:BD670" si="1455">BC664/C664</f>
        <v>0.91427731779617705</v>
      </c>
    </row>
    <row r="665" spans="1:56" ht="15.75" thickBot="1" x14ac:dyDescent="0.3">
      <c r="A665" s="19" t="s">
        <v>16</v>
      </c>
      <c r="B665" s="8">
        <v>76730</v>
      </c>
      <c r="C665" s="35">
        <f>B665/F661</f>
        <v>58.977709454265948</v>
      </c>
      <c r="D665" s="8">
        <v>1525</v>
      </c>
      <c r="E665" s="68">
        <v>0</v>
      </c>
      <c r="F665" s="70">
        <v>0</v>
      </c>
      <c r="G665" s="35" t="e">
        <f t="shared" si="1430"/>
        <v>#DIV/0!</v>
      </c>
      <c r="H665" s="11" t="e">
        <f t="shared" si="1431"/>
        <v>#DIV/0!</v>
      </c>
      <c r="I665" s="35">
        <v>0</v>
      </c>
      <c r="J665" s="70">
        <v>0</v>
      </c>
      <c r="K665" s="35" t="e">
        <f t="shared" si="1432"/>
        <v>#DIV/0!</v>
      </c>
      <c r="L665" s="6" t="e">
        <f t="shared" si="1433"/>
        <v>#DIV/0!</v>
      </c>
      <c r="M665" s="68">
        <v>0</v>
      </c>
      <c r="N665" s="5">
        <v>0</v>
      </c>
      <c r="O665" s="35" t="e">
        <f t="shared" si="1434"/>
        <v>#DIV/0!</v>
      </c>
      <c r="P665" s="11" t="e">
        <f t="shared" si="1435"/>
        <v>#DIV/0!</v>
      </c>
      <c r="Q665" s="35">
        <v>0</v>
      </c>
      <c r="R665" s="66">
        <v>0</v>
      </c>
      <c r="S665" s="35" t="e">
        <f t="shared" si="1436"/>
        <v>#DIV/0!</v>
      </c>
      <c r="T665" s="6" t="e">
        <f t="shared" si="1437"/>
        <v>#DIV/0!</v>
      </c>
      <c r="U665" s="68">
        <v>25020</v>
      </c>
      <c r="V665" s="65">
        <v>631</v>
      </c>
      <c r="W665" s="20">
        <f t="shared" si="1438"/>
        <v>39.651347068145803</v>
      </c>
      <c r="X665" s="6">
        <f t="shared" si="1439"/>
        <v>0.67231073290313681</v>
      </c>
      <c r="Y665" s="68">
        <v>0</v>
      </c>
      <c r="Z665" s="70">
        <v>0</v>
      </c>
      <c r="AA665" s="35" t="e">
        <f t="shared" si="1440"/>
        <v>#DIV/0!</v>
      </c>
      <c r="AB665" s="11" t="e">
        <f t="shared" si="1441"/>
        <v>#DIV/0!</v>
      </c>
      <c r="AC665" s="20">
        <v>0</v>
      </c>
      <c r="AD665" s="36">
        <v>0</v>
      </c>
      <c r="AE665" s="35" t="e">
        <f t="shared" si="1442"/>
        <v>#DIV/0!</v>
      </c>
      <c r="AF665" s="6" t="e">
        <f t="shared" si="1443"/>
        <v>#DIV/0!</v>
      </c>
      <c r="AG665" s="68">
        <v>0</v>
      </c>
      <c r="AH665" s="66">
        <v>0</v>
      </c>
      <c r="AI665" s="35" t="e">
        <f t="shared" si="1444"/>
        <v>#DIV/0!</v>
      </c>
      <c r="AJ665" s="6" t="e">
        <f t="shared" si="1445"/>
        <v>#DIV/0!</v>
      </c>
      <c r="AK665" s="68">
        <v>0</v>
      </c>
      <c r="AL665" s="66">
        <v>0</v>
      </c>
      <c r="AM665" s="35" t="e">
        <f t="shared" si="1446"/>
        <v>#DIV/0!</v>
      </c>
      <c r="AN665" s="6" t="e">
        <f t="shared" si="1447"/>
        <v>#DIV/0!</v>
      </c>
      <c r="AO665" s="68">
        <v>0</v>
      </c>
      <c r="AP665" s="66">
        <v>0</v>
      </c>
      <c r="AQ665" s="35" t="e">
        <f t="shared" si="1448"/>
        <v>#DIV/0!</v>
      </c>
      <c r="AR665" s="6" t="e">
        <f t="shared" si="1449"/>
        <v>#DIV/0!</v>
      </c>
      <c r="AS665" s="68">
        <v>1720</v>
      </c>
      <c r="AT665" s="65">
        <v>63</v>
      </c>
      <c r="AU665" s="35">
        <f t="shared" si="1450"/>
        <v>27.301587301587301</v>
      </c>
      <c r="AV665" s="6">
        <f t="shared" si="1451"/>
        <v>0.46291365931663075</v>
      </c>
      <c r="AW665" s="68">
        <v>0</v>
      </c>
      <c r="AX665" s="66">
        <v>0</v>
      </c>
      <c r="AY665" s="35" t="e">
        <f t="shared" si="1452"/>
        <v>#DIV/0!</v>
      </c>
      <c r="AZ665" s="6" t="e">
        <f t="shared" si="1453"/>
        <v>#DIV/0!</v>
      </c>
      <c r="BA665" s="68">
        <v>2400</v>
      </c>
      <c r="BB665" s="65">
        <v>36</v>
      </c>
      <c r="BC665" s="35">
        <f t="shared" si="1454"/>
        <v>66.666666666666671</v>
      </c>
      <c r="BD665" s="11">
        <f t="shared" si="1455"/>
        <v>1.1303705634475869</v>
      </c>
    </row>
    <row r="666" spans="1:56" ht="15.75" thickBot="1" x14ac:dyDescent="0.3">
      <c r="A666" s="19" t="s">
        <v>2</v>
      </c>
      <c r="B666" s="8">
        <v>89720</v>
      </c>
      <c r="C666" s="35">
        <f>B666/F661</f>
        <v>68.962336664104541</v>
      </c>
      <c r="D666" s="8">
        <v>2100</v>
      </c>
      <c r="E666" s="68">
        <v>0</v>
      </c>
      <c r="F666" s="70">
        <v>0</v>
      </c>
      <c r="G666" s="35" t="e">
        <f t="shared" si="1430"/>
        <v>#DIV/0!</v>
      </c>
      <c r="H666" s="11" t="e">
        <f t="shared" si="1431"/>
        <v>#DIV/0!</v>
      </c>
      <c r="I666" s="35">
        <v>0</v>
      </c>
      <c r="J666" s="70">
        <v>0</v>
      </c>
      <c r="K666" s="35" t="e">
        <f t="shared" si="1432"/>
        <v>#DIV/0!</v>
      </c>
      <c r="L666" s="6" t="e">
        <f t="shared" si="1433"/>
        <v>#DIV/0!</v>
      </c>
      <c r="M666" s="68">
        <v>0</v>
      </c>
      <c r="N666" s="5">
        <v>0</v>
      </c>
      <c r="O666" s="35" t="e">
        <f t="shared" si="1434"/>
        <v>#DIV/0!</v>
      </c>
      <c r="P666" s="11" t="e">
        <f t="shared" si="1435"/>
        <v>#DIV/0!</v>
      </c>
      <c r="Q666" s="35">
        <v>0</v>
      </c>
      <c r="R666" s="66">
        <v>0</v>
      </c>
      <c r="S666" s="35" t="e">
        <f t="shared" si="1436"/>
        <v>#DIV/0!</v>
      </c>
      <c r="T666" s="6" t="e">
        <f t="shared" si="1437"/>
        <v>#DIV/0!</v>
      </c>
      <c r="U666" s="68">
        <v>31350</v>
      </c>
      <c r="V666" s="65">
        <v>631</v>
      </c>
      <c r="W666" s="20">
        <f t="shared" si="1438"/>
        <v>49.683042789223457</v>
      </c>
      <c r="X666" s="6">
        <f t="shared" si="1439"/>
        <v>0.72043734584016617</v>
      </c>
      <c r="Y666" s="68">
        <v>0</v>
      </c>
      <c r="Z666" s="70">
        <v>0</v>
      </c>
      <c r="AA666" s="35" t="e">
        <f t="shared" si="1440"/>
        <v>#DIV/0!</v>
      </c>
      <c r="AB666" s="11" t="e">
        <f t="shared" si="1441"/>
        <v>#DIV/0!</v>
      </c>
      <c r="AC666" s="20">
        <v>0</v>
      </c>
      <c r="AD666" s="36">
        <v>0</v>
      </c>
      <c r="AE666" s="35" t="e">
        <f t="shared" si="1442"/>
        <v>#DIV/0!</v>
      </c>
      <c r="AF666" s="6" t="e">
        <f t="shared" si="1443"/>
        <v>#DIV/0!</v>
      </c>
      <c r="AG666" s="68">
        <v>0</v>
      </c>
      <c r="AH666" s="66">
        <v>0</v>
      </c>
      <c r="AI666" s="35" t="e">
        <f t="shared" si="1444"/>
        <v>#DIV/0!</v>
      </c>
      <c r="AJ666" s="6" t="e">
        <f t="shared" si="1445"/>
        <v>#DIV/0!</v>
      </c>
      <c r="AK666" s="68">
        <v>0</v>
      </c>
      <c r="AL666" s="66">
        <v>0</v>
      </c>
      <c r="AM666" s="35" t="e">
        <f t="shared" si="1446"/>
        <v>#DIV/0!</v>
      </c>
      <c r="AN666" s="6" t="e">
        <f t="shared" si="1447"/>
        <v>#DIV/0!</v>
      </c>
      <c r="AO666" s="68">
        <v>0</v>
      </c>
      <c r="AP666" s="66">
        <v>0</v>
      </c>
      <c r="AQ666" s="35" t="e">
        <f t="shared" si="1448"/>
        <v>#DIV/0!</v>
      </c>
      <c r="AR666" s="6" t="e">
        <f t="shared" si="1449"/>
        <v>#DIV/0!</v>
      </c>
      <c r="AS666" s="68">
        <v>1870</v>
      </c>
      <c r="AT666" s="65">
        <v>63</v>
      </c>
      <c r="AU666" s="35">
        <f t="shared" si="1450"/>
        <v>29.682539682539684</v>
      </c>
      <c r="AV666" s="6">
        <f t="shared" si="1451"/>
        <v>0.43041667551252927</v>
      </c>
      <c r="AW666" s="68">
        <v>0</v>
      </c>
      <c r="AX666" s="66">
        <v>0</v>
      </c>
      <c r="AY666" s="35" t="e">
        <f t="shared" si="1452"/>
        <v>#DIV/0!</v>
      </c>
      <c r="AZ666" s="6" t="e">
        <f t="shared" si="1453"/>
        <v>#DIV/0!</v>
      </c>
      <c r="BA666" s="68">
        <v>2760</v>
      </c>
      <c r="BB666" s="65">
        <v>36</v>
      </c>
      <c r="BC666" s="35">
        <f t="shared" si="1454"/>
        <v>76.666666666666671</v>
      </c>
      <c r="BD666" s="11">
        <f t="shared" si="1455"/>
        <v>1.1117179372863724</v>
      </c>
    </row>
    <row r="667" spans="1:56" ht="15.75" thickBot="1" x14ac:dyDescent="0.3">
      <c r="A667" s="19" t="s">
        <v>3</v>
      </c>
      <c r="B667" s="8">
        <v>108420</v>
      </c>
      <c r="C667" s="35">
        <f>B667/F661</f>
        <v>83.335895465026908</v>
      </c>
      <c r="D667" s="8">
        <v>2700</v>
      </c>
      <c r="E667" s="68">
        <v>0</v>
      </c>
      <c r="F667" s="70">
        <v>0</v>
      </c>
      <c r="G667" s="35" t="e">
        <f t="shared" si="1430"/>
        <v>#DIV/0!</v>
      </c>
      <c r="H667" s="11" t="e">
        <f t="shared" si="1431"/>
        <v>#DIV/0!</v>
      </c>
      <c r="I667" s="35">
        <v>0</v>
      </c>
      <c r="J667" s="70">
        <v>0</v>
      </c>
      <c r="K667" s="35" t="e">
        <f t="shared" si="1432"/>
        <v>#DIV/0!</v>
      </c>
      <c r="L667" s="6" t="e">
        <f t="shared" si="1433"/>
        <v>#DIV/0!</v>
      </c>
      <c r="M667" s="68">
        <v>0</v>
      </c>
      <c r="N667" s="5">
        <v>0</v>
      </c>
      <c r="O667" s="35" t="e">
        <f t="shared" si="1434"/>
        <v>#DIV/0!</v>
      </c>
      <c r="P667" s="11" t="e">
        <f t="shared" si="1435"/>
        <v>#DIV/0!</v>
      </c>
      <c r="Q667" s="35">
        <v>0</v>
      </c>
      <c r="R667" s="66">
        <v>0</v>
      </c>
      <c r="S667" s="35" t="e">
        <f t="shared" si="1436"/>
        <v>#DIV/0!</v>
      </c>
      <c r="T667" s="6" t="e">
        <f t="shared" si="1437"/>
        <v>#DIV/0!</v>
      </c>
      <c r="U667" s="68">
        <v>38040</v>
      </c>
      <c r="V667" s="65">
        <v>631</v>
      </c>
      <c r="W667" s="20">
        <f t="shared" si="1438"/>
        <v>60.28526148969889</v>
      </c>
      <c r="X667" s="6">
        <f t="shared" si="1439"/>
        <v>0.7234008964960178</v>
      </c>
      <c r="Y667" s="68">
        <v>0</v>
      </c>
      <c r="Z667" s="70">
        <v>0</v>
      </c>
      <c r="AA667" s="35" t="e">
        <f t="shared" si="1440"/>
        <v>#DIV/0!</v>
      </c>
      <c r="AB667" s="11" t="e">
        <f t="shared" si="1441"/>
        <v>#DIV/0!</v>
      </c>
      <c r="AC667" s="20">
        <v>0</v>
      </c>
      <c r="AD667" s="36">
        <v>0</v>
      </c>
      <c r="AE667" s="35" t="e">
        <f t="shared" si="1442"/>
        <v>#DIV/0!</v>
      </c>
      <c r="AF667" s="6" t="e">
        <f t="shared" si="1443"/>
        <v>#DIV/0!</v>
      </c>
      <c r="AG667" s="68">
        <v>0</v>
      </c>
      <c r="AH667" s="66">
        <v>0</v>
      </c>
      <c r="AI667" s="35" t="e">
        <f t="shared" si="1444"/>
        <v>#DIV/0!</v>
      </c>
      <c r="AJ667" s="6" t="e">
        <f t="shared" si="1445"/>
        <v>#DIV/0!</v>
      </c>
      <c r="AK667" s="68">
        <v>0</v>
      </c>
      <c r="AL667" s="66">
        <v>0</v>
      </c>
      <c r="AM667" s="35" t="e">
        <f t="shared" si="1446"/>
        <v>#DIV/0!</v>
      </c>
      <c r="AN667" s="6" t="e">
        <f t="shared" si="1447"/>
        <v>#DIV/0!</v>
      </c>
      <c r="AO667" s="68">
        <v>0</v>
      </c>
      <c r="AP667" s="66">
        <v>0</v>
      </c>
      <c r="AQ667" s="35" t="e">
        <f t="shared" si="1448"/>
        <v>#DIV/0!</v>
      </c>
      <c r="AR667" s="6" t="e">
        <f t="shared" si="1449"/>
        <v>#DIV/0!</v>
      </c>
      <c r="AS667" s="68">
        <v>2180</v>
      </c>
      <c r="AT667" s="65">
        <v>63</v>
      </c>
      <c r="AU667" s="35">
        <f t="shared" si="1450"/>
        <v>34.603174603174601</v>
      </c>
      <c r="AV667" s="6">
        <f t="shared" si="1451"/>
        <v>0.41522532889439356</v>
      </c>
      <c r="AW667" s="68">
        <v>0</v>
      </c>
      <c r="AX667" s="66">
        <v>0</v>
      </c>
      <c r="AY667" s="35" t="e">
        <f t="shared" si="1452"/>
        <v>#DIV/0!</v>
      </c>
      <c r="AZ667" s="6" t="e">
        <f t="shared" si="1453"/>
        <v>#DIV/0!</v>
      </c>
      <c r="BA667" s="68">
        <v>3110</v>
      </c>
      <c r="BB667" s="65">
        <v>36</v>
      </c>
      <c r="BC667" s="35">
        <f t="shared" si="1454"/>
        <v>86.388888888888886</v>
      </c>
      <c r="BD667" s="11">
        <f t="shared" si="1455"/>
        <v>1.0366347947283199</v>
      </c>
    </row>
    <row r="668" spans="1:56" ht="15.75" thickBot="1" x14ac:dyDescent="0.3">
      <c r="A668" s="19" t="s">
        <v>4</v>
      </c>
      <c r="B668" s="8">
        <v>135040</v>
      </c>
      <c r="C668" s="35">
        <f>B668/F661</f>
        <v>103.79707916986933</v>
      </c>
      <c r="D668" s="8">
        <v>5250</v>
      </c>
      <c r="E668" s="68">
        <v>0</v>
      </c>
      <c r="F668" s="70">
        <v>0</v>
      </c>
      <c r="G668" s="35" t="e">
        <f t="shared" si="1430"/>
        <v>#DIV/0!</v>
      </c>
      <c r="H668" s="11" t="e">
        <f t="shared" si="1431"/>
        <v>#DIV/0!</v>
      </c>
      <c r="I668" s="35">
        <v>0</v>
      </c>
      <c r="J668" s="70">
        <v>0</v>
      </c>
      <c r="K668" s="35" t="e">
        <f t="shared" si="1432"/>
        <v>#DIV/0!</v>
      </c>
      <c r="L668" s="6" t="e">
        <f t="shared" si="1433"/>
        <v>#DIV/0!</v>
      </c>
      <c r="M668" s="68">
        <v>0</v>
      </c>
      <c r="N668" s="5">
        <v>0</v>
      </c>
      <c r="O668" s="35" t="e">
        <f t="shared" si="1434"/>
        <v>#DIV/0!</v>
      </c>
      <c r="P668" s="11" t="e">
        <f t="shared" si="1435"/>
        <v>#DIV/0!</v>
      </c>
      <c r="Q668" s="35">
        <v>0</v>
      </c>
      <c r="R668" s="66">
        <v>0</v>
      </c>
      <c r="S668" s="35" t="e">
        <f t="shared" si="1436"/>
        <v>#DIV/0!</v>
      </c>
      <c r="T668" s="6" t="e">
        <f t="shared" si="1437"/>
        <v>#DIV/0!</v>
      </c>
      <c r="U668" s="68">
        <v>46570</v>
      </c>
      <c r="V668" s="65">
        <v>631</v>
      </c>
      <c r="W668" s="20">
        <f t="shared" si="1438"/>
        <v>73.803486529318548</v>
      </c>
      <c r="X668" s="6">
        <f t="shared" si="1439"/>
        <v>0.71103625573639984</v>
      </c>
      <c r="Y668" s="68">
        <v>0</v>
      </c>
      <c r="Z668" s="70">
        <v>0</v>
      </c>
      <c r="AA668" s="35" t="e">
        <f t="shared" si="1440"/>
        <v>#DIV/0!</v>
      </c>
      <c r="AB668" s="11" t="e">
        <f t="shared" si="1441"/>
        <v>#DIV/0!</v>
      </c>
      <c r="AC668" s="20">
        <v>0</v>
      </c>
      <c r="AD668" s="36">
        <v>0</v>
      </c>
      <c r="AE668" s="35" t="e">
        <f t="shared" si="1442"/>
        <v>#DIV/0!</v>
      </c>
      <c r="AF668" s="6" t="e">
        <f t="shared" si="1443"/>
        <v>#DIV/0!</v>
      </c>
      <c r="AG668" s="68">
        <v>0</v>
      </c>
      <c r="AH668" s="66">
        <v>0</v>
      </c>
      <c r="AI668" s="35" t="e">
        <f t="shared" si="1444"/>
        <v>#DIV/0!</v>
      </c>
      <c r="AJ668" s="6" t="e">
        <f t="shared" si="1445"/>
        <v>#DIV/0!</v>
      </c>
      <c r="AK668" s="68">
        <v>0</v>
      </c>
      <c r="AL668" s="66">
        <v>0</v>
      </c>
      <c r="AM668" s="35" t="e">
        <f t="shared" si="1446"/>
        <v>#DIV/0!</v>
      </c>
      <c r="AN668" s="6" t="e">
        <f t="shared" si="1447"/>
        <v>#DIV/0!</v>
      </c>
      <c r="AO668" s="68">
        <v>0</v>
      </c>
      <c r="AP668" s="66">
        <v>0</v>
      </c>
      <c r="AQ668" s="35" t="e">
        <f t="shared" si="1448"/>
        <v>#DIV/0!</v>
      </c>
      <c r="AR668" s="6" t="e">
        <f t="shared" si="1449"/>
        <v>#DIV/0!</v>
      </c>
      <c r="AS668" s="68">
        <v>2540</v>
      </c>
      <c r="AT668" s="65">
        <v>63</v>
      </c>
      <c r="AU668" s="35">
        <f t="shared" si="1450"/>
        <v>40.317460317460316</v>
      </c>
      <c r="AV668" s="6">
        <f t="shared" si="1451"/>
        <v>0.38842576920183552</v>
      </c>
      <c r="AW668" s="68">
        <v>0</v>
      </c>
      <c r="AX668" s="66">
        <v>0</v>
      </c>
      <c r="AY668" s="35" t="e">
        <f t="shared" si="1452"/>
        <v>#DIV/0!</v>
      </c>
      <c r="AZ668" s="6" t="e">
        <f t="shared" si="1453"/>
        <v>#DIV/0!</v>
      </c>
      <c r="BA668" s="68">
        <v>3830</v>
      </c>
      <c r="BB668" s="65">
        <v>36</v>
      </c>
      <c r="BC668" s="35">
        <f t="shared" si="1454"/>
        <v>106.38888888888889</v>
      </c>
      <c r="BD668" s="11">
        <f t="shared" si="1455"/>
        <v>1.0249699677461821</v>
      </c>
    </row>
    <row r="669" spans="1:56" ht="15.75" thickBot="1" x14ac:dyDescent="0.3">
      <c r="A669" s="19" t="s">
        <v>5</v>
      </c>
      <c r="B669" s="8">
        <v>177930</v>
      </c>
      <c r="C669" s="35">
        <f>B669/F661</f>
        <v>136.76402767102229</v>
      </c>
      <c r="D669" s="8">
        <v>7050</v>
      </c>
      <c r="E669" s="68">
        <v>0</v>
      </c>
      <c r="F669" s="70">
        <v>0</v>
      </c>
      <c r="G669" s="35" t="e">
        <f t="shared" si="1430"/>
        <v>#DIV/0!</v>
      </c>
      <c r="H669" s="11" t="e">
        <f t="shared" si="1431"/>
        <v>#DIV/0!</v>
      </c>
      <c r="I669" s="35">
        <v>0</v>
      </c>
      <c r="J669" s="70">
        <v>0</v>
      </c>
      <c r="K669" s="35" t="e">
        <f t="shared" si="1432"/>
        <v>#DIV/0!</v>
      </c>
      <c r="L669" s="6" t="e">
        <f t="shared" si="1433"/>
        <v>#DIV/0!</v>
      </c>
      <c r="M669" s="68">
        <v>0</v>
      </c>
      <c r="N669" s="5">
        <v>0</v>
      </c>
      <c r="O669" s="35" t="e">
        <f t="shared" si="1434"/>
        <v>#DIV/0!</v>
      </c>
      <c r="P669" s="11" t="e">
        <f t="shared" si="1435"/>
        <v>#DIV/0!</v>
      </c>
      <c r="Q669" s="35">
        <v>0</v>
      </c>
      <c r="R669" s="66">
        <v>0</v>
      </c>
      <c r="S669" s="35" t="e">
        <f t="shared" si="1436"/>
        <v>#DIV/0!</v>
      </c>
      <c r="T669" s="6" t="e">
        <f t="shared" si="1437"/>
        <v>#DIV/0!</v>
      </c>
      <c r="U669" s="68">
        <v>64310</v>
      </c>
      <c r="V669" s="65">
        <v>631</v>
      </c>
      <c r="W669" s="20">
        <f t="shared" si="1438"/>
        <v>101.9175911251981</v>
      </c>
      <c r="X669" s="6">
        <f t="shared" si="1439"/>
        <v>0.74520758755624528</v>
      </c>
      <c r="Y669" s="68">
        <v>0</v>
      </c>
      <c r="Z669" s="70">
        <v>0</v>
      </c>
      <c r="AA669" s="35" t="e">
        <f t="shared" si="1440"/>
        <v>#DIV/0!</v>
      </c>
      <c r="AB669" s="11" t="e">
        <f t="shared" si="1441"/>
        <v>#DIV/0!</v>
      </c>
      <c r="AC669" s="20">
        <v>0</v>
      </c>
      <c r="AD669" s="36">
        <v>0</v>
      </c>
      <c r="AE669" s="35" t="e">
        <f t="shared" si="1442"/>
        <v>#DIV/0!</v>
      </c>
      <c r="AF669" s="6" t="e">
        <f t="shared" si="1443"/>
        <v>#DIV/0!</v>
      </c>
      <c r="AG669" s="68">
        <v>0</v>
      </c>
      <c r="AH669" s="66">
        <v>0</v>
      </c>
      <c r="AI669" s="35" t="e">
        <f t="shared" si="1444"/>
        <v>#DIV/0!</v>
      </c>
      <c r="AJ669" s="6" t="e">
        <f t="shared" si="1445"/>
        <v>#DIV/0!</v>
      </c>
      <c r="AK669" s="68">
        <v>0</v>
      </c>
      <c r="AL669" s="66">
        <v>0</v>
      </c>
      <c r="AM669" s="35" t="e">
        <f t="shared" si="1446"/>
        <v>#DIV/0!</v>
      </c>
      <c r="AN669" s="6" t="e">
        <f t="shared" si="1447"/>
        <v>#DIV/0!</v>
      </c>
      <c r="AO669" s="68">
        <v>0</v>
      </c>
      <c r="AP669" s="66">
        <v>0</v>
      </c>
      <c r="AQ669" s="35" t="e">
        <f t="shared" si="1448"/>
        <v>#DIV/0!</v>
      </c>
      <c r="AR669" s="6" t="e">
        <f t="shared" si="1449"/>
        <v>#DIV/0!</v>
      </c>
      <c r="AS669" s="68">
        <v>2960</v>
      </c>
      <c r="AT669" s="65">
        <v>63</v>
      </c>
      <c r="AU669" s="35">
        <f t="shared" si="1450"/>
        <v>46.984126984126981</v>
      </c>
      <c r="AV669" s="6">
        <f t="shared" si="1451"/>
        <v>0.34354155682768056</v>
      </c>
      <c r="AW669" s="68">
        <v>0</v>
      </c>
      <c r="AX669" s="66">
        <v>0</v>
      </c>
      <c r="AY669" s="35" t="e">
        <f t="shared" si="1452"/>
        <v>#DIV/0!</v>
      </c>
      <c r="AZ669" s="6" t="e">
        <f t="shared" si="1453"/>
        <v>#DIV/0!</v>
      </c>
      <c r="BA669" s="68">
        <v>4390</v>
      </c>
      <c r="BB669" s="65">
        <v>36</v>
      </c>
      <c r="BC669" s="35">
        <f t="shared" si="1454"/>
        <v>121.94444444444444</v>
      </c>
      <c r="BD669" s="11">
        <f t="shared" si="1455"/>
        <v>0.89164121970562704</v>
      </c>
    </row>
    <row r="670" spans="1:56" x14ac:dyDescent="0.25">
      <c r="A670" s="19" t="s">
        <v>6</v>
      </c>
      <c r="B670" s="8">
        <v>213140</v>
      </c>
      <c r="C670" s="35">
        <f>B670/F661</f>
        <v>163.82782475019215</v>
      </c>
      <c r="D670" s="8">
        <v>10950</v>
      </c>
      <c r="E670" s="68">
        <v>0</v>
      </c>
      <c r="F670" s="70">
        <v>0</v>
      </c>
      <c r="G670" s="35" t="e">
        <f t="shared" si="1430"/>
        <v>#DIV/0!</v>
      </c>
      <c r="H670" s="11" t="e">
        <f t="shared" si="1431"/>
        <v>#DIV/0!</v>
      </c>
      <c r="I670" s="35">
        <v>0</v>
      </c>
      <c r="J670" s="70">
        <v>0</v>
      </c>
      <c r="K670" s="35" t="e">
        <f t="shared" si="1432"/>
        <v>#DIV/0!</v>
      </c>
      <c r="L670" s="6" t="e">
        <f t="shared" si="1433"/>
        <v>#DIV/0!</v>
      </c>
      <c r="M670" s="68">
        <v>0</v>
      </c>
      <c r="N670" s="5">
        <v>0</v>
      </c>
      <c r="O670" s="35" t="e">
        <f t="shared" si="1434"/>
        <v>#DIV/0!</v>
      </c>
      <c r="P670" s="11" t="e">
        <f t="shared" si="1435"/>
        <v>#DIV/0!</v>
      </c>
      <c r="Q670" s="35">
        <v>0</v>
      </c>
      <c r="R670" s="66">
        <v>0</v>
      </c>
      <c r="S670" s="35" t="e">
        <f t="shared" si="1436"/>
        <v>#DIV/0!</v>
      </c>
      <c r="T670" s="6" t="e">
        <f t="shared" si="1437"/>
        <v>#DIV/0!</v>
      </c>
      <c r="U670" s="68">
        <v>79370</v>
      </c>
      <c r="V670" s="65">
        <v>631</v>
      </c>
      <c r="W670" s="20">
        <f t="shared" si="1438"/>
        <v>125.78446909667196</v>
      </c>
      <c r="X670" s="6">
        <f t="shared" si="1439"/>
        <v>0.76778452798522201</v>
      </c>
      <c r="Y670" s="68">
        <v>0</v>
      </c>
      <c r="Z670" s="70">
        <v>0</v>
      </c>
      <c r="AA670" s="35" t="e">
        <f t="shared" si="1440"/>
        <v>#DIV/0!</v>
      </c>
      <c r="AB670" s="11" t="e">
        <f t="shared" si="1441"/>
        <v>#DIV/0!</v>
      </c>
      <c r="AC670" s="20">
        <v>0</v>
      </c>
      <c r="AD670" s="36">
        <v>0</v>
      </c>
      <c r="AE670" s="35" t="e">
        <f t="shared" si="1442"/>
        <v>#DIV/0!</v>
      </c>
      <c r="AF670" s="6" t="e">
        <f t="shared" si="1443"/>
        <v>#DIV/0!</v>
      </c>
      <c r="AG670" s="68">
        <v>0</v>
      </c>
      <c r="AH670" s="66">
        <v>0</v>
      </c>
      <c r="AI670" s="35" t="e">
        <f t="shared" si="1444"/>
        <v>#DIV/0!</v>
      </c>
      <c r="AJ670" s="6" t="e">
        <f t="shared" si="1445"/>
        <v>#DIV/0!</v>
      </c>
      <c r="AK670" s="68">
        <v>0</v>
      </c>
      <c r="AL670" s="66">
        <v>0</v>
      </c>
      <c r="AM670" s="35" t="e">
        <f t="shared" si="1446"/>
        <v>#DIV/0!</v>
      </c>
      <c r="AN670" s="6" t="e">
        <f t="shared" si="1447"/>
        <v>#DIV/0!</v>
      </c>
      <c r="AO670" s="68">
        <v>0</v>
      </c>
      <c r="AP670" s="66">
        <v>0</v>
      </c>
      <c r="AQ670" s="35" t="e">
        <f t="shared" si="1448"/>
        <v>#DIV/0!</v>
      </c>
      <c r="AR670" s="6" t="e">
        <f t="shared" si="1449"/>
        <v>#DIV/0!</v>
      </c>
      <c r="AS670" s="68">
        <v>3360</v>
      </c>
      <c r="AT670" s="65">
        <v>63</v>
      </c>
      <c r="AU670" s="35">
        <f t="shared" si="1450"/>
        <v>53.333333333333336</v>
      </c>
      <c r="AV670" s="6">
        <f t="shared" si="1451"/>
        <v>0.32554502517906858</v>
      </c>
      <c r="AW670" s="68">
        <v>0</v>
      </c>
      <c r="AX670" s="66">
        <v>0</v>
      </c>
      <c r="AY670" s="35" t="e">
        <f t="shared" si="1452"/>
        <v>#DIV/0!</v>
      </c>
      <c r="AZ670" s="6" t="e">
        <f t="shared" si="1453"/>
        <v>#DIV/0!</v>
      </c>
      <c r="BA670" s="68">
        <v>4750</v>
      </c>
      <c r="BB670" s="65">
        <v>36</v>
      </c>
      <c r="BC670" s="35">
        <f t="shared" si="1454"/>
        <v>131.94444444444446</v>
      </c>
      <c r="BD670" s="11">
        <f t="shared" si="1455"/>
        <v>0.80538482791696653</v>
      </c>
    </row>
    <row r="671" spans="1:56" ht="15.75" thickBot="1" x14ac:dyDescent="0.3">
      <c r="A671" s="21"/>
      <c r="B671" s="22"/>
      <c r="C671" s="23">
        <f>AVERAGE(Table11049[MA $/Sq Ft])</f>
        <v>95.113648841550457</v>
      </c>
      <c r="D671" s="22">
        <f>AVERAGE(Table11049[Basic Allowance])</f>
        <v>4442.8571428571431</v>
      </c>
      <c r="E671" s="16"/>
      <c r="F671" s="22"/>
      <c r="G671" s="15"/>
      <c r="H671" s="24" t="e">
        <f>AVERAGE(Table11049[Bsmt % Base])</f>
        <v>#DIV/0!</v>
      </c>
      <c r="I671" s="15"/>
      <c r="J671" s="15"/>
      <c r="K671" s="15"/>
      <c r="L671" s="25" t="e">
        <f>AVERAGE(Table11049[[#Headers],[#Data],[UnfBsmt % Base]])</f>
        <v>#DIV/0!</v>
      </c>
      <c r="M671" s="44"/>
      <c r="N671" s="15"/>
      <c r="O671" s="23" t="e">
        <f>AVERAGE(Table11049[LowerVal/SqFt])</f>
        <v>#DIV/0!</v>
      </c>
      <c r="P671" s="24" t="e">
        <f>AVERAGE(Table11049[Lower % Base])</f>
        <v>#DIV/0!</v>
      </c>
      <c r="Q671" s="13"/>
      <c r="R671" s="13"/>
      <c r="S671" s="13"/>
      <c r="T671" s="25" t="e">
        <f>AVERAGE(Table11049[Unf Lower % Base])</f>
        <v>#DIV/0!</v>
      </c>
      <c r="U671" s="12"/>
      <c r="V671" s="13"/>
      <c r="W671" s="13"/>
      <c r="X671" s="25">
        <f>AVERAGE(Table11049[1/2 Story % Base])</f>
        <v>0.70700653335165475</v>
      </c>
      <c r="Y671" s="12"/>
      <c r="Z671" s="13"/>
      <c r="AA671" s="13"/>
      <c r="AB671" s="24" t="e">
        <f>AVERAGE(Table11049[2nd Story % Base])</f>
        <v>#DIV/0!</v>
      </c>
      <c r="AC671" s="13"/>
      <c r="AD671" s="13"/>
      <c r="AE671" s="23" t="e">
        <f>AVERAGE(Table11049[AttGarVal/SqFt])</f>
        <v>#DIV/0!</v>
      </c>
      <c r="AF671" s="25" t="e">
        <f>AVERAGE(Table11049[Att Gar % Base])</f>
        <v>#DIV/0!</v>
      </c>
      <c r="AG671" s="12"/>
      <c r="AH671" s="13"/>
      <c r="AI671" s="13"/>
      <c r="AJ671" s="25" t="e">
        <f>AVERAGE(Table11049[Porch % Base])</f>
        <v>#DIV/0!</v>
      </c>
      <c r="AK671" s="12"/>
      <c r="AL671" s="13"/>
      <c r="AM671" s="13"/>
      <c r="AN671" s="25" t="e">
        <f>AVERAGE(Table11049[Cov Porch % Base])</f>
        <v>#DIV/0!</v>
      </c>
      <c r="AO671" s="12"/>
      <c r="AP671" s="13"/>
      <c r="AQ671" s="13"/>
      <c r="AR671" s="25" t="e">
        <f>AVERAGE(Table11049[Deck % Base])</f>
        <v>#DIV/0!</v>
      </c>
      <c r="AS671" s="12"/>
      <c r="AT671" s="13"/>
      <c r="AU671" s="23">
        <f>AVERAGE(Table11049[CovDeckVal/SqFt])</f>
        <v>35.873015873015873</v>
      </c>
      <c r="AV671" s="25">
        <f>AVERAGE(Table11049[CovDeck % Base])</f>
        <v>0.39183729876531842</v>
      </c>
      <c r="AW671" s="12"/>
      <c r="AX671" s="13"/>
      <c r="AY671" s="13"/>
      <c r="AZ671" s="25" t="e">
        <f>AVERAGE(Table11049[CarP % Base])</f>
        <v>#DIV/0!</v>
      </c>
      <c r="BA671" s="12"/>
      <c r="BB671" s="13"/>
      <c r="BC671" s="13"/>
      <c r="BD671" s="24">
        <f>AVERAGE(Table11049[EFP % Base])</f>
        <v>0.98785666123246163</v>
      </c>
    </row>
    <row r="673" spans="1:56" ht="15.75" thickBot="1" x14ac:dyDescent="0.3">
      <c r="A673" s="82"/>
      <c r="B673" t="s">
        <v>79</v>
      </c>
      <c r="C673" s="78" t="s">
        <v>154</v>
      </c>
      <c r="E673" t="s">
        <v>33</v>
      </c>
      <c r="F673" s="79">
        <v>812</v>
      </c>
      <c r="H673" t="s">
        <v>80</v>
      </c>
      <c r="I673" t="s">
        <v>134</v>
      </c>
    </row>
    <row r="674" spans="1:56" x14ac:dyDescent="0.25">
      <c r="A674" s="112"/>
      <c r="B674" s="113"/>
      <c r="C674" s="113"/>
      <c r="D674" s="114"/>
      <c r="E674" s="115" t="s">
        <v>27</v>
      </c>
      <c r="F674" s="116"/>
      <c r="G674" s="116"/>
      <c r="H674" s="117"/>
      <c r="I674" s="118" t="s">
        <v>28</v>
      </c>
      <c r="J674" s="119"/>
      <c r="K674" s="119"/>
      <c r="L674" s="120"/>
      <c r="M674" s="121" t="s">
        <v>7</v>
      </c>
      <c r="N674" s="122"/>
      <c r="O674" s="122"/>
      <c r="P674" s="123"/>
      <c r="Q674" s="124" t="s">
        <v>29</v>
      </c>
      <c r="R674" s="125"/>
      <c r="S674" s="125"/>
      <c r="T674" s="126"/>
      <c r="U674" s="127" t="s">
        <v>8</v>
      </c>
      <c r="V674" s="128"/>
      <c r="W674" s="128"/>
      <c r="X674" s="129"/>
      <c r="Y674" s="130" t="s">
        <v>0</v>
      </c>
      <c r="Z674" s="131"/>
      <c r="AA674" s="131"/>
      <c r="AB674" s="132"/>
      <c r="AC674" s="133" t="s">
        <v>34</v>
      </c>
      <c r="AD674" s="134"/>
      <c r="AE674" s="134"/>
      <c r="AF674" s="135"/>
      <c r="AG674" s="115" t="s">
        <v>9</v>
      </c>
      <c r="AH674" s="116"/>
      <c r="AI674" s="116"/>
      <c r="AJ674" s="117"/>
      <c r="AK674" s="136" t="s">
        <v>35</v>
      </c>
      <c r="AL674" s="137"/>
      <c r="AM674" s="137"/>
      <c r="AN674" s="138"/>
      <c r="AO674" s="139" t="s">
        <v>10</v>
      </c>
      <c r="AP674" s="140"/>
      <c r="AQ674" s="140"/>
      <c r="AR674" s="141"/>
      <c r="AS674" s="124" t="s">
        <v>36</v>
      </c>
      <c r="AT674" s="125"/>
      <c r="AU674" s="125"/>
      <c r="AV674" s="126"/>
      <c r="AW674" s="142" t="s">
        <v>11</v>
      </c>
      <c r="AX674" s="143"/>
      <c r="AY674" s="143"/>
      <c r="AZ674" s="144"/>
      <c r="BA674" s="148" t="s">
        <v>17</v>
      </c>
      <c r="BB674" s="149"/>
      <c r="BC674" s="149"/>
      <c r="BD674" s="150"/>
    </row>
    <row r="675" spans="1:56" s="1" customFormat="1" ht="15.75" thickBot="1" x14ac:dyDescent="0.3">
      <c r="A675" s="41" t="s">
        <v>13</v>
      </c>
      <c r="B675" s="42" t="s">
        <v>15</v>
      </c>
      <c r="C675" s="42" t="s">
        <v>32</v>
      </c>
      <c r="D675" s="43" t="s">
        <v>18</v>
      </c>
      <c r="E675" s="30" t="s">
        <v>30</v>
      </c>
      <c r="F675" s="31" t="s">
        <v>61</v>
      </c>
      <c r="G675" s="31" t="s">
        <v>38</v>
      </c>
      <c r="H675" s="32" t="s">
        <v>62</v>
      </c>
      <c r="I675" s="37" t="s">
        <v>31</v>
      </c>
      <c r="J675" s="38" t="s">
        <v>39</v>
      </c>
      <c r="K675" s="38" t="s">
        <v>40</v>
      </c>
      <c r="L675" s="39" t="s">
        <v>63</v>
      </c>
      <c r="M675" s="40" t="s">
        <v>19</v>
      </c>
      <c r="N675" s="7" t="s">
        <v>41</v>
      </c>
      <c r="O675" s="7" t="s">
        <v>37</v>
      </c>
      <c r="P675" s="7" t="s">
        <v>64</v>
      </c>
      <c r="Q675" s="27" t="s">
        <v>20</v>
      </c>
      <c r="R675" s="28" t="s">
        <v>60</v>
      </c>
      <c r="S675" s="28" t="s">
        <v>59</v>
      </c>
      <c r="T675" s="29" t="s">
        <v>65</v>
      </c>
      <c r="U675" s="48" t="s">
        <v>21</v>
      </c>
      <c r="V675" s="48" t="s">
        <v>42</v>
      </c>
      <c r="W675" s="48" t="s">
        <v>43</v>
      </c>
      <c r="X675" s="49" t="s">
        <v>66</v>
      </c>
      <c r="Y675" s="50" t="s">
        <v>22</v>
      </c>
      <c r="Z675" s="51" t="s">
        <v>44</v>
      </c>
      <c r="AA675" s="51" t="s">
        <v>45</v>
      </c>
      <c r="AB675" s="52" t="s">
        <v>67</v>
      </c>
      <c r="AC675" s="45" t="s">
        <v>23</v>
      </c>
      <c r="AD675" s="46" t="s">
        <v>46</v>
      </c>
      <c r="AE675" s="46" t="s">
        <v>47</v>
      </c>
      <c r="AF675" s="47" t="s">
        <v>68</v>
      </c>
      <c r="AG675" s="30" t="s">
        <v>24</v>
      </c>
      <c r="AH675" s="31" t="s">
        <v>48</v>
      </c>
      <c r="AI675" s="31" t="s">
        <v>49</v>
      </c>
      <c r="AJ675" s="32" t="s">
        <v>69</v>
      </c>
      <c r="AK675" s="53" t="s">
        <v>25</v>
      </c>
      <c r="AL675" s="54" t="s">
        <v>50</v>
      </c>
      <c r="AM675" s="54" t="s">
        <v>51</v>
      </c>
      <c r="AN675" s="55" t="s">
        <v>70</v>
      </c>
      <c r="AO675" s="56" t="s">
        <v>26</v>
      </c>
      <c r="AP675" s="57" t="s">
        <v>52</v>
      </c>
      <c r="AQ675" s="57" t="s">
        <v>53</v>
      </c>
      <c r="AR675" s="58" t="s">
        <v>71</v>
      </c>
      <c r="AS675" s="59" t="s">
        <v>55</v>
      </c>
      <c r="AT675" s="60" t="s">
        <v>54</v>
      </c>
      <c r="AU675" s="60" t="s">
        <v>56</v>
      </c>
      <c r="AV675" s="61" t="s">
        <v>76</v>
      </c>
      <c r="AW675" s="62" t="s">
        <v>72</v>
      </c>
      <c r="AX675" s="63" t="s">
        <v>73</v>
      </c>
      <c r="AY675" s="63" t="s">
        <v>74</v>
      </c>
      <c r="AZ675" s="64" t="s">
        <v>75</v>
      </c>
      <c r="BA675" s="71" t="s">
        <v>77</v>
      </c>
      <c r="BB675" s="72" t="s">
        <v>57</v>
      </c>
      <c r="BC675" s="72" t="s">
        <v>58</v>
      </c>
      <c r="BD675" s="73" t="s">
        <v>78</v>
      </c>
    </row>
    <row r="676" spans="1:56" ht="15.75" thickBot="1" x14ac:dyDescent="0.3">
      <c r="A676" s="17" t="s">
        <v>1</v>
      </c>
      <c r="B676" s="14">
        <v>44130</v>
      </c>
      <c r="C676" s="34">
        <f>B676/F673</f>
        <v>54.347290640394085</v>
      </c>
      <c r="D676" s="14">
        <v>1525</v>
      </c>
      <c r="E676" s="67">
        <v>0</v>
      </c>
      <c r="F676" s="69">
        <v>0</v>
      </c>
      <c r="G676" s="34" t="e">
        <f t="shared" ref="G676:G682" si="1456">E676/F676</f>
        <v>#DIV/0!</v>
      </c>
      <c r="H676" s="10" t="e">
        <f t="shared" ref="H676:H682" si="1457">G676/C676</f>
        <v>#DIV/0!</v>
      </c>
      <c r="I676" s="34">
        <v>0</v>
      </c>
      <c r="J676" s="69">
        <v>0</v>
      </c>
      <c r="K676" s="34" t="e">
        <f t="shared" ref="K676:K682" si="1458">I676/J676</f>
        <v>#DIV/0!</v>
      </c>
      <c r="L676" s="9" t="e">
        <f t="shared" ref="L676:L682" si="1459">K676/C676</f>
        <v>#DIV/0!</v>
      </c>
      <c r="M676" s="67">
        <v>0</v>
      </c>
      <c r="N676" s="26">
        <v>0</v>
      </c>
      <c r="O676" s="34" t="e">
        <f t="shared" ref="O676:O682" si="1460">M676/N676</f>
        <v>#DIV/0!</v>
      </c>
      <c r="P676" s="10" t="e">
        <f t="shared" ref="P676:P682" si="1461">O676/C676</f>
        <v>#DIV/0!</v>
      </c>
      <c r="Q676" s="35">
        <v>0</v>
      </c>
      <c r="R676" s="66">
        <v>0</v>
      </c>
      <c r="S676" s="35" t="e">
        <f t="shared" ref="S676:S682" si="1462">Q676/R676</f>
        <v>#DIV/0!</v>
      </c>
      <c r="T676" s="6" t="e">
        <f t="shared" ref="T676:T682" si="1463">S676/C676</f>
        <v>#DIV/0!</v>
      </c>
      <c r="U676" s="67">
        <v>0</v>
      </c>
      <c r="V676" s="65">
        <v>0</v>
      </c>
      <c r="W676" s="18" t="e">
        <f t="shared" ref="W676:W682" si="1464">U676/V676</f>
        <v>#DIV/0!</v>
      </c>
      <c r="X676" s="9" t="e">
        <f t="shared" ref="X676:X682" si="1465">W676/C676</f>
        <v>#DIV/0!</v>
      </c>
      <c r="Y676" s="67">
        <v>0</v>
      </c>
      <c r="Z676" s="69">
        <v>0</v>
      </c>
      <c r="AA676" s="34" t="e">
        <f t="shared" ref="AA676:AA682" si="1466">Y676/Z676</f>
        <v>#DIV/0!</v>
      </c>
      <c r="AB676" s="10" t="e">
        <f t="shared" ref="AB676:AB682" si="1467">AA676/C676</f>
        <v>#DIV/0!</v>
      </c>
      <c r="AC676" s="18">
        <v>5020</v>
      </c>
      <c r="AD676" s="33">
        <v>288</v>
      </c>
      <c r="AE676" s="34">
        <f t="shared" ref="AE676:AE682" si="1468">AC676/AD676</f>
        <v>17.430555555555557</v>
      </c>
      <c r="AF676" s="9">
        <f t="shared" ref="AF676:AF682" si="1469">AE676/C676</f>
        <v>0.32072538207820334</v>
      </c>
      <c r="AG676" s="67">
        <v>0</v>
      </c>
      <c r="AH676" s="65">
        <v>0</v>
      </c>
      <c r="AI676" s="34" t="e">
        <f t="shared" ref="AI676:AI682" si="1470">AG676/AH676</f>
        <v>#DIV/0!</v>
      </c>
      <c r="AJ676" s="9" t="e">
        <f t="shared" ref="AJ676:AJ682" si="1471">AI676/C676</f>
        <v>#DIV/0!</v>
      </c>
      <c r="AK676" s="67">
        <v>0</v>
      </c>
      <c r="AL676" s="65">
        <v>0</v>
      </c>
      <c r="AM676" s="34" t="e">
        <f t="shared" ref="AM676:AM682" si="1472">AK676/AL676</f>
        <v>#DIV/0!</v>
      </c>
      <c r="AN676" s="9" t="e">
        <f t="shared" ref="AN676:AN682" si="1473">AM676/C676</f>
        <v>#DIV/0!</v>
      </c>
      <c r="AO676" s="67">
        <v>0</v>
      </c>
      <c r="AP676" s="65">
        <v>0</v>
      </c>
      <c r="AQ676" s="34" t="e">
        <f t="shared" ref="AQ676:AQ682" si="1474">AO676/AP676</f>
        <v>#DIV/0!</v>
      </c>
      <c r="AR676" s="9" t="e">
        <f t="shared" ref="AR676:AR682" si="1475">AQ676/C676</f>
        <v>#DIV/0!</v>
      </c>
      <c r="AS676" s="67">
        <v>0</v>
      </c>
      <c r="AT676" s="65">
        <v>0</v>
      </c>
      <c r="AU676" s="34" t="e">
        <f t="shared" ref="AU676:AU682" si="1476">AS676/AT676</f>
        <v>#DIV/0!</v>
      </c>
      <c r="AV676" s="9" t="e">
        <f t="shared" ref="AV676:AV682" si="1477">AU676/C676</f>
        <v>#DIV/0!</v>
      </c>
      <c r="AW676" s="67">
        <v>0</v>
      </c>
      <c r="AX676" s="65">
        <v>0</v>
      </c>
      <c r="AY676" s="34" t="e">
        <f t="shared" ref="AY676:AY682" si="1478">AW676/AX676</f>
        <v>#DIV/0!</v>
      </c>
      <c r="AZ676" s="9" t="e">
        <f t="shared" ref="AZ676:AZ682" si="1479">AY676/C676</f>
        <v>#DIV/0!</v>
      </c>
      <c r="BA676" s="67">
        <v>0</v>
      </c>
      <c r="BB676" s="65">
        <v>0</v>
      </c>
      <c r="BC676" s="34" t="e">
        <f t="shared" ref="BC676:BC682" si="1480">BA676/BB676</f>
        <v>#DIV/0!</v>
      </c>
      <c r="BD676" s="10" t="e">
        <f t="shared" ref="BD676:BD682" si="1481">BC676/C676</f>
        <v>#DIV/0!</v>
      </c>
    </row>
    <row r="677" spans="1:56" ht="15.75" thickBot="1" x14ac:dyDescent="0.3">
      <c r="A677" s="19" t="s">
        <v>16</v>
      </c>
      <c r="B677" s="8">
        <v>51920</v>
      </c>
      <c r="C677" s="35">
        <f>B677/F673</f>
        <v>63.940886699507388</v>
      </c>
      <c r="D677" s="8">
        <v>1525</v>
      </c>
      <c r="E677" s="68">
        <v>0</v>
      </c>
      <c r="F677" s="70">
        <v>0</v>
      </c>
      <c r="G677" s="35" t="e">
        <f t="shared" si="1456"/>
        <v>#DIV/0!</v>
      </c>
      <c r="H677" s="11" t="e">
        <f t="shared" si="1457"/>
        <v>#DIV/0!</v>
      </c>
      <c r="I677" s="35">
        <v>0</v>
      </c>
      <c r="J677" s="70">
        <v>0</v>
      </c>
      <c r="K677" s="35" t="e">
        <f t="shared" si="1458"/>
        <v>#DIV/0!</v>
      </c>
      <c r="L677" s="6" t="e">
        <f t="shared" si="1459"/>
        <v>#DIV/0!</v>
      </c>
      <c r="M677" s="68">
        <v>0</v>
      </c>
      <c r="N677" s="5">
        <v>0</v>
      </c>
      <c r="O677" s="35" t="e">
        <f t="shared" si="1460"/>
        <v>#DIV/0!</v>
      </c>
      <c r="P677" s="11" t="e">
        <f t="shared" si="1461"/>
        <v>#DIV/0!</v>
      </c>
      <c r="Q677" s="35">
        <v>0</v>
      </c>
      <c r="R677" s="66">
        <v>0</v>
      </c>
      <c r="S677" s="35" t="e">
        <f t="shared" si="1462"/>
        <v>#DIV/0!</v>
      </c>
      <c r="T677" s="6" t="e">
        <f t="shared" si="1463"/>
        <v>#DIV/0!</v>
      </c>
      <c r="U677" s="68">
        <v>0</v>
      </c>
      <c r="V677" s="66">
        <v>0</v>
      </c>
      <c r="W677" s="20" t="e">
        <f t="shared" si="1464"/>
        <v>#DIV/0!</v>
      </c>
      <c r="X677" s="6" t="e">
        <f t="shared" si="1465"/>
        <v>#DIV/0!</v>
      </c>
      <c r="Y677" s="68">
        <v>0</v>
      </c>
      <c r="Z677" s="70">
        <v>0</v>
      </c>
      <c r="AA677" s="35" t="e">
        <f t="shared" si="1466"/>
        <v>#DIV/0!</v>
      </c>
      <c r="AB677" s="11" t="e">
        <f t="shared" si="1467"/>
        <v>#DIV/0!</v>
      </c>
      <c r="AC677" s="20">
        <v>7010</v>
      </c>
      <c r="AD677" s="33">
        <v>288</v>
      </c>
      <c r="AE677" s="35">
        <f t="shared" si="1468"/>
        <v>24.340277777777779</v>
      </c>
      <c r="AF677" s="6">
        <f t="shared" si="1469"/>
        <v>0.3806684429036124</v>
      </c>
      <c r="AG677" s="68">
        <v>0</v>
      </c>
      <c r="AH677" s="66">
        <v>0</v>
      </c>
      <c r="AI677" s="35" t="e">
        <f t="shared" si="1470"/>
        <v>#DIV/0!</v>
      </c>
      <c r="AJ677" s="6" t="e">
        <f t="shared" si="1471"/>
        <v>#DIV/0!</v>
      </c>
      <c r="AK677" s="68">
        <v>0</v>
      </c>
      <c r="AL677" s="66">
        <v>0</v>
      </c>
      <c r="AM677" s="35" t="e">
        <f t="shared" si="1472"/>
        <v>#DIV/0!</v>
      </c>
      <c r="AN677" s="6" t="e">
        <f t="shared" si="1473"/>
        <v>#DIV/0!</v>
      </c>
      <c r="AO677" s="68">
        <v>0</v>
      </c>
      <c r="AP677" s="66">
        <v>0</v>
      </c>
      <c r="AQ677" s="35" t="e">
        <f t="shared" si="1474"/>
        <v>#DIV/0!</v>
      </c>
      <c r="AR677" s="6" t="e">
        <f t="shared" si="1475"/>
        <v>#DIV/0!</v>
      </c>
      <c r="AS677" s="68">
        <v>0</v>
      </c>
      <c r="AT677" s="65">
        <v>0</v>
      </c>
      <c r="AU677" s="35" t="e">
        <f t="shared" si="1476"/>
        <v>#DIV/0!</v>
      </c>
      <c r="AV677" s="6" t="e">
        <f t="shared" si="1477"/>
        <v>#DIV/0!</v>
      </c>
      <c r="AW677" s="68">
        <v>0</v>
      </c>
      <c r="AX677" s="66">
        <v>0</v>
      </c>
      <c r="AY677" s="35" t="e">
        <f t="shared" si="1478"/>
        <v>#DIV/0!</v>
      </c>
      <c r="AZ677" s="6" t="e">
        <f t="shared" si="1479"/>
        <v>#DIV/0!</v>
      </c>
      <c r="BA677" s="68">
        <v>0</v>
      </c>
      <c r="BB677" s="66">
        <v>0</v>
      </c>
      <c r="BC677" s="35" t="e">
        <f t="shared" si="1480"/>
        <v>#DIV/0!</v>
      </c>
      <c r="BD677" s="11" t="e">
        <f t="shared" si="1481"/>
        <v>#DIV/0!</v>
      </c>
    </row>
    <row r="678" spans="1:56" ht="15.75" thickBot="1" x14ac:dyDescent="0.3">
      <c r="A678" s="19" t="s">
        <v>2</v>
      </c>
      <c r="B678" s="8">
        <v>60850</v>
      </c>
      <c r="C678" s="35">
        <f>B678/F673</f>
        <v>74.938423645320199</v>
      </c>
      <c r="D678" s="8">
        <v>2100</v>
      </c>
      <c r="E678" s="68">
        <v>0</v>
      </c>
      <c r="F678" s="70">
        <v>0</v>
      </c>
      <c r="G678" s="35" t="e">
        <f t="shared" si="1456"/>
        <v>#DIV/0!</v>
      </c>
      <c r="H678" s="11" t="e">
        <f t="shared" si="1457"/>
        <v>#DIV/0!</v>
      </c>
      <c r="I678" s="35">
        <v>0</v>
      </c>
      <c r="J678" s="70">
        <v>0</v>
      </c>
      <c r="K678" s="35" t="e">
        <f t="shared" si="1458"/>
        <v>#DIV/0!</v>
      </c>
      <c r="L678" s="6" t="e">
        <f t="shared" si="1459"/>
        <v>#DIV/0!</v>
      </c>
      <c r="M678" s="68">
        <v>0</v>
      </c>
      <c r="N678" s="5">
        <v>0</v>
      </c>
      <c r="O678" s="35" t="e">
        <f t="shared" si="1460"/>
        <v>#DIV/0!</v>
      </c>
      <c r="P678" s="11" t="e">
        <f t="shared" si="1461"/>
        <v>#DIV/0!</v>
      </c>
      <c r="Q678" s="35">
        <v>0</v>
      </c>
      <c r="R678" s="66">
        <v>0</v>
      </c>
      <c r="S678" s="35" t="e">
        <f t="shared" si="1462"/>
        <v>#DIV/0!</v>
      </c>
      <c r="T678" s="6" t="e">
        <f t="shared" si="1463"/>
        <v>#DIV/0!</v>
      </c>
      <c r="U678" s="68">
        <v>0</v>
      </c>
      <c r="V678" s="66">
        <v>0</v>
      </c>
      <c r="W678" s="20" t="e">
        <f t="shared" si="1464"/>
        <v>#DIV/0!</v>
      </c>
      <c r="X678" s="6" t="e">
        <f t="shared" si="1465"/>
        <v>#DIV/0!</v>
      </c>
      <c r="Y678" s="68">
        <v>0</v>
      </c>
      <c r="Z678" s="70">
        <v>0</v>
      </c>
      <c r="AA678" s="35" t="e">
        <f t="shared" si="1466"/>
        <v>#DIV/0!</v>
      </c>
      <c r="AB678" s="11" t="e">
        <f t="shared" si="1467"/>
        <v>#DIV/0!</v>
      </c>
      <c r="AC678" s="20">
        <v>8590</v>
      </c>
      <c r="AD678" s="33">
        <v>288</v>
      </c>
      <c r="AE678" s="35">
        <f t="shared" si="1468"/>
        <v>29.826388888888889</v>
      </c>
      <c r="AF678" s="6">
        <f t="shared" si="1469"/>
        <v>0.39801196019355428</v>
      </c>
      <c r="AG678" s="68">
        <v>0</v>
      </c>
      <c r="AH678" s="66">
        <v>0</v>
      </c>
      <c r="AI678" s="35" t="e">
        <f t="shared" si="1470"/>
        <v>#DIV/0!</v>
      </c>
      <c r="AJ678" s="6" t="e">
        <f t="shared" si="1471"/>
        <v>#DIV/0!</v>
      </c>
      <c r="AK678" s="68">
        <v>0</v>
      </c>
      <c r="AL678" s="66">
        <v>0</v>
      </c>
      <c r="AM678" s="35" t="e">
        <f t="shared" si="1472"/>
        <v>#DIV/0!</v>
      </c>
      <c r="AN678" s="6" t="e">
        <f t="shared" si="1473"/>
        <v>#DIV/0!</v>
      </c>
      <c r="AO678" s="68">
        <v>0</v>
      </c>
      <c r="AP678" s="66">
        <v>0</v>
      </c>
      <c r="AQ678" s="35" t="e">
        <f t="shared" si="1474"/>
        <v>#DIV/0!</v>
      </c>
      <c r="AR678" s="6" t="e">
        <f t="shared" si="1475"/>
        <v>#DIV/0!</v>
      </c>
      <c r="AS678" s="68">
        <v>0</v>
      </c>
      <c r="AT678" s="65">
        <v>0</v>
      </c>
      <c r="AU678" s="35" t="e">
        <f t="shared" si="1476"/>
        <v>#DIV/0!</v>
      </c>
      <c r="AV678" s="6" t="e">
        <f t="shared" si="1477"/>
        <v>#DIV/0!</v>
      </c>
      <c r="AW678" s="68">
        <v>0</v>
      </c>
      <c r="AX678" s="66">
        <v>0</v>
      </c>
      <c r="AY678" s="35" t="e">
        <f t="shared" si="1478"/>
        <v>#DIV/0!</v>
      </c>
      <c r="AZ678" s="6" t="e">
        <f t="shared" si="1479"/>
        <v>#DIV/0!</v>
      </c>
      <c r="BA678" s="68">
        <v>0</v>
      </c>
      <c r="BB678" s="66">
        <v>0</v>
      </c>
      <c r="BC678" s="35" t="e">
        <f t="shared" si="1480"/>
        <v>#DIV/0!</v>
      </c>
      <c r="BD678" s="11" t="e">
        <f t="shared" si="1481"/>
        <v>#DIV/0!</v>
      </c>
    </row>
    <row r="679" spans="1:56" ht="15.75" thickBot="1" x14ac:dyDescent="0.3">
      <c r="A679" s="19" t="s">
        <v>3</v>
      </c>
      <c r="B679" s="8">
        <v>72730</v>
      </c>
      <c r="C679" s="35">
        <f>B679/F673</f>
        <v>89.568965517241381</v>
      </c>
      <c r="D679" s="8">
        <v>2700</v>
      </c>
      <c r="E679" s="68">
        <v>0</v>
      </c>
      <c r="F679" s="70">
        <v>0</v>
      </c>
      <c r="G679" s="35" t="e">
        <f t="shared" si="1456"/>
        <v>#DIV/0!</v>
      </c>
      <c r="H679" s="11" t="e">
        <f t="shared" si="1457"/>
        <v>#DIV/0!</v>
      </c>
      <c r="I679" s="35">
        <v>0</v>
      </c>
      <c r="J679" s="70">
        <v>0</v>
      </c>
      <c r="K679" s="35" t="e">
        <f t="shared" si="1458"/>
        <v>#DIV/0!</v>
      </c>
      <c r="L679" s="6" t="e">
        <f t="shared" si="1459"/>
        <v>#DIV/0!</v>
      </c>
      <c r="M679" s="68">
        <v>0</v>
      </c>
      <c r="N679" s="5">
        <v>0</v>
      </c>
      <c r="O679" s="35" t="e">
        <f t="shared" si="1460"/>
        <v>#DIV/0!</v>
      </c>
      <c r="P679" s="11" t="e">
        <f t="shared" si="1461"/>
        <v>#DIV/0!</v>
      </c>
      <c r="Q679" s="35">
        <v>0</v>
      </c>
      <c r="R679" s="66">
        <v>0</v>
      </c>
      <c r="S679" s="35" t="e">
        <f t="shared" si="1462"/>
        <v>#DIV/0!</v>
      </c>
      <c r="T679" s="6" t="e">
        <f t="shared" si="1463"/>
        <v>#DIV/0!</v>
      </c>
      <c r="U679" s="68">
        <v>0</v>
      </c>
      <c r="V679" s="66">
        <v>0</v>
      </c>
      <c r="W679" s="20" t="e">
        <f t="shared" si="1464"/>
        <v>#DIV/0!</v>
      </c>
      <c r="X679" s="6" t="e">
        <f t="shared" si="1465"/>
        <v>#DIV/0!</v>
      </c>
      <c r="Y679" s="68">
        <v>0</v>
      </c>
      <c r="Z679" s="70">
        <v>0</v>
      </c>
      <c r="AA679" s="35" t="e">
        <f t="shared" si="1466"/>
        <v>#DIV/0!</v>
      </c>
      <c r="AB679" s="11" t="e">
        <f t="shared" si="1467"/>
        <v>#DIV/0!</v>
      </c>
      <c r="AC679" s="20">
        <v>8980</v>
      </c>
      <c r="AD679" s="33">
        <v>288</v>
      </c>
      <c r="AE679" s="35">
        <f t="shared" si="1468"/>
        <v>31.180555555555557</v>
      </c>
      <c r="AF679" s="6">
        <f t="shared" si="1469"/>
        <v>0.34811784835846432</v>
      </c>
      <c r="AG679" s="68">
        <v>0</v>
      </c>
      <c r="AH679" s="66">
        <v>0</v>
      </c>
      <c r="AI679" s="35" t="e">
        <f t="shared" si="1470"/>
        <v>#DIV/0!</v>
      </c>
      <c r="AJ679" s="6" t="e">
        <f t="shared" si="1471"/>
        <v>#DIV/0!</v>
      </c>
      <c r="AK679" s="68">
        <v>0</v>
      </c>
      <c r="AL679" s="66">
        <v>0</v>
      </c>
      <c r="AM679" s="35" t="e">
        <f t="shared" si="1472"/>
        <v>#DIV/0!</v>
      </c>
      <c r="AN679" s="6" t="e">
        <f t="shared" si="1473"/>
        <v>#DIV/0!</v>
      </c>
      <c r="AO679" s="68">
        <v>0</v>
      </c>
      <c r="AP679" s="66">
        <v>0</v>
      </c>
      <c r="AQ679" s="35" t="e">
        <f t="shared" si="1474"/>
        <v>#DIV/0!</v>
      </c>
      <c r="AR679" s="6" t="e">
        <f t="shared" si="1475"/>
        <v>#DIV/0!</v>
      </c>
      <c r="AS679" s="68">
        <v>0</v>
      </c>
      <c r="AT679" s="65">
        <v>0</v>
      </c>
      <c r="AU679" s="35" t="e">
        <f t="shared" si="1476"/>
        <v>#DIV/0!</v>
      </c>
      <c r="AV679" s="6" t="e">
        <f t="shared" si="1477"/>
        <v>#DIV/0!</v>
      </c>
      <c r="AW679" s="68">
        <v>0</v>
      </c>
      <c r="AX679" s="66">
        <v>0</v>
      </c>
      <c r="AY679" s="35" t="e">
        <f t="shared" si="1478"/>
        <v>#DIV/0!</v>
      </c>
      <c r="AZ679" s="6" t="e">
        <f t="shared" si="1479"/>
        <v>#DIV/0!</v>
      </c>
      <c r="BA679" s="68">
        <v>0</v>
      </c>
      <c r="BB679" s="66">
        <v>0</v>
      </c>
      <c r="BC679" s="35" t="e">
        <f t="shared" si="1480"/>
        <v>#DIV/0!</v>
      </c>
      <c r="BD679" s="11" t="e">
        <f t="shared" si="1481"/>
        <v>#DIV/0!</v>
      </c>
    </row>
    <row r="680" spans="1:56" ht="15.75" thickBot="1" x14ac:dyDescent="0.3">
      <c r="A680" s="19" t="s">
        <v>4</v>
      </c>
      <c r="B680" s="8">
        <v>91080</v>
      </c>
      <c r="C680" s="35">
        <f>B680/F673</f>
        <v>112.16748768472907</v>
      </c>
      <c r="D680" s="8">
        <v>5250</v>
      </c>
      <c r="E680" s="68">
        <v>0</v>
      </c>
      <c r="F680" s="70">
        <v>0</v>
      </c>
      <c r="G680" s="35" t="e">
        <f t="shared" si="1456"/>
        <v>#DIV/0!</v>
      </c>
      <c r="H680" s="11" t="e">
        <f t="shared" si="1457"/>
        <v>#DIV/0!</v>
      </c>
      <c r="I680" s="35">
        <v>0</v>
      </c>
      <c r="J680" s="70">
        <v>0</v>
      </c>
      <c r="K680" s="35" t="e">
        <f t="shared" si="1458"/>
        <v>#DIV/0!</v>
      </c>
      <c r="L680" s="6" t="e">
        <f t="shared" si="1459"/>
        <v>#DIV/0!</v>
      </c>
      <c r="M680" s="68">
        <v>0</v>
      </c>
      <c r="N680" s="5">
        <v>0</v>
      </c>
      <c r="O680" s="35" t="e">
        <f t="shared" si="1460"/>
        <v>#DIV/0!</v>
      </c>
      <c r="P680" s="11" t="e">
        <f t="shared" si="1461"/>
        <v>#DIV/0!</v>
      </c>
      <c r="Q680" s="35">
        <v>0</v>
      </c>
      <c r="R680" s="66">
        <v>0</v>
      </c>
      <c r="S680" s="35" t="e">
        <f t="shared" si="1462"/>
        <v>#DIV/0!</v>
      </c>
      <c r="T680" s="6" t="e">
        <f t="shared" si="1463"/>
        <v>#DIV/0!</v>
      </c>
      <c r="U680" s="68">
        <v>0</v>
      </c>
      <c r="V680" s="66">
        <v>0</v>
      </c>
      <c r="W680" s="20" t="e">
        <f t="shared" si="1464"/>
        <v>#DIV/0!</v>
      </c>
      <c r="X680" s="6" t="e">
        <f t="shared" si="1465"/>
        <v>#DIV/0!</v>
      </c>
      <c r="Y680" s="68">
        <v>0</v>
      </c>
      <c r="Z680" s="70">
        <v>0</v>
      </c>
      <c r="AA680" s="35" t="e">
        <f t="shared" si="1466"/>
        <v>#DIV/0!</v>
      </c>
      <c r="AB680" s="11" t="e">
        <f t="shared" si="1467"/>
        <v>#DIV/0!</v>
      </c>
      <c r="AC680" s="20">
        <v>10310</v>
      </c>
      <c r="AD680" s="33">
        <v>288</v>
      </c>
      <c r="AE680" s="35">
        <f t="shared" si="1468"/>
        <v>35.798611111111114</v>
      </c>
      <c r="AF680" s="6">
        <f t="shared" si="1469"/>
        <v>0.31915318645391111</v>
      </c>
      <c r="AG680" s="68">
        <v>0</v>
      </c>
      <c r="AH680" s="66">
        <v>0</v>
      </c>
      <c r="AI680" s="35" t="e">
        <f t="shared" si="1470"/>
        <v>#DIV/0!</v>
      </c>
      <c r="AJ680" s="6" t="e">
        <f t="shared" si="1471"/>
        <v>#DIV/0!</v>
      </c>
      <c r="AK680" s="68">
        <v>0</v>
      </c>
      <c r="AL680" s="66">
        <v>0</v>
      </c>
      <c r="AM680" s="35" t="e">
        <f t="shared" si="1472"/>
        <v>#DIV/0!</v>
      </c>
      <c r="AN680" s="6" t="e">
        <f t="shared" si="1473"/>
        <v>#DIV/0!</v>
      </c>
      <c r="AO680" s="68">
        <v>0</v>
      </c>
      <c r="AP680" s="66">
        <v>0</v>
      </c>
      <c r="AQ680" s="35" t="e">
        <f t="shared" si="1474"/>
        <v>#DIV/0!</v>
      </c>
      <c r="AR680" s="6" t="e">
        <f t="shared" si="1475"/>
        <v>#DIV/0!</v>
      </c>
      <c r="AS680" s="68">
        <v>0</v>
      </c>
      <c r="AT680" s="65">
        <v>0</v>
      </c>
      <c r="AU680" s="35" t="e">
        <f t="shared" si="1476"/>
        <v>#DIV/0!</v>
      </c>
      <c r="AV680" s="6" t="e">
        <f t="shared" si="1477"/>
        <v>#DIV/0!</v>
      </c>
      <c r="AW680" s="68">
        <v>0</v>
      </c>
      <c r="AX680" s="66">
        <v>0</v>
      </c>
      <c r="AY680" s="35" t="e">
        <f t="shared" si="1478"/>
        <v>#DIV/0!</v>
      </c>
      <c r="AZ680" s="6" t="e">
        <f t="shared" si="1479"/>
        <v>#DIV/0!</v>
      </c>
      <c r="BA680" s="68">
        <v>0</v>
      </c>
      <c r="BB680" s="66">
        <v>0</v>
      </c>
      <c r="BC680" s="35" t="e">
        <f t="shared" si="1480"/>
        <v>#DIV/0!</v>
      </c>
      <c r="BD680" s="11" t="e">
        <f t="shared" si="1481"/>
        <v>#DIV/0!</v>
      </c>
    </row>
    <row r="681" spans="1:56" ht="15.75" thickBot="1" x14ac:dyDescent="0.3">
      <c r="A681" s="19" t="s">
        <v>5</v>
      </c>
      <c r="B681" s="8">
        <v>116160</v>
      </c>
      <c r="C681" s="35">
        <f>B681/F673</f>
        <v>143.05418719211823</v>
      </c>
      <c r="D681" s="8">
        <v>7050</v>
      </c>
      <c r="E681" s="68">
        <v>0</v>
      </c>
      <c r="F681" s="70">
        <v>0</v>
      </c>
      <c r="G681" s="35" t="e">
        <f t="shared" si="1456"/>
        <v>#DIV/0!</v>
      </c>
      <c r="H681" s="11" t="e">
        <f t="shared" si="1457"/>
        <v>#DIV/0!</v>
      </c>
      <c r="I681" s="35">
        <v>0</v>
      </c>
      <c r="J681" s="70">
        <v>0</v>
      </c>
      <c r="K681" s="35" t="e">
        <f t="shared" si="1458"/>
        <v>#DIV/0!</v>
      </c>
      <c r="L681" s="6" t="e">
        <f t="shared" si="1459"/>
        <v>#DIV/0!</v>
      </c>
      <c r="M681" s="68">
        <v>0</v>
      </c>
      <c r="N681" s="5">
        <v>0</v>
      </c>
      <c r="O681" s="35" t="e">
        <f t="shared" si="1460"/>
        <v>#DIV/0!</v>
      </c>
      <c r="P681" s="11" t="e">
        <f t="shared" si="1461"/>
        <v>#DIV/0!</v>
      </c>
      <c r="Q681" s="35">
        <v>0</v>
      </c>
      <c r="R681" s="66">
        <v>0</v>
      </c>
      <c r="S681" s="35" t="e">
        <f t="shared" si="1462"/>
        <v>#DIV/0!</v>
      </c>
      <c r="T681" s="6" t="e">
        <f t="shared" si="1463"/>
        <v>#DIV/0!</v>
      </c>
      <c r="U681" s="68">
        <v>0</v>
      </c>
      <c r="V681" s="66">
        <v>0</v>
      </c>
      <c r="W681" s="20" t="e">
        <f t="shared" si="1464"/>
        <v>#DIV/0!</v>
      </c>
      <c r="X681" s="6" t="e">
        <f t="shared" si="1465"/>
        <v>#DIV/0!</v>
      </c>
      <c r="Y681" s="68">
        <v>0</v>
      </c>
      <c r="Z681" s="70">
        <v>0</v>
      </c>
      <c r="AA681" s="35" t="e">
        <f t="shared" si="1466"/>
        <v>#DIV/0!</v>
      </c>
      <c r="AB681" s="11" t="e">
        <f t="shared" si="1467"/>
        <v>#DIV/0!</v>
      </c>
      <c r="AC681" s="20">
        <v>11970</v>
      </c>
      <c r="AD681" s="33">
        <v>288</v>
      </c>
      <c r="AE681" s="35">
        <f t="shared" si="1468"/>
        <v>41.5625</v>
      </c>
      <c r="AF681" s="6">
        <f t="shared" si="1469"/>
        <v>0.29053675964187325</v>
      </c>
      <c r="AG681" s="68">
        <v>0</v>
      </c>
      <c r="AH681" s="66">
        <v>0</v>
      </c>
      <c r="AI681" s="35" t="e">
        <f t="shared" si="1470"/>
        <v>#DIV/0!</v>
      </c>
      <c r="AJ681" s="6" t="e">
        <f t="shared" si="1471"/>
        <v>#DIV/0!</v>
      </c>
      <c r="AK681" s="68">
        <v>0</v>
      </c>
      <c r="AL681" s="66">
        <v>0</v>
      </c>
      <c r="AM681" s="35" t="e">
        <f t="shared" si="1472"/>
        <v>#DIV/0!</v>
      </c>
      <c r="AN681" s="6" t="e">
        <f t="shared" si="1473"/>
        <v>#DIV/0!</v>
      </c>
      <c r="AO681" s="68">
        <v>0</v>
      </c>
      <c r="AP681" s="66">
        <v>0</v>
      </c>
      <c r="AQ681" s="35" t="e">
        <f t="shared" si="1474"/>
        <v>#DIV/0!</v>
      </c>
      <c r="AR681" s="6" t="e">
        <f t="shared" si="1475"/>
        <v>#DIV/0!</v>
      </c>
      <c r="AS681" s="68">
        <v>0</v>
      </c>
      <c r="AT681" s="65">
        <v>0</v>
      </c>
      <c r="AU681" s="35" t="e">
        <f t="shared" si="1476"/>
        <v>#DIV/0!</v>
      </c>
      <c r="AV681" s="6" t="e">
        <f t="shared" si="1477"/>
        <v>#DIV/0!</v>
      </c>
      <c r="AW681" s="68">
        <v>0</v>
      </c>
      <c r="AX681" s="66">
        <v>0</v>
      </c>
      <c r="AY681" s="35" t="e">
        <f t="shared" si="1478"/>
        <v>#DIV/0!</v>
      </c>
      <c r="AZ681" s="6" t="e">
        <f t="shared" si="1479"/>
        <v>#DIV/0!</v>
      </c>
      <c r="BA681" s="68">
        <v>0</v>
      </c>
      <c r="BB681" s="66">
        <v>0</v>
      </c>
      <c r="BC681" s="35" t="e">
        <f t="shared" si="1480"/>
        <v>#DIV/0!</v>
      </c>
      <c r="BD681" s="11" t="e">
        <f t="shared" si="1481"/>
        <v>#DIV/0!</v>
      </c>
    </row>
    <row r="682" spans="1:56" x14ac:dyDescent="0.25">
      <c r="A682" s="19" t="s">
        <v>6</v>
      </c>
      <c r="B682" s="8">
        <v>133030</v>
      </c>
      <c r="C682" s="35">
        <f>B682/F673</f>
        <v>163.83004926108376</v>
      </c>
      <c r="D682" s="8">
        <v>10950</v>
      </c>
      <c r="E682" s="68">
        <v>0</v>
      </c>
      <c r="F682" s="70">
        <v>0</v>
      </c>
      <c r="G682" s="35" t="e">
        <f t="shared" si="1456"/>
        <v>#DIV/0!</v>
      </c>
      <c r="H682" s="11" t="e">
        <f t="shared" si="1457"/>
        <v>#DIV/0!</v>
      </c>
      <c r="I682" s="35">
        <v>0</v>
      </c>
      <c r="J682" s="70">
        <v>0</v>
      </c>
      <c r="K682" s="35" t="e">
        <f t="shared" si="1458"/>
        <v>#DIV/0!</v>
      </c>
      <c r="L682" s="6" t="e">
        <f t="shared" si="1459"/>
        <v>#DIV/0!</v>
      </c>
      <c r="M682" s="68">
        <v>0</v>
      </c>
      <c r="N682" s="5">
        <v>0</v>
      </c>
      <c r="O682" s="35" t="e">
        <f t="shared" si="1460"/>
        <v>#DIV/0!</v>
      </c>
      <c r="P682" s="11" t="e">
        <f t="shared" si="1461"/>
        <v>#DIV/0!</v>
      </c>
      <c r="Q682" s="35">
        <v>0</v>
      </c>
      <c r="R682" s="66">
        <v>0</v>
      </c>
      <c r="S682" s="35" t="e">
        <f t="shared" si="1462"/>
        <v>#DIV/0!</v>
      </c>
      <c r="T682" s="6" t="e">
        <f t="shared" si="1463"/>
        <v>#DIV/0!</v>
      </c>
      <c r="U682" s="68">
        <v>0</v>
      </c>
      <c r="V682" s="66">
        <v>0</v>
      </c>
      <c r="W682" s="20" t="e">
        <f t="shared" si="1464"/>
        <v>#DIV/0!</v>
      </c>
      <c r="X682" s="6" t="e">
        <f t="shared" si="1465"/>
        <v>#DIV/0!</v>
      </c>
      <c r="Y682" s="68">
        <v>0</v>
      </c>
      <c r="Z682" s="70">
        <v>0</v>
      </c>
      <c r="AA682" s="35" t="e">
        <f t="shared" si="1466"/>
        <v>#DIV/0!</v>
      </c>
      <c r="AB682" s="11" t="e">
        <f t="shared" si="1467"/>
        <v>#DIV/0!</v>
      </c>
      <c r="AC682" s="20">
        <v>16930</v>
      </c>
      <c r="AD682" s="33">
        <v>288</v>
      </c>
      <c r="AE682" s="35">
        <f t="shared" si="1468"/>
        <v>58.784722222222221</v>
      </c>
      <c r="AF682" s="6">
        <f t="shared" si="1469"/>
        <v>0.35881526305678751</v>
      </c>
      <c r="AG682" s="68">
        <v>0</v>
      </c>
      <c r="AH682" s="66">
        <v>0</v>
      </c>
      <c r="AI682" s="35" t="e">
        <f t="shared" si="1470"/>
        <v>#DIV/0!</v>
      </c>
      <c r="AJ682" s="6" t="e">
        <f t="shared" si="1471"/>
        <v>#DIV/0!</v>
      </c>
      <c r="AK682" s="68">
        <v>0</v>
      </c>
      <c r="AL682" s="66">
        <v>0</v>
      </c>
      <c r="AM682" s="35" t="e">
        <f t="shared" si="1472"/>
        <v>#DIV/0!</v>
      </c>
      <c r="AN682" s="6" t="e">
        <f t="shared" si="1473"/>
        <v>#DIV/0!</v>
      </c>
      <c r="AO682" s="68">
        <v>0</v>
      </c>
      <c r="AP682" s="66">
        <v>0</v>
      </c>
      <c r="AQ682" s="35" t="e">
        <f t="shared" si="1474"/>
        <v>#DIV/0!</v>
      </c>
      <c r="AR682" s="6" t="e">
        <f t="shared" si="1475"/>
        <v>#DIV/0!</v>
      </c>
      <c r="AS682" s="68">
        <v>0</v>
      </c>
      <c r="AT682" s="65">
        <v>0</v>
      </c>
      <c r="AU682" s="35" t="e">
        <f t="shared" si="1476"/>
        <v>#DIV/0!</v>
      </c>
      <c r="AV682" s="6" t="e">
        <f t="shared" si="1477"/>
        <v>#DIV/0!</v>
      </c>
      <c r="AW682" s="68">
        <v>0</v>
      </c>
      <c r="AX682" s="66">
        <v>0</v>
      </c>
      <c r="AY682" s="35" t="e">
        <f t="shared" si="1478"/>
        <v>#DIV/0!</v>
      </c>
      <c r="AZ682" s="6" t="e">
        <f t="shared" si="1479"/>
        <v>#DIV/0!</v>
      </c>
      <c r="BA682" s="68">
        <v>0</v>
      </c>
      <c r="BB682" s="66">
        <v>0</v>
      </c>
      <c r="BC682" s="35" t="e">
        <f t="shared" si="1480"/>
        <v>#DIV/0!</v>
      </c>
      <c r="BD682" s="11" t="e">
        <f t="shared" si="1481"/>
        <v>#DIV/0!</v>
      </c>
    </row>
    <row r="683" spans="1:56" ht="15.75" thickBot="1" x14ac:dyDescent="0.3">
      <c r="A683" s="21"/>
      <c r="B683" s="22"/>
      <c r="C683" s="23">
        <f>AVERAGE(Table11050[MA $/Sq Ft])</f>
        <v>100.26389866291345</v>
      </c>
      <c r="D683" s="22">
        <f>AVERAGE(Table11050[Basic Allowance])</f>
        <v>4442.8571428571431</v>
      </c>
      <c r="E683" s="16"/>
      <c r="F683" s="22"/>
      <c r="G683" s="15"/>
      <c r="H683" s="24" t="e">
        <f>AVERAGE(Table11050[Bsmt % Base])</f>
        <v>#DIV/0!</v>
      </c>
      <c r="I683" s="15"/>
      <c r="J683" s="15"/>
      <c r="K683" s="15"/>
      <c r="L683" s="25" t="e">
        <f>AVERAGE(Table11050[[#Headers],[#Data],[UnfBsmt % Base]])</f>
        <v>#DIV/0!</v>
      </c>
      <c r="M683" s="44"/>
      <c r="N683" s="15"/>
      <c r="O683" s="23" t="e">
        <f>AVERAGE(Table11050[LowerVal/SqFt])</f>
        <v>#DIV/0!</v>
      </c>
      <c r="P683" s="24" t="e">
        <f>AVERAGE(Table11050[Lower % Base])</f>
        <v>#DIV/0!</v>
      </c>
      <c r="Q683" s="13"/>
      <c r="R683" s="13"/>
      <c r="S683" s="13"/>
      <c r="T683" s="25" t="e">
        <f>AVERAGE(Table11050[Unf Lower % Base])</f>
        <v>#DIV/0!</v>
      </c>
      <c r="U683" s="12"/>
      <c r="V683" s="13"/>
      <c r="W683" s="13"/>
      <c r="X683" s="25" t="e">
        <f>AVERAGE(Table11050[1/2 Story % Base])</f>
        <v>#DIV/0!</v>
      </c>
      <c r="Y683" s="12"/>
      <c r="Z683" s="13"/>
      <c r="AA683" s="13"/>
      <c r="AB683" s="24" t="e">
        <f>AVERAGE(Table11050[2nd Story % Base])</f>
        <v>#DIV/0!</v>
      </c>
      <c r="AC683" s="13"/>
      <c r="AD683" s="13"/>
      <c r="AE683" s="23">
        <f>AVERAGE(Table11050[AttGarVal/SqFt])</f>
        <v>34.13194444444445</v>
      </c>
      <c r="AF683" s="25">
        <f>AVERAGE(Table11050[Att Gar % Base])</f>
        <v>0.34514697752662948</v>
      </c>
      <c r="AG683" s="12"/>
      <c r="AH683" s="13"/>
      <c r="AI683" s="13"/>
      <c r="AJ683" s="25" t="e">
        <f>AVERAGE(Table11050[Porch % Base])</f>
        <v>#DIV/0!</v>
      </c>
      <c r="AK683" s="12"/>
      <c r="AL683" s="13"/>
      <c r="AM683" s="13"/>
      <c r="AN683" s="25" t="e">
        <f>AVERAGE(Table11050[Cov Porch % Base])</f>
        <v>#DIV/0!</v>
      </c>
      <c r="AO683" s="12"/>
      <c r="AP683" s="13"/>
      <c r="AQ683" s="13"/>
      <c r="AR683" s="25" t="e">
        <f>AVERAGE(Table11050[Deck % Base])</f>
        <v>#DIV/0!</v>
      </c>
      <c r="AS683" s="12"/>
      <c r="AT683" s="13"/>
      <c r="AU683" s="23" t="e">
        <f>AVERAGE(Table11050[CovDeckVal/SqFt])</f>
        <v>#DIV/0!</v>
      </c>
      <c r="AV683" s="25" t="e">
        <f>AVERAGE(Table11050[CovDeck % Base])</f>
        <v>#DIV/0!</v>
      </c>
      <c r="AW683" s="12"/>
      <c r="AX683" s="13"/>
      <c r="AY683" s="13"/>
      <c r="AZ683" s="25" t="e">
        <f>AVERAGE(Table11050[CarP % Base])</f>
        <v>#DIV/0!</v>
      </c>
      <c r="BA683" s="12"/>
      <c r="BB683" s="13"/>
      <c r="BC683" s="13"/>
      <c r="BD683" s="24" t="e">
        <f>AVERAGE(Table11050[EFP % Base])</f>
        <v>#DIV/0!</v>
      </c>
    </row>
    <row r="685" spans="1:56" ht="15.75" thickBot="1" x14ac:dyDescent="0.3">
      <c r="A685" s="82"/>
      <c r="B685" t="s">
        <v>79</v>
      </c>
      <c r="C685" s="78" t="s">
        <v>155</v>
      </c>
      <c r="E685" t="s">
        <v>33</v>
      </c>
      <c r="F685" s="79">
        <v>870</v>
      </c>
      <c r="H685" t="s">
        <v>80</v>
      </c>
      <c r="I685" t="s">
        <v>152</v>
      </c>
    </row>
    <row r="686" spans="1:56" x14ac:dyDescent="0.25">
      <c r="A686" s="112"/>
      <c r="B686" s="113"/>
      <c r="C686" s="113"/>
      <c r="D686" s="114"/>
      <c r="E686" s="115" t="s">
        <v>27</v>
      </c>
      <c r="F686" s="116"/>
      <c r="G686" s="116"/>
      <c r="H686" s="117"/>
      <c r="I686" s="118" t="s">
        <v>28</v>
      </c>
      <c r="J686" s="119"/>
      <c r="K686" s="119"/>
      <c r="L686" s="120"/>
      <c r="M686" s="121" t="s">
        <v>7</v>
      </c>
      <c r="N686" s="122"/>
      <c r="O686" s="122"/>
      <c r="P686" s="123"/>
      <c r="Q686" s="124" t="s">
        <v>29</v>
      </c>
      <c r="R686" s="125"/>
      <c r="S686" s="125"/>
      <c r="T686" s="126"/>
      <c r="U686" s="127" t="s">
        <v>8</v>
      </c>
      <c r="V686" s="128"/>
      <c r="W686" s="128"/>
      <c r="X686" s="129"/>
      <c r="Y686" s="130" t="s">
        <v>0</v>
      </c>
      <c r="Z686" s="131"/>
      <c r="AA686" s="131"/>
      <c r="AB686" s="132"/>
      <c r="AC686" s="133" t="s">
        <v>34</v>
      </c>
      <c r="AD686" s="134"/>
      <c r="AE686" s="134"/>
      <c r="AF686" s="135"/>
      <c r="AG686" s="115" t="s">
        <v>9</v>
      </c>
      <c r="AH686" s="116"/>
      <c r="AI686" s="116"/>
      <c r="AJ686" s="117"/>
      <c r="AK686" s="136" t="s">
        <v>35</v>
      </c>
      <c r="AL686" s="137"/>
      <c r="AM686" s="137"/>
      <c r="AN686" s="138"/>
      <c r="AO686" s="139" t="s">
        <v>10</v>
      </c>
      <c r="AP686" s="140"/>
      <c r="AQ686" s="140"/>
      <c r="AR686" s="141"/>
      <c r="AS686" s="124" t="s">
        <v>36</v>
      </c>
      <c r="AT686" s="125"/>
      <c r="AU686" s="125"/>
      <c r="AV686" s="126"/>
      <c r="AW686" s="142" t="s">
        <v>11</v>
      </c>
      <c r="AX686" s="143"/>
      <c r="AY686" s="143"/>
      <c r="AZ686" s="144"/>
      <c r="BA686" s="145" t="s">
        <v>153</v>
      </c>
      <c r="BB686" s="146"/>
      <c r="BC686" s="146"/>
      <c r="BD686" s="147"/>
    </row>
    <row r="687" spans="1:56" s="1" customFormat="1" ht="15.75" thickBot="1" x14ac:dyDescent="0.3">
      <c r="A687" s="41" t="s">
        <v>13</v>
      </c>
      <c r="B687" s="42" t="s">
        <v>15</v>
      </c>
      <c r="C687" s="42" t="s">
        <v>32</v>
      </c>
      <c r="D687" s="43" t="s">
        <v>18</v>
      </c>
      <c r="E687" s="30" t="s">
        <v>30</v>
      </c>
      <c r="F687" s="31" t="s">
        <v>61</v>
      </c>
      <c r="G687" s="31" t="s">
        <v>38</v>
      </c>
      <c r="H687" s="32" t="s">
        <v>62</v>
      </c>
      <c r="I687" s="37" t="s">
        <v>31</v>
      </c>
      <c r="J687" s="38" t="s">
        <v>39</v>
      </c>
      <c r="K687" s="38" t="s">
        <v>40</v>
      </c>
      <c r="L687" s="39" t="s">
        <v>63</v>
      </c>
      <c r="M687" s="40" t="s">
        <v>19</v>
      </c>
      <c r="N687" s="7" t="s">
        <v>41</v>
      </c>
      <c r="O687" s="7" t="s">
        <v>37</v>
      </c>
      <c r="P687" s="7" t="s">
        <v>64</v>
      </c>
      <c r="Q687" s="27" t="s">
        <v>20</v>
      </c>
      <c r="R687" s="28" t="s">
        <v>60</v>
      </c>
      <c r="S687" s="28" t="s">
        <v>59</v>
      </c>
      <c r="T687" s="29" t="s">
        <v>65</v>
      </c>
      <c r="U687" s="48" t="s">
        <v>21</v>
      </c>
      <c r="V687" s="48" t="s">
        <v>42</v>
      </c>
      <c r="W687" s="48" t="s">
        <v>43</v>
      </c>
      <c r="X687" s="49" t="s">
        <v>66</v>
      </c>
      <c r="Y687" s="50" t="s">
        <v>22</v>
      </c>
      <c r="Z687" s="51" t="s">
        <v>44</v>
      </c>
      <c r="AA687" s="51" t="s">
        <v>45</v>
      </c>
      <c r="AB687" s="52" t="s">
        <v>67</v>
      </c>
      <c r="AC687" s="45" t="s">
        <v>23</v>
      </c>
      <c r="AD687" s="46" t="s">
        <v>46</v>
      </c>
      <c r="AE687" s="46" t="s">
        <v>47</v>
      </c>
      <c r="AF687" s="47" t="s">
        <v>68</v>
      </c>
      <c r="AG687" s="30" t="s">
        <v>24</v>
      </c>
      <c r="AH687" s="31" t="s">
        <v>48</v>
      </c>
      <c r="AI687" s="31" t="s">
        <v>49</v>
      </c>
      <c r="AJ687" s="32" t="s">
        <v>69</v>
      </c>
      <c r="AK687" s="53" t="s">
        <v>25</v>
      </c>
      <c r="AL687" s="54" t="s">
        <v>50</v>
      </c>
      <c r="AM687" s="54" t="s">
        <v>51</v>
      </c>
      <c r="AN687" s="55" t="s">
        <v>70</v>
      </c>
      <c r="AO687" s="56" t="s">
        <v>26</v>
      </c>
      <c r="AP687" s="57" t="s">
        <v>52</v>
      </c>
      <c r="AQ687" s="57" t="s">
        <v>53</v>
      </c>
      <c r="AR687" s="58" t="s">
        <v>71</v>
      </c>
      <c r="AS687" s="59" t="s">
        <v>55</v>
      </c>
      <c r="AT687" s="60" t="s">
        <v>54</v>
      </c>
      <c r="AU687" s="60" t="s">
        <v>56</v>
      </c>
      <c r="AV687" s="61" t="s">
        <v>76</v>
      </c>
      <c r="AW687" s="62" t="s">
        <v>72</v>
      </c>
      <c r="AX687" s="63" t="s">
        <v>73</v>
      </c>
      <c r="AY687" s="63" t="s">
        <v>74</v>
      </c>
      <c r="AZ687" s="64" t="s">
        <v>75</v>
      </c>
      <c r="BA687" s="71" t="s">
        <v>77</v>
      </c>
      <c r="BB687" s="72" t="s">
        <v>57</v>
      </c>
      <c r="BC687" s="72" t="s">
        <v>58</v>
      </c>
      <c r="BD687" s="73" t="s">
        <v>78</v>
      </c>
    </row>
    <row r="688" spans="1:56" ht="15.75" thickBot="1" x14ac:dyDescent="0.3">
      <c r="A688" s="17" t="s">
        <v>1</v>
      </c>
      <c r="B688" s="14">
        <v>46730</v>
      </c>
      <c r="C688" s="34">
        <f>B688/F685</f>
        <v>53.712643678160923</v>
      </c>
      <c r="D688" s="14">
        <v>1525</v>
      </c>
      <c r="E688" s="67">
        <v>0</v>
      </c>
      <c r="F688" s="69">
        <v>0</v>
      </c>
      <c r="G688" s="34" t="e">
        <f t="shared" ref="G688:G694" si="1482">E688/F688</f>
        <v>#DIV/0!</v>
      </c>
      <c r="H688" s="10" t="e">
        <f t="shared" ref="H688:H694" si="1483">G688/C688</f>
        <v>#DIV/0!</v>
      </c>
      <c r="I688" s="34">
        <v>0</v>
      </c>
      <c r="J688" s="69">
        <v>0</v>
      </c>
      <c r="K688" s="34" t="e">
        <f t="shared" ref="K688:K694" si="1484">I688/J688</f>
        <v>#DIV/0!</v>
      </c>
      <c r="L688" s="9" t="e">
        <f t="shared" ref="L688:L694" si="1485">K688/C688</f>
        <v>#DIV/0!</v>
      </c>
      <c r="M688" s="67">
        <v>0</v>
      </c>
      <c r="N688" s="26">
        <v>0</v>
      </c>
      <c r="O688" s="34" t="e">
        <f t="shared" ref="O688:O694" si="1486">M688/N688</f>
        <v>#DIV/0!</v>
      </c>
      <c r="P688" s="10" t="e">
        <f t="shared" ref="P688:P694" si="1487">O688/C688</f>
        <v>#DIV/0!</v>
      </c>
      <c r="Q688" s="35">
        <v>0</v>
      </c>
      <c r="R688" s="66">
        <v>0</v>
      </c>
      <c r="S688" s="35" t="e">
        <f t="shared" ref="S688:S694" si="1488">Q688/R688</f>
        <v>#DIV/0!</v>
      </c>
      <c r="T688" s="6" t="e">
        <f t="shared" ref="T688:T694" si="1489">S688/C688</f>
        <v>#DIV/0!</v>
      </c>
      <c r="U688" s="67">
        <v>13720</v>
      </c>
      <c r="V688" s="65">
        <v>435</v>
      </c>
      <c r="W688" s="34">
        <f t="shared" ref="W688:W694" si="1490">U688/V688</f>
        <v>31.540229885057471</v>
      </c>
      <c r="X688" s="9">
        <f t="shared" ref="X688:X694" si="1491">W688/C688</f>
        <v>0.58720308153220624</v>
      </c>
      <c r="Y688" s="67">
        <v>0</v>
      </c>
      <c r="Z688" s="69">
        <v>0</v>
      </c>
      <c r="AA688" s="34" t="e">
        <f t="shared" ref="AA688:AA694" si="1492">Y688/Z688</f>
        <v>#DIV/0!</v>
      </c>
      <c r="AB688" s="10" t="e">
        <f t="shared" ref="AB688:AB694" si="1493">AA688/C688</f>
        <v>#DIV/0!</v>
      </c>
      <c r="AC688" s="18">
        <v>0</v>
      </c>
      <c r="AD688" s="33">
        <v>0</v>
      </c>
      <c r="AE688" s="34" t="e">
        <f t="shared" ref="AE688:AE694" si="1494">AC688/AD688</f>
        <v>#DIV/0!</v>
      </c>
      <c r="AF688" s="9" t="e">
        <f t="shared" ref="AF688:AF694" si="1495">AE688/C688</f>
        <v>#DIV/0!</v>
      </c>
      <c r="AG688" s="67">
        <v>0</v>
      </c>
      <c r="AH688" s="65">
        <v>0</v>
      </c>
      <c r="AI688" s="34" t="e">
        <f t="shared" ref="AI688:AI694" si="1496">AG688/AH688</f>
        <v>#DIV/0!</v>
      </c>
      <c r="AJ688" s="9" t="e">
        <f t="shared" ref="AJ688:AJ694" si="1497">AI688/C688</f>
        <v>#DIV/0!</v>
      </c>
      <c r="AK688" s="67">
        <v>0</v>
      </c>
      <c r="AL688" s="65">
        <v>0</v>
      </c>
      <c r="AM688" s="34" t="e">
        <f t="shared" ref="AM688:AM694" si="1498">AK688/AL688</f>
        <v>#DIV/0!</v>
      </c>
      <c r="AN688" s="9" t="e">
        <f t="shared" ref="AN688:AN694" si="1499">AM688/C688</f>
        <v>#DIV/0!</v>
      </c>
      <c r="AO688" s="67">
        <v>0</v>
      </c>
      <c r="AP688" s="65">
        <v>0</v>
      </c>
      <c r="AQ688" s="34" t="e">
        <f t="shared" ref="AQ688:AQ694" si="1500">AO688/AP688</f>
        <v>#DIV/0!</v>
      </c>
      <c r="AR688" s="9" t="e">
        <f t="shared" ref="AR688:AR694" si="1501">AQ688/C688</f>
        <v>#DIV/0!</v>
      </c>
      <c r="AS688" s="67">
        <v>5470</v>
      </c>
      <c r="AT688" s="65">
        <v>459</v>
      </c>
      <c r="AU688" s="34">
        <f t="shared" ref="AU688:AU694" si="1502">AS688/AT688</f>
        <v>11.917211328976036</v>
      </c>
      <c r="AV688" s="9">
        <f t="shared" ref="AV688:AV694" si="1503">AU688/C688</f>
        <v>0.22186975938816927</v>
      </c>
      <c r="AW688" s="67">
        <v>0</v>
      </c>
      <c r="AX688" s="65">
        <v>0</v>
      </c>
      <c r="AY688" s="34" t="e">
        <f t="shared" ref="AY688:AY694" si="1504">AW688/AX688</f>
        <v>#DIV/0!</v>
      </c>
      <c r="AZ688" s="9" t="e">
        <f t="shared" ref="AZ688:AZ694" si="1505">AY688/C688</f>
        <v>#DIV/0!</v>
      </c>
      <c r="BA688" s="67">
        <v>6130</v>
      </c>
      <c r="BB688" s="66">
        <v>213</v>
      </c>
      <c r="BC688" s="34">
        <f t="shared" ref="BC688:BC694" si="1506">BA688/BB688</f>
        <v>28.779342723004696</v>
      </c>
      <c r="BD688" s="10">
        <f t="shared" ref="BD688:BD694" si="1507">BC688/C688</f>
        <v>0.53580201517256765</v>
      </c>
    </row>
    <row r="689" spans="1:56" ht="15.75" thickBot="1" x14ac:dyDescent="0.3">
      <c r="A689" s="19" t="s">
        <v>16</v>
      </c>
      <c r="B689" s="8">
        <v>54980</v>
      </c>
      <c r="C689" s="35">
        <f>B689/F685</f>
        <v>63.195402298850574</v>
      </c>
      <c r="D689" s="8">
        <v>1525</v>
      </c>
      <c r="E689" s="68">
        <v>0</v>
      </c>
      <c r="F689" s="70">
        <v>0</v>
      </c>
      <c r="G689" s="35" t="e">
        <f t="shared" si="1482"/>
        <v>#DIV/0!</v>
      </c>
      <c r="H689" s="11" t="e">
        <f t="shared" si="1483"/>
        <v>#DIV/0!</v>
      </c>
      <c r="I689" s="35">
        <v>0</v>
      </c>
      <c r="J689" s="70">
        <v>0</v>
      </c>
      <c r="K689" s="35" t="e">
        <f t="shared" si="1484"/>
        <v>#DIV/0!</v>
      </c>
      <c r="L689" s="6" t="e">
        <f t="shared" si="1485"/>
        <v>#DIV/0!</v>
      </c>
      <c r="M689" s="68">
        <v>0</v>
      </c>
      <c r="N689" s="5">
        <v>0</v>
      </c>
      <c r="O689" s="35" t="e">
        <f t="shared" si="1486"/>
        <v>#DIV/0!</v>
      </c>
      <c r="P689" s="11" t="e">
        <f t="shared" si="1487"/>
        <v>#DIV/0!</v>
      </c>
      <c r="Q689" s="35">
        <v>0</v>
      </c>
      <c r="R689" s="66">
        <v>0</v>
      </c>
      <c r="S689" s="35" t="e">
        <f t="shared" si="1488"/>
        <v>#DIV/0!</v>
      </c>
      <c r="T689" s="6" t="e">
        <f t="shared" si="1489"/>
        <v>#DIV/0!</v>
      </c>
      <c r="U689" s="68">
        <v>17890</v>
      </c>
      <c r="V689" s="65">
        <v>435</v>
      </c>
      <c r="W689" s="35">
        <f t="shared" si="1490"/>
        <v>41.126436781609193</v>
      </c>
      <c r="X689" s="6">
        <f t="shared" si="1491"/>
        <v>0.65078210258275737</v>
      </c>
      <c r="Y689" s="68">
        <v>0</v>
      </c>
      <c r="Z689" s="70">
        <v>0</v>
      </c>
      <c r="AA689" s="35" t="e">
        <f t="shared" si="1492"/>
        <v>#DIV/0!</v>
      </c>
      <c r="AB689" s="11" t="e">
        <f t="shared" si="1493"/>
        <v>#DIV/0!</v>
      </c>
      <c r="AC689" s="20">
        <v>0</v>
      </c>
      <c r="AD689" s="36">
        <v>0</v>
      </c>
      <c r="AE689" s="35" t="e">
        <f t="shared" si="1494"/>
        <v>#DIV/0!</v>
      </c>
      <c r="AF689" s="6" t="e">
        <f t="shared" si="1495"/>
        <v>#DIV/0!</v>
      </c>
      <c r="AG689" s="68">
        <v>0</v>
      </c>
      <c r="AH689" s="66">
        <v>0</v>
      </c>
      <c r="AI689" s="35" t="e">
        <f t="shared" si="1496"/>
        <v>#DIV/0!</v>
      </c>
      <c r="AJ689" s="6" t="e">
        <f t="shared" si="1497"/>
        <v>#DIV/0!</v>
      </c>
      <c r="AK689" s="68">
        <v>0</v>
      </c>
      <c r="AL689" s="66">
        <v>0</v>
      </c>
      <c r="AM689" s="35" t="e">
        <f t="shared" si="1498"/>
        <v>#DIV/0!</v>
      </c>
      <c r="AN689" s="6" t="e">
        <f t="shared" si="1499"/>
        <v>#DIV/0!</v>
      </c>
      <c r="AO689" s="68">
        <v>0</v>
      </c>
      <c r="AP689" s="66">
        <v>0</v>
      </c>
      <c r="AQ689" s="35" t="e">
        <f t="shared" si="1500"/>
        <v>#DIV/0!</v>
      </c>
      <c r="AR689" s="6" t="e">
        <f t="shared" si="1501"/>
        <v>#DIV/0!</v>
      </c>
      <c r="AS689" s="68">
        <v>7610</v>
      </c>
      <c r="AT689" s="65">
        <v>459</v>
      </c>
      <c r="AU689" s="35">
        <f t="shared" si="1502"/>
        <v>16.579520697167755</v>
      </c>
      <c r="AV689" s="6">
        <f t="shared" si="1503"/>
        <v>0.26235327403666692</v>
      </c>
      <c r="AW689" s="68">
        <v>0</v>
      </c>
      <c r="AX689" s="66">
        <v>0</v>
      </c>
      <c r="AY689" s="35" t="e">
        <f t="shared" si="1504"/>
        <v>#DIV/0!</v>
      </c>
      <c r="AZ689" s="6" t="e">
        <f t="shared" si="1505"/>
        <v>#DIV/0!</v>
      </c>
      <c r="BA689" s="68">
        <v>8940</v>
      </c>
      <c r="BB689" s="66">
        <v>213</v>
      </c>
      <c r="BC689" s="35">
        <f t="shared" si="1506"/>
        <v>41.971830985915496</v>
      </c>
      <c r="BD689" s="11">
        <f t="shared" si="1507"/>
        <v>0.66415956634678941</v>
      </c>
    </row>
    <row r="690" spans="1:56" ht="15.75" thickBot="1" x14ac:dyDescent="0.3">
      <c r="A690" s="19" t="s">
        <v>2</v>
      </c>
      <c r="B690" s="8">
        <v>64420</v>
      </c>
      <c r="C690" s="35">
        <f>B690/F685</f>
        <v>74.045977011494259</v>
      </c>
      <c r="D690" s="8">
        <v>2100</v>
      </c>
      <c r="E690" s="68">
        <v>0</v>
      </c>
      <c r="F690" s="70">
        <v>0</v>
      </c>
      <c r="G690" s="35" t="e">
        <f t="shared" si="1482"/>
        <v>#DIV/0!</v>
      </c>
      <c r="H690" s="11" t="e">
        <f t="shared" si="1483"/>
        <v>#DIV/0!</v>
      </c>
      <c r="I690" s="35">
        <v>0</v>
      </c>
      <c r="J690" s="70">
        <v>0</v>
      </c>
      <c r="K690" s="35" t="e">
        <f t="shared" si="1484"/>
        <v>#DIV/0!</v>
      </c>
      <c r="L690" s="6" t="e">
        <f t="shared" si="1485"/>
        <v>#DIV/0!</v>
      </c>
      <c r="M690" s="68">
        <v>0</v>
      </c>
      <c r="N690" s="5">
        <v>0</v>
      </c>
      <c r="O690" s="35" t="e">
        <f t="shared" si="1486"/>
        <v>#DIV/0!</v>
      </c>
      <c r="P690" s="11" t="e">
        <f t="shared" si="1487"/>
        <v>#DIV/0!</v>
      </c>
      <c r="Q690" s="35">
        <v>0</v>
      </c>
      <c r="R690" s="66">
        <v>0</v>
      </c>
      <c r="S690" s="35" t="e">
        <f t="shared" si="1488"/>
        <v>#DIV/0!</v>
      </c>
      <c r="T690" s="6" t="e">
        <f t="shared" si="1489"/>
        <v>#DIV/0!</v>
      </c>
      <c r="U690" s="68">
        <v>22630</v>
      </c>
      <c r="V690" s="65">
        <v>435</v>
      </c>
      <c r="W690" s="35">
        <f t="shared" si="1490"/>
        <v>52.022988505747129</v>
      </c>
      <c r="X690" s="6">
        <f t="shared" si="1491"/>
        <v>0.70257683949084138</v>
      </c>
      <c r="Y690" s="68">
        <v>0</v>
      </c>
      <c r="Z690" s="70">
        <v>0</v>
      </c>
      <c r="AA690" s="35" t="e">
        <f t="shared" si="1492"/>
        <v>#DIV/0!</v>
      </c>
      <c r="AB690" s="11" t="e">
        <f t="shared" si="1493"/>
        <v>#DIV/0!</v>
      </c>
      <c r="AC690" s="20">
        <v>0</v>
      </c>
      <c r="AD690" s="36">
        <v>0</v>
      </c>
      <c r="AE690" s="35" t="e">
        <f t="shared" si="1494"/>
        <v>#DIV/0!</v>
      </c>
      <c r="AF690" s="6" t="e">
        <f t="shared" si="1495"/>
        <v>#DIV/0!</v>
      </c>
      <c r="AG690" s="68">
        <v>0</v>
      </c>
      <c r="AH690" s="66">
        <v>0</v>
      </c>
      <c r="AI690" s="35" t="e">
        <f t="shared" si="1496"/>
        <v>#DIV/0!</v>
      </c>
      <c r="AJ690" s="6" t="e">
        <f t="shared" si="1497"/>
        <v>#DIV/0!</v>
      </c>
      <c r="AK690" s="68">
        <v>0</v>
      </c>
      <c r="AL690" s="66">
        <v>0</v>
      </c>
      <c r="AM690" s="35" t="e">
        <f t="shared" si="1498"/>
        <v>#DIV/0!</v>
      </c>
      <c r="AN690" s="6" t="e">
        <f t="shared" si="1499"/>
        <v>#DIV/0!</v>
      </c>
      <c r="AO690" s="68">
        <v>0</v>
      </c>
      <c r="AP690" s="66">
        <v>0</v>
      </c>
      <c r="AQ690" s="35" t="e">
        <f t="shared" si="1500"/>
        <v>#DIV/0!</v>
      </c>
      <c r="AR690" s="6" t="e">
        <f t="shared" si="1501"/>
        <v>#DIV/0!</v>
      </c>
      <c r="AS690" s="68">
        <v>8600</v>
      </c>
      <c r="AT690" s="65">
        <v>459</v>
      </c>
      <c r="AU690" s="35">
        <f t="shared" si="1502"/>
        <v>18.736383442265794</v>
      </c>
      <c r="AV690" s="6">
        <f t="shared" si="1503"/>
        <v>0.25303715608151567</v>
      </c>
      <c r="AW690" s="68">
        <v>0</v>
      </c>
      <c r="AX690" s="66">
        <v>0</v>
      </c>
      <c r="AY690" s="35" t="e">
        <f t="shared" si="1504"/>
        <v>#DIV/0!</v>
      </c>
      <c r="AZ690" s="6" t="e">
        <f t="shared" si="1505"/>
        <v>#DIV/0!</v>
      </c>
      <c r="BA690" s="68">
        <v>10430</v>
      </c>
      <c r="BB690" s="66">
        <v>213</v>
      </c>
      <c r="BC690" s="35">
        <f t="shared" si="1506"/>
        <v>48.967136150234744</v>
      </c>
      <c r="BD690" s="11">
        <f t="shared" si="1507"/>
        <v>0.66130717868215183</v>
      </c>
    </row>
    <row r="691" spans="1:56" ht="15.75" thickBot="1" x14ac:dyDescent="0.3">
      <c r="A691" s="19" t="s">
        <v>3</v>
      </c>
      <c r="B691" s="8">
        <v>77220</v>
      </c>
      <c r="C691" s="35">
        <f>B691/F685</f>
        <v>88.758620689655174</v>
      </c>
      <c r="D691" s="8">
        <v>2700</v>
      </c>
      <c r="E691" s="68">
        <v>0</v>
      </c>
      <c r="F691" s="70">
        <v>0</v>
      </c>
      <c r="G691" s="35" t="e">
        <f t="shared" si="1482"/>
        <v>#DIV/0!</v>
      </c>
      <c r="H691" s="11" t="e">
        <f t="shared" si="1483"/>
        <v>#DIV/0!</v>
      </c>
      <c r="I691" s="35">
        <v>0</v>
      </c>
      <c r="J691" s="70">
        <v>0</v>
      </c>
      <c r="K691" s="35" t="e">
        <f t="shared" si="1484"/>
        <v>#DIV/0!</v>
      </c>
      <c r="L691" s="6" t="e">
        <f t="shared" si="1485"/>
        <v>#DIV/0!</v>
      </c>
      <c r="M691" s="68">
        <v>0</v>
      </c>
      <c r="N691" s="5">
        <v>0</v>
      </c>
      <c r="O691" s="35" t="e">
        <f t="shared" si="1486"/>
        <v>#DIV/0!</v>
      </c>
      <c r="P691" s="11" t="e">
        <f t="shared" si="1487"/>
        <v>#DIV/0!</v>
      </c>
      <c r="Q691" s="35">
        <v>0</v>
      </c>
      <c r="R691" s="66">
        <v>0</v>
      </c>
      <c r="S691" s="35" t="e">
        <f t="shared" si="1488"/>
        <v>#DIV/0!</v>
      </c>
      <c r="T691" s="6" t="e">
        <f t="shared" si="1489"/>
        <v>#DIV/0!</v>
      </c>
      <c r="U691" s="68">
        <v>27270</v>
      </c>
      <c r="V691" s="65">
        <v>435</v>
      </c>
      <c r="W691" s="35">
        <f t="shared" si="1490"/>
        <v>62.689655172413794</v>
      </c>
      <c r="X691" s="6">
        <f t="shared" si="1491"/>
        <v>0.70629370629370625</v>
      </c>
      <c r="Y691" s="68">
        <v>0</v>
      </c>
      <c r="Z691" s="70">
        <v>0</v>
      </c>
      <c r="AA691" s="35" t="e">
        <f t="shared" si="1492"/>
        <v>#DIV/0!</v>
      </c>
      <c r="AB691" s="11" t="e">
        <f t="shared" si="1493"/>
        <v>#DIV/0!</v>
      </c>
      <c r="AC691" s="20">
        <v>0</v>
      </c>
      <c r="AD691" s="36">
        <v>0</v>
      </c>
      <c r="AE691" s="35" t="e">
        <f t="shared" si="1494"/>
        <v>#DIV/0!</v>
      </c>
      <c r="AF691" s="6" t="e">
        <f t="shared" si="1495"/>
        <v>#DIV/0!</v>
      </c>
      <c r="AG691" s="68">
        <v>0</v>
      </c>
      <c r="AH691" s="66">
        <v>0</v>
      </c>
      <c r="AI691" s="35" t="e">
        <f t="shared" si="1496"/>
        <v>#DIV/0!</v>
      </c>
      <c r="AJ691" s="6" t="e">
        <f t="shared" si="1497"/>
        <v>#DIV/0!</v>
      </c>
      <c r="AK691" s="68">
        <v>0</v>
      </c>
      <c r="AL691" s="66">
        <v>0</v>
      </c>
      <c r="AM691" s="35" t="e">
        <f t="shared" si="1498"/>
        <v>#DIV/0!</v>
      </c>
      <c r="AN691" s="6" t="e">
        <f t="shared" si="1499"/>
        <v>#DIV/0!</v>
      </c>
      <c r="AO691" s="68">
        <v>0</v>
      </c>
      <c r="AP691" s="66">
        <v>0</v>
      </c>
      <c r="AQ691" s="35" t="e">
        <f t="shared" si="1500"/>
        <v>#DIV/0!</v>
      </c>
      <c r="AR691" s="6" t="e">
        <f t="shared" si="1501"/>
        <v>#DIV/0!</v>
      </c>
      <c r="AS691" s="68">
        <v>10600</v>
      </c>
      <c r="AT691" s="65">
        <v>459</v>
      </c>
      <c r="AU691" s="35">
        <f t="shared" si="1502"/>
        <v>23.093681917211327</v>
      </c>
      <c r="AV691" s="6">
        <f t="shared" si="1503"/>
        <v>0.26018522750548895</v>
      </c>
      <c r="AW691" s="68">
        <v>0</v>
      </c>
      <c r="AX691" s="66">
        <v>0</v>
      </c>
      <c r="AY691" s="35" t="e">
        <f t="shared" si="1504"/>
        <v>#DIV/0!</v>
      </c>
      <c r="AZ691" s="6" t="e">
        <f t="shared" si="1505"/>
        <v>#DIV/0!</v>
      </c>
      <c r="BA691" s="68">
        <v>11990</v>
      </c>
      <c r="BB691" s="66">
        <v>213</v>
      </c>
      <c r="BC691" s="35">
        <f t="shared" si="1506"/>
        <v>56.291079812206576</v>
      </c>
      <c r="BD691" s="11">
        <f t="shared" si="1507"/>
        <v>0.63420408490831026</v>
      </c>
    </row>
    <row r="692" spans="1:56" ht="15.75" thickBot="1" x14ac:dyDescent="0.3">
      <c r="A692" s="19" t="s">
        <v>4</v>
      </c>
      <c r="B692" s="8">
        <v>96580</v>
      </c>
      <c r="C692" s="35">
        <f>B692/F685</f>
        <v>111.01149425287356</v>
      </c>
      <c r="D692" s="8">
        <v>5250</v>
      </c>
      <c r="E692" s="68">
        <v>0</v>
      </c>
      <c r="F692" s="70">
        <v>0</v>
      </c>
      <c r="G692" s="35" t="e">
        <f t="shared" si="1482"/>
        <v>#DIV/0!</v>
      </c>
      <c r="H692" s="11" t="e">
        <f t="shared" si="1483"/>
        <v>#DIV/0!</v>
      </c>
      <c r="I692" s="35">
        <v>0</v>
      </c>
      <c r="J692" s="70">
        <v>0</v>
      </c>
      <c r="K692" s="35" t="e">
        <f t="shared" si="1484"/>
        <v>#DIV/0!</v>
      </c>
      <c r="L692" s="6" t="e">
        <f t="shared" si="1485"/>
        <v>#DIV/0!</v>
      </c>
      <c r="M692" s="68">
        <v>0</v>
      </c>
      <c r="N692" s="5">
        <v>0</v>
      </c>
      <c r="O692" s="35" t="e">
        <f t="shared" si="1486"/>
        <v>#DIV/0!</v>
      </c>
      <c r="P692" s="11" t="e">
        <f t="shared" si="1487"/>
        <v>#DIV/0!</v>
      </c>
      <c r="Q692" s="35">
        <v>0</v>
      </c>
      <c r="R692" s="66">
        <v>0</v>
      </c>
      <c r="S692" s="35" t="e">
        <f t="shared" si="1488"/>
        <v>#DIV/0!</v>
      </c>
      <c r="T692" s="6" t="e">
        <f t="shared" si="1489"/>
        <v>#DIV/0!</v>
      </c>
      <c r="U692" s="68">
        <v>33530</v>
      </c>
      <c r="V692" s="65">
        <v>435</v>
      </c>
      <c r="W692" s="35">
        <f t="shared" si="1490"/>
        <v>77.080459770114942</v>
      </c>
      <c r="X692" s="6">
        <f t="shared" si="1491"/>
        <v>0.69434665562228204</v>
      </c>
      <c r="Y692" s="68">
        <v>0</v>
      </c>
      <c r="Z692" s="70">
        <v>0</v>
      </c>
      <c r="AA692" s="35" t="e">
        <f t="shared" si="1492"/>
        <v>#DIV/0!</v>
      </c>
      <c r="AB692" s="11" t="e">
        <f t="shared" si="1493"/>
        <v>#DIV/0!</v>
      </c>
      <c r="AC692" s="20">
        <v>0</v>
      </c>
      <c r="AD692" s="36">
        <v>0</v>
      </c>
      <c r="AE692" s="35" t="e">
        <f t="shared" si="1494"/>
        <v>#DIV/0!</v>
      </c>
      <c r="AF692" s="6" t="e">
        <f t="shared" si="1495"/>
        <v>#DIV/0!</v>
      </c>
      <c r="AG692" s="68">
        <v>0</v>
      </c>
      <c r="AH692" s="66">
        <v>0</v>
      </c>
      <c r="AI692" s="35" t="e">
        <f t="shared" si="1496"/>
        <v>#DIV/0!</v>
      </c>
      <c r="AJ692" s="6" t="e">
        <f t="shared" si="1497"/>
        <v>#DIV/0!</v>
      </c>
      <c r="AK692" s="68">
        <v>0</v>
      </c>
      <c r="AL692" s="66">
        <v>0</v>
      </c>
      <c r="AM692" s="35" t="e">
        <f t="shared" si="1498"/>
        <v>#DIV/0!</v>
      </c>
      <c r="AN692" s="6" t="e">
        <f t="shared" si="1499"/>
        <v>#DIV/0!</v>
      </c>
      <c r="AO692" s="68">
        <v>0</v>
      </c>
      <c r="AP692" s="66">
        <v>0</v>
      </c>
      <c r="AQ692" s="35" t="e">
        <f t="shared" si="1500"/>
        <v>#DIV/0!</v>
      </c>
      <c r="AR692" s="6" t="e">
        <f t="shared" si="1501"/>
        <v>#DIV/0!</v>
      </c>
      <c r="AS692" s="68">
        <v>12450</v>
      </c>
      <c r="AT692" s="65">
        <v>459</v>
      </c>
      <c r="AU692" s="35">
        <f t="shared" si="1502"/>
        <v>27.124183006535947</v>
      </c>
      <c r="AV692" s="6">
        <f t="shared" si="1503"/>
        <v>0.24433670755525239</v>
      </c>
      <c r="AW692" s="68">
        <v>0</v>
      </c>
      <c r="AX692" s="66">
        <v>0</v>
      </c>
      <c r="AY692" s="35" t="e">
        <f t="shared" si="1504"/>
        <v>#DIV/0!</v>
      </c>
      <c r="AZ692" s="6" t="e">
        <f t="shared" si="1505"/>
        <v>#DIV/0!</v>
      </c>
      <c r="BA692" s="68">
        <v>14810</v>
      </c>
      <c r="BB692" s="66">
        <v>213</v>
      </c>
      <c r="BC692" s="35">
        <f t="shared" si="1506"/>
        <v>69.53051643192488</v>
      </c>
      <c r="BD692" s="11">
        <f t="shared" si="1507"/>
        <v>0.62633619067896718</v>
      </c>
    </row>
    <row r="693" spans="1:56" ht="15.75" thickBot="1" x14ac:dyDescent="0.3">
      <c r="A693" s="19" t="s">
        <v>5</v>
      </c>
      <c r="B693" s="8">
        <v>124450</v>
      </c>
      <c r="C693" s="35">
        <f>B693/F685</f>
        <v>143.04597701149424</v>
      </c>
      <c r="D693" s="8">
        <v>7050</v>
      </c>
      <c r="E693" s="68">
        <v>0</v>
      </c>
      <c r="F693" s="70">
        <v>0</v>
      </c>
      <c r="G693" s="35" t="e">
        <f t="shared" si="1482"/>
        <v>#DIV/0!</v>
      </c>
      <c r="H693" s="11" t="e">
        <f t="shared" si="1483"/>
        <v>#DIV/0!</v>
      </c>
      <c r="I693" s="35">
        <v>0</v>
      </c>
      <c r="J693" s="70">
        <v>0</v>
      </c>
      <c r="K693" s="35" t="e">
        <f t="shared" si="1484"/>
        <v>#DIV/0!</v>
      </c>
      <c r="L693" s="6" t="e">
        <f t="shared" si="1485"/>
        <v>#DIV/0!</v>
      </c>
      <c r="M693" s="68">
        <v>0</v>
      </c>
      <c r="N693" s="5">
        <v>0</v>
      </c>
      <c r="O693" s="35" t="e">
        <f t="shared" si="1486"/>
        <v>#DIV/0!</v>
      </c>
      <c r="P693" s="11" t="e">
        <f t="shared" si="1487"/>
        <v>#DIV/0!</v>
      </c>
      <c r="Q693" s="35">
        <v>0</v>
      </c>
      <c r="R693" s="66">
        <v>0</v>
      </c>
      <c r="S693" s="35" t="e">
        <f t="shared" si="1488"/>
        <v>#DIV/0!</v>
      </c>
      <c r="T693" s="6" t="e">
        <f t="shared" si="1489"/>
        <v>#DIV/0!</v>
      </c>
      <c r="U693" s="68">
        <v>45030</v>
      </c>
      <c r="V693" s="65">
        <v>435</v>
      </c>
      <c r="W693" s="35">
        <f t="shared" si="1490"/>
        <v>103.51724137931035</v>
      </c>
      <c r="X693" s="6">
        <f t="shared" si="1491"/>
        <v>0.72366412213740461</v>
      </c>
      <c r="Y693" s="68">
        <v>0</v>
      </c>
      <c r="Z693" s="70">
        <v>0</v>
      </c>
      <c r="AA693" s="35" t="e">
        <f t="shared" si="1492"/>
        <v>#DIV/0!</v>
      </c>
      <c r="AB693" s="11" t="e">
        <f t="shared" si="1493"/>
        <v>#DIV/0!</v>
      </c>
      <c r="AC693" s="20">
        <v>0</v>
      </c>
      <c r="AD693" s="36">
        <v>0</v>
      </c>
      <c r="AE693" s="35" t="e">
        <f t="shared" si="1494"/>
        <v>#DIV/0!</v>
      </c>
      <c r="AF693" s="6" t="e">
        <f t="shared" si="1495"/>
        <v>#DIV/0!</v>
      </c>
      <c r="AG693" s="68">
        <v>0</v>
      </c>
      <c r="AH693" s="66">
        <v>0</v>
      </c>
      <c r="AI693" s="35" t="e">
        <f t="shared" si="1496"/>
        <v>#DIV/0!</v>
      </c>
      <c r="AJ693" s="6" t="e">
        <f t="shared" si="1497"/>
        <v>#DIV/0!</v>
      </c>
      <c r="AK693" s="68">
        <v>0</v>
      </c>
      <c r="AL693" s="66">
        <v>0</v>
      </c>
      <c r="AM693" s="35" t="e">
        <f t="shared" si="1498"/>
        <v>#DIV/0!</v>
      </c>
      <c r="AN693" s="6" t="e">
        <f t="shared" si="1499"/>
        <v>#DIV/0!</v>
      </c>
      <c r="AO693" s="68">
        <v>0</v>
      </c>
      <c r="AP693" s="66">
        <v>0</v>
      </c>
      <c r="AQ693" s="35" t="e">
        <f t="shared" si="1500"/>
        <v>#DIV/0!</v>
      </c>
      <c r="AR693" s="6" t="e">
        <f t="shared" si="1501"/>
        <v>#DIV/0!</v>
      </c>
      <c r="AS693" s="68">
        <v>14720</v>
      </c>
      <c r="AT693" s="65">
        <v>459</v>
      </c>
      <c r="AU693" s="35">
        <f t="shared" si="1502"/>
        <v>32.069716775599126</v>
      </c>
      <c r="AV693" s="6">
        <f t="shared" si="1503"/>
        <v>0.22419167211547802</v>
      </c>
      <c r="AW693" s="68">
        <v>0</v>
      </c>
      <c r="AX693" s="66">
        <v>0</v>
      </c>
      <c r="AY693" s="35" t="e">
        <f t="shared" si="1504"/>
        <v>#DIV/0!</v>
      </c>
      <c r="AZ693" s="6" t="e">
        <f t="shared" si="1505"/>
        <v>#DIV/0!</v>
      </c>
      <c r="BA693" s="68">
        <v>17020</v>
      </c>
      <c r="BB693" s="66">
        <v>213</v>
      </c>
      <c r="BC693" s="35">
        <f t="shared" si="1506"/>
        <v>79.906103286384976</v>
      </c>
      <c r="BD693" s="11">
        <f t="shared" si="1507"/>
        <v>0.55860433796026465</v>
      </c>
    </row>
    <row r="694" spans="1:56" x14ac:dyDescent="0.25">
      <c r="A694" s="19" t="s">
        <v>6</v>
      </c>
      <c r="B694" s="8">
        <v>142530</v>
      </c>
      <c r="C694" s="35">
        <f>B694/F685</f>
        <v>163.82758620689654</v>
      </c>
      <c r="D694" s="8">
        <v>10950</v>
      </c>
      <c r="E694" s="68">
        <v>0</v>
      </c>
      <c r="F694" s="70">
        <v>0</v>
      </c>
      <c r="G694" s="35" t="e">
        <f t="shared" si="1482"/>
        <v>#DIV/0!</v>
      </c>
      <c r="H694" s="11" t="e">
        <f t="shared" si="1483"/>
        <v>#DIV/0!</v>
      </c>
      <c r="I694" s="35">
        <v>0</v>
      </c>
      <c r="J694" s="70">
        <v>0</v>
      </c>
      <c r="K694" s="35" t="e">
        <f t="shared" si="1484"/>
        <v>#DIV/0!</v>
      </c>
      <c r="L694" s="6" t="e">
        <f t="shared" si="1485"/>
        <v>#DIV/0!</v>
      </c>
      <c r="M694" s="68">
        <v>0</v>
      </c>
      <c r="N694" s="5">
        <v>0</v>
      </c>
      <c r="O694" s="35" t="e">
        <f t="shared" si="1486"/>
        <v>#DIV/0!</v>
      </c>
      <c r="P694" s="11" t="e">
        <f t="shared" si="1487"/>
        <v>#DIV/0!</v>
      </c>
      <c r="Q694" s="35">
        <v>0</v>
      </c>
      <c r="R694" s="66">
        <v>0</v>
      </c>
      <c r="S694" s="35" t="e">
        <f t="shared" si="1488"/>
        <v>#DIV/0!</v>
      </c>
      <c r="T694" s="6" t="e">
        <f t="shared" si="1489"/>
        <v>#DIV/0!</v>
      </c>
      <c r="U694" s="68">
        <v>53920</v>
      </c>
      <c r="V694" s="65">
        <v>435</v>
      </c>
      <c r="W694" s="35">
        <f t="shared" si="1490"/>
        <v>123.95402298850574</v>
      </c>
      <c r="X694" s="6">
        <f t="shared" si="1491"/>
        <v>0.75661264295236097</v>
      </c>
      <c r="Y694" s="68">
        <v>0</v>
      </c>
      <c r="Z694" s="70">
        <v>0</v>
      </c>
      <c r="AA694" s="35" t="e">
        <f t="shared" si="1492"/>
        <v>#DIV/0!</v>
      </c>
      <c r="AB694" s="11" t="e">
        <f t="shared" si="1493"/>
        <v>#DIV/0!</v>
      </c>
      <c r="AC694" s="20">
        <v>0</v>
      </c>
      <c r="AD694" s="36">
        <v>0</v>
      </c>
      <c r="AE694" s="35" t="e">
        <f t="shared" si="1494"/>
        <v>#DIV/0!</v>
      </c>
      <c r="AF694" s="6" t="e">
        <f t="shared" si="1495"/>
        <v>#DIV/0!</v>
      </c>
      <c r="AG694" s="68">
        <v>0</v>
      </c>
      <c r="AH694" s="66">
        <v>0</v>
      </c>
      <c r="AI694" s="35" t="e">
        <f t="shared" si="1496"/>
        <v>#DIV/0!</v>
      </c>
      <c r="AJ694" s="6" t="e">
        <f t="shared" si="1497"/>
        <v>#DIV/0!</v>
      </c>
      <c r="AK694" s="68">
        <v>0</v>
      </c>
      <c r="AL694" s="66">
        <v>0</v>
      </c>
      <c r="AM694" s="35" t="e">
        <f t="shared" si="1498"/>
        <v>#DIV/0!</v>
      </c>
      <c r="AN694" s="6" t="e">
        <f t="shared" si="1499"/>
        <v>#DIV/0!</v>
      </c>
      <c r="AO694" s="68">
        <v>0</v>
      </c>
      <c r="AP694" s="66">
        <v>0</v>
      </c>
      <c r="AQ694" s="35" t="e">
        <f t="shared" si="1500"/>
        <v>#DIV/0!</v>
      </c>
      <c r="AR694" s="6" t="e">
        <f t="shared" si="1501"/>
        <v>#DIV/0!</v>
      </c>
      <c r="AS694" s="68">
        <v>16820</v>
      </c>
      <c r="AT694" s="65">
        <v>459</v>
      </c>
      <c r="AU694" s="35">
        <f t="shared" si="1502"/>
        <v>36.644880174291941</v>
      </c>
      <c r="AV694" s="6">
        <f t="shared" si="1503"/>
        <v>0.22367954642274604</v>
      </c>
      <c r="AW694" s="68">
        <v>0</v>
      </c>
      <c r="AX694" s="66">
        <v>0</v>
      </c>
      <c r="AY694" s="35" t="e">
        <f t="shared" si="1504"/>
        <v>#DIV/0!</v>
      </c>
      <c r="AZ694" s="6" t="e">
        <f t="shared" si="1505"/>
        <v>#DIV/0!</v>
      </c>
      <c r="BA694" s="68">
        <v>18250</v>
      </c>
      <c r="BB694" s="66">
        <v>213</v>
      </c>
      <c r="BC694" s="35">
        <f t="shared" si="1506"/>
        <v>85.680751173708927</v>
      </c>
      <c r="BD694" s="11">
        <f t="shared" si="1507"/>
        <v>0.52299342960167527</v>
      </c>
    </row>
    <row r="695" spans="1:56" ht="15.75" thickBot="1" x14ac:dyDescent="0.3">
      <c r="A695" s="21"/>
      <c r="B695" s="22"/>
      <c r="C695" s="23">
        <f>AVERAGE(Table11051[MA $/Sq Ft])</f>
        <v>99.656814449917889</v>
      </c>
      <c r="D695" s="22">
        <f>AVERAGE(Table11051[Basic Allowance])</f>
        <v>4442.8571428571431</v>
      </c>
      <c r="E695" s="16"/>
      <c r="F695" s="22"/>
      <c r="G695" s="15"/>
      <c r="H695" s="24" t="e">
        <f>AVERAGE(Table11051[Bsmt % Base])</f>
        <v>#DIV/0!</v>
      </c>
      <c r="I695" s="15"/>
      <c r="J695" s="15"/>
      <c r="K695" s="15"/>
      <c r="L695" s="25" t="e">
        <f>AVERAGE(Table11051[[#Headers],[#Data],[UnfBsmt % Base]])</f>
        <v>#DIV/0!</v>
      </c>
      <c r="M695" s="44"/>
      <c r="N695" s="15"/>
      <c r="O695" s="23" t="e">
        <f>AVERAGE(Table11051[LowerVal/SqFt])</f>
        <v>#DIV/0!</v>
      </c>
      <c r="P695" s="24" t="e">
        <f>AVERAGE(Table11051[Lower % Base])</f>
        <v>#DIV/0!</v>
      </c>
      <c r="Q695" s="13"/>
      <c r="R695" s="13"/>
      <c r="S695" s="13"/>
      <c r="T695" s="25" t="e">
        <f>AVERAGE(Table11051[Unf Lower % Base])</f>
        <v>#DIV/0!</v>
      </c>
      <c r="U695" s="12"/>
      <c r="V695" s="13"/>
      <c r="W695" s="13"/>
      <c r="X695" s="25">
        <f>AVERAGE(Table11051[1/2 Story % Base])</f>
        <v>0.68878273580165128</v>
      </c>
      <c r="Y695" s="12"/>
      <c r="Z695" s="13"/>
      <c r="AA695" s="13"/>
      <c r="AB695" s="24" t="e">
        <f>AVERAGE(Table11051[2nd Story % Base])</f>
        <v>#DIV/0!</v>
      </c>
      <c r="AC695" s="13"/>
      <c r="AD695" s="13"/>
      <c r="AE695" s="23" t="e">
        <f>AVERAGE(Table11051[AttGarVal/SqFt])</f>
        <v>#DIV/0!</v>
      </c>
      <c r="AF695" s="25" t="e">
        <f>AVERAGE(Table11051[Att Gar % Base])</f>
        <v>#DIV/0!</v>
      </c>
      <c r="AG695" s="12"/>
      <c r="AH695" s="13"/>
      <c r="AI695" s="13"/>
      <c r="AJ695" s="25" t="e">
        <f>AVERAGE(Table11051[Porch % Base])</f>
        <v>#DIV/0!</v>
      </c>
      <c r="AK695" s="12"/>
      <c r="AL695" s="13"/>
      <c r="AM695" s="13"/>
      <c r="AN695" s="25" t="e">
        <f>AVERAGE(Table11051[Cov Porch % Base])</f>
        <v>#DIV/0!</v>
      </c>
      <c r="AO695" s="12"/>
      <c r="AP695" s="13"/>
      <c r="AQ695" s="13"/>
      <c r="AR695" s="25" t="e">
        <f>AVERAGE(Table11051[Deck % Base])</f>
        <v>#DIV/0!</v>
      </c>
      <c r="AS695" s="12"/>
      <c r="AT695" s="13"/>
      <c r="AU695" s="23">
        <f>AVERAGE(Table11051[CovDeckVal/SqFt])</f>
        <v>23.737939620292561</v>
      </c>
      <c r="AV695" s="25">
        <f>AVERAGE(Table11051[CovDeck % Base])</f>
        <v>0.24137904901504534</v>
      </c>
      <c r="AW695" s="12"/>
      <c r="AX695" s="13"/>
      <c r="AY695" s="13"/>
      <c r="AZ695" s="25" t="e">
        <f>AVERAGE(Table11051[CarP % Base])</f>
        <v>#DIV/0!</v>
      </c>
      <c r="BA695" s="12"/>
      <c r="BB695" s="13"/>
      <c r="BC695" s="13"/>
      <c r="BD695" s="24">
        <f>AVERAGE(Table11051[EFP % Base])</f>
        <v>0.60048668619296097</v>
      </c>
    </row>
    <row r="697" spans="1:56" ht="15.75" thickBot="1" x14ac:dyDescent="0.3">
      <c r="A697" s="82"/>
      <c r="B697" t="s">
        <v>79</v>
      </c>
      <c r="C697" s="78" t="s">
        <v>156</v>
      </c>
      <c r="E697" t="s">
        <v>33</v>
      </c>
      <c r="F697" s="79">
        <v>1399</v>
      </c>
      <c r="H697" t="s">
        <v>80</v>
      </c>
      <c r="I697" t="s">
        <v>157</v>
      </c>
    </row>
    <row r="698" spans="1:56" x14ac:dyDescent="0.25">
      <c r="A698" s="112"/>
      <c r="B698" s="113"/>
      <c r="C698" s="113"/>
      <c r="D698" s="114"/>
      <c r="E698" s="115" t="s">
        <v>27</v>
      </c>
      <c r="F698" s="116"/>
      <c r="G698" s="116"/>
      <c r="H698" s="117"/>
      <c r="I698" s="118" t="s">
        <v>28</v>
      </c>
      <c r="J698" s="119"/>
      <c r="K698" s="119"/>
      <c r="L698" s="120"/>
      <c r="M698" s="121" t="s">
        <v>7</v>
      </c>
      <c r="N698" s="122"/>
      <c r="O698" s="122"/>
      <c r="P698" s="123"/>
      <c r="Q698" s="124" t="s">
        <v>29</v>
      </c>
      <c r="R698" s="125"/>
      <c r="S698" s="125"/>
      <c r="T698" s="126"/>
      <c r="U698" s="127" t="s">
        <v>8</v>
      </c>
      <c r="V698" s="128"/>
      <c r="W698" s="128"/>
      <c r="X698" s="129"/>
      <c r="Y698" s="130" t="s">
        <v>0</v>
      </c>
      <c r="Z698" s="131"/>
      <c r="AA698" s="131"/>
      <c r="AB698" s="132"/>
      <c r="AC698" s="133" t="s">
        <v>34</v>
      </c>
      <c r="AD698" s="134"/>
      <c r="AE698" s="134"/>
      <c r="AF698" s="135"/>
      <c r="AG698" s="115" t="s">
        <v>9</v>
      </c>
      <c r="AH698" s="116"/>
      <c r="AI698" s="116"/>
      <c r="AJ698" s="117"/>
      <c r="AK698" s="136" t="s">
        <v>35</v>
      </c>
      <c r="AL698" s="137"/>
      <c r="AM698" s="137"/>
      <c r="AN698" s="138"/>
      <c r="AO698" s="139" t="s">
        <v>10</v>
      </c>
      <c r="AP698" s="140"/>
      <c r="AQ698" s="140"/>
      <c r="AR698" s="141"/>
      <c r="AS698" s="124" t="s">
        <v>36</v>
      </c>
      <c r="AT698" s="125"/>
      <c r="AU698" s="125"/>
      <c r="AV698" s="126"/>
      <c r="AW698" s="142" t="s">
        <v>11</v>
      </c>
      <c r="AX698" s="143"/>
      <c r="AY698" s="143"/>
      <c r="AZ698" s="144"/>
      <c r="BA698" s="148" t="s">
        <v>17</v>
      </c>
      <c r="BB698" s="149"/>
      <c r="BC698" s="149"/>
      <c r="BD698" s="150"/>
    </row>
    <row r="699" spans="1:56" s="1" customFormat="1" ht="15.75" thickBot="1" x14ac:dyDescent="0.3">
      <c r="A699" s="41" t="s">
        <v>13</v>
      </c>
      <c r="B699" s="42" t="s">
        <v>15</v>
      </c>
      <c r="C699" s="42" t="s">
        <v>32</v>
      </c>
      <c r="D699" s="43" t="s">
        <v>18</v>
      </c>
      <c r="E699" s="30" t="s">
        <v>30</v>
      </c>
      <c r="F699" s="31" t="s">
        <v>61</v>
      </c>
      <c r="G699" s="31" t="s">
        <v>38</v>
      </c>
      <c r="H699" s="32" t="s">
        <v>62</v>
      </c>
      <c r="I699" s="37" t="s">
        <v>31</v>
      </c>
      <c r="J699" s="38" t="s">
        <v>39</v>
      </c>
      <c r="K699" s="38" t="s">
        <v>40</v>
      </c>
      <c r="L699" s="39" t="s">
        <v>63</v>
      </c>
      <c r="M699" s="40" t="s">
        <v>19</v>
      </c>
      <c r="N699" s="7" t="s">
        <v>41</v>
      </c>
      <c r="O699" s="7" t="s">
        <v>37</v>
      </c>
      <c r="P699" s="7" t="s">
        <v>64</v>
      </c>
      <c r="Q699" s="27" t="s">
        <v>20</v>
      </c>
      <c r="R699" s="28" t="s">
        <v>60</v>
      </c>
      <c r="S699" s="28" t="s">
        <v>59</v>
      </c>
      <c r="T699" s="29" t="s">
        <v>65</v>
      </c>
      <c r="U699" s="48" t="s">
        <v>21</v>
      </c>
      <c r="V699" s="48" t="s">
        <v>42</v>
      </c>
      <c r="W699" s="48" t="s">
        <v>43</v>
      </c>
      <c r="X699" s="49" t="s">
        <v>66</v>
      </c>
      <c r="Y699" s="50" t="s">
        <v>22</v>
      </c>
      <c r="Z699" s="51" t="s">
        <v>44</v>
      </c>
      <c r="AA699" s="51" t="s">
        <v>45</v>
      </c>
      <c r="AB699" s="52" t="s">
        <v>67</v>
      </c>
      <c r="AC699" s="45" t="s">
        <v>23</v>
      </c>
      <c r="AD699" s="46" t="s">
        <v>46</v>
      </c>
      <c r="AE699" s="46" t="s">
        <v>47</v>
      </c>
      <c r="AF699" s="47" t="s">
        <v>68</v>
      </c>
      <c r="AG699" s="30" t="s">
        <v>24</v>
      </c>
      <c r="AH699" s="31" t="s">
        <v>48</v>
      </c>
      <c r="AI699" s="31" t="s">
        <v>49</v>
      </c>
      <c r="AJ699" s="32" t="s">
        <v>69</v>
      </c>
      <c r="AK699" s="53" t="s">
        <v>25</v>
      </c>
      <c r="AL699" s="54" t="s">
        <v>50</v>
      </c>
      <c r="AM699" s="54" t="s">
        <v>51</v>
      </c>
      <c r="AN699" s="55" t="s">
        <v>70</v>
      </c>
      <c r="AO699" s="56" t="s">
        <v>26</v>
      </c>
      <c r="AP699" s="57" t="s">
        <v>52</v>
      </c>
      <c r="AQ699" s="57" t="s">
        <v>53</v>
      </c>
      <c r="AR699" s="58" t="s">
        <v>71</v>
      </c>
      <c r="AS699" s="59" t="s">
        <v>55</v>
      </c>
      <c r="AT699" s="60" t="s">
        <v>54</v>
      </c>
      <c r="AU699" s="60" t="s">
        <v>56</v>
      </c>
      <c r="AV699" s="61" t="s">
        <v>76</v>
      </c>
      <c r="AW699" s="62" t="s">
        <v>72</v>
      </c>
      <c r="AX699" s="63" t="s">
        <v>73</v>
      </c>
      <c r="AY699" s="63" t="s">
        <v>74</v>
      </c>
      <c r="AZ699" s="64" t="s">
        <v>75</v>
      </c>
      <c r="BA699" s="71" t="s">
        <v>77</v>
      </c>
      <c r="BB699" s="72" t="s">
        <v>57</v>
      </c>
      <c r="BC699" s="72" t="s">
        <v>58</v>
      </c>
      <c r="BD699" s="73" t="s">
        <v>78</v>
      </c>
    </row>
    <row r="700" spans="1:56" ht="15.75" thickBot="1" x14ac:dyDescent="0.3">
      <c r="A700" s="17" t="s">
        <v>1</v>
      </c>
      <c r="B700" s="14">
        <v>69300</v>
      </c>
      <c r="C700" s="34">
        <f>B700/F697</f>
        <v>49.535382416011437</v>
      </c>
      <c r="D700" s="14">
        <v>1525</v>
      </c>
      <c r="E700" s="67">
        <v>0</v>
      </c>
      <c r="F700" s="69">
        <v>0</v>
      </c>
      <c r="G700" s="34" t="e">
        <f t="shared" ref="G700:G706" si="1508">E700/F700</f>
        <v>#DIV/0!</v>
      </c>
      <c r="H700" s="10" t="e">
        <f t="shared" ref="H700:H706" si="1509">G700/C700</f>
        <v>#DIV/0!</v>
      </c>
      <c r="I700" s="34">
        <v>8660</v>
      </c>
      <c r="J700" s="69">
        <v>672</v>
      </c>
      <c r="K700" s="34">
        <f t="shared" ref="K700:K706" si="1510">I700/J700</f>
        <v>12.886904761904763</v>
      </c>
      <c r="L700" s="9">
        <f t="shared" ref="L700:L706" si="1511">K700/C700</f>
        <v>0.26015555211983787</v>
      </c>
      <c r="M700" s="67">
        <v>0</v>
      </c>
      <c r="N700" s="26">
        <v>0</v>
      </c>
      <c r="O700" s="34" t="e">
        <f t="shared" ref="O700:O706" si="1512">M700/N700</f>
        <v>#DIV/0!</v>
      </c>
      <c r="P700" s="10" t="e">
        <f t="shared" ref="P700:P706" si="1513">O700/C700</f>
        <v>#DIV/0!</v>
      </c>
      <c r="Q700" s="35">
        <v>0</v>
      </c>
      <c r="R700" s="66">
        <v>0</v>
      </c>
      <c r="S700" s="35" t="e">
        <f t="shared" ref="S700:S706" si="1514">Q700/R700</f>
        <v>#DIV/0!</v>
      </c>
      <c r="T700" s="6" t="e">
        <f t="shared" ref="T700:T706" si="1515">S700/C700</f>
        <v>#DIV/0!</v>
      </c>
      <c r="U700" s="67">
        <v>23610</v>
      </c>
      <c r="V700" s="65">
        <v>828</v>
      </c>
      <c r="W700" s="92">
        <f t="shared" ref="W700:W706" si="1516">U700/V700</f>
        <v>28.514492753623188</v>
      </c>
      <c r="X700" s="9">
        <f t="shared" ref="X700:X706" si="1517">W700/C700</f>
        <v>0.57563889411715496</v>
      </c>
      <c r="Y700" s="67">
        <v>0</v>
      </c>
      <c r="Z700" s="69">
        <v>0</v>
      </c>
      <c r="AA700" s="34" t="e">
        <f t="shared" ref="AA700:AA706" si="1518">Y700/Z700</f>
        <v>#DIV/0!</v>
      </c>
      <c r="AB700" s="10" t="e">
        <f t="shared" ref="AB700:AB706" si="1519">AA700/C700</f>
        <v>#DIV/0!</v>
      </c>
      <c r="AC700" s="18">
        <v>0</v>
      </c>
      <c r="AD700" s="33">
        <v>0</v>
      </c>
      <c r="AE700" s="34" t="e">
        <f t="shared" ref="AE700:AE706" si="1520">AC700/AD700</f>
        <v>#DIV/0!</v>
      </c>
      <c r="AF700" s="9" t="e">
        <f t="shared" ref="AF700:AF706" si="1521">AE700/C700</f>
        <v>#DIV/0!</v>
      </c>
      <c r="AG700" s="67">
        <v>0</v>
      </c>
      <c r="AH700" s="65">
        <v>0</v>
      </c>
      <c r="AI700" s="34" t="e">
        <f t="shared" ref="AI700:AI706" si="1522">AG700/AH700</f>
        <v>#DIV/0!</v>
      </c>
      <c r="AJ700" s="9" t="e">
        <f t="shared" ref="AJ700:AJ706" si="1523">AI700/C700</f>
        <v>#DIV/0!</v>
      </c>
      <c r="AK700" s="67">
        <v>0</v>
      </c>
      <c r="AL700" s="65">
        <v>0</v>
      </c>
      <c r="AM700" s="34" t="e">
        <f t="shared" ref="AM700:AM706" si="1524">AK700/AL700</f>
        <v>#DIV/0!</v>
      </c>
      <c r="AN700" s="9" t="e">
        <f t="shared" ref="AN700:AN706" si="1525">AM700/C700</f>
        <v>#DIV/0!</v>
      </c>
      <c r="AO700" s="67">
        <v>3520</v>
      </c>
      <c r="AP700" s="65">
        <v>520</v>
      </c>
      <c r="AQ700" s="34">
        <f t="shared" ref="AQ700:AQ706" si="1526">AO700/AP700</f>
        <v>6.7692307692307692</v>
      </c>
      <c r="AR700" s="9">
        <f t="shared" ref="AR700:AR706" si="1527">AQ700/C700</f>
        <v>0.13665445665445666</v>
      </c>
      <c r="AS700" s="67">
        <v>0</v>
      </c>
      <c r="AT700" s="65">
        <v>0</v>
      </c>
      <c r="AU700" s="34" t="e">
        <f t="shared" ref="AU700:AU706" si="1528">AS700/AT700</f>
        <v>#DIV/0!</v>
      </c>
      <c r="AV700" s="9" t="e">
        <f t="shared" ref="AV700:AV706" si="1529">AU700/C700</f>
        <v>#DIV/0!</v>
      </c>
      <c r="AW700" s="67">
        <v>0</v>
      </c>
      <c r="AX700" s="65">
        <v>0</v>
      </c>
      <c r="AY700" s="34" t="e">
        <f t="shared" ref="AY700:AY706" si="1530">AW700/AX700</f>
        <v>#DIV/0!</v>
      </c>
      <c r="AZ700" s="9" t="e">
        <f t="shared" ref="AZ700:AZ706" si="1531">AY700/C700</f>
        <v>#DIV/0!</v>
      </c>
      <c r="BA700" s="67">
        <v>0</v>
      </c>
      <c r="BB700" s="65">
        <v>0</v>
      </c>
      <c r="BC700" s="34" t="e">
        <f t="shared" ref="BC700:BC706" si="1532">BA700/BB700</f>
        <v>#DIV/0!</v>
      </c>
      <c r="BD700" s="10" t="e">
        <f t="shared" ref="BD700:BD706" si="1533">BC700/C700</f>
        <v>#DIV/0!</v>
      </c>
    </row>
    <row r="701" spans="1:56" ht="15.75" thickBot="1" x14ac:dyDescent="0.3">
      <c r="A701" s="19" t="s">
        <v>16</v>
      </c>
      <c r="B701" s="8">
        <v>81540</v>
      </c>
      <c r="C701" s="35">
        <f>B701/F697</f>
        <v>58.284488920657616</v>
      </c>
      <c r="D701" s="8">
        <v>1525</v>
      </c>
      <c r="E701" s="68">
        <v>0</v>
      </c>
      <c r="F701" s="70">
        <v>0</v>
      </c>
      <c r="G701" s="35" t="e">
        <f t="shared" si="1508"/>
        <v>#DIV/0!</v>
      </c>
      <c r="H701" s="11" t="e">
        <f t="shared" si="1509"/>
        <v>#DIV/0!</v>
      </c>
      <c r="I701" s="35">
        <v>11550</v>
      </c>
      <c r="J701" s="69">
        <v>672</v>
      </c>
      <c r="K701" s="35">
        <f t="shared" si="1510"/>
        <v>17.1875</v>
      </c>
      <c r="L701" s="6">
        <f t="shared" si="1511"/>
        <v>0.29488977802305616</v>
      </c>
      <c r="M701" s="68">
        <v>0</v>
      </c>
      <c r="N701" s="5">
        <v>0</v>
      </c>
      <c r="O701" s="35" t="e">
        <f t="shared" si="1512"/>
        <v>#DIV/0!</v>
      </c>
      <c r="P701" s="11" t="e">
        <f t="shared" si="1513"/>
        <v>#DIV/0!</v>
      </c>
      <c r="Q701" s="35">
        <v>0</v>
      </c>
      <c r="R701" s="66">
        <v>0</v>
      </c>
      <c r="S701" s="35" t="e">
        <f t="shared" si="1514"/>
        <v>#DIV/0!</v>
      </c>
      <c r="T701" s="6" t="e">
        <f t="shared" si="1515"/>
        <v>#DIV/0!</v>
      </c>
      <c r="U701" s="68">
        <v>30660</v>
      </c>
      <c r="V701" s="65">
        <v>828</v>
      </c>
      <c r="W701" s="81">
        <f t="shared" si="1516"/>
        <v>37.028985507246375</v>
      </c>
      <c r="X701" s="6">
        <f t="shared" si="1517"/>
        <v>0.63531457842332195</v>
      </c>
      <c r="Y701" s="68">
        <v>0</v>
      </c>
      <c r="Z701" s="70">
        <v>0</v>
      </c>
      <c r="AA701" s="35" t="e">
        <f t="shared" si="1518"/>
        <v>#DIV/0!</v>
      </c>
      <c r="AB701" s="11" t="e">
        <f t="shared" si="1519"/>
        <v>#DIV/0!</v>
      </c>
      <c r="AC701" s="20">
        <v>0</v>
      </c>
      <c r="AD701" s="36">
        <v>0</v>
      </c>
      <c r="AE701" s="35" t="e">
        <f t="shared" si="1520"/>
        <v>#DIV/0!</v>
      </c>
      <c r="AF701" s="6" t="e">
        <f t="shared" si="1521"/>
        <v>#DIV/0!</v>
      </c>
      <c r="AG701" s="68">
        <v>0</v>
      </c>
      <c r="AH701" s="66">
        <v>0</v>
      </c>
      <c r="AI701" s="35" t="e">
        <f t="shared" si="1522"/>
        <v>#DIV/0!</v>
      </c>
      <c r="AJ701" s="6" t="e">
        <f t="shared" si="1523"/>
        <v>#DIV/0!</v>
      </c>
      <c r="AK701" s="68">
        <v>0</v>
      </c>
      <c r="AL701" s="66">
        <v>0</v>
      </c>
      <c r="AM701" s="35" t="e">
        <f t="shared" si="1524"/>
        <v>#DIV/0!</v>
      </c>
      <c r="AN701" s="6" t="e">
        <f t="shared" si="1525"/>
        <v>#DIV/0!</v>
      </c>
      <c r="AO701" s="68">
        <v>4790</v>
      </c>
      <c r="AP701" s="65">
        <v>520</v>
      </c>
      <c r="AQ701" s="35">
        <f t="shared" si="1526"/>
        <v>9.2115384615384617</v>
      </c>
      <c r="AR701" s="6">
        <f t="shared" si="1527"/>
        <v>0.15804442369011906</v>
      </c>
      <c r="AS701" s="68">
        <v>0</v>
      </c>
      <c r="AT701" s="66">
        <v>0</v>
      </c>
      <c r="AU701" s="35" t="e">
        <f t="shared" si="1528"/>
        <v>#DIV/0!</v>
      </c>
      <c r="AV701" s="6" t="e">
        <f t="shared" si="1529"/>
        <v>#DIV/0!</v>
      </c>
      <c r="AW701" s="68">
        <v>0</v>
      </c>
      <c r="AX701" s="66">
        <v>0</v>
      </c>
      <c r="AY701" s="35" t="e">
        <f t="shared" si="1530"/>
        <v>#DIV/0!</v>
      </c>
      <c r="AZ701" s="6" t="e">
        <f t="shared" si="1531"/>
        <v>#DIV/0!</v>
      </c>
      <c r="BA701" s="68">
        <v>0</v>
      </c>
      <c r="BB701" s="66">
        <v>0</v>
      </c>
      <c r="BC701" s="35" t="e">
        <f t="shared" si="1532"/>
        <v>#DIV/0!</v>
      </c>
      <c r="BD701" s="11" t="e">
        <f t="shared" si="1533"/>
        <v>#DIV/0!</v>
      </c>
    </row>
    <row r="702" spans="1:56" ht="15.75" thickBot="1" x14ac:dyDescent="0.3">
      <c r="A702" s="19" t="s">
        <v>2</v>
      </c>
      <c r="B702" s="8">
        <v>95310</v>
      </c>
      <c r="C702" s="35">
        <f>B702/F697</f>
        <v>68.127233738384561</v>
      </c>
      <c r="D702" s="8">
        <v>2100</v>
      </c>
      <c r="E702" s="68">
        <v>0</v>
      </c>
      <c r="F702" s="70">
        <v>0</v>
      </c>
      <c r="G702" s="35" t="e">
        <f t="shared" si="1508"/>
        <v>#DIV/0!</v>
      </c>
      <c r="H702" s="11" t="e">
        <f t="shared" si="1509"/>
        <v>#DIV/0!</v>
      </c>
      <c r="I702" s="35">
        <v>13150</v>
      </c>
      <c r="J702" s="69">
        <v>672</v>
      </c>
      <c r="K702" s="35">
        <f t="shared" si="1510"/>
        <v>19.56845238095238</v>
      </c>
      <c r="L702" s="6">
        <f t="shared" si="1511"/>
        <v>0.2872339196406713</v>
      </c>
      <c r="M702" s="68">
        <v>0</v>
      </c>
      <c r="N702" s="5">
        <v>0</v>
      </c>
      <c r="O702" s="35" t="e">
        <f t="shared" si="1512"/>
        <v>#DIV/0!</v>
      </c>
      <c r="P702" s="11" t="e">
        <f t="shared" si="1513"/>
        <v>#DIV/0!</v>
      </c>
      <c r="Q702" s="35">
        <v>0</v>
      </c>
      <c r="R702" s="66">
        <v>0</v>
      </c>
      <c r="S702" s="35" t="e">
        <f t="shared" si="1514"/>
        <v>#DIV/0!</v>
      </c>
      <c r="T702" s="6" t="e">
        <f t="shared" si="1515"/>
        <v>#DIV/0!</v>
      </c>
      <c r="U702" s="68">
        <v>37930</v>
      </c>
      <c r="V702" s="65">
        <v>828</v>
      </c>
      <c r="W702" s="81">
        <f t="shared" si="1516"/>
        <v>45.809178743961354</v>
      </c>
      <c r="X702" s="6">
        <f t="shared" si="1517"/>
        <v>0.6724062644297758</v>
      </c>
      <c r="Y702" s="68">
        <v>0</v>
      </c>
      <c r="Z702" s="70">
        <v>0</v>
      </c>
      <c r="AA702" s="35" t="e">
        <f t="shared" si="1518"/>
        <v>#DIV/0!</v>
      </c>
      <c r="AB702" s="11" t="e">
        <f t="shared" si="1519"/>
        <v>#DIV/0!</v>
      </c>
      <c r="AC702" s="20">
        <v>0</v>
      </c>
      <c r="AD702" s="36">
        <v>0</v>
      </c>
      <c r="AE702" s="35" t="e">
        <f t="shared" si="1520"/>
        <v>#DIV/0!</v>
      </c>
      <c r="AF702" s="6" t="e">
        <f t="shared" si="1521"/>
        <v>#DIV/0!</v>
      </c>
      <c r="AG702" s="68">
        <v>0</v>
      </c>
      <c r="AH702" s="66">
        <v>0</v>
      </c>
      <c r="AI702" s="35" t="e">
        <f t="shared" si="1522"/>
        <v>#DIV/0!</v>
      </c>
      <c r="AJ702" s="6" t="e">
        <f t="shared" si="1523"/>
        <v>#DIV/0!</v>
      </c>
      <c r="AK702" s="68">
        <v>0</v>
      </c>
      <c r="AL702" s="66">
        <v>0</v>
      </c>
      <c r="AM702" s="35" t="e">
        <f t="shared" si="1524"/>
        <v>#DIV/0!</v>
      </c>
      <c r="AN702" s="6" t="e">
        <f t="shared" si="1525"/>
        <v>#DIV/0!</v>
      </c>
      <c r="AO702" s="68">
        <v>5050</v>
      </c>
      <c r="AP702" s="65">
        <v>520</v>
      </c>
      <c r="AQ702" s="35">
        <f t="shared" si="1526"/>
        <v>9.7115384615384617</v>
      </c>
      <c r="AR702" s="6">
        <f t="shared" si="1527"/>
        <v>0.14255001896644956</v>
      </c>
      <c r="AS702" s="68">
        <v>0</v>
      </c>
      <c r="AT702" s="66">
        <v>0</v>
      </c>
      <c r="AU702" s="35" t="e">
        <f t="shared" si="1528"/>
        <v>#DIV/0!</v>
      </c>
      <c r="AV702" s="6" t="e">
        <f t="shared" si="1529"/>
        <v>#DIV/0!</v>
      </c>
      <c r="AW702" s="68">
        <v>0</v>
      </c>
      <c r="AX702" s="66">
        <v>0</v>
      </c>
      <c r="AY702" s="35" t="e">
        <f t="shared" si="1530"/>
        <v>#DIV/0!</v>
      </c>
      <c r="AZ702" s="6" t="e">
        <f t="shared" si="1531"/>
        <v>#DIV/0!</v>
      </c>
      <c r="BA702" s="68">
        <v>0</v>
      </c>
      <c r="BB702" s="66">
        <v>0</v>
      </c>
      <c r="BC702" s="35" t="e">
        <f t="shared" si="1532"/>
        <v>#DIV/0!</v>
      </c>
      <c r="BD702" s="11" t="e">
        <f t="shared" si="1533"/>
        <v>#DIV/0!</v>
      </c>
    </row>
    <row r="703" spans="1:56" ht="15.75" thickBot="1" x14ac:dyDescent="0.3">
      <c r="A703" s="19" t="s">
        <v>3</v>
      </c>
      <c r="B703" s="8">
        <v>115290</v>
      </c>
      <c r="C703" s="35">
        <f>B703/F697</f>
        <v>82.408863473909932</v>
      </c>
      <c r="D703" s="8">
        <v>2700</v>
      </c>
      <c r="E703" s="68">
        <v>0</v>
      </c>
      <c r="F703" s="70">
        <v>0</v>
      </c>
      <c r="G703" s="35" t="e">
        <f t="shared" si="1508"/>
        <v>#DIV/0!</v>
      </c>
      <c r="H703" s="11" t="e">
        <f t="shared" si="1509"/>
        <v>#DIV/0!</v>
      </c>
      <c r="I703" s="35">
        <v>14740</v>
      </c>
      <c r="J703" s="69">
        <v>672</v>
      </c>
      <c r="K703" s="35">
        <f t="shared" si="1510"/>
        <v>21.93452380952381</v>
      </c>
      <c r="L703" s="6">
        <f t="shared" si="1511"/>
        <v>0.26616704666080154</v>
      </c>
      <c r="M703" s="68">
        <v>0</v>
      </c>
      <c r="N703" s="5">
        <v>0</v>
      </c>
      <c r="O703" s="35" t="e">
        <f t="shared" si="1512"/>
        <v>#DIV/0!</v>
      </c>
      <c r="P703" s="11" t="e">
        <f t="shared" si="1513"/>
        <v>#DIV/0!</v>
      </c>
      <c r="Q703" s="35">
        <v>0</v>
      </c>
      <c r="R703" s="66">
        <v>0</v>
      </c>
      <c r="S703" s="35" t="e">
        <f t="shared" si="1514"/>
        <v>#DIV/0!</v>
      </c>
      <c r="T703" s="6" t="e">
        <f t="shared" si="1515"/>
        <v>#DIV/0!</v>
      </c>
      <c r="U703" s="68">
        <v>45510</v>
      </c>
      <c r="V703" s="65">
        <v>828</v>
      </c>
      <c r="W703" s="81">
        <f t="shared" si="1516"/>
        <v>54.963768115942031</v>
      </c>
      <c r="X703" s="6">
        <f t="shared" si="1517"/>
        <v>0.66696427785760171</v>
      </c>
      <c r="Y703" s="68">
        <v>0</v>
      </c>
      <c r="Z703" s="70">
        <v>0</v>
      </c>
      <c r="AA703" s="35" t="e">
        <f t="shared" si="1518"/>
        <v>#DIV/0!</v>
      </c>
      <c r="AB703" s="11" t="e">
        <f t="shared" si="1519"/>
        <v>#DIV/0!</v>
      </c>
      <c r="AC703" s="20">
        <v>0</v>
      </c>
      <c r="AD703" s="36">
        <v>0</v>
      </c>
      <c r="AE703" s="35" t="e">
        <f t="shared" si="1520"/>
        <v>#DIV/0!</v>
      </c>
      <c r="AF703" s="6" t="e">
        <f t="shared" si="1521"/>
        <v>#DIV/0!</v>
      </c>
      <c r="AG703" s="68">
        <v>0</v>
      </c>
      <c r="AH703" s="66">
        <v>0</v>
      </c>
      <c r="AI703" s="35" t="e">
        <f t="shared" si="1522"/>
        <v>#DIV/0!</v>
      </c>
      <c r="AJ703" s="6" t="e">
        <f t="shared" si="1523"/>
        <v>#DIV/0!</v>
      </c>
      <c r="AK703" s="68">
        <v>0</v>
      </c>
      <c r="AL703" s="66">
        <v>0</v>
      </c>
      <c r="AM703" s="35" t="e">
        <f t="shared" si="1524"/>
        <v>#DIV/0!</v>
      </c>
      <c r="AN703" s="6" t="e">
        <f t="shared" si="1525"/>
        <v>#DIV/0!</v>
      </c>
      <c r="AO703" s="68">
        <v>5300</v>
      </c>
      <c r="AP703" s="65">
        <v>520</v>
      </c>
      <c r="AQ703" s="35">
        <f t="shared" si="1526"/>
        <v>10.192307692307692</v>
      </c>
      <c r="AR703" s="6">
        <f t="shared" si="1527"/>
        <v>0.12367975072893106</v>
      </c>
      <c r="AS703" s="68">
        <v>0</v>
      </c>
      <c r="AT703" s="66">
        <v>0</v>
      </c>
      <c r="AU703" s="35" t="e">
        <f t="shared" si="1528"/>
        <v>#DIV/0!</v>
      </c>
      <c r="AV703" s="6" t="e">
        <f t="shared" si="1529"/>
        <v>#DIV/0!</v>
      </c>
      <c r="AW703" s="68">
        <v>0</v>
      </c>
      <c r="AX703" s="66">
        <v>0</v>
      </c>
      <c r="AY703" s="35" t="e">
        <f t="shared" si="1530"/>
        <v>#DIV/0!</v>
      </c>
      <c r="AZ703" s="6" t="e">
        <f t="shared" si="1531"/>
        <v>#DIV/0!</v>
      </c>
      <c r="BA703" s="68">
        <v>0</v>
      </c>
      <c r="BB703" s="66">
        <v>0</v>
      </c>
      <c r="BC703" s="35" t="e">
        <f t="shared" si="1532"/>
        <v>#DIV/0!</v>
      </c>
      <c r="BD703" s="11" t="e">
        <f t="shared" si="1533"/>
        <v>#DIV/0!</v>
      </c>
    </row>
    <row r="704" spans="1:56" ht="15.75" thickBot="1" x14ac:dyDescent="0.3">
      <c r="A704" s="19" t="s">
        <v>4</v>
      </c>
      <c r="B704" s="8">
        <v>143320</v>
      </c>
      <c r="C704" s="35">
        <f>B704/F697</f>
        <v>102.44460328806291</v>
      </c>
      <c r="D704" s="8">
        <v>5250</v>
      </c>
      <c r="E704" s="68">
        <v>0</v>
      </c>
      <c r="F704" s="70">
        <v>0</v>
      </c>
      <c r="G704" s="35" t="e">
        <f t="shared" si="1508"/>
        <v>#DIV/0!</v>
      </c>
      <c r="H704" s="11" t="e">
        <f t="shared" si="1509"/>
        <v>#DIV/0!</v>
      </c>
      <c r="I704" s="35">
        <v>18870</v>
      </c>
      <c r="J704" s="69">
        <v>672</v>
      </c>
      <c r="K704" s="35">
        <f t="shared" si="1510"/>
        <v>28.080357142857142</v>
      </c>
      <c r="L704" s="6">
        <f t="shared" si="1511"/>
        <v>0.27410284428451814</v>
      </c>
      <c r="M704" s="68">
        <v>0</v>
      </c>
      <c r="N704" s="5">
        <v>0</v>
      </c>
      <c r="O704" s="35" t="e">
        <f t="shared" si="1512"/>
        <v>#DIV/0!</v>
      </c>
      <c r="P704" s="11" t="e">
        <f t="shared" si="1513"/>
        <v>#DIV/0!</v>
      </c>
      <c r="Q704" s="35">
        <v>0</v>
      </c>
      <c r="R704" s="66">
        <v>0</v>
      </c>
      <c r="S704" s="35" t="e">
        <f t="shared" si="1514"/>
        <v>#DIV/0!</v>
      </c>
      <c r="T704" s="6" t="e">
        <f t="shared" si="1515"/>
        <v>#DIV/0!</v>
      </c>
      <c r="U704" s="68">
        <v>55090</v>
      </c>
      <c r="V704" s="65">
        <v>828</v>
      </c>
      <c r="W704" s="81">
        <f t="shared" si="1516"/>
        <v>66.533816425120776</v>
      </c>
      <c r="X704" s="6">
        <f t="shared" si="1517"/>
        <v>0.64946140928512397</v>
      </c>
      <c r="Y704" s="68">
        <v>0</v>
      </c>
      <c r="Z704" s="70">
        <v>0</v>
      </c>
      <c r="AA704" s="35" t="e">
        <f t="shared" si="1518"/>
        <v>#DIV/0!</v>
      </c>
      <c r="AB704" s="11" t="e">
        <f t="shared" si="1519"/>
        <v>#DIV/0!</v>
      </c>
      <c r="AC704" s="20">
        <v>0</v>
      </c>
      <c r="AD704" s="36">
        <v>0</v>
      </c>
      <c r="AE704" s="35" t="e">
        <f t="shared" si="1520"/>
        <v>#DIV/0!</v>
      </c>
      <c r="AF704" s="6" t="e">
        <f t="shared" si="1521"/>
        <v>#DIV/0!</v>
      </c>
      <c r="AG704" s="68">
        <v>0</v>
      </c>
      <c r="AH704" s="66">
        <v>0</v>
      </c>
      <c r="AI704" s="35" t="e">
        <f t="shared" si="1522"/>
        <v>#DIV/0!</v>
      </c>
      <c r="AJ704" s="6" t="e">
        <f t="shared" si="1523"/>
        <v>#DIV/0!</v>
      </c>
      <c r="AK704" s="68">
        <v>0</v>
      </c>
      <c r="AL704" s="66">
        <v>0</v>
      </c>
      <c r="AM704" s="35" t="e">
        <f t="shared" si="1524"/>
        <v>#DIV/0!</v>
      </c>
      <c r="AN704" s="6" t="e">
        <f t="shared" si="1525"/>
        <v>#DIV/0!</v>
      </c>
      <c r="AO704" s="68">
        <v>7040</v>
      </c>
      <c r="AP704" s="65">
        <v>520</v>
      </c>
      <c r="AQ704" s="35">
        <f t="shared" si="1526"/>
        <v>13.538461538461538</v>
      </c>
      <c r="AR704" s="6">
        <f t="shared" si="1527"/>
        <v>0.13215397496725992</v>
      </c>
      <c r="AS704" s="68">
        <v>0</v>
      </c>
      <c r="AT704" s="66">
        <v>0</v>
      </c>
      <c r="AU704" s="35" t="e">
        <f t="shared" si="1528"/>
        <v>#DIV/0!</v>
      </c>
      <c r="AV704" s="6" t="e">
        <f t="shared" si="1529"/>
        <v>#DIV/0!</v>
      </c>
      <c r="AW704" s="68">
        <v>0</v>
      </c>
      <c r="AX704" s="66">
        <v>0</v>
      </c>
      <c r="AY704" s="35" t="e">
        <f t="shared" si="1530"/>
        <v>#DIV/0!</v>
      </c>
      <c r="AZ704" s="6" t="e">
        <f t="shared" si="1531"/>
        <v>#DIV/0!</v>
      </c>
      <c r="BA704" s="68">
        <v>0</v>
      </c>
      <c r="BB704" s="66">
        <v>0</v>
      </c>
      <c r="BC704" s="35" t="e">
        <f t="shared" si="1532"/>
        <v>#DIV/0!</v>
      </c>
      <c r="BD704" s="11" t="e">
        <f t="shared" si="1533"/>
        <v>#DIV/0!</v>
      </c>
    </row>
    <row r="705" spans="1:56" ht="15.75" thickBot="1" x14ac:dyDescent="0.3">
      <c r="A705" s="19" t="s">
        <v>5</v>
      </c>
      <c r="B705" s="8">
        <v>189430</v>
      </c>
      <c r="C705" s="35">
        <f>B705/F697</f>
        <v>135.40385989992853</v>
      </c>
      <c r="D705" s="8">
        <v>7050</v>
      </c>
      <c r="E705" s="68">
        <v>0</v>
      </c>
      <c r="F705" s="70">
        <v>0</v>
      </c>
      <c r="G705" s="35" t="e">
        <f t="shared" si="1508"/>
        <v>#DIV/0!</v>
      </c>
      <c r="H705" s="11" t="e">
        <f t="shared" si="1509"/>
        <v>#DIV/0!</v>
      </c>
      <c r="I705" s="35">
        <v>21090</v>
      </c>
      <c r="J705" s="69">
        <v>672</v>
      </c>
      <c r="K705" s="35">
        <f t="shared" si="1510"/>
        <v>31.383928571428573</v>
      </c>
      <c r="L705" s="6">
        <f t="shared" si="1511"/>
        <v>0.23178016191431436</v>
      </c>
      <c r="M705" s="68">
        <v>0</v>
      </c>
      <c r="N705" s="5">
        <v>0</v>
      </c>
      <c r="O705" s="35" t="e">
        <f t="shared" si="1512"/>
        <v>#DIV/0!</v>
      </c>
      <c r="P705" s="11" t="e">
        <f t="shared" si="1513"/>
        <v>#DIV/0!</v>
      </c>
      <c r="Q705" s="35">
        <v>0</v>
      </c>
      <c r="R705" s="66">
        <v>0</v>
      </c>
      <c r="S705" s="35" t="e">
        <f t="shared" si="1514"/>
        <v>#DIV/0!</v>
      </c>
      <c r="T705" s="6" t="e">
        <f t="shared" si="1515"/>
        <v>#DIV/0!</v>
      </c>
      <c r="U705" s="68">
        <v>76590</v>
      </c>
      <c r="V705" s="65">
        <v>828</v>
      </c>
      <c r="W705" s="81">
        <f t="shared" si="1516"/>
        <v>92.5</v>
      </c>
      <c r="X705" s="6">
        <f t="shared" si="1517"/>
        <v>0.68314152985271592</v>
      </c>
      <c r="Y705" s="68">
        <v>0</v>
      </c>
      <c r="Z705" s="70">
        <v>0</v>
      </c>
      <c r="AA705" s="35" t="e">
        <f t="shared" si="1518"/>
        <v>#DIV/0!</v>
      </c>
      <c r="AB705" s="11" t="e">
        <f t="shared" si="1519"/>
        <v>#DIV/0!</v>
      </c>
      <c r="AC705" s="20">
        <v>0</v>
      </c>
      <c r="AD705" s="36">
        <v>0</v>
      </c>
      <c r="AE705" s="35" t="e">
        <f t="shared" si="1520"/>
        <v>#DIV/0!</v>
      </c>
      <c r="AF705" s="6" t="e">
        <f t="shared" si="1521"/>
        <v>#DIV/0!</v>
      </c>
      <c r="AG705" s="68">
        <v>0</v>
      </c>
      <c r="AH705" s="66">
        <v>0</v>
      </c>
      <c r="AI705" s="35" t="e">
        <f t="shared" si="1522"/>
        <v>#DIV/0!</v>
      </c>
      <c r="AJ705" s="6" t="e">
        <f t="shared" si="1523"/>
        <v>#DIV/0!</v>
      </c>
      <c r="AK705" s="68">
        <v>0</v>
      </c>
      <c r="AL705" s="66">
        <v>0</v>
      </c>
      <c r="AM705" s="35" t="e">
        <f t="shared" si="1524"/>
        <v>#DIV/0!</v>
      </c>
      <c r="AN705" s="6" t="e">
        <f t="shared" si="1525"/>
        <v>#DIV/0!</v>
      </c>
      <c r="AO705" s="68">
        <v>8610</v>
      </c>
      <c r="AP705" s="65">
        <v>520</v>
      </c>
      <c r="AQ705" s="35">
        <f t="shared" si="1526"/>
        <v>16.557692307692307</v>
      </c>
      <c r="AR705" s="6">
        <f t="shared" si="1527"/>
        <v>0.12228375409629696</v>
      </c>
      <c r="AS705" s="68">
        <v>0</v>
      </c>
      <c r="AT705" s="66">
        <v>0</v>
      </c>
      <c r="AU705" s="35" t="e">
        <f t="shared" si="1528"/>
        <v>#DIV/0!</v>
      </c>
      <c r="AV705" s="6" t="e">
        <f t="shared" si="1529"/>
        <v>#DIV/0!</v>
      </c>
      <c r="AW705" s="68">
        <v>0</v>
      </c>
      <c r="AX705" s="66">
        <v>0</v>
      </c>
      <c r="AY705" s="35" t="e">
        <f t="shared" si="1530"/>
        <v>#DIV/0!</v>
      </c>
      <c r="AZ705" s="6" t="e">
        <f t="shared" si="1531"/>
        <v>#DIV/0!</v>
      </c>
      <c r="BA705" s="68">
        <v>0</v>
      </c>
      <c r="BB705" s="66">
        <v>0</v>
      </c>
      <c r="BC705" s="35" t="e">
        <f t="shared" si="1532"/>
        <v>#DIV/0!</v>
      </c>
      <c r="BD705" s="11" t="e">
        <f t="shared" si="1533"/>
        <v>#DIV/0!</v>
      </c>
    </row>
    <row r="706" spans="1:56" x14ac:dyDescent="0.25">
      <c r="A706" s="19" t="s">
        <v>6</v>
      </c>
      <c r="B706" s="8">
        <v>229200</v>
      </c>
      <c r="C706" s="35">
        <f>B706/F697</f>
        <v>163.831308077198</v>
      </c>
      <c r="D706" s="8">
        <v>10950</v>
      </c>
      <c r="E706" s="68">
        <v>0</v>
      </c>
      <c r="F706" s="70">
        <v>0</v>
      </c>
      <c r="G706" s="35" t="e">
        <f t="shared" si="1508"/>
        <v>#DIV/0!</v>
      </c>
      <c r="H706" s="11" t="e">
        <f t="shared" si="1509"/>
        <v>#DIV/0!</v>
      </c>
      <c r="I706" s="35">
        <v>26300</v>
      </c>
      <c r="J706" s="69">
        <v>672</v>
      </c>
      <c r="K706" s="35">
        <f t="shared" si="1510"/>
        <v>39.136904761904759</v>
      </c>
      <c r="L706" s="6">
        <f t="shared" si="1511"/>
        <v>0.23888538290534361</v>
      </c>
      <c r="M706" s="68">
        <v>0</v>
      </c>
      <c r="N706" s="5">
        <v>0</v>
      </c>
      <c r="O706" s="35" t="e">
        <f t="shared" si="1512"/>
        <v>#DIV/0!</v>
      </c>
      <c r="P706" s="11" t="e">
        <f t="shared" si="1513"/>
        <v>#DIV/0!</v>
      </c>
      <c r="Q706" s="35">
        <v>0</v>
      </c>
      <c r="R706" s="66">
        <v>0</v>
      </c>
      <c r="S706" s="35" t="e">
        <f t="shared" si="1514"/>
        <v>#DIV/0!</v>
      </c>
      <c r="T706" s="6" t="e">
        <f t="shared" si="1515"/>
        <v>#DIV/0!</v>
      </c>
      <c r="U706" s="68">
        <v>94990</v>
      </c>
      <c r="V706" s="65">
        <v>828</v>
      </c>
      <c r="W706" s="81">
        <f t="shared" si="1516"/>
        <v>114.72222222222223</v>
      </c>
      <c r="X706" s="6">
        <f t="shared" si="1517"/>
        <v>0.70024602482063214</v>
      </c>
      <c r="Y706" s="68">
        <v>0</v>
      </c>
      <c r="Z706" s="70">
        <v>0</v>
      </c>
      <c r="AA706" s="35" t="e">
        <f t="shared" si="1518"/>
        <v>#DIV/0!</v>
      </c>
      <c r="AB706" s="11" t="e">
        <f t="shared" si="1519"/>
        <v>#DIV/0!</v>
      </c>
      <c r="AC706" s="20">
        <v>0</v>
      </c>
      <c r="AD706" s="36">
        <v>0</v>
      </c>
      <c r="AE706" s="35" t="e">
        <f t="shared" si="1520"/>
        <v>#DIV/0!</v>
      </c>
      <c r="AF706" s="6" t="e">
        <f t="shared" si="1521"/>
        <v>#DIV/0!</v>
      </c>
      <c r="AG706" s="68">
        <v>0</v>
      </c>
      <c r="AH706" s="66">
        <v>0</v>
      </c>
      <c r="AI706" s="35" t="e">
        <f t="shared" si="1522"/>
        <v>#DIV/0!</v>
      </c>
      <c r="AJ706" s="6" t="e">
        <f t="shared" si="1523"/>
        <v>#DIV/0!</v>
      </c>
      <c r="AK706" s="68">
        <v>0</v>
      </c>
      <c r="AL706" s="66">
        <v>0</v>
      </c>
      <c r="AM706" s="35" t="e">
        <f t="shared" si="1524"/>
        <v>#DIV/0!</v>
      </c>
      <c r="AN706" s="6" t="e">
        <f t="shared" si="1525"/>
        <v>#DIV/0!</v>
      </c>
      <c r="AO706" s="68">
        <v>9170</v>
      </c>
      <c r="AP706" s="65">
        <v>520</v>
      </c>
      <c r="AQ706" s="35">
        <f t="shared" si="1526"/>
        <v>17.634615384615383</v>
      </c>
      <c r="AR706" s="6">
        <f t="shared" si="1527"/>
        <v>0.10763886092092897</v>
      </c>
      <c r="AS706" s="68">
        <v>0</v>
      </c>
      <c r="AT706" s="66">
        <v>0</v>
      </c>
      <c r="AU706" s="35" t="e">
        <f t="shared" si="1528"/>
        <v>#DIV/0!</v>
      </c>
      <c r="AV706" s="6" t="e">
        <f t="shared" si="1529"/>
        <v>#DIV/0!</v>
      </c>
      <c r="AW706" s="68">
        <v>0</v>
      </c>
      <c r="AX706" s="66">
        <v>0</v>
      </c>
      <c r="AY706" s="35" t="e">
        <f t="shared" si="1530"/>
        <v>#DIV/0!</v>
      </c>
      <c r="AZ706" s="6" t="e">
        <f t="shared" si="1531"/>
        <v>#DIV/0!</v>
      </c>
      <c r="BA706" s="68">
        <v>0</v>
      </c>
      <c r="BB706" s="66">
        <v>0</v>
      </c>
      <c r="BC706" s="35" t="e">
        <f t="shared" si="1532"/>
        <v>#DIV/0!</v>
      </c>
      <c r="BD706" s="11" t="e">
        <f t="shared" si="1533"/>
        <v>#DIV/0!</v>
      </c>
    </row>
    <row r="707" spans="1:56" ht="15.75" thickBot="1" x14ac:dyDescent="0.3">
      <c r="A707" s="21"/>
      <c r="B707" s="22"/>
      <c r="C707" s="23">
        <f>AVERAGE(Table1105262[MA $/Sq Ft])</f>
        <v>94.290819973450425</v>
      </c>
      <c r="D707" s="22">
        <f>AVERAGE(Table1105262[Basic Allowance])</f>
        <v>4442.8571428571431</v>
      </c>
      <c r="E707" s="16"/>
      <c r="F707" s="22"/>
      <c r="G707" s="15"/>
      <c r="H707" s="24" t="e">
        <f>AVERAGE(Table1105262[Bsmt % Base])</f>
        <v>#DIV/0!</v>
      </c>
      <c r="I707" s="15"/>
      <c r="J707" s="15"/>
      <c r="K707" s="15"/>
      <c r="L707" s="25">
        <f>AVERAGE(Table1105262[[#Headers],[#Data],[UnfBsmt % Base]])</f>
        <v>0.26474495507836326</v>
      </c>
      <c r="M707" s="44"/>
      <c r="N707" s="15"/>
      <c r="O707" s="23" t="e">
        <f>AVERAGE(Table1105262[LowerVal/SqFt])</f>
        <v>#DIV/0!</v>
      </c>
      <c r="P707" s="24" t="e">
        <f>AVERAGE(Table1105262[Lower % Base])</f>
        <v>#DIV/0!</v>
      </c>
      <c r="Q707" s="13"/>
      <c r="R707" s="13"/>
      <c r="S707" s="13"/>
      <c r="T707" s="25" t="e">
        <f>AVERAGE(Table1105262[Unf Lower % Base])</f>
        <v>#DIV/0!</v>
      </c>
      <c r="U707" s="12"/>
      <c r="V707" s="13"/>
      <c r="W707" s="13"/>
      <c r="X707" s="25">
        <f>AVERAGE(Table1105262[1/2 Story % Base])</f>
        <v>0.65473899696947513</v>
      </c>
      <c r="Y707" s="12"/>
      <c r="Z707" s="13"/>
      <c r="AA707" s="13"/>
      <c r="AB707" s="24" t="e">
        <f>AVERAGE(Table1105262[2nd Story % Base])</f>
        <v>#DIV/0!</v>
      </c>
      <c r="AC707" s="13"/>
      <c r="AD707" s="13"/>
      <c r="AE707" s="23" t="e">
        <f>AVERAGE(Table1105262[AttGarVal/SqFt])</f>
        <v>#DIV/0!</v>
      </c>
      <c r="AF707" s="25" t="e">
        <f>AVERAGE(Table1105262[Att Gar % Base])</f>
        <v>#DIV/0!</v>
      </c>
      <c r="AG707" s="12"/>
      <c r="AH707" s="13"/>
      <c r="AI707" s="13"/>
      <c r="AJ707" s="25" t="e">
        <f>AVERAGE(Table1105262[Porch % Base])</f>
        <v>#DIV/0!</v>
      </c>
      <c r="AK707" s="12"/>
      <c r="AL707" s="13"/>
      <c r="AM707" s="13"/>
      <c r="AN707" s="25" t="e">
        <f>AVERAGE(Table1105262[Cov Porch % Base])</f>
        <v>#DIV/0!</v>
      </c>
      <c r="AO707" s="12"/>
      <c r="AP707" s="13"/>
      <c r="AQ707" s="13"/>
      <c r="AR707" s="25">
        <f>AVERAGE(Table1105262[Deck % Base])</f>
        <v>0.1318578914320632</v>
      </c>
      <c r="AS707" s="12"/>
      <c r="AT707" s="13"/>
      <c r="AU707" s="23" t="e">
        <f>AVERAGE(Table1105262[CovDeckVal/SqFt])</f>
        <v>#DIV/0!</v>
      </c>
      <c r="AV707" s="25" t="e">
        <f>AVERAGE(Table1105262[CovDeck % Base])</f>
        <v>#DIV/0!</v>
      </c>
      <c r="AW707" s="12"/>
      <c r="AX707" s="13"/>
      <c r="AY707" s="13"/>
      <c r="AZ707" s="25" t="e">
        <f>AVERAGE(Table1105262[CarP % Base])</f>
        <v>#DIV/0!</v>
      </c>
      <c r="BA707" s="12"/>
      <c r="BB707" s="13"/>
      <c r="BC707" s="13"/>
      <c r="BD707" s="24" t="e">
        <f>AVERAGE(Table1105262[EFP % Base])</f>
        <v>#DIV/0!</v>
      </c>
    </row>
    <row r="709" spans="1:56" ht="15.75" thickBot="1" x14ac:dyDescent="0.3">
      <c r="A709" s="82"/>
      <c r="B709" t="s">
        <v>79</v>
      </c>
      <c r="C709" s="78" t="s">
        <v>158</v>
      </c>
      <c r="E709" t="s">
        <v>33</v>
      </c>
      <c r="F709" s="79">
        <v>1224</v>
      </c>
      <c r="H709" t="s">
        <v>80</v>
      </c>
      <c r="I709" t="s">
        <v>95</v>
      </c>
    </row>
    <row r="710" spans="1:56" x14ac:dyDescent="0.25">
      <c r="A710" s="112"/>
      <c r="B710" s="113"/>
      <c r="C710" s="113"/>
      <c r="D710" s="114"/>
      <c r="E710" s="115" t="s">
        <v>27</v>
      </c>
      <c r="F710" s="116"/>
      <c r="G710" s="116"/>
      <c r="H710" s="117"/>
      <c r="I710" s="118" t="s">
        <v>28</v>
      </c>
      <c r="J710" s="119"/>
      <c r="K710" s="119"/>
      <c r="L710" s="120"/>
      <c r="M710" s="121" t="s">
        <v>7</v>
      </c>
      <c r="N710" s="122"/>
      <c r="O710" s="122"/>
      <c r="P710" s="123"/>
      <c r="Q710" s="124" t="s">
        <v>29</v>
      </c>
      <c r="R710" s="125"/>
      <c r="S710" s="125"/>
      <c r="T710" s="126"/>
      <c r="U710" s="127" t="s">
        <v>8</v>
      </c>
      <c r="V710" s="128"/>
      <c r="W710" s="128"/>
      <c r="X710" s="129"/>
      <c r="Y710" s="130" t="s">
        <v>0</v>
      </c>
      <c r="Z710" s="131"/>
      <c r="AA710" s="131"/>
      <c r="AB710" s="132"/>
      <c r="AC710" s="133" t="s">
        <v>34</v>
      </c>
      <c r="AD710" s="134"/>
      <c r="AE710" s="134"/>
      <c r="AF710" s="135"/>
      <c r="AG710" s="115" t="s">
        <v>9</v>
      </c>
      <c r="AH710" s="116"/>
      <c r="AI710" s="116"/>
      <c r="AJ710" s="117"/>
      <c r="AK710" s="136" t="s">
        <v>35</v>
      </c>
      <c r="AL710" s="137"/>
      <c r="AM710" s="137"/>
      <c r="AN710" s="138"/>
      <c r="AO710" s="139" t="s">
        <v>10</v>
      </c>
      <c r="AP710" s="140"/>
      <c r="AQ710" s="140"/>
      <c r="AR710" s="141"/>
      <c r="AS710" s="124" t="s">
        <v>36</v>
      </c>
      <c r="AT710" s="125"/>
      <c r="AU710" s="125"/>
      <c r="AV710" s="126"/>
      <c r="AW710" s="142" t="s">
        <v>11</v>
      </c>
      <c r="AX710" s="143"/>
      <c r="AY710" s="143"/>
      <c r="AZ710" s="144"/>
      <c r="BA710" s="148" t="s">
        <v>17</v>
      </c>
      <c r="BB710" s="149"/>
      <c r="BC710" s="149"/>
      <c r="BD710" s="150"/>
    </row>
    <row r="711" spans="1:56" s="1" customFormat="1" ht="15.75" thickBot="1" x14ac:dyDescent="0.3">
      <c r="A711" s="41" t="s">
        <v>13</v>
      </c>
      <c r="B711" s="42" t="s">
        <v>15</v>
      </c>
      <c r="C711" s="42" t="s">
        <v>32</v>
      </c>
      <c r="D711" s="43" t="s">
        <v>18</v>
      </c>
      <c r="E711" s="30" t="s">
        <v>30</v>
      </c>
      <c r="F711" s="31" t="s">
        <v>61</v>
      </c>
      <c r="G711" s="31" t="s">
        <v>38</v>
      </c>
      <c r="H711" s="32" t="s">
        <v>62</v>
      </c>
      <c r="I711" s="37" t="s">
        <v>31</v>
      </c>
      <c r="J711" s="38" t="s">
        <v>39</v>
      </c>
      <c r="K711" s="38" t="s">
        <v>40</v>
      </c>
      <c r="L711" s="39" t="s">
        <v>63</v>
      </c>
      <c r="M711" s="40" t="s">
        <v>19</v>
      </c>
      <c r="N711" s="7" t="s">
        <v>41</v>
      </c>
      <c r="O711" s="7" t="s">
        <v>37</v>
      </c>
      <c r="P711" s="7" t="s">
        <v>64</v>
      </c>
      <c r="Q711" s="27" t="s">
        <v>20</v>
      </c>
      <c r="R711" s="28" t="s">
        <v>60</v>
      </c>
      <c r="S711" s="28" t="s">
        <v>59</v>
      </c>
      <c r="T711" s="29" t="s">
        <v>65</v>
      </c>
      <c r="U711" s="48" t="s">
        <v>21</v>
      </c>
      <c r="V711" s="48" t="s">
        <v>42</v>
      </c>
      <c r="W711" s="48" t="s">
        <v>43</v>
      </c>
      <c r="X711" s="49" t="s">
        <v>66</v>
      </c>
      <c r="Y711" s="50" t="s">
        <v>22</v>
      </c>
      <c r="Z711" s="51" t="s">
        <v>44</v>
      </c>
      <c r="AA711" s="51" t="s">
        <v>45</v>
      </c>
      <c r="AB711" s="52" t="s">
        <v>67</v>
      </c>
      <c r="AC711" s="45" t="s">
        <v>23</v>
      </c>
      <c r="AD711" s="46" t="s">
        <v>46</v>
      </c>
      <c r="AE711" s="46" t="s">
        <v>47</v>
      </c>
      <c r="AF711" s="47" t="s">
        <v>68</v>
      </c>
      <c r="AG711" s="30" t="s">
        <v>24</v>
      </c>
      <c r="AH711" s="31" t="s">
        <v>48</v>
      </c>
      <c r="AI711" s="31" t="s">
        <v>49</v>
      </c>
      <c r="AJ711" s="32" t="s">
        <v>69</v>
      </c>
      <c r="AK711" s="53" t="s">
        <v>25</v>
      </c>
      <c r="AL711" s="54" t="s">
        <v>50</v>
      </c>
      <c r="AM711" s="54" t="s">
        <v>51</v>
      </c>
      <c r="AN711" s="55" t="s">
        <v>70</v>
      </c>
      <c r="AO711" s="56" t="s">
        <v>26</v>
      </c>
      <c r="AP711" s="57" t="s">
        <v>52</v>
      </c>
      <c r="AQ711" s="57" t="s">
        <v>53</v>
      </c>
      <c r="AR711" s="58" t="s">
        <v>71</v>
      </c>
      <c r="AS711" s="59" t="s">
        <v>55</v>
      </c>
      <c r="AT711" s="60" t="s">
        <v>54</v>
      </c>
      <c r="AU711" s="60" t="s">
        <v>56</v>
      </c>
      <c r="AV711" s="61" t="s">
        <v>76</v>
      </c>
      <c r="AW711" s="62" t="s">
        <v>72</v>
      </c>
      <c r="AX711" s="63" t="s">
        <v>73</v>
      </c>
      <c r="AY711" s="63" t="s">
        <v>74</v>
      </c>
      <c r="AZ711" s="64" t="s">
        <v>75</v>
      </c>
      <c r="BA711" s="71" t="s">
        <v>77</v>
      </c>
      <c r="BB711" s="72" t="s">
        <v>57</v>
      </c>
      <c r="BC711" s="72" t="s">
        <v>58</v>
      </c>
      <c r="BD711" s="73" t="s">
        <v>78</v>
      </c>
    </row>
    <row r="712" spans="1:56" ht="15.75" thickBot="1" x14ac:dyDescent="0.3">
      <c r="A712" s="17" t="s">
        <v>1</v>
      </c>
      <c r="B712" s="14">
        <v>61930</v>
      </c>
      <c r="C712" s="34">
        <f>B712/F709</f>
        <v>50.596405228758172</v>
      </c>
      <c r="D712" s="14">
        <v>1525</v>
      </c>
      <c r="E712" s="67">
        <v>28650</v>
      </c>
      <c r="F712" s="69">
        <v>1224</v>
      </c>
      <c r="G712" s="34">
        <f t="shared" ref="G712:G718" si="1534">E712/F712</f>
        <v>23.406862745098039</v>
      </c>
      <c r="H712" s="10">
        <f t="shared" ref="H712:H718" si="1535">G712/C712</f>
        <v>0.46261908606491198</v>
      </c>
      <c r="I712" s="34">
        <v>0</v>
      </c>
      <c r="J712" s="69">
        <v>0</v>
      </c>
      <c r="K712" s="34" t="e">
        <f t="shared" ref="K712:K718" si="1536">I712/J712</f>
        <v>#DIV/0!</v>
      </c>
      <c r="L712" s="9" t="e">
        <f t="shared" ref="L712:L718" si="1537">K712/C712</f>
        <v>#DIV/0!</v>
      </c>
      <c r="M712" s="67">
        <v>0</v>
      </c>
      <c r="N712" s="26">
        <v>0</v>
      </c>
      <c r="O712" s="34" t="e">
        <f t="shared" ref="O712:O718" si="1538">M712/N712</f>
        <v>#DIV/0!</v>
      </c>
      <c r="P712" s="10" t="e">
        <f t="shared" ref="P712:P718" si="1539">O712/C712</f>
        <v>#DIV/0!</v>
      </c>
      <c r="Q712" s="35">
        <v>0</v>
      </c>
      <c r="R712" s="66">
        <v>0</v>
      </c>
      <c r="S712" s="35" t="e">
        <f t="shared" ref="S712:S718" si="1540">Q712/R712</f>
        <v>#DIV/0!</v>
      </c>
      <c r="T712" s="6" t="e">
        <f t="shared" ref="T712:T718" si="1541">S712/C712</f>
        <v>#DIV/0!</v>
      </c>
      <c r="U712" s="67">
        <v>0</v>
      </c>
      <c r="V712" s="65">
        <v>0</v>
      </c>
      <c r="W712" s="18" t="e">
        <f t="shared" ref="W712:W718" si="1542">U712/V712</f>
        <v>#DIV/0!</v>
      </c>
      <c r="X712" s="9" t="e">
        <f t="shared" ref="X712:X718" si="1543">W712/C712</f>
        <v>#DIV/0!</v>
      </c>
      <c r="Y712" s="67">
        <v>0</v>
      </c>
      <c r="Z712" s="69">
        <v>0</v>
      </c>
      <c r="AA712" s="34" t="e">
        <f t="shared" ref="AA712:AA718" si="1544">Y712/Z712</f>
        <v>#DIV/0!</v>
      </c>
      <c r="AB712" s="10" t="e">
        <f t="shared" ref="AB712:AB718" si="1545">AA712/C712</f>
        <v>#DIV/0!</v>
      </c>
      <c r="AC712" s="18">
        <v>7240</v>
      </c>
      <c r="AD712" s="33">
        <v>480</v>
      </c>
      <c r="AE712" s="34">
        <f t="shared" ref="AE712:AE718" si="1546">AC712/AD712</f>
        <v>15.083333333333334</v>
      </c>
      <c r="AF712" s="9">
        <f t="shared" ref="AF712:AF718" si="1547">AE712/C712</f>
        <v>0.29811077022444693</v>
      </c>
      <c r="AG712" s="67">
        <v>0</v>
      </c>
      <c r="AH712" s="65">
        <v>0</v>
      </c>
      <c r="AI712" s="34" t="e">
        <f t="shared" ref="AI712:AI718" si="1548">AG712/AH712</f>
        <v>#DIV/0!</v>
      </c>
      <c r="AJ712" s="9" t="e">
        <f t="shared" ref="AJ712:AJ718" si="1549">AI712/C712</f>
        <v>#DIV/0!</v>
      </c>
      <c r="AK712" s="67">
        <v>205</v>
      </c>
      <c r="AL712" s="65">
        <v>372</v>
      </c>
      <c r="AM712" s="34">
        <f t="shared" ref="AM712:AM718" si="1550">AK712/AL712</f>
        <v>0.55107526881720426</v>
      </c>
      <c r="AN712" s="9">
        <f t="shared" ref="AN712:AN718" si="1551">AM712/C712</f>
        <v>1.0891589359474535E-2</v>
      </c>
      <c r="AO712" s="67">
        <v>0</v>
      </c>
      <c r="AP712" s="65">
        <v>0</v>
      </c>
      <c r="AQ712" s="34" t="e">
        <f t="shared" ref="AQ712:AQ718" si="1552">AO712/AP712</f>
        <v>#DIV/0!</v>
      </c>
      <c r="AR712" s="9" t="e">
        <f t="shared" ref="AR712:AR718" si="1553">AQ712/C712</f>
        <v>#DIV/0!</v>
      </c>
      <c r="AS712" s="67">
        <v>0</v>
      </c>
      <c r="AT712" s="65">
        <v>0</v>
      </c>
      <c r="AU712" s="34" t="e">
        <f t="shared" ref="AU712:AU718" si="1554">AS712/AT712</f>
        <v>#DIV/0!</v>
      </c>
      <c r="AV712" s="9" t="e">
        <f t="shared" ref="AV712:AV718" si="1555">AU712/C712</f>
        <v>#DIV/0!</v>
      </c>
      <c r="AW712" s="67">
        <v>0</v>
      </c>
      <c r="AX712" s="65">
        <v>0</v>
      </c>
      <c r="AY712" s="34" t="e">
        <f t="shared" ref="AY712:AY718" si="1556">AW712/AX712</f>
        <v>#DIV/0!</v>
      </c>
      <c r="AZ712" s="9" t="e">
        <f t="shared" ref="AZ712:AZ718" si="1557">AY712/C712</f>
        <v>#DIV/0!</v>
      </c>
      <c r="BA712" s="67">
        <v>0</v>
      </c>
      <c r="BB712" s="65">
        <v>0</v>
      </c>
      <c r="BC712" s="34" t="e">
        <f t="shared" ref="BC712:BC718" si="1558">BA712/BB712</f>
        <v>#DIV/0!</v>
      </c>
      <c r="BD712" s="10" t="e">
        <f t="shared" ref="BD712:BD718" si="1559">BC712/C712</f>
        <v>#DIV/0!</v>
      </c>
    </row>
    <row r="713" spans="1:56" ht="15.75" thickBot="1" x14ac:dyDescent="0.3">
      <c r="A713" s="19" t="s">
        <v>16</v>
      </c>
      <c r="B713" s="8">
        <v>72860</v>
      </c>
      <c r="C713" s="35">
        <f>B713/F709</f>
        <v>59.526143790849673</v>
      </c>
      <c r="D713" s="8">
        <v>1525</v>
      </c>
      <c r="E713" s="68">
        <v>38900</v>
      </c>
      <c r="F713" s="69">
        <v>1224</v>
      </c>
      <c r="G713" s="35">
        <f t="shared" si="1534"/>
        <v>31.781045751633986</v>
      </c>
      <c r="H713" s="11">
        <f t="shared" si="1535"/>
        <v>0.53390063134779031</v>
      </c>
      <c r="I713" s="35">
        <v>0</v>
      </c>
      <c r="J713" s="70">
        <v>0</v>
      </c>
      <c r="K713" s="35" t="e">
        <f t="shared" si="1536"/>
        <v>#DIV/0!</v>
      </c>
      <c r="L713" s="6" t="e">
        <f t="shared" si="1537"/>
        <v>#DIV/0!</v>
      </c>
      <c r="M713" s="68">
        <v>0</v>
      </c>
      <c r="N713" s="5">
        <v>0</v>
      </c>
      <c r="O713" s="35" t="e">
        <f t="shared" si="1538"/>
        <v>#DIV/0!</v>
      </c>
      <c r="P713" s="11" t="e">
        <f t="shared" si="1539"/>
        <v>#DIV/0!</v>
      </c>
      <c r="Q713" s="35">
        <v>0</v>
      </c>
      <c r="R713" s="66">
        <v>0</v>
      </c>
      <c r="S713" s="35" t="e">
        <f t="shared" si="1540"/>
        <v>#DIV/0!</v>
      </c>
      <c r="T713" s="6" t="e">
        <f t="shared" si="1541"/>
        <v>#DIV/0!</v>
      </c>
      <c r="U713" s="68">
        <v>0</v>
      </c>
      <c r="V713" s="66">
        <v>0</v>
      </c>
      <c r="W713" s="20" t="e">
        <f t="shared" si="1542"/>
        <v>#DIV/0!</v>
      </c>
      <c r="X713" s="6" t="e">
        <f t="shared" si="1543"/>
        <v>#DIV/0!</v>
      </c>
      <c r="Y713" s="68">
        <v>0</v>
      </c>
      <c r="Z713" s="70">
        <v>0</v>
      </c>
      <c r="AA713" s="35" t="e">
        <f t="shared" si="1544"/>
        <v>#DIV/0!</v>
      </c>
      <c r="AB713" s="11" t="e">
        <f t="shared" si="1545"/>
        <v>#DIV/0!</v>
      </c>
      <c r="AC713" s="20">
        <v>10000</v>
      </c>
      <c r="AD713" s="33">
        <v>480</v>
      </c>
      <c r="AE713" s="35">
        <f t="shared" si="1546"/>
        <v>20.833333333333332</v>
      </c>
      <c r="AF713" s="6">
        <f t="shared" si="1547"/>
        <v>0.34998627504803731</v>
      </c>
      <c r="AG713" s="68">
        <v>0</v>
      </c>
      <c r="AH713" s="66">
        <v>0</v>
      </c>
      <c r="AI713" s="35" t="e">
        <f t="shared" si="1548"/>
        <v>#DIV/0!</v>
      </c>
      <c r="AJ713" s="6" t="e">
        <f t="shared" si="1549"/>
        <v>#DIV/0!</v>
      </c>
      <c r="AK713" s="68">
        <v>3020</v>
      </c>
      <c r="AL713" s="65">
        <v>372</v>
      </c>
      <c r="AM713" s="35">
        <f t="shared" si="1550"/>
        <v>8.1182795698924739</v>
      </c>
      <c r="AN713" s="6">
        <f t="shared" si="1551"/>
        <v>0.13638174847033199</v>
      </c>
      <c r="AO713" s="68">
        <v>0</v>
      </c>
      <c r="AP713" s="66">
        <v>0</v>
      </c>
      <c r="AQ713" s="35" t="e">
        <f t="shared" si="1552"/>
        <v>#DIV/0!</v>
      </c>
      <c r="AR713" s="6" t="e">
        <f t="shared" si="1553"/>
        <v>#DIV/0!</v>
      </c>
      <c r="AS713" s="68">
        <v>0</v>
      </c>
      <c r="AT713" s="66">
        <v>0</v>
      </c>
      <c r="AU713" s="35" t="e">
        <f t="shared" si="1554"/>
        <v>#DIV/0!</v>
      </c>
      <c r="AV713" s="6" t="e">
        <f t="shared" si="1555"/>
        <v>#DIV/0!</v>
      </c>
      <c r="AW713" s="68">
        <v>0</v>
      </c>
      <c r="AX713" s="66">
        <v>0</v>
      </c>
      <c r="AY713" s="35" t="e">
        <f t="shared" si="1556"/>
        <v>#DIV/0!</v>
      </c>
      <c r="AZ713" s="6" t="e">
        <f t="shared" si="1557"/>
        <v>#DIV/0!</v>
      </c>
      <c r="BA713" s="68">
        <v>0</v>
      </c>
      <c r="BB713" s="66">
        <v>0</v>
      </c>
      <c r="BC713" s="35" t="e">
        <f t="shared" si="1558"/>
        <v>#DIV/0!</v>
      </c>
      <c r="BD713" s="11" t="e">
        <f t="shared" si="1559"/>
        <v>#DIV/0!</v>
      </c>
    </row>
    <row r="714" spans="1:56" ht="15.75" thickBot="1" x14ac:dyDescent="0.3">
      <c r="A714" s="19" t="s">
        <v>2</v>
      </c>
      <c r="B714" s="8">
        <v>85210</v>
      </c>
      <c r="C714" s="35">
        <f>B714/F709</f>
        <v>69.616013071895424</v>
      </c>
      <c r="D714" s="8">
        <v>2100</v>
      </c>
      <c r="E714" s="68">
        <v>44710</v>
      </c>
      <c r="F714" s="69">
        <v>1224</v>
      </c>
      <c r="G714" s="35">
        <f t="shared" si="1534"/>
        <v>36.527777777777779</v>
      </c>
      <c r="H714" s="11">
        <f t="shared" si="1535"/>
        <v>0.52470367327778433</v>
      </c>
      <c r="I714" s="35">
        <v>0</v>
      </c>
      <c r="J714" s="70">
        <v>0</v>
      </c>
      <c r="K714" s="35" t="e">
        <f t="shared" si="1536"/>
        <v>#DIV/0!</v>
      </c>
      <c r="L714" s="6" t="e">
        <f t="shared" si="1537"/>
        <v>#DIV/0!</v>
      </c>
      <c r="M714" s="68">
        <v>0</v>
      </c>
      <c r="N714" s="5">
        <v>0</v>
      </c>
      <c r="O714" s="35" t="e">
        <f t="shared" si="1538"/>
        <v>#DIV/0!</v>
      </c>
      <c r="P714" s="11" t="e">
        <f t="shared" si="1539"/>
        <v>#DIV/0!</v>
      </c>
      <c r="Q714" s="35">
        <v>0</v>
      </c>
      <c r="R714" s="66">
        <v>0</v>
      </c>
      <c r="S714" s="35" t="e">
        <f t="shared" si="1540"/>
        <v>#DIV/0!</v>
      </c>
      <c r="T714" s="6" t="e">
        <f t="shared" si="1541"/>
        <v>#DIV/0!</v>
      </c>
      <c r="U714" s="68">
        <v>0</v>
      </c>
      <c r="V714" s="66">
        <v>0</v>
      </c>
      <c r="W714" s="20" t="e">
        <f t="shared" si="1542"/>
        <v>#DIV/0!</v>
      </c>
      <c r="X714" s="6" t="e">
        <f t="shared" si="1543"/>
        <v>#DIV/0!</v>
      </c>
      <c r="Y714" s="68">
        <v>0</v>
      </c>
      <c r="Z714" s="70">
        <v>0</v>
      </c>
      <c r="AA714" s="35" t="e">
        <f t="shared" si="1544"/>
        <v>#DIV/0!</v>
      </c>
      <c r="AB714" s="11" t="e">
        <f t="shared" si="1545"/>
        <v>#DIV/0!</v>
      </c>
      <c r="AC714" s="20">
        <v>12240</v>
      </c>
      <c r="AD714" s="33">
        <v>480</v>
      </c>
      <c r="AE714" s="35">
        <f t="shared" si="1546"/>
        <v>25.5</v>
      </c>
      <c r="AF714" s="6">
        <f t="shared" si="1547"/>
        <v>0.36629503579392092</v>
      </c>
      <c r="AG714" s="68">
        <v>0</v>
      </c>
      <c r="AH714" s="66">
        <v>0</v>
      </c>
      <c r="AI714" s="35" t="e">
        <f t="shared" si="1548"/>
        <v>#DIV/0!</v>
      </c>
      <c r="AJ714" s="6" t="e">
        <f t="shared" si="1549"/>
        <v>#DIV/0!</v>
      </c>
      <c r="AK714" s="68">
        <v>3260</v>
      </c>
      <c r="AL714" s="65">
        <v>372</v>
      </c>
      <c r="AM714" s="35">
        <f t="shared" si="1550"/>
        <v>8.763440860215054</v>
      </c>
      <c r="AN714" s="6">
        <f t="shared" si="1551"/>
        <v>0.12588254445374047</v>
      </c>
      <c r="AO714" s="68">
        <v>0</v>
      </c>
      <c r="AP714" s="66">
        <v>0</v>
      </c>
      <c r="AQ714" s="35" t="e">
        <f t="shared" si="1552"/>
        <v>#DIV/0!</v>
      </c>
      <c r="AR714" s="6" t="e">
        <f t="shared" si="1553"/>
        <v>#DIV/0!</v>
      </c>
      <c r="AS714" s="68">
        <v>0</v>
      </c>
      <c r="AT714" s="66">
        <v>0</v>
      </c>
      <c r="AU714" s="35" t="e">
        <f t="shared" si="1554"/>
        <v>#DIV/0!</v>
      </c>
      <c r="AV714" s="6" t="e">
        <f t="shared" si="1555"/>
        <v>#DIV/0!</v>
      </c>
      <c r="AW714" s="68">
        <v>0</v>
      </c>
      <c r="AX714" s="66">
        <v>0</v>
      </c>
      <c r="AY714" s="35" t="e">
        <f t="shared" si="1556"/>
        <v>#DIV/0!</v>
      </c>
      <c r="AZ714" s="6" t="e">
        <f t="shared" si="1557"/>
        <v>#DIV/0!</v>
      </c>
      <c r="BA714" s="68">
        <v>0</v>
      </c>
      <c r="BB714" s="66">
        <v>0</v>
      </c>
      <c r="BC714" s="35" t="e">
        <f t="shared" si="1558"/>
        <v>#DIV/0!</v>
      </c>
      <c r="BD714" s="11" t="e">
        <f t="shared" si="1559"/>
        <v>#DIV/0!</v>
      </c>
    </row>
    <row r="715" spans="1:56" ht="15.75" thickBot="1" x14ac:dyDescent="0.3">
      <c r="A715" s="19" t="s">
        <v>3</v>
      </c>
      <c r="B715" s="8">
        <v>102890</v>
      </c>
      <c r="C715" s="35">
        <f>B715/F709</f>
        <v>84.060457516339866</v>
      </c>
      <c r="D715" s="8">
        <v>2700</v>
      </c>
      <c r="E715" s="68">
        <v>51480</v>
      </c>
      <c r="F715" s="69">
        <v>1224</v>
      </c>
      <c r="G715" s="35">
        <f t="shared" si="1534"/>
        <v>42.058823529411768</v>
      </c>
      <c r="H715" s="11">
        <f t="shared" si="1535"/>
        <v>0.50034016911264467</v>
      </c>
      <c r="I715" s="35">
        <v>0</v>
      </c>
      <c r="J715" s="70">
        <v>0</v>
      </c>
      <c r="K715" s="35" t="e">
        <f t="shared" si="1536"/>
        <v>#DIV/0!</v>
      </c>
      <c r="L715" s="6" t="e">
        <f t="shared" si="1537"/>
        <v>#DIV/0!</v>
      </c>
      <c r="M715" s="68">
        <v>0</v>
      </c>
      <c r="N715" s="5">
        <v>0</v>
      </c>
      <c r="O715" s="35" t="e">
        <f t="shared" si="1538"/>
        <v>#DIV/0!</v>
      </c>
      <c r="P715" s="11" t="e">
        <f t="shared" si="1539"/>
        <v>#DIV/0!</v>
      </c>
      <c r="Q715" s="35">
        <v>0</v>
      </c>
      <c r="R715" s="66">
        <v>0</v>
      </c>
      <c r="S715" s="35" t="e">
        <f t="shared" si="1540"/>
        <v>#DIV/0!</v>
      </c>
      <c r="T715" s="6" t="e">
        <f t="shared" si="1541"/>
        <v>#DIV/0!</v>
      </c>
      <c r="U715" s="68">
        <v>0</v>
      </c>
      <c r="V715" s="66">
        <v>0</v>
      </c>
      <c r="W715" s="20" t="e">
        <f t="shared" si="1542"/>
        <v>#DIV/0!</v>
      </c>
      <c r="X715" s="6" t="e">
        <f t="shared" si="1543"/>
        <v>#DIV/0!</v>
      </c>
      <c r="Y715" s="68">
        <v>0</v>
      </c>
      <c r="Z715" s="70">
        <v>0</v>
      </c>
      <c r="AA715" s="35" t="e">
        <f t="shared" si="1544"/>
        <v>#DIV/0!</v>
      </c>
      <c r="AB715" s="11" t="e">
        <f t="shared" si="1545"/>
        <v>#DIV/0!</v>
      </c>
      <c r="AC715" s="20">
        <v>12960</v>
      </c>
      <c r="AD715" s="33">
        <v>480</v>
      </c>
      <c r="AE715" s="35">
        <f t="shared" si="1546"/>
        <v>27</v>
      </c>
      <c r="AF715" s="6">
        <f t="shared" si="1547"/>
        <v>0.32119739527650892</v>
      </c>
      <c r="AG715" s="68">
        <v>0</v>
      </c>
      <c r="AH715" s="66">
        <v>0</v>
      </c>
      <c r="AI715" s="35" t="e">
        <f t="shared" si="1548"/>
        <v>#DIV/0!</v>
      </c>
      <c r="AJ715" s="6" t="e">
        <f t="shared" si="1549"/>
        <v>#DIV/0!</v>
      </c>
      <c r="AK715" s="68">
        <v>3550</v>
      </c>
      <c r="AL715" s="65">
        <v>372</v>
      </c>
      <c r="AM715" s="35">
        <f t="shared" si="1550"/>
        <v>9.543010752688172</v>
      </c>
      <c r="AN715" s="6">
        <f t="shared" si="1551"/>
        <v>0.11352556284663547</v>
      </c>
      <c r="AO715" s="68">
        <v>0</v>
      </c>
      <c r="AP715" s="66">
        <v>0</v>
      </c>
      <c r="AQ715" s="35" t="e">
        <f t="shared" si="1552"/>
        <v>#DIV/0!</v>
      </c>
      <c r="AR715" s="6" t="e">
        <f t="shared" si="1553"/>
        <v>#DIV/0!</v>
      </c>
      <c r="AS715" s="68">
        <v>0</v>
      </c>
      <c r="AT715" s="66">
        <v>0</v>
      </c>
      <c r="AU715" s="35" t="e">
        <f t="shared" si="1554"/>
        <v>#DIV/0!</v>
      </c>
      <c r="AV715" s="6" t="e">
        <f t="shared" si="1555"/>
        <v>#DIV/0!</v>
      </c>
      <c r="AW715" s="68">
        <v>0</v>
      </c>
      <c r="AX715" s="66">
        <v>0</v>
      </c>
      <c r="AY715" s="35" t="e">
        <f t="shared" si="1556"/>
        <v>#DIV/0!</v>
      </c>
      <c r="AZ715" s="6" t="e">
        <f t="shared" si="1557"/>
        <v>#DIV/0!</v>
      </c>
      <c r="BA715" s="68">
        <v>0</v>
      </c>
      <c r="BB715" s="66">
        <v>0</v>
      </c>
      <c r="BC715" s="35" t="e">
        <f t="shared" si="1558"/>
        <v>#DIV/0!</v>
      </c>
      <c r="BD715" s="11" t="e">
        <f t="shared" si="1559"/>
        <v>#DIV/0!</v>
      </c>
    </row>
    <row r="716" spans="1:56" ht="15.75" thickBot="1" x14ac:dyDescent="0.3">
      <c r="A716" s="19" t="s">
        <v>4</v>
      </c>
      <c r="B716" s="8">
        <v>128350</v>
      </c>
      <c r="C716" s="35">
        <f>B716/F709</f>
        <v>104.86111111111111</v>
      </c>
      <c r="D716" s="8">
        <v>5250</v>
      </c>
      <c r="E716" s="68">
        <v>73130</v>
      </c>
      <c r="F716" s="69">
        <v>1224</v>
      </c>
      <c r="G716" s="35">
        <f t="shared" si="1534"/>
        <v>59.746732026143789</v>
      </c>
      <c r="H716" s="11">
        <f t="shared" si="1535"/>
        <v>0.56977015971951694</v>
      </c>
      <c r="I716" s="35">
        <v>0</v>
      </c>
      <c r="J716" s="70">
        <v>0</v>
      </c>
      <c r="K716" s="35" t="e">
        <f t="shared" si="1536"/>
        <v>#DIV/0!</v>
      </c>
      <c r="L716" s="6" t="e">
        <f t="shared" si="1537"/>
        <v>#DIV/0!</v>
      </c>
      <c r="M716" s="68">
        <v>0</v>
      </c>
      <c r="N716" s="5">
        <v>0</v>
      </c>
      <c r="O716" s="35" t="e">
        <f t="shared" si="1538"/>
        <v>#DIV/0!</v>
      </c>
      <c r="P716" s="11" t="e">
        <f t="shared" si="1539"/>
        <v>#DIV/0!</v>
      </c>
      <c r="Q716" s="35">
        <v>0</v>
      </c>
      <c r="R716" s="66">
        <v>0</v>
      </c>
      <c r="S716" s="35" t="e">
        <f t="shared" si="1540"/>
        <v>#DIV/0!</v>
      </c>
      <c r="T716" s="6" t="e">
        <f t="shared" si="1541"/>
        <v>#DIV/0!</v>
      </c>
      <c r="U716" s="68">
        <v>0</v>
      </c>
      <c r="V716" s="66">
        <v>0</v>
      </c>
      <c r="W716" s="20" t="e">
        <f t="shared" si="1542"/>
        <v>#DIV/0!</v>
      </c>
      <c r="X716" s="6" t="e">
        <f t="shared" si="1543"/>
        <v>#DIV/0!</v>
      </c>
      <c r="Y716" s="68">
        <v>0</v>
      </c>
      <c r="Z716" s="70">
        <v>0</v>
      </c>
      <c r="AA716" s="35" t="e">
        <f t="shared" si="1544"/>
        <v>#DIV/0!</v>
      </c>
      <c r="AB716" s="11" t="e">
        <f t="shared" si="1545"/>
        <v>#DIV/0!</v>
      </c>
      <c r="AC716" s="20">
        <v>14780</v>
      </c>
      <c r="AD716" s="33">
        <v>480</v>
      </c>
      <c r="AE716" s="35">
        <f t="shared" si="1546"/>
        <v>30.791666666666668</v>
      </c>
      <c r="AF716" s="6">
        <f t="shared" si="1547"/>
        <v>0.29364238410596027</v>
      </c>
      <c r="AG716" s="68">
        <v>0</v>
      </c>
      <c r="AH716" s="66">
        <v>0</v>
      </c>
      <c r="AI716" s="35" t="e">
        <f t="shared" si="1548"/>
        <v>#DIV/0!</v>
      </c>
      <c r="AJ716" s="6" t="e">
        <f t="shared" si="1549"/>
        <v>#DIV/0!</v>
      </c>
      <c r="AK716" s="68">
        <v>4210</v>
      </c>
      <c r="AL716" s="65">
        <v>372</v>
      </c>
      <c r="AM716" s="35">
        <f t="shared" si="1550"/>
        <v>11.317204301075268</v>
      </c>
      <c r="AN716" s="6">
        <f t="shared" si="1551"/>
        <v>0.10792565691091646</v>
      </c>
      <c r="AO716" s="68">
        <v>0</v>
      </c>
      <c r="AP716" s="66">
        <v>0</v>
      </c>
      <c r="AQ716" s="35" t="e">
        <f t="shared" si="1552"/>
        <v>#DIV/0!</v>
      </c>
      <c r="AR716" s="6" t="e">
        <f t="shared" si="1553"/>
        <v>#DIV/0!</v>
      </c>
      <c r="AS716" s="68">
        <v>0</v>
      </c>
      <c r="AT716" s="66">
        <v>0</v>
      </c>
      <c r="AU716" s="35" t="e">
        <f t="shared" si="1554"/>
        <v>#DIV/0!</v>
      </c>
      <c r="AV716" s="6" t="e">
        <f t="shared" si="1555"/>
        <v>#DIV/0!</v>
      </c>
      <c r="AW716" s="68">
        <v>0</v>
      </c>
      <c r="AX716" s="66">
        <v>0</v>
      </c>
      <c r="AY716" s="35" t="e">
        <f t="shared" si="1556"/>
        <v>#DIV/0!</v>
      </c>
      <c r="AZ716" s="6" t="e">
        <f t="shared" si="1557"/>
        <v>#DIV/0!</v>
      </c>
      <c r="BA716" s="68">
        <v>0</v>
      </c>
      <c r="BB716" s="66">
        <v>0</v>
      </c>
      <c r="BC716" s="35" t="e">
        <f t="shared" si="1558"/>
        <v>#DIV/0!</v>
      </c>
      <c r="BD716" s="11" t="e">
        <f t="shared" si="1559"/>
        <v>#DIV/0!</v>
      </c>
    </row>
    <row r="717" spans="1:56" ht="15.75" thickBot="1" x14ac:dyDescent="0.3">
      <c r="A717" s="19" t="s">
        <v>5</v>
      </c>
      <c r="B717" s="8">
        <v>168710</v>
      </c>
      <c r="C717" s="35">
        <f>B717/F709</f>
        <v>137.83496732026143</v>
      </c>
      <c r="D717" s="8">
        <v>7050</v>
      </c>
      <c r="E717" s="68">
        <v>82210</v>
      </c>
      <c r="F717" s="69">
        <v>1224</v>
      </c>
      <c r="G717" s="35">
        <f t="shared" si="1534"/>
        <v>67.165032679738559</v>
      </c>
      <c r="H717" s="11">
        <f t="shared" si="1535"/>
        <v>0.48728587517041078</v>
      </c>
      <c r="I717" s="35">
        <v>0</v>
      </c>
      <c r="J717" s="70">
        <v>0</v>
      </c>
      <c r="K717" s="35" t="e">
        <f t="shared" si="1536"/>
        <v>#DIV/0!</v>
      </c>
      <c r="L717" s="6" t="e">
        <f t="shared" si="1537"/>
        <v>#DIV/0!</v>
      </c>
      <c r="M717" s="68">
        <v>0</v>
      </c>
      <c r="N717" s="5">
        <v>0</v>
      </c>
      <c r="O717" s="35" t="e">
        <f t="shared" si="1538"/>
        <v>#DIV/0!</v>
      </c>
      <c r="P717" s="11" t="e">
        <f t="shared" si="1539"/>
        <v>#DIV/0!</v>
      </c>
      <c r="Q717" s="35">
        <v>0</v>
      </c>
      <c r="R717" s="66">
        <v>0</v>
      </c>
      <c r="S717" s="35" t="e">
        <f t="shared" si="1540"/>
        <v>#DIV/0!</v>
      </c>
      <c r="T717" s="6" t="e">
        <f t="shared" si="1541"/>
        <v>#DIV/0!</v>
      </c>
      <c r="U717" s="68">
        <v>0</v>
      </c>
      <c r="V717" s="66">
        <v>0</v>
      </c>
      <c r="W717" s="20" t="e">
        <f t="shared" si="1542"/>
        <v>#DIV/0!</v>
      </c>
      <c r="X717" s="6" t="e">
        <f t="shared" si="1543"/>
        <v>#DIV/0!</v>
      </c>
      <c r="Y717" s="68">
        <v>0</v>
      </c>
      <c r="Z717" s="70">
        <v>0</v>
      </c>
      <c r="AA717" s="35" t="e">
        <f t="shared" si="1544"/>
        <v>#DIV/0!</v>
      </c>
      <c r="AB717" s="11" t="e">
        <f t="shared" si="1545"/>
        <v>#DIV/0!</v>
      </c>
      <c r="AC717" s="20">
        <v>16800</v>
      </c>
      <c r="AD717" s="33">
        <v>480</v>
      </c>
      <c r="AE717" s="35">
        <f t="shared" si="1546"/>
        <v>35</v>
      </c>
      <c r="AF717" s="6">
        <f t="shared" si="1547"/>
        <v>0.25392685673641163</v>
      </c>
      <c r="AG717" s="68">
        <v>0</v>
      </c>
      <c r="AH717" s="66">
        <v>0</v>
      </c>
      <c r="AI717" s="35" t="e">
        <f t="shared" si="1548"/>
        <v>#DIV/0!</v>
      </c>
      <c r="AJ717" s="6" t="e">
        <f t="shared" si="1549"/>
        <v>#DIV/0!</v>
      </c>
      <c r="AK717" s="68">
        <v>4640</v>
      </c>
      <c r="AL717" s="65">
        <v>372</v>
      </c>
      <c r="AM717" s="35">
        <f t="shared" si="1550"/>
        <v>12.473118279569892</v>
      </c>
      <c r="AN717" s="6">
        <f t="shared" si="1551"/>
        <v>9.0493134812361736E-2</v>
      </c>
      <c r="AO717" s="68">
        <v>0</v>
      </c>
      <c r="AP717" s="66">
        <v>0</v>
      </c>
      <c r="AQ717" s="35" t="e">
        <f t="shared" si="1552"/>
        <v>#DIV/0!</v>
      </c>
      <c r="AR717" s="6" t="e">
        <f t="shared" si="1553"/>
        <v>#DIV/0!</v>
      </c>
      <c r="AS717" s="68">
        <v>0</v>
      </c>
      <c r="AT717" s="66">
        <v>0</v>
      </c>
      <c r="AU717" s="35" t="e">
        <f t="shared" si="1554"/>
        <v>#DIV/0!</v>
      </c>
      <c r="AV717" s="6" t="e">
        <f t="shared" si="1555"/>
        <v>#DIV/0!</v>
      </c>
      <c r="AW717" s="68">
        <v>0</v>
      </c>
      <c r="AX717" s="66">
        <v>0</v>
      </c>
      <c r="AY717" s="35" t="e">
        <f t="shared" si="1556"/>
        <v>#DIV/0!</v>
      </c>
      <c r="AZ717" s="6" t="e">
        <f t="shared" si="1557"/>
        <v>#DIV/0!</v>
      </c>
      <c r="BA717" s="68">
        <v>0</v>
      </c>
      <c r="BB717" s="66">
        <v>0</v>
      </c>
      <c r="BC717" s="35" t="e">
        <f t="shared" si="1558"/>
        <v>#DIV/0!</v>
      </c>
      <c r="BD717" s="11" t="e">
        <f t="shared" si="1559"/>
        <v>#DIV/0!</v>
      </c>
    </row>
    <row r="718" spans="1:56" x14ac:dyDescent="0.25">
      <c r="A718" s="19" t="s">
        <v>6</v>
      </c>
      <c r="B718" s="8">
        <v>200530</v>
      </c>
      <c r="C718" s="35">
        <f>B718/F709</f>
        <v>163.83169934640523</v>
      </c>
      <c r="D718" s="8">
        <v>10950</v>
      </c>
      <c r="E718" s="68">
        <v>103420</v>
      </c>
      <c r="F718" s="69">
        <v>1224</v>
      </c>
      <c r="G718" s="35">
        <f t="shared" si="1534"/>
        <v>84.493464052287578</v>
      </c>
      <c r="H718" s="11">
        <f t="shared" si="1535"/>
        <v>0.51573330673714657</v>
      </c>
      <c r="I718" s="35">
        <v>0</v>
      </c>
      <c r="J718" s="70">
        <v>0</v>
      </c>
      <c r="K718" s="35" t="e">
        <f t="shared" si="1536"/>
        <v>#DIV/0!</v>
      </c>
      <c r="L718" s="6" t="e">
        <f t="shared" si="1537"/>
        <v>#DIV/0!</v>
      </c>
      <c r="M718" s="68">
        <v>0</v>
      </c>
      <c r="N718" s="5">
        <v>0</v>
      </c>
      <c r="O718" s="35" t="e">
        <f t="shared" si="1538"/>
        <v>#DIV/0!</v>
      </c>
      <c r="P718" s="11" t="e">
        <f t="shared" si="1539"/>
        <v>#DIV/0!</v>
      </c>
      <c r="Q718" s="35">
        <v>0</v>
      </c>
      <c r="R718" s="66">
        <v>0</v>
      </c>
      <c r="S718" s="35" t="e">
        <f t="shared" si="1540"/>
        <v>#DIV/0!</v>
      </c>
      <c r="T718" s="6" t="e">
        <f t="shared" si="1541"/>
        <v>#DIV/0!</v>
      </c>
      <c r="U718" s="68">
        <v>0</v>
      </c>
      <c r="V718" s="66">
        <v>0</v>
      </c>
      <c r="W718" s="20" t="e">
        <f t="shared" si="1542"/>
        <v>#DIV/0!</v>
      </c>
      <c r="X718" s="6" t="e">
        <f t="shared" si="1543"/>
        <v>#DIV/0!</v>
      </c>
      <c r="Y718" s="68">
        <v>0</v>
      </c>
      <c r="Z718" s="70">
        <v>0</v>
      </c>
      <c r="AA718" s="35" t="e">
        <f t="shared" si="1544"/>
        <v>#DIV/0!</v>
      </c>
      <c r="AB718" s="11" t="e">
        <f t="shared" si="1545"/>
        <v>#DIV/0!</v>
      </c>
      <c r="AC718" s="20">
        <v>24010</v>
      </c>
      <c r="AD718" s="33">
        <v>480</v>
      </c>
      <c r="AE718" s="35">
        <f t="shared" si="1546"/>
        <v>50.020833333333336</v>
      </c>
      <c r="AF718" s="6">
        <f t="shared" si="1547"/>
        <v>0.3053184062235077</v>
      </c>
      <c r="AG718" s="68">
        <v>0</v>
      </c>
      <c r="AH718" s="66">
        <v>0</v>
      </c>
      <c r="AI718" s="35" t="e">
        <f t="shared" si="1548"/>
        <v>#DIV/0!</v>
      </c>
      <c r="AJ718" s="6" t="e">
        <f t="shared" si="1549"/>
        <v>#DIV/0!</v>
      </c>
      <c r="AK718" s="68">
        <v>5170</v>
      </c>
      <c r="AL718" s="65">
        <v>372</v>
      </c>
      <c r="AM718" s="35">
        <f t="shared" si="1550"/>
        <v>13.897849462365592</v>
      </c>
      <c r="AN718" s="6">
        <f t="shared" si="1551"/>
        <v>8.4830039106046404E-2</v>
      </c>
      <c r="AO718" s="68">
        <v>0</v>
      </c>
      <c r="AP718" s="66">
        <v>0</v>
      </c>
      <c r="AQ718" s="35" t="e">
        <f t="shared" si="1552"/>
        <v>#DIV/0!</v>
      </c>
      <c r="AR718" s="6" t="e">
        <f t="shared" si="1553"/>
        <v>#DIV/0!</v>
      </c>
      <c r="AS718" s="68">
        <v>0</v>
      </c>
      <c r="AT718" s="66">
        <v>0</v>
      </c>
      <c r="AU718" s="35" t="e">
        <f t="shared" si="1554"/>
        <v>#DIV/0!</v>
      </c>
      <c r="AV718" s="6" t="e">
        <f t="shared" si="1555"/>
        <v>#DIV/0!</v>
      </c>
      <c r="AW718" s="68">
        <v>0</v>
      </c>
      <c r="AX718" s="66">
        <v>0</v>
      </c>
      <c r="AY718" s="35" t="e">
        <f t="shared" si="1556"/>
        <v>#DIV/0!</v>
      </c>
      <c r="AZ718" s="6" t="e">
        <f t="shared" si="1557"/>
        <v>#DIV/0!</v>
      </c>
      <c r="BA718" s="68">
        <v>0</v>
      </c>
      <c r="BB718" s="66">
        <v>0</v>
      </c>
      <c r="BC718" s="35" t="e">
        <f t="shared" si="1558"/>
        <v>#DIV/0!</v>
      </c>
      <c r="BD718" s="11" t="e">
        <f t="shared" si="1559"/>
        <v>#DIV/0!</v>
      </c>
    </row>
    <row r="719" spans="1:56" ht="15.75" thickBot="1" x14ac:dyDescent="0.3">
      <c r="A719" s="21"/>
      <c r="B719" s="22"/>
      <c r="C719" s="23">
        <f>AVERAGE(Table1105363[MA $/Sq Ft])</f>
        <v>95.760971055088703</v>
      </c>
      <c r="D719" s="22">
        <f>AVERAGE(Table1105363[Basic Allowance])</f>
        <v>4442.8571428571431</v>
      </c>
      <c r="E719" s="16"/>
      <c r="F719" s="22"/>
      <c r="G719" s="15"/>
      <c r="H719" s="24">
        <f>AVERAGE(Table1105363[Bsmt % Base])</f>
        <v>0.51347898591860086</v>
      </c>
      <c r="I719" s="15"/>
      <c r="J719" s="15"/>
      <c r="K719" s="15"/>
      <c r="L719" s="25" t="e">
        <f>AVERAGE(Table1105363[[#Headers],[#Data],[UnfBsmt % Base]])</f>
        <v>#DIV/0!</v>
      </c>
      <c r="M719" s="44"/>
      <c r="N719" s="15"/>
      <c r="O719" s="23" t="e">
        <f>AVERAGE(Table1105363[LowerVal/SqFt])</f>
        <v>#DIV/0!</v>
      </c>
      <c r="P719" s="24" t="e">
        <f>AVERAGE(Table1105363[Lower % Base])</f>
        <v>#DIV/0!</v>
      </c>
      <c r="Q719" s="13"/>
      <c r="R719" s="13"/>
      <c r="S719" s="13"/>
      <c r="T719" s="25" t="e">
        <f>AVERAGE(Table1105363[Unf Lower % Base])</f>
        <v>#DIV/0!</v>
      </c>
      <c r="U719" s="12"/>
      <c r="V719" s="13"/>
      <c r="W719" s="13"/>
      <c r="X719" s="25" t="e">
        <f>AVERAGE(Table1105363[1/2 Story % Base])</f>
        <v>#DIV/0!</v>
      </c>
      <c r="Y719" s="12"/>
      <c r="Z719" s="13"/>
      <c r="AA719" s="13"/>
      <c r="AB719" s="24" t="e">
        <f>AVERAGE(Table1105363[2nd Story % Base])</f>
        <v>#DIV/0!</v>
      </c>
      <c r="AC719" s="13"/>
      <c r="AD719" s="13"/>
      <c r="AE719" s="23">
        <f>AVERAGE(Table1105363[AttGarVal/SqFt])</f>
        <v>29.175595238095237</v>
      </c>
      <c r="AF719" s="25">
        <f>AVERAGE(Table1105363[Att Gar % Base])</f>
        <v>0.31263958905839917</v>
      </c>
      <c r="AG719" s="12"/>
      <c r="AH719" s="13"/>
      <c r="AI719" s="13"/>
      <c r="AJ719" s="25" t="e">
        <f>AVERAGE(Table1105363[Porch % Base])</f>
        <v>#DIV/0!</v>
      </c>
      <c r="AK719" s="12"/>
      <c r="AL719" s="13"/>
      <c r="AM719" s="13"/>
      <c r="AN719" s="25">
        <f>AVERAGE(Table1105363[Cov Porch % Base])</f>
        <v>9.570432513707243E-2</v>
      </c>
      <c r="AO719" s="12"/>
      <c r="AP719" s="13"/>
      <c r="AQ719" s="13"/>
      <c r="AR719" s="25" t="e">
        <f>AVERAGE(Table1105363[Deck % Base])</f>
        <v>#DIV/0!</v>
      </c>
      <c r="AS719" s="12"/>
      <c r="AT719" s="13"/>
      <c r="AU719" s="23" t="e">
        <f>AVERAGE(Table1105363[CovDeckVal/SqFt])</f>
        <v>#DIV/0!</v>
      </c>
      <c r="AV719" s="25" t="e">
        <f>AVERAGE(Table1105363[CovDeck % Base])</f>
        <v>#DIV/0!</v>
      </c>
      <c r="AW719" s="12"/>
      <c r="AX719" s="13"/>
      <c r="AY719" s="13"/>
      <c r="AZ719" s="25" t="e">
        <f>AVERAGE(Table1105363[CarP % Base])</f>
        <v>#DIV/0!</v>
      </c>
      <c r="BA719" s="12"/>
      <c r="BB719" s="13"/>
      <c r="BC719" s="13"/>
      <c r="BD719" s="24" t="e">
        <f>AVERAGE(Table1105363[EFP % Base])</f>
        <v>#DIV/0!</v>
      </c>
    </row>
    <row r="721" spans="1:56" ht="15.75" thickBot="1" x14ac:dyDescent="0.3">
      <c r="A721" s="82"/>
      <c r="B721" t="s">
        <v>79</v>
      </c>
      <c r="C721" s="78" t="s">
        <v>159</v>
      </c>
      <c r="E721" t="s">
        <v>33</v>
      </c>
      <c r="F721" s="79">
        <v>1249</v>
      </c>
      <c r="H721" t="s">
        <v>80</v>
      </c>
      <c r="I721" t="s">
        <v>95</v>
      </c>
    </row>
    <row r="722" spans="1:56" x14ac:dyDescent="0.25">
      <c r="A722" s="112"/>
      <c r="B722" s="113"/>
      <c r="C722" s="113"/>
      <c r="D722" s="114"/>
      <c r="E722" s="115" t="s">
        <v>27</v>
      </c>
      <c r="F722" s="116"/>
      <c r="G722" s="116"/>
      <c r="H722" s="117"/>
      <c r="I722" s="118" t="s">
        <v>28</v>
      </c>
      <c r="J722" s="119"/>
      <c r="K722" s="119"/>
      <c r="L722" s="120"/>
      <c r="M722" s="121" t="s">
        <v>7</v>
      </c>
      <c r="N722" s="122"/>
      <c r="O722" s="122"/>
      <c r="P722" s="123"/>
      <c r="Q722" s="124" t="s">
        <v>29</v>
      </c>
      <c r="R722" s="125"/>
      <c r="S722" s="125"/>
      <c r="T722" s="126"/>
      <c r="U722" s="127" t="s">
        <v>8</v>
      </c>
      <c r="V722" s="128"/>
      <c r="W722" s="128"/>
      <c r="X722" s="129"/>
      <c r="Y722" s="130" t="s">
        <v>0</v>
      </c>
      <c r="Z722" s="131"/>
      <c r="AA722" s="131"/>
      <c r="AB722" s="132"/>
      <c r="AC722" s="133" t="s">
        <v>34</v>
      </c>
      <c r="AD722" s="134"/>
      <c r="AE722" s="134"/>
      <c r="AF722" s="135"/>
      <c r="AG722" s="115" t="s">
        <v>9</v>
      </c>
      <c r="AH722" s="116"/>
      <c r="AI722" s="116"/>
      <c r="AJ722" s="117"/>
      <c r="AK722" s="136" t="s">
        <v>35</v>
      </c>
      <c r="AL722" s="137"/>
      <c r="AM722" s="137"/>
      <c r="AN722" s="138"/>
      <c r="AO722" s="139" t="s">
        <v>10</v>
      </c>
      <c r="AP722" s="140"/>
      <c r="AQ722" s="140"/>
      <c r="AR722" s="141"/>
      <c r="AS722" s="124" t="s">
        <v>36</v>
      </c>
      <c r="AT722" s="125"/>
      <c r="AU722" s="125"/>
      <c r="AV722" s="126"/>
      <c r="AW722" s="142" t="s">
        <v>11</v>
      </c>
      <c r="AX722" s="143"/>
      <c r="AY722" s="143"/>
      <c r="AZ722" s="144"/>
      <c r="BA722" s="148" t="s">
        <v>17</v>
      </c>
      <c r="BB722" s="149"/>
      <c r="BC722" s="149"/>
      <c r="BD722" s="150"/>
    </row>
    <row r="723" spans="1:56" s="1" customFormat="1" ht="15.75" thickBot="1" x14ac:dyDescent="0.3">
      <c r="A723" s="41" t="s">
        <v>13</v>
      </c>
      <c r="B723" s="42" t="s">
        <v>15</v>
      </c>
      <c r="C723" s="42" t="s">
        <v>32</v>
      </c>
      <c r="D723" s="43" t="s">
        <v>18</v>
      </c>
      <c r="E723" s="30" t="s">
        <v>30</v>
      </c>
      <c r="F723" s="31" t="s">
        <v>61</v>
      </c>
      <c r="G723" s="31" t="s">
        <v>38</v>
      </c>
      <c r="H723" s="32" t="s">
        <v>62</v>
      </c>
      <c r="I723" s="37" t="s">
        <v>31</v>
      </c>
      <c r="J723" s="38" t="s">
        <v>39</v>
      </c>
      <c r="K723" s="38" t="s">
        <v>40</v>
      </c>
      <c r="L723" s="39" t="s">
        <v>63</v>
      </c>
      <c r="M723" s="40" t="s">
        <v>19</v>
      </c>
      <c r="N723" s="7" t="s">
        <v>41</v>
      </c>
      <c r="O723" s="7" t="s">
        <v>37</v>
      </c>
      <c r="P723" s="7" t="s">
        <v>64</v>
      </c>
      <c r="Q723" s="27" t="s">
        <v>20</v>
      </c>
      <c r="R723" s="28" t="s">
        <v>60</v>
      </c>
      <c r="S723" s="28" t="s">
        <v>59</v>
      </c>
      <c r="T723" s="29" t="s">
        <v>65</v>
      </c>
      <c r="U723" s="48" t="s">
        <v>21</v>
      </c>
      <c r="V723" s="48" t="s">
        <v>42</v>
      </c>
      <c r="W723" s="48" t="s">
        <v>43</v>
      </c>
      <c r="X723" s="49" t="s">
        <v>66</v>
      </c>
      <c r="Y723" s="50" t="s">
        <v>22</v>
      </c>
      <c r="Z723" s="51" t="s">
        <v>44</v>
      </c>
      <c r="AA723" s="51" t="s">
        <v>45</v>
      </c>
      <c r="AB723" s="52" t="s">
        <v>67</v>
      </c>
      <c r="AC723" s="45" t="s">
        <v>23</v>
      </c>
      <c r="AD723" s="46" t="s">
        <v>46</v>
      </c>
      <c r="AE723" s="46" t="s">
        <v>47</v>
      </c>
      <c r="AF723" s="47" t="s">
        <v>68</v>
      </c>
      <c r="AG723" s="30" t="s">
        <v>24</v>
      </c>
      <c r="AH723" s="31" t="s">
        <v>48</v>
      </c>
      <c r="AI723" s="31" t="s">
        <v>49</v>
      </c>
      <c r="AJ723" s="32" t="s">
        <v>69</v>
      </c>
      <c r="AK723" s="53" t="s">
        <v>25</v>
      </c>
      <c r="AL723" s="54" t="s">
        <v>50</v>
      </c>
      <c r="AM723" s="54" t="s">
        <v>51</v>
      </c>
      <c r="AN723" s="55" t="s">
        <v>70</v>
      </c>
      <c r="AO723" s="56" t="s">
        <v>26</v>
      </c>
      <c r="AP723" s="57" t="s">
        <v>52</v>
      </c>
      <c r="AQ723" s="57" t="s">
        <v>53</v>
      </c>
      <c r="AR723" s="58" t="s">
        <v>71</v>
      </c>
      <c r="AS723" s="59" t="s">
        <v>55</v>
      </c>
      <c r="AT723" s="60" t="s">
        <v>54</v>
      </c>
      <c r="AU723" s="60" t="s">
        <v>56</v>
      </c>
      <c r="AV723" s="61" t="s">
        <v>76</v>
      </c>
      <c r="AW723" s="62" t="s">
        <v>72</v>
      </c>
      <c r="AX723" s="63" t="s">
        <v>73</v>
      </c>
      <c r="AY723" s="63" t="s">
        <v>74</v>
      </c>
      <c r="AZ723" s="64" t="s">
        <v>75</v>
      </c>
      <c r="BA723" s="71" t="s">
        <v>77</v>
      </c>
      <c r="BB723" s="72" t="s">
        <v>57</v>
      </c>
      <c r="BC723" s="72" t="s">
        <v>58</v>
      </c>
      <c r="BD723" s="73" t="s">
        <v>78</v>
      </c>
    </row>
    <row r="724" spans="1:56" ht="15.75" thickBot="1" x14ac:dyDescent="0.3">
      <c r="A724" s="17" t="s">
        <v>1</v>
      </c>
      <c r="B724" s="14">
        <v>63010</v>
      </c>
      <c r="C724" s="34">
        <f>B724/F721</f>
        <v>50.448358686949561</v>
      </c>
      <c r="D724" s="14">
        <v>1525</v>
      </c>
      <c r="E724" s="67">
        <v>21240</v>
      </c>
      <c r="F724" s="69">
        <v>834</v>
      </c>
      <c r="G724" s="34">
        <f t="shared" ref="G724:G730" si="1560">E724/F724</f>
        <v>25.467625899280577</v>
      </c>
      <c r="H724" s="10">
        <f t="shared" ref="H724:H730" si="1561">G724/C724</f>
        <v>0.50482565859707096</v>
      </c>
      <c r="I724" s="34">
        <v>0</v>
      </c>
      <c r="J724" s="69">
        <v>0</v>
      </c>
      <c r="K724" s="34" t="e">
        <f t="shared" ref="K724:K730" si="1562">I724/J724</f>
        <v>#DIV/0!</v>
      </c>
      <c r="L724" s="9" t="e">
        <f t="shared" ref="L724:L730" si="1563">K724/C724</f>
        <v>#DIV/0!</v>
      </c>
      <c r="M724" s="67">
        <v>0</v>
      </c>
      <c r="N724" s="26">
        <v>0</v>
      </c>
      <c r="O724" s="34" t="e">
        <f t="shared" ref="O724:O730" si="1564">M724/N724</f>
        <v>#DIV/0!</v>
      </c>
      <c r="P724" s="10" t="e">
        <f t="shared" ref="P724:P730" si="1565">O724/C724</f>
        <v>#DIV/0!</v>
      </c>
      <c r="Q724" s="35">
        <v>0</v>
      </c>
      <c r="R724" s="66">
        <v>0</v>
      </c>
      <c r="S724" s="35" t="e">
        <f t="shared" ref="S724:S730" si="1566">Q724/R724</f>
        <v>#DIV/0!</v>
      </c>
      <c r="T724" s="6" t="e">
        <f t="shared" ref="T724:T730" si="1567">S724/C724</f>
        <v>#DIV/0!</v>
      </c>
      <c r="U724" s="67">
        <v>0</v>
      </c>
      <c r="V724" s="65">
        <v>0</v>
      </c>
      <c r="W724" s="18" t="e">
        <f t="shared" ref="W724:W730" si="1568">U724/V724</f>
        <v>#DIV/0!</v>
      </c>
      <c r="X724" s="9" t="e">
        <f t="shared" ref="X724:X730" si="1569">W724/C724</f>
        <v>#DIV/0!</v>
      </c>
      <c r="Y724" s="67">
        <v>0</v>
      </c>
      <c r="Z724" s="69">
        <v>0</v>
      </c>
      <c r="AA724" s="34" t="e">
        <f t="shared" ref="AA724:AA730" si="1570">Y724/Z724</f>
        <v>#DIV/0!</v>
      </c>
      <c r="AB724" s="10" t="e">
        <f t="shared" ref="AB724:AB730" si="1571">AA724/C724</f>
        <v>#DIV/0!</v>
      </c>
      <c r="AC724" s="18">
        <v>0</v>
      </c>
      <c r="AD724" s="33">
        <v>0</v>
      </c>
      <c r="AE724" s="34" t="e">
        <f t="shared" ref="AE724:AE730" si="1572">AC724/AD724</f>
        <v>#DIV/0!</v>
      </c>
      <c r="AF724" s="9" t="e">
        <f t="shared" ref="AF724:AF730" si="1573">AE724/C724</f>
        <v>#DIV/0!</v>
      </c>
      <c r="AG724" s="67">
        <v>0</v>
      </c>
      <c r="AH724" s="65">
        <v>0</v>
      </c>
      <c r="AI724" s="34" t="e">
        <f t="shared" ref="AI724:AI730" si="1574">AG724/AH724</f>
        <v>#DIV/0!</v>
      </c>
      <c r="AJ724" s="9" t="e">
        <f t="shared" ref="AJ724:AJ730" si="1575">AI724/C724</f>
        <v>#DIV/0!</v>
      </c>
      <c r="AK724" s="67">
        <v>1510</v>
      </c>
      <c r="AL724" s="65">
        <v>90</v>
      </c>
      <c r="AM724" s="34">
        <f t="shared" ref="AM724:AM730" si="1576">AK724/AL724</f>
        <v>16.777777777777779</v>
      </c>
      <c r="AN724" s="9">
        <f t="shared" ref="AN724:AN730" si="1577">AM724/C724</f>
        <v>0.33257331287802644</v>
      </c>
      <c r="AO724" s="67">
        <v>0</v>
      </c>
      <c r="AP724" s="65">
        <v>0</v>
      </c>
      <c r="AQ724" s="34" t="e">
        <f t="shared" ref="AQ724:AQ730" si="1578">AO724/AP724</f>
        <v>#DIV/0!</v>
      </c>
      <c r="AR724" s="9" t="e">
        <f t="shared" ref="AR724:AR730" si="1579">AQ724/C724</f>
        <v>#DIV/0!</v>
      </c>
      <c r="AS724" s="67">
        <v>0</v>
      </c>
      <c r="AT724" s="65">
        <v>0</v>
      </c>
      <c r="AU724" s="34" t="e">
        <f t="shared" ref="AU724:AU730" si="1580">AS724/AT724</f>
        <v>#DIV/0!</v>
      </c>
      <c r="AV724" s="9" t="e">
        <f t="shared" ref="AV724:AV730" si="1581">AU724/C724</f>
        <v>#DIV/0!</v>
      </c>
      <c r="AW724" s="67">
        <v>3350</v>
      </c>
      <c r="AX724" s="65">
        <v>397</v>
      </c>
      <c r="AY724" s="34">
        <f t="shared" ref="AY724:AY730" si="1582">AW724/AX724</f>
        <v>8.4382871536523929</v>
      </c>
      <c r="AZ724" s="9">
        <f t="shared" ref="AZ724:AZ730" si="1583">AY724/C724</f>
        <v>0.16726584121428087</v>
      </c>
      <c r="BA724" s="67">
        <v>0</v>
      </c>
      <c r="BB724" s="65">
        <v>0</v>
      </c>
      <c r="BC724" s="34" t="e">
        <f t="shared" ref="BC724:BC730" si="1584">BA724/BB724</f>
        <v>#DIV/0!</v>
      </c>
      <c r="BD724" s="10" t="e">
        <f t="shared" ref="BD724:BD730" si="1585">BC724/C724</f>
        <v>#DIV/0!</v>
      </c>
    </row>
    <row r="725" spans="1:56" ht="15.75" thickBot="1" x14ac:dyDescent="0.3">
      <c r="A725" s="19" t="s">
        <v>16</v>
      </c>
      <c r="B725" s="8">
        <v>74130</v>
      </c>
      <c r="C725" s="35">
        <f>B725/F721</f>
        <v>59.351481184947957</v>
      </c>
      <c r="D725" s="8">
        <v>1525</v>
      </c>
      <c r="E725" s="68">
        <v>28200</v>
      </c>
      <c r="F725" s="69">
        <v>834</v>
      </c>
      <c r="G725" s="35">
        <f t="shared" si="1560"/>
        <v>33.812949640287769</v>
      </c>
      <c r="H725" s="11">
        <f t="shared" si="1561"/>
        <v>0.5697069216338787</v>
      </c>
      <c r="I725" s="35">
        <v>0</v>
      </c>
      <c r="J725" s="70">
        <v>0</v>
      </c>
      <c r="K725" s="35" t="e">
        <f t="shared" si="1562"/>
        <v>#DIV/0!</v>
      </c>
      <c r="L725" s="6" t="e">
        <f t="shared" si="1563"/>
        <v>#DIV/0!</v>
      </c>
      <c r="M725" s="68">
        <v>0</v>
      </c>
      <c r="N725" s="5">
        <v>0</v>
      </c>
      <c r="O725" s="35" t="e">
        <f t="shared" si="1564"/>
        <v>#DIV/0!</v>
      </c>
      <c r="P725" s="11" t="e">
        <f t="shared" si="1565"/>
        <v>#DIV/0!</v>
      </c>
      <c r="Q725" s="35">
        <v>0</v>
      </c>
      <c r="R725" s="66">
        <v>0</v>
      </c>
      <c r="S725" s="35" t="e">
        <f t="shared" si="1566"/>
        <v>#DIV/0!</v>
      </c>
      <c r="T725" s="6" t="e">
        <f t="shared" si="1567"/>
        <v>#DIV/0!</v>
      </c>
      <c r="U725" s="68">
        <v>0</v>
      </c>
      <c r="V725" s="66">
        <v>0</v>
      </c>
      <c r="W725" s="20" t="e">
        <f t="shared" si="1568"/>
        <v>#DIV/0!</v>
      </c>
      <c r="X725" s="6" t="e">
        <f t="shared" si="1569"/>
        <v>#DIV/0!</v>
      </c>
      <c r="Y725" s="68">
        <v>0</v>
      </c>
      <c r="Z725" s="70">
        <v>0</v>
      </c>
      <c r="AA725" s="35" t="e">
        <f t="shared" si="1570"/>
        <v>#DIV/0!</v>
      </c>
      <c r="AB725" s="11" t="e">
        <f t="shared" si="1571"/>
        <v>#DIV/0!</v>
      </c>
      <c r="AC725" s="20">
        <v>0</v>
      </c>
      <c r="AD725" s="36">
        <v>0</v>
      </c>
      <c r="AE725" s="35" t="e">
        <f t="shared" si="1572"/>
        <v>#DIV/0!</v>
      </c>
      <c r="AF725" s="6" t="e">
        <f t="shared" si="1573"/>
        <v>#DIV/0!</v>
      </c>
      <c r="AG725" s="68">
        <v>0</v>
      </c>
      <c r="AH725" s="66">
        <v>0</v>
      </c>
      <c r="AI725" s="35" t="e">
        <f t="shared" si="1574"/>
        <v>#DIV/0!</v>
      </c>
      <c r="AJ725" s="6" t="e">
        <f t="shared" si="1575"/>
        <v>#DIV/0!</v>
      </c>
      <c r="AK725" s="68">
        <v>2150</v>
      </c>
      <c r="AL725" s="65">
        <v>90</v>
      </c>
      <c r="AM725" s="35">
        <f t="shared" si="1576"/>
        <v>23.888888888888889</v>
      </c>
      <c r="AN725" s="6">
        <f t="shared" si="1577"/>
        <v>0.40249861354677219</v>
      </c>
      <c r="AO725" s="68">
        <v>0</v>
      </c>
      <c r="AP725" s="66">
        <v>0</v>
      </c>
      <c r="AQ725" s="35" t="e">
        <f t="shared" si="1578"/>
        <v>#DIV/0!</v>
      </c>
      <c r="AR725" s="6" t="e">
        <f t="shared" si="1579"/>
        <v>#DIV/0!</v>
      </c>
      <c r="AS725" s="68">
        <v>0</v>
      </c>
      <c r="AT725" s="66">
        <v>0</v>
      </c>
      <c r="AU725" s="35" t="e">
        <f t="shared" si="1580"/>
        <v>#DIV/0!</v>
      </c>
      <c r="AV725" s="6" t="e">
        <f t="shared" si="1581"/>
        <v>#DIV/0!</v>
      </c>
      <c r="AW725" s="68">
        <v>3860</v>
      </c>
      <c r="AX725" s="65">
        <v>397</v>
      </c>
      <c r="AY725" s="35">
        <f t="shared" si="1582"/>
        <v>9.7229219143576824</v>
      </c>
      <c r="AZ725" s="6">
        <f t="shared" si="1583"/>
        <v>0.16381936423894167</v>
      </c>
      <c r="BA725" s="68">
        <v>0</v>
      </c>
      <c r="BB725" s="66">
        <v>0</v>
      </c>
      <c r="BC725" s="35" t="e">
        <f t="shared" si="1584"/>
        <v>#DIV/0!</v>
      </c>
      <c r="BD725" s="11" t="e">
        <f t="shared" si="1585"/>
        <v>#DIV/0!</v>
      </c>
    </row>
    <row r="726" spans="1:56" ht="15.75" thickBot="1" x14ac:dyDescent="0.3">
      <c r="A726" s="19" t="s">
        <v>2</v>
      </c>
      <c r="B726" s="8">
        <v>86680</v>
      </c>
      <c r="C726" s="35">
        <f>B726/F721</f>
        <v>69.399519615692554</v>
      </c>
      <c r="D726" s="8">
        <v>2100</v>
      </c>
      <c r="E726" s="68">
        <v>32100</v>
      </c>
      <c r="F726" s="69">
        <v>834</v>
      </c>
      <c r="G726" s="35">
        <f t="shared" si="1560"/>
        <v>38.489208633093526</v>
      </c>
      <c r="H726" s="11">
        <f t="shared" si="1561"/>
        <v>0.55460338697200984</v>
      </c>
      <c r="I726" s="35">
        <v>0</v>
      </c>
      <c r="J726" s="70">
        <v>0</v>
      </c>
      <c r="K726" s="35" t="e">
        <f t="shared" si="1562"/>
        <v>#DIV/0!</v>
      </c>
      <c r="L726" s="6" t="e">
        <f t="shared" si="1563"/>
        <v>#DIV/0!</v>
      </c>
      <c r="M726" s="68">
        <v>0</v>
      </c>
      <c r="N726" s="5">
        <v>0</v>
      </c>
      <c r="O726" s="35" t="e">
        <f t="shared" si="1564"/>
        <v>#DIV/0!</v>
      </c>
      <c r="P726" s="11" t="e">
        <f t="shared" si="1565"/>
        <v>#DIV/0!</v>
      </c>
      <c r="Q726" s="35">
        <v>0</v>
      </c>
      <c r="R726" s="66">
        <v>0</v>
      </c>
      <c r="S726" s="35" t="e">
        <f t="shared" si="1566"/>
        <v>#DIV/0!</v>
      </c>
      <c r="T726" s="6" t="e">
        <f t="shared" si="1567"/>
        <v>#DIV/0!</v>
      </c>
      <c r="U726" s="68">
        <v>0</v>
      </c>
      <c r="V726" s="66">
        <v>0</v>
      </c>
      <c r="W726" s="20" t="e">
        <f t="shared" si="1568"/>
        <v>#DIV/0!</v>
      </c>
      <c r="X726" s="6" t="e">
        <f t="shared" si="1569"/>
        <v>#DIV/0!</v>
      </c>
      <c r="Y726" s="68">
        <v>0</v>
      </c>
      <c r="Z726" s="70">
        <v>0</v>
      </c>
      <c r="AA726" s="35" t="e">
        <f t="shared" si="1570"/>
        <v>#DIV/0!</v>
      </c>
      <c r="AB726" s="11" t="e">
        <f t="shared" si="1571"/>
        <v>#DIV/0!</v>
      </c>
      <c r="AC726" s="20">
        <v>0</v>
      </c>
      <c r="AD726" s="36">
        <v>0</v>
      </c>
      <c r="AE726" s="35" t="e">
        <f t="shared" si="1572"/>
        <v>#DIV/0!</v>
      </c>
      <c r="AF726" s="6" t="e">
        <f t="shared" si="1573"/>
        <v>#DIV/0!</v>
      </c>
      <c r="AG726" s="68">
        <v>0</v>
      </c>
      <c r="AH726" s="66">
        <v>0</v>
      </c>
      <c r="AI726" s="35" t="e">
        <f t="shared" si="1574"/>
        <v>#DIV/0!</v>
      </c>
      <c r="AJ726" s="6" t="e">
        <f t="shared" si="1575"/>
        <v>#DIV/0!</v>
      </c>
      <c r="AK726" s="68">
        <v>2370</v>
      </c>
      <c r="AL726" s="65">
        <v>90</v>
      </c>
      <c r="AM726" s="35">
        <f t="shared" si="1576"/>
        <v>26.333333333333332</v>
      </c>
      <c r="AN726" s="6">
        <f t="shared" si="1577"/>
        <v>0.37944546992770339</v>
      </c>
      <c r="AO726" s="68">
        <v>0</v>
      </c>
      <c r="AP726" s="66">
        <v>0</v>
      </c>
      <c r="AQ726" s="35" t="e">
        <f t="shared" si="1578"/>
        <v>#DIV/0!</v>
      </c>
      <c r="AR726" s="6" t="e">
        <f t="shared" si="1579"/>
        <v>#DIV/0!</v>
      </c>
      <c r="AS726" s="68">
        <v>0</v>
      </c>
      <c r="AT726" s="66">
        <v>0</v>
      </c>
      <c r="AU726" s="35" t="e">
        <f t="shared" si="1580"/>
        <v>#DIV/0!</v>
      </c>
      <c r="AV726" s="6" t="e">
        <f t="shared" si="1581"/>
        <v>#DIV/0!</v>
      </c>
      <c r="AW726" s="68">
        <v>4370</v>
      </c>
      <c r="AX726" s="65">
        <v>397</v>
      </c>
      <c r="AY726" s="35">
        <f t="shared" si="1582"/>
        <v>11.007556675062972</v>
      </c>
      <c r="AZ726" s="6">
        <f t="shared" si="1583"/>
        <v>0.15861142463259867</v>
      </c>
      <c r="BA726" s="68">
        <v>0</v>
      </c>
      <c r="BB726" s="66">
        <v>0</v>
      </c>
      <c r="BC726" s="35" t="e">
        <f t="shared" si="1584"/>
        <v>#DIV/0!</v>
      </c>
      <c r="BD726" s="11" t="e">
        <f t="shared" si="1585"/>
        <v>#DIV/0!</v>
      </c>
    </row>
    <row r="727" spans="1:56" ht="15.75" thickBot="1" x14ac:dyDescent="0.3">
      <c r="A727" s="19" t="s">
        <v>3</v>
      </c>
      <c r="B727" s="8">
        <v>104700</v>
      </c>
      <c r="C727" s="35">
        <f>B727/F721</f>
        <v>83.827061649319461</v>
      </c>
      <c r="D727" s="8">
        <v>2700</v>
      </c>
      <c r="E727" s="68">
        <v>36640</v>
      </c>
      <c r="F727" s="69">
        <v>834</v>
      </c>
      <c r="G727" s="35">
        <f t="shared" si="1560"/>
        <v>43.932853717026376</v>
      </c>
      <c r="H727" s="11">
        <f t="shared" si="1561"/>
        <v>0.52408915274657053</v>
      </c>
      <c r="I727" s="35">
        <v>0</v>
      </c>
      <c r="J727" s="70">
        <v>0</v>
      </c>
      <c r="K727" s="35" t="e">
        <f t="shared" si="1562"/>
        <v>#DIV/0!</v>
      </c>
      <c r="L727" s="6" t="e">
        <f t="shared" si="1563"/>
        <v>#DIV/0!</v>
      </c>
      <c r="M727" s="68">
        <v>0</v>
      </c>
      <c r="N727" s="5">
        <v>0</v>
      </c>
      <c r="O727" s="35" t="e">
        <f t="shared" si="1564"/>
        <v>#DIV/0!</v>
      </c>
      <c r="P727" s="11" t="e">
        <f t="shared" si="1565"/>
        <v>#DIV/0!</v>
      </c>
      <c r="Q727" s="35">
        <v>0</v>
      </c>
      <c r="R727" s="66">
        <v>0</v>
      </c>
      <c r="S727" s="35" t="e">
        <f t="shared" si="1566"/>
        <v>#DIV/0!</v>
      </c>
      <c r="T727" s="6" t="e">
        <f t="shared" si="1567"/>
        <v>#DIV/0!</v>
      </c>
      <c r="U727" s="68">
        <v>0</v>
      </c>
      <c r="V727" s="66">
        <v>0</v>
      </c>
      <c r="W727" s="20" t="e">
        <f t="shared" si="1568"/>
        <v>#DIV/0!</v>
      </c>
      <c r="X727" s="6" t="e">
        <f t="shared" si="1569"/>
        <v>#DIV/0!</v>
      </c>
      <c r="Y727" s="68">
        <v>0</v>
      </c>
      <c r="Z727" s="70">
        <v>0</v>
      </c>
      <c r="AA727" s="35" t="e">
        <f t="shared" si="1570"/>
        <v>#DIV/0!</v>
      </c>
      <c r="AB727" s="11" t="e">
        <f t="shared" si="1571"/>
        <v>#DIV/0!</v>
      </c>
      <c r="AC727" s="20">
        <v>0</v>
      </c>
      <c r="AD727" s="36">
        <v>0</v>
      </c>
      <c r="AE727" s="35" t="e">
        <f t="shared" si="1572"/>
        <v>#DIV/0!</v>
      </c>
      <c r="AF727" s="6" t="e">
        <f t="shared" si="1573"/>
        <v>#DIV/0!</v>
      </c>
      <c r="AG727" s="68">
        <v>0</v>
      </c>
      <c r="AH727" s="66">
        <v>0</v>
      </c>
      <c r="AI727" s="35" t="e">
        <f t="shared" si="1574"/>
        <v>#DIV/0!</v>
      </c>
      <c r="AJ727" s="6" t="e">
        <f t="shared" si="1575"/>
        <v>#DIV/0!</v>
      </c>
      <c r="AK727" s="68">
        <v>2780</v>
      </c>
      <c r="AL727" s="65">
        <v>90</v>
      </c>
      <c r="AM727" s="35">
        <f t="shared" si="1576"/>
        <v>30.888888888888889</v>
      </c>
      <c r="AN727" s="6">
        <f t="shared" si="1577"/>
        <v>0.36848349782447204</v>
      </c>
      <c r="AO727" s="68">
        <v>0</v>
      </c>
      <c r="AP727" s="66">
        <v>0</v>
      </c>
      <c r="AQ727" s="35" t="e">
        <f t="shared" si="1578"/>
        <v>#DIV/0!</v>
      </c>
      <c r="AR727" s="6" t="e">
        <f t="shared" si="1579"/>
        <v>#DIV/0!</v>
      </c>
      <c r="AS727" s="68">
        <v>0</v>
      </c>
      <c r="AT727" s="66">
        <v>0</v>
      </c>
      <c r="AU727" s="35" t="e">
        <f t="shared" si="1580"/>
        <v>#DIV/0!</v>
      </c>
      <c r="AV727" s="6" t="e">
        <f t="shared" si="1581"/>
        <v>#DIV/0!</v>
      </c>
      <c r="AW727" s="68">
        <v>6150</v>
      </c>
      <c r="AX727" s="65">
        <v>397</v>
      </c>
      <c r="AY727" s="35">
        <f t="shared" si="1582"/>
        <v>15.491183879093199</v>
      </c>
      <c r="AZ727" s="6">
        <f t="shared" si="1583"/>
        <v>0.18479931867227703</v>
      </c>
      <c r="BA727" s="68">
        <v>0</v>
      </c>
      <c r="BB727" s="66">
        <v>0</v>
      </c>
      <c r="BC727" s="35" t="e">
        <f t="shared" si="1584"/>
        <v>#DIV/0!</v>
      </c>
      <c r="BD727" s="11" t="e">
        <f t="shared" si="1585"/>
        <v>#DIV/0!</v>
      </c>
    </row>
    <row r="728" spans="1:56" ht="15.75" thickBot="1" x14ac:dyDescent="0.3">
      <c r="A728" s="19" t="s">
        <v>4</v>
      </c>
      <c r="B728" s="8">
        <v>130540</v>
      </c>
      <c r="C728" s="35">
        <f>B728/F721</f>
        <v>104.51561248999199</v>
      </c>
      <c r="D728" s="8">
        <v>5250</v>
      </c>
      <c r="E728" s="68">
        <v>52460</v>
      </c>
      <c r="F728" s="69">
        <v>834</v>
      </c>
      <c r="G728" s="35">
        <f t="shared" si="1560"/>
        <v>62.901678657074342</v>
      </c>
      <c r="H728" s="11">
        <f t="shared" si="1561"/>
        <v>0.6018400233084561</v>
      </c>
      <c r="I728" s="35">
        <v>0</v>
      </c>
      <c r="J728" s="70">
        <v>0</v>
      </c>
      <c r="K728" s="35" t="e">
        <f t="shared" si="1562"/>
        <v>#DIV/0!</v>
      </c>
      <c r="L728" s="6" t="e">
        <f t="shared" si="1563"/>
        <v>#DIV/0!</v>
      </c>
      <c r="M728" s="68">
        <v>0</v>
      </c>
      <c r="N728" s="5">
        <v>0</v>
      </c>
      <c r="O728" s="35" t="e">
        <f t="shared" si="1564"/>
        <v>#DIV/0!</v>
      </c>
      <c r="P728" s="11" t="e">
        <f t="shared" si="1565"/>
        <v>#DIV/0!</v>
      </c>
      <c r="Q728" s="35">
        <v>0</v>
      </c>
      <c r="R728" s="66">
        <v>0</v>
      </c>
      <c r="S728" s="35" t="e">
        <f t="shared" si="1566"/>
        <v>#DIV/0!</v>
      </c>
      <c r="T728" s="6" t="e">
        <f t="shared" si="1567"/>
        <v>#DIV/0!</v>
      </c>
      <c r="U728" s="68">
        <v>0</v>
      </c>
      <c r="V728" s="66">
        <v>0</v>
      </c>
      <c r="W728" s="20" t="e">
        <f t="shared" si="1568"/>
        <v>#DIV/0!</v>
      </c>
      <c r="X728" s="6" t="e">
        <f t="shared" si="1569"/>
        <v>#DIV/0!</v>
      </c>
      <c r="Y728" s="68">
        <v>0</v>
      </c>
      <c r="Z728" s="70">
        <v>0</v>
      </c>
      <c r="AA728" s="35" t="e">
        <f t="shared" si="1570"/>
        <v>#DIV/0!</v>
      </c>
      <c r="AB728" s="11" t="e">
        <f t="shared" si="1571"/>
        <v>#DIV/0!</v>
      </c>
      <c r="AC728" s="20">
        <v>0</v>
      </c>
      <c r="AD728" s="36">
        <v>0</v>
      </c>
      <c r="AE728" s="35" t="e">
        <f t="shared" si="1572"/>
        <v>#DIV/0!</v>
      </c>
      <c r="AF728" s="6" t="e">
        <f t="shared" si="1573"/>
        <v>#DIV/0!</v>
      </c>
      <c r="AG728" s="68">
        <v>0</v>
      </c>
      <c r="AH728" s="66">
        <v>0</v>
      </c>
      <c r="AI728" s="35" t="e">
        <f t="shared" si="1574"/>
        <v>#DIV/0!</v>
      </c>
      <c r="AJ728" s="6" t="e">
        <f t="shared" si="1575"/>
        <v>#DIV/0!</v>
      </c>
      <c r="AK728" s="68">
        <v>3290</v>
      </c>
      <c r="AL728" s="65">
        <v>90</v>
      </c>
      <c r="AM728" s="35">
        <f t="shared" si="1576"/>
        <v>36.555555555555557</v>
      </c>
      <c r="AN728" s="6">
        <f t="shared" si="1577"/>
        <v>0.34976167373133821</v>
      </c>
      <c r="AO728" s="68">
        <v>0</v>
      </c>
      <c r="AP728" s="66">
        <v>0</v>
      </c>
      <c r="AQ728" s="35" t="e">
        <f t="shared" si="1578"/>
        <v>#DIV/0!</v>
      </c>
      <c r="AR728" s="6" t="e">
        <f t="shared" si="1579"/>
        <v>#DIV/0!</v>
      </c>
      <c r="AS728" s="68">
        <v>0</v>
      </c>
      <c r="AT728" s="66">
        <v>0</v>
      </c>
      <c r="AU728" s="35" t="e">
        <f t="shared" si="1580"/>
        <v>#DIV/0!</v>
      </c>
      <c r="AV728" s="6" t="e">
        <f t="shared" si="1581"/>
        <v>#DIV/0!</v>
      </c>
      <c r="AW728" s="68">
        <v>6980</v>
      </c>
      <c r="AX728" s="65">
        <v>397</v>
      </c>
      <c r="AY728" s="35">
        <f t="shared" si="1582"/>
        <v>17.581863979848865</v>
      </c>
      <c r="AZ728" s="6">
        <f t="shared" si="1583"/>
        <v>0.16822236947166563</v>
      </c>
      <c r="BA728" s="68">
        <v>0</v>
      </c>
      <c r="BB728" s="66">
        <v>0</v>
      </c>
      <c r="BC728" s="35" t="e">
        <f t="shared" si="1584"/>
        <v>#DIV/0!</v>
      </c>
      <c r="BD728" s="11" t="e">
        <f t="shared" si="1585"/>
        <v>#DIV/0!</v>
      </c>
    </row>
    <row r="729" spans="1:56" ht="15.75" thickBot="1" x14ac:dyDescent="0.3">
      <c r="A729" s="19" t="s">
        <v>5</v>
      </c>
      <c r="B729" s="8">
        <v>171720</v>
      </c>
      <c r="C729" s="35">
        <f>B729/F721</f>
        <v>137.48598879103284</v>
      </c>
      <c r="D729" s="8">
        <v>7050</v>
      </c>
      <c r="E729" s="68">
        <v>58420</v>
      </c>
      <c r="F729" s="69">
        <v>834</v>
      </c>
      <c r="G729" s="35">
        <f t="shared" si="1560"/>
        <v>70.04796163069544</v>
      </c>
      <c r="H729" s="11">
        <f t="shared" si="1561"/>
        <v>0.50949163799638131</v>
      </c>
      <c r="I729" s="35">
        <v>0</v>
      </c>
      <c r="J729" s="70">
        <v>0</v>
      </c>
      <c r="K729" s="35" t="e">
        <f t="shared" si="1562"/>
        <v>#DIV/0!</v>
      </c>
      <c r="L729" s="6" t="e">
        <f t="shared" si="1563"/>
        <v>#DIV/0!</v>
      </c>
      <c r="M729" s="68">
        <v>0</v>
      </c>
      <c r="N729" s="5">
        <v>0</v>
      </c>
      <c r="O729" s="35" t="e">
        <f t="shared" si="1564"/>
        <v>#DIV/0!</v>
      </c>
      <c r="P729" s="11" t="e">
        <f t="shared" si="1565"/>
        <v>#DIV/0!</v>
      </c>
      <c r="Q729" s="35">
        <v>0</v>
      </c>
      <c r="R729" s="66">
        <v>0</v>
      </c>
      <c r="S729" s="35" t="e">
        <f t="shared" si="1566"/>
        <v>#DIV/0!</v>
      </c>
      <c r="T729" s="6" t="e">
        <f t="shared" si="1567"/>
        <v>#DIV/0!</v>
      </c>
      <c r="U729" s="68">
        <v>0</v>
      </c>
      <c r="V729" s="66">
        <v>0</v>
      </c>
      <c r="W729" s="20" t="e">
        <f t="shared" si="1568"/>
        <v>#DIV/0!</v>
      </c>
      <c r="X729" s="6" t="e">
        <f t="shared" si="1569"/>
        <v>#DIV/0!</v>
      </c>
      <c r="Y729" s="68">
        <v>0</v>
      </c>
      <c r="Z729" s="70">
        <v>0</v>
      </c>
      <c r="AA729" s="35" t="e">
        <f t="shared" si="1570"/>
        <v>#DIV/0!</v>
      </c>
      <c r="AB729" s="11" t="e">
        <f t="shared" si="1571"/>
        <v>#DIV/0!</v>
      </c>
      <c r="AC729" s="20">
        <v>0</v>
      </c>
      <c r="AD729" s="36">
        <v>0</v>
      </c>
      <c r="AE729" s="35" t="e">
        <f t="shared" si="1572"/>
        <v>#DIV/0!</v>
      </c>
      <c r="AF729" s="6" t="e">
        <f t="shared" si="1573"/>
        <v>#DIV/0!</v>
      </c>
      <c r="AG729" s="68">
        <v>0</v>
      </c>
      <c r="AH729" s="66">
        <v>0</v>
      </c>
      <c r="AI729" s="35" t="e">
        <f t="shared" si="1574"/>
        <v>#DIV/0!</v>
      </c>
      <c r="AJ729" s="6" t="e">
        <f t="shared" si="1575"/>
        <v>#DIV/0!</v>
      </c>
      <c r="AK729" s="68">
        <v>3810</v>
      </c>
      <c r="AL729" s="65">
        <v>90</v>
      </c>
      <c r="AM729" s="35">
        <f t="shared" si="1576"/>
        <v>42.333333333333336</v>
      </c>
      <c r="AN729" s="6">
        <f t="shared" si="1577"/>
        <v>0.30791016383259567</v>
      </c>
      <c r="AO729" s="68">
        <v>0</v>
      </c>
      <c r="AP729" s="66">
        <v>0</v>
      </c>
      <c r="AQ729" s="35" t="e">
        <f t="shared" si="1578"/>
        <v>#DIV/0!</v>
      </c>
      <c r="AR729" s="6" t="e">
        <f t="shared" si="1579"/>
        <v>#DIV/0!</v>
      </c>
      <c r="AS729" s="68">
        <v>0</v>
      </c>
      <c r="AT729" s="66">
        <v>0</v>
      </c>
      <c r="AU729" s="35" t="e">
        <f t="shared" si="1580"/>
        <v>#DIV/0!</v>
      </c>
      <c r="AV729" s="6" t="e">
        <f t="shared" si="1581"/>
        <v>#DIV/0!</v>
      </c>
      <c r="AW729" s="68">
        <v>8500</v>
      </c>
      <c r="AX729" s="65">
        <v>397</v>
      </c>
      <c r="AY729" s="35">
        <f t="shared" si="1582"/>
        <v>21.410579345088163</v>
      </c>
      <c r="AZ729" s="6">
        <f t="shared" si="1583"/>
        <v>0.15572917308417839</v>
      </c>
      <c r="BA729" s="68">
        <v>0</v>
      </c>
      <c r="BB729" s="66">
        <v>0</v>
      </c>
      <c r="BC729" s="35" t="e">
        <f t="shared" si="1584"/>
        <v>#DIV/0!</v>
      </c>
      <c r="BD729" s="11" t="e">
        <f t="shared" si="1585"/>
        <v>#DIV/0!</v>
      </c>
    </row>
    <row r="730" spans="1:56" x14ac:dyDescent="0.25">
      <c r="A730" s="19" t="s">
        <v>6</v>
      </c>
      <c r="B730" s="8">
        <v>204620</v>
      </c>
      <c r="C730" s="35">
        <f>B730/F721</f>
        <v>163.82706164931946</v>
      </c>
      <c r="D730" s="8">
        <v>10950</v>
      </c>
      <c r="E730" s="68">
        <v>70910</v>
      </c>
      <c r="F730" s="69">
        <v>834</v>
      </c>
      <c r="G730" s="35">
        <f t="shared" si="1560"/>
        <v>85.023980815347727</v>
      </c>
      <c r="H730" s="11">
        <f t="shared" si="1561"/>
        <v>0.51898617944662939</v>
      </c>
      <c r="I730" s="35">
        <v>0</v>
      </c>
      <c r="J730" s="70">
        <v>0</v>
      </c>
      <c r="K730" s="35" t="e">
        <f t="shared" si="1562"/>
        <v>#DIV/0!</v>
      </c>
      <c r="L730" s="6" t="e">
        <f t="shared" si="1563"/>
        <v>#DIV/0!</v>
      </c>
      <c r="M730" s="68">
        <v>0</v>
      </c>
      <c r="N730" s="5">
        <v>0</v>
      </c>
      <c r="O730" s="35" t="e">
        <f t="shared" si="1564"/>
        <v>#DIV/0!</v>
      </c>
      <c r="P730" s="11" t="e">
        <f t="shared" si="1565"/>
        <v>#DIV/0!</v>
      </c>
      <c r="Q730" s="35">
        <v>0</v>
      </c>
      <c r="R730" s="66">
        <v>0</v>
      </c>
      <c r="S730" s="35" t="e">
        <f t="shared" si="1566"/>
        <v>#DIV/0!</v>
      </c>
      <c r="T730" s="6" t="e">
        <f t="shared" si="1567"/>
        <v>#DIV/0!</v>
      </c>
      <c r="U730" s="68">
        <v>0</v>
      </c>
      <c r="V730" s="66">
        <v>0</v>
      </c>
      <c r="W730" s="20" t="e">
        <f t="shared" si="1568"/>
        <v>#DIV/0!</v>
      </c>
      <c r="X730" s="6" t="e">
        <f t="shared" si="1569"/>
        <v>#DIV/0!</v>
      </c>
      <c r="Y730" s="68">
        <v>0</v>
      </c>
      <c r="Z730" s="70">
        <v>0</v>
      </c>
      <c r="AA730" s="35" t="e">
        <f t="shared" si="1570"/>
        <v>#DIV/0!</v>
      </c>
      <c r="AB730" s="11" t="e">
        <f t="shared" si="1571"/>
        <v>#DIV/0!</v>
      </c>
      <c r="AC730" s="20">
        <v>0</v>
      </c>
      <c r="AD730" s="36">
        <v>0</v>
      </c>
      <c r="AE730" s="35" t="e">
        <f t="shared" si="1572"/>
        <v>#DIV/0!</v>
      </c>
      <c r="AF730" s="6" t="e">
        <f t="shared" si="1573"/>
        <v>#DIV/0!</v>
      </c>
      <c r="AG730" s="68">
        <v>0</v>
      </c>
      <c r="AH730" s="66">
        <v>0</v>
      </c>
      <c r="AI730" s="35" t="e">
        <f t="shared" si="1574"/>
        <v>#DIV/0!</v>
      </c>
      <c r="AJ730" s="6" t="e">
        <f t="shared" si="1575"/>
        <v>#DIV/0!</v>
      </c>
      <c r="AK730" s="68">
        <v>4330</v>
      </c>
      <c r="AL730" s="65">
        <v>90</v>
      </c>
      <c r="AM730" s="35">
        <f t="shared" si="1576"/>
        <v>48.111111111111114</v>
      </c>
      <c r="AN730" s="6">
        <f t="shared" si="1577"/>
        <v>0.29367010936261256</v>
      </c>
      <c r="AO730" s="68">
        <v>0</v>
      </c>
      <c r="AP730" s="66">
        <v>0</v>
      </c>
      <c r="AQ730" s="35" t="e">
        <f t="shared" si="1578"/>
        <v>#DIV/0!</v>
      </c>
      <c r="AR730" s="6" t="e">
        <f t="shared" si="1579"/>
        <v>#DIV/0!</v>
      </c>
      <c r="AS730" s="68">
        <v>0</v>
      </c>
      <c r="AT730" s="66">
        <v>0</v>
      </c>
      <c r="AU730" s="35" t="e">
        <f t="shared" si="1580"/>
        <v>#DIV/0!</v>
      </c>
      <c r="AV730" s="6" t="e">
        <f t="shared" si="1581"/>
        <v>#DIV/0!</v>
      </c>
      <c r="AW730" s="68">
        <v>9850</v>
      </c>
      <c r="AX730" s="65">
        <v>397</v>
      </c>
      <c r="AY730" s="35">
        <f t="shared" si="1582"/>
        <v>24.811083123425693</v>
      </c>
      <c r="AZ730" s="6">
        <f t="shared" si="1583"/>
        <v>0.15144679318326013</v>
      </c>
      <c r="BA730" s="68">
        <v>0</v>
      </c>
      <c r="BB730" s="66">
        <v>0</v>
      </c>
      <c r="BC730" s="35" t="e">
        <f t="shared" si="1584"/>
        <v>#DIV/0!</v>
      </c>
      <c r="BD730" s="11" t="e">
        <f t="shared" si="1585"/>
        <v>#DIV/0!</v>
      </c>
    </row>
    <row r="731" spans="1:56" ht="15.75" thickBot="1" x14ac:dyDescent="0.3">
      <c r="A731" s="21"/>
      <c r="B731" s="22"/>
      <c r="C731" s="23">
        <f>AVERAGE(Table11054[MA $/Sq Ft])</f>
        <v>95.550726295321979</v>
      </c>
      <c r="D731" s="22">
        <f>AVERAGE(Table11054[Basic Allowance])</f>
        <v>4442.8571428571431</v>
      </c>
      <c r="E731" s="16"/>
      <c r="F731" s="22"/>
      <c r="G731" s="15"/>
      <c r="H731" s="24">
        <f>AVERAGE(Table11054[Bsmt % Base])</f>
        <v>0.54050613724299956</v>
      </c>
      <c r="I731" s="15"/>
      <c r="J731" s="15"/>
      <c r="K731" s="15"/>
      <c r="L731" s="25" t="e">
        <f>AVERAGE(Table11054[[#Headers],[#Data],[UnfBsmt % Base]])</f>
        <v>#DIV/0!</v>
      </c>
      <c r="M731" s="44"/>
      <c r="N731" s="15"/>
      <c r="O731" s="23" t="e">
        <f>AVERAGE(Table11054[LowerVal/SqFt])</f>
        <v>#DIV/0!</v>
      </c>
      <c r="P731" s="24" t="e">
        <f>AVERAGE(Table11054[Lower % Base])</f>
        <v>#DIV/0!</v>
      </c>
      <c r="Q731" s="13"/>
      <c r="R731" s="13"/>
      <c r="S731" s="13"/>
      <c r="T731" s="25" t="e">
        <f>AVERAGE(Table11054[Unf Lower % Base])</f>
        <v>#DIV/0!</v>
      </c>
      <c r="U731" s="12"/>
      <c r="V731" s="13"/>
      <c r="W731" s="13"/>
      <c r="X731" s="25" t="e">
        <f>AVERAGE(Table11054[1/2 Story % Base])</f>
        <v>#DIV/0!</v>
      </c>
      <c r="Y731" s="12"/>
      <c r="Z731" s="13"/>
      <c r="AA731" s="13"/>
      <c r="AB731" s="24" t="e">
        <f>AVERAGE(Table11054[2nd Story % Base])</f>
        <v>#DIV/0!</v>
      </c>
      <c r="AC731" s="13"/>
      <c r="AD731" s="13"/>
      <c r="AE731" s="23" t="e">
        <f>AVERAGE(Table11054[AttGarVal/SqFt])</f>
        <v>#DIV/0!</v>
      </c>
      <c r="AF731" s="25" t="e">
        <f>AVERAGE(Table11054[Att Gar % Base])</f>
        <v>#DIV/0!</v>
      </c>
      <c r="AG731" s="12"/>
      <c r="AH731" s="13"/>
      <c r="AI731" s="13"/>
      <c r="AJ731" s="25" t="e">
        <f>AVERAGE(Table11054[Porch % Base])</f>
        <v>#DIV/0!</v>
      </c>
      <c r="AK731" s="12"/>
      <c r="AL731" s="13"/>
      <c r="AM731" s="13"/>
      <c r="AN731" s="25">
        <f>AVERAGE(Table11054[Cov Porch % Base])</f>
        <v>0.34776326301478866</v>
      </c>
      <c r="AO731" s="12"/>
      <c r="AP731" s="13"/>
      <c r="AQ731" s="13"/>
      <c r="AR731" s="25" t="e">
        <f>AVERAGE(Table11054[Deck % Base])</f>
        <v>#DIV/0!</v>
      </c>
      <c r="AS731" s="12"/>
      <c r="AT731" s="13"/>
      <c r="AU731" s="23" t="e">
        <f>AVERAGE(Table11054[CovDeckVal/SqFt])</f>
        <v>#DIV/0!</v>
      </c>
      <c r="AV731" s="25" t="e">
        <f>AVERAGE(Table11054[CovDeck % Base])</f>
        <v>#DIV/0!</v>
      </c>
      <c r="AW731" s="12"/>
      <c r="AX731" s="13"/>
      <c r="AY731" s="13"/>
      <c r="AZ731" s="25">
        <f>AVERAGE(Table11054[CarP % Base])</f>
        <v>0.16427061207102892</v>
      </c>
      <c r="BA731" s="12"/>
      <c r="BB731" s="13"/>
      <c r="BC731" s="13"/>
      <c r="BD731" s="24" t="e">
        <f>AVERAGE(Table11054[EFP % Base])</f>
        <v>#DIV/0!</v>
      </c>
    </row>
    <row r="733" spans="1:56" ht="15.75" thickBot="1" x14ac:dyDescent="0.3">
      <c r="A733" s="82"/>
      <c r="B733" t="s">
        <v>79</v>
      </c>
      <c r="C733" s="78" t="s">
        <v>160</v>
      </c>
      <c r="E733" t="s">
        <v>33</v>
      </c>
      <c r="F733" s="79">
        <v>1628</v>
      </c>
      <c r="H733" t="s">
        <v>80</v>
      </c>
      <c r="I733" t="s">
        <v>134</v>
      </c>
    </row>
    <row r="734" spans="1:56" x14ac:dyDescent="0.25">
      <c r="A734" s="112"/>
      <c r="B734" s="113"/>
      <c r="C734" s="113"/>
      <c r="D734" s="114"/>
      <c r="E734" s="115" t="s">
        <v>27</v>
      </c>
      <c r="F734" s="116"/>
      <c r="G734" s="116"/>
      <c r="H734" s="117"/>
      <c r="I734" s="118" t="s">
        <v>28</v>
      </c>
      <c r="J734" s="119"/>
      <c r="K734" s="119"/>
      <c r="L734" s="120"/>
      <c r="M734" s="121" t="s">
        <v>7</v>
      </c>
      <c r="N734" s="122"/>
      <c r="O734" s="122"/>
      <c r="P734" s="123"/>
      <c r="Q734" s="124" t="s">
        <v>29</v>
      </c>
      <c r="R734" s="125"/>
      <c r="S734" s="125"/>
      <c r="T734" s="126"/>
      <c r="U734" s="127" t="s">
        <v>8</v>
      </c>
      <c r="V734" s="128"/>
      <c r="W734" s="128"/>
      <c r="X734" s="129"/>
      <c r="Y734" s="130" t="s">
        <v>0</v>
      </c>
      <c r="Z734" s="131"/>
      <c r="AA734" s="131"/>
      <c r="AB734" s="132"/>
      <c r="AC734" s="133" t="s">
        <v>34</v>
      </c>
      <c r="AD734" s="134"/>
      <c r="AE734" s="134"/>
      <c r="AF734" s="135"/>
      <c r="AG734" s="115" t="s">
        <v>9</v>
      </c>
      <c r="AH734" s="116"/>
      <c r="AI734" s="116"/>
      <c r="AJ734" s="117"/>
      <c r="AK734" s="136" t="s">
        <v>35</v>
      </c>
      <c r="AL734" s="137"/>
      <c r="AM734" s="137"/>
      <c r="AN734" s="138"/>
      <c r="AO734" s="139" t="s">
        <v>10</v>
      </c>
      <c r="AP734" s="140"/>
      <c r="AQ734" s="140"/>
      <c r="AR734" s="141"/>
      <c r="AS734" s="124" t="s">
        <v>36</v>
      </c>
      <c r="AT734" s="125"/>
      <c r="AU734" s="125"/>
      <c r="AV734" s="126"/>
      <c r="AW734" s="142" t="s">
        <v>11</v>
      </c>
      <c r="AX734" s="143"/>
      <c r="AY734" s="143"/>
      <c r="AZ734" s="144"/>
      <c r="BA734" s="148" t="s">
        <v>17</v>
      </c>
      <c r="BB734" s="149"/>
      <c r="BC734" s="149"/>
      <c r="BD734" s="150"/>
    </row>
    <row r="735" spans="1:56" s="1" customFormat="1" ht="15.75" thickBot="1" x14ac:dyDescent="0.3">
      <c r="A735" s="41" t="s">
        <v>13</v>
      </c>
      <c r="B735" s="42" t="s">
        <v>15</v>
      </c>
      <c r="C735" s="42" t="s">
        <v>32</v>
      </c>
      <c r="D735" s="43" t="s">
        <v>18</v>
      </c>
      <c r="E735" s="30" t="s">
        <v>30</v>
      </c>
      <c r="F735" s="31" t="s">
        <v>61</v>
      </c>
      <c r="G735" s="31" t="s">
        <v>38</v>
      </c>
      <c r="H735" s="32" t="s">
        <v>62</v>
      </c>
      <c r="I735" s="37" t="s">
        <v>31</v>
      </c>
      <c r="J735" s="38" t="s">
        <v>39</v>
      </c>
      <c r="K735" s="38" t="s">
        <v>40</v>
      </c>
      <c r="L735" s="39" t="s">
        <v>63</v>
      </c>
      <c r="M735" s="40" t="s">
        <v>19</v>
      </c>
      <c r="N735" s="7" t="s">
        <v>41</v>
      </c>
      <c r="O735" s="7" t="s">
        <v>37</v>
      </c>
      <c r="P735" s="7" t="s">
        <v>64</v>
      </c>
      <c r="Q735" s="27" t="s">
        <v>20</v>
      </c>
      <c r="R735" s="28" t="s">
        <v>60</v>
      </c>
      <c r="S735" s="28" t="s">
        <v>59</v>
      </c>
      <c r="T735" s="29" t="s">
        <v>65</v>
      </c>
      <c r="U735" s="48" t="s">
        <v>21</v>
      </c>
      <c r="V735" s="48" t="s">
        <v>42</v>
      </c>
      <c r="W735" s="48" t="s">
        <v>43</v>
      </c>
      <c r="X735" s="49" t="s">
        <v>66</v>
      </c>
      <c r="Y735" s="50" t="s">
        <v>22</v>
      </c>
      <c r="Z735" s="51" t="s">
        <v>44</v>
      </c>
      <c r="AA735" s="51" t="s">
        <v>45</v>
      </c>
      <c r="AB735" s="52" t="s">
        <v>67</v>
      </c>
      <c r="AC735" s="45" t="s">
        <v>23</v>
      </c>
      <c r="AD735" s="46" t="s">
        <v>46</v>
      </c>
      <c r="AE735" s="46" t="s">
        <v>47</v>
      </c>
      <c r="AF735" s="47" t="s">
        <v>68</v>
      </c>
      <c r="AG735" s="30" t="s">
        <v>24</v>
      </c>
      <c r="AH735" s="31" t="s">
        <v>48</v>
      </c>
      <c r="AI735" s="31" t="s">
        <v>49</v>
      </c>
      <c r="AJ735" s="32" t="s">
        <v>69</v>
      </c>
      <c r="AK735" s="53" t="s">
        <v>25</v>
      </c>
      <c r="AL735" s="54" t="s">
        <v>50</v>
      </c>
      <c r="AM735" s="54" t="s">
        <v>51</v>
      </c>
      <c r="AN735" s="55" t="s">
        <v>70</v>
      </c>
      <c r="AO735" s="56" t="s">
        <v>26</v>
      </c>
      <c r="AP735" s="57" t="s">
        <v>52</v>
      </c>
      <c r="AQ735" s="57" t="s">
        <v>53</v>
      </c>
      <c r="AR735" s="58" t="s">
        <v>71</v>
      </c>
      <c r="AS735" s="59" t="s">
        <v>55</v>
      </c>
      <c r="AT735" s="60" t="s">
        <v>54</v>
      </c>
      <c r="AU735" s="60" t="s">
        <v>56</v>
      </c>
      <c r="AV735" s="61" t="s">
        <v>76</v>
      </c>
      <c r="AW735" s="62" t="s">
        <v>72</v>
      </c>
      <c r="AX735" s="63" t="s">
        <v>73</v>
      </c>
      <c r="AY735" s="63" t="s">
        <v>74</v>
      </c>
      <c r="AZ735" s="64" t="s">
        <v>75</v>
      </c>
      <c r="BA735" s="71" t="s">
        <v>77</v>
      </c>
      <c r="BB735" s="72" t="s">
        <v>57</v>
      </c>
      <c r="BC735" s="72" t="s">
        <v>58</v>
      </c>
      <c r="BD735" s="73" t="s">
        <v>78</v>
      </c>
    </row>
    <row r="736" spans="1:56" ht="15.75" thickBot="1" x14ac:dyDescent="0.3">
      <c r="A736" s="17" t="s">
        <v>1</v>
      </c>
      <c r="B736" s="14">
        <v>79030</v>
      </c>
      <c r="C736" s="34">
        <f>B736/F733</f>
        <v>48.544226044226043</v>
      </c>
      <c r="D736" s="14">
        <v>1525</v>
      </c>
      <c r="E736" s="67">
        <v>0</v>
      </c>
      <c r="F736" s="69">
        <v>0</v>
      </c>
      <c r="G736" s="34" t="e">
        <f t="shared" ref="G736:G742" si="1586">E736/F736</f>
        <v>#DIV/0!</v>
      </c>
      <c r="H736" s="10" t="e">
        <f t="shared" ref="H736:H742" si="1587">G736/C736</f>
        <v>#DIV/0!</v>
      </c>
      <c r="I736" s="34">
        <v>0</v>
      </c>
      <c r="J736" s="69">
        <v>0</v>
      </c>
      <c r="K736" s="34" t="e">
        <f t="shared" ref="K736:K742" si="1588">I736/J736</f>
        <v>#DIV/0!</v>
      </c>
      <c r="L736" s="9" t="e">
        <f t="shared" ref="L736:L742" si="1589">K736/C736</f>
        <v>#DIV/0!</v>
      </c>
      <c r="M736" s="67">
        <v>0</v>
      </c>
      <c r="N736" s="26">
        <v>0</v>
      </c>
      <c r="O736" s="34" t="e">
        <f t="shared" ref="O736:O742" si="1590">M736/N736</f>
        <v>#DIV/0!</v>
      </c>
      <c r="P736" s="10" t="e">
        <f t="shared" ref="P736:P742" si="1591">O736/C736</f>
        <v>#DIV/0!</v>
      </c>
      <c r="Q736" s="35">
        <v>0</v>
      </c>
      <c r="R736" s="66">
        <v>0</v>
      </c>
      <c r="S736" s="35" t="e">
        <f t="shared" ref="S736:S742" si="1592">Q736/R736</f>
        <v>#DIV/0!</v>
      </c>
      <c r="T736" s="6" t="e">
        <f t="shared" ref="T736:T742" si="1593">S736/C736</f>
        <v>#DIV/0!</v>
      </c>
      <c r="U736" s="67">
        <v>0</v>
      </c>
      <c r="V736" s="65">
        <v>0</v>
      </c>
      <c r="W736" s="18" t="e">
        <f t="shared" ref="W736:W742" si="1594">U736/V736</f>
        <v>#DIV/0!</v>
      </c>
      <c r="X736" s="9" t="e">
        <f t="shared" ref="X736:X742" si="1595">W736/C736</f>
        <v>#DIV/0!</v>
      </c>
      <c r="Y736" s="67">
        <v>0</v>
      </c>
      <c r="Z736" s="69">
        <v>0</v>
      </c>
      <c r="AA736" s="34" t="e">
        <f t="shared" ref="AA736:AA742" si="1596">Y736/Z736</f>
        <v>#DIV/0!</v>
      </c>
      <c r="AB736" s="10" t="e">
        <f t="shared" ref="AB736:AB742" si="1597">AA736/C736</f>
        <v>#DIV/0!</v>
      </c>
      <c r="AC736" s="18">
        <v>0</v>
      </c>
      <c r="AD736" s="33">
        <v>0</v>
      </c>
      <c r="AE736" s="34" t="e">
        <f t="shared" ref="AE736:AE742" si="1598">AC736/AD736</f>
        <v>#DIV/0!</v>
      </c>
      <c r="AF736" s="9" t="e">
        <f t="shared" ref="AF736:AF742" si="1599">AE736/C736</f>
        <v>#DIV/0!</v>
      </c>
      <c r="AG736" s="67">
        <v>0</v>
      </c>
      <c r="AH736" s="65">
        <v>0</v>
      </c>
      <c r="AI736" s="34" t="e">
        <f t="shared" ref="AI736:AI742" si="1600">AG736/AH736</f>
        <v>#DIV/0!</v>
      </c>
      <c r="AJ736" s="9" t="e">
        <f t="shared" ref="AJ736:AJ742" si="1601">AI736/C736</f>
        <v>#DIV/0!</v>
      </c>
      <c r="AK736" s="67">
        <v>900</v>
      </c>
      <c r="AL736" s="65">
        <v>162</v>
      </c>
      <c r="AM736" s="34">
        <f t="shared" ref="AM736:AM742" si="1602">AK736/AL736</f>
        <v>5.5555555555555554</v>
      </c>
      <c r="AN736" s="9">
        <f t="shared" ref="AN736:AN742" si="1603">AM736/C736</f>
        <v>0.11444317910216936</v>
      </c>
      <c r="AO736" s="67">
        <v>1780</v>
      </c>
      <c r="AP736" s="65">
        <v>266</v>
      </c>
      <c r="AQ736" s="34">
        <f t="shared" ref="AQ736:AQ742" si="1604">AO736/AP736</f>
        <v>6.6917293233082704</v>
      </c>
      <c r="AR736" s="9">
        <f t="shared" ref="AR736:AR742" si="1605">AQ736/C736</f>
        <v>0.13784809994110925</v>
      </c>
      <c r="AS736" s="67">
        <v>0</v>
      </c>
      <c r="AT736" s="65">
        <v>0</v>
      </c>
      <c r="AU736" s="34" t="e">
        <f t="shared" ref="AU736:AU742" si="1606">AS736/AT736</f>
        <v>#DIV/0!</v>
      </c>
      <c r="AV736" s="9" t="e">
        <f t="shared" ref="AV736:AV742" si="1607">AU736/C736</f>
        <v>#DIV/0!</v>
      </c>
      <c r="AW736" s="67">
        <v>3030</v>
      </c>
      <c r="AX736" s="65">
        <v>360</v>
      </c>
      <c r="AY736" s="34">
        <f t="shared" ref="AY736:AY742" si="1608">AW736/AX736</f>
        <v>8.4166666666666661</v>
      </c>
      <c r="AZ736" s="9">
        <f t="shared" ref="AZ736:AZ742" si="1609">AY736/C736</f>
        <v>0.17338141633978657</v>
      </c>
      <c r="BA736" s="67">
        <v>0</v>
      </c>
      <c r="BB736" s="65">
        <v>0</v>
      </c>
      <c r="BC736" s="34" t="e">
        <f t="shared" ref="BC736:BC742" si="1610">BA736/BB736</f>
        <v>#DIV/0!</v>
      </c>
      <c r="BD736" s="10" t="e">
        <f t="shared" ref="BD736:BD742" si="1611">BC736/C736</f>
        <v>#DIV/0!</v>
      </c>
    </row>
    <row r="737" spans="1:56" ht="15.75" thickBot="1" x14ac:dyDescent="0.3">
      <c r="A737" s="19" t="s">
        <v>16</v>
      </c>
      <c r="B737" s="8">
        <v>92980</v>
      </c>
      <c r="C737" s="35">
        <f>B737/F733</f>
        <v>57.113022113022112</v>
      </c>
      <c r="D737" s="8">
        <v>1525</v>
      </c>
      <c r="E737" s="68">
        <v>0</v>
      </c>
      <c r="F737" s="70">
        <v>0</v>
      </c>
      <c r="G737" s="35" t="e">
        <f t="shared" si="1586"/>
        <v>#DIV/0!</v>
      </c>
      <c r="H737" s="11" t="e">
        <f t="shared" si="1587"/>
        <v>#DIV/0!</v>
      </c>
      <c r="I737" s="35">
        <v>0</v>
      </c>
      <c r="J737" s="70">
        <v>0</v>
      </c>
      <c r="K737" s="35" t="e">
        <f t="shared" si="1588"/>
        <v>#DIV/0!</v>
      </c>
      <c r="L737" s="6" t="e">
        <f t="shared" si="1589"/>
        <v>#DIV/0!</v>
      </c>
      <c r="M737" s="68">
        <v>0</v>
      </c>
      <c r="N737" s="5">
        <v>0</v>
      </c>
      <c r="O737" s="35" t="e">
        <f t="shared" si="1590"/>
        <v>#DIV/0!</v>
      </c>
      <c r="P737" s="11" t="e">
        <f t="shared" si="1591"/>
        <v>#DIV/0!</v>
      </c>
      <c r="Q737" s="35">
        <v>0</v>
      </c>
      <c r="R737" s="66">
        <v>0</v>
      </c>
      <c r="S737" s="35" t="e">
        <f t="shared" si="1592"/>
        <v>#DIV/0!</v>
      </c>
      <c r="T737" s="6" t="e">
        <f t="shared" si="1593"/>
        <v>#DIV/0!</v>
      </c>
      <c r="U737" s="68">
        <v>0</v>
      </c>
      <c r="V737" s="66">
        <v>0</v>
      </c>
      <c r="W737" s="20" t="e">
        <f t="shared" si="1594"/>
        <v>#DIV/0!</v>
      </c>
      <c r="X737" s="6" t="e">
        <f t="shared" si="1595"/>
        <v>#DIV/0!</v>
      </c>
      <c r="Y737" s="68">
        <v>0</v>
      </c>
      <c r="Z737" s="70">
        <v>0</v>
      </c>
      <c r="AA737" s="35" t="e">
        <f t="shared" si="1596"/>
        <v>#DIV/0!</v>
      </c>
      <c r="AB737" s="11" t="e">
        <f t="shared" si="1597"/>
        <v>#DIV/0!</v>
      </c>
      <c r="AC737" s="20">
        <v>0</v>
      </c>
      <c r="AD737" s="36">
        <v>0</v>
      </c>
      <c r="AE737" s="35" t="e">
        <f t="shared" si="1598"/>
        <v>#DIV/0!</v>
      </c>
      <c r="AF737" s="6" t="e">
        <f t="shared" si="1599"/>
        <v>#DIV/0!</v>
      </c>
      <c r="AG737" s="68">
        <v>0</v>
      </c>
      <c r="AH737" s="66">
        <v>0</v>
      </c>
      <c r="AI737" s="35" t="e">
        <f t="shared" si="1600"/>
        <v>#DIV/0!</v>
      </c>
      <c r="AJ737" s="6" t="e">
        <f t="shared" si="1601"/>
        <v>#DIV/0!</v>
      </c>
      <c r="AK737" s="68">
        <v>1310</v>
      </c>
      <c r="AL737" s="65">
        <v>162</v>
      </c>
      <c r="AM737" s="35">
        <f t="shared" si="1602"/>
        <v>8.0864197530864192</v>
      </c>
      <c r="AN737" s="6">
        <f t="shared" si="1603"/>
        <v>0.14158626971418253</v>
      </c>
      <c r="AO737" s="68">
        <v>2420</v>
      </c>
      <c r="AP737" s="65">
        <v>266</v>
      </c>
      <c r="AQ737" s="35">
        <f t="shared" si="1604"/>
        <v>9.0977443609022561</v>
      </c>
      <c r="AR737" s="6">
        <f t="shared" si="1605"/>
        <v>0.1592936956286177</v>
      </c>
      <c r="AS737" s="68">
        <v>0</v>
      </c>
      <c r="AT737" s="66">
        <v>0</v>
      </c>
      <c r="AU737" s="35" t="e">
        <f t="shared" si="1606"/>
        <v>#DIV/0!</v>
      </c>
      <c r="AV737" s="6" t="e">
        <f t="shared" si="1607"/>
        <v>#DIV/0!</v>
      </c>
      <c r="AW737" s="68">
        <v>3500</v>
      </c>
      <c r="AX737" s="65">
        <v>360</v>
      </c>
      <c r="AY737" s="35">
        <f t="shared" si="1608"/>
        <v>9.7222222222222214</v>
      </c>
      <c r="AZ737" s="6">
        <f t="shared" si="1609"/>
        <v>0.1702277670227767</v>
      </c>
      <c r="BA737" s="68">
        <v>0</v>
      </c>
      <c r="BB737" s="66">
        <v>0</v>
      </c>
      <c r="BC737" s="35" t="e">
        <f t="shared" si="1610"/>
        <v>#DIV/0!</v>
      </c>
      <c r="BD737" s="11" t="e">
        <f t="shared" si="1611"/>
        <v>#DIV/0!</v>
      </c>
    </row>
    <row r="738" spans="1:56" ht="15.75" thickBot="1" x14ac:dyDescent="0.3">
      <c r="A738" s="19" t="s">
        <v>2</v>
      </c>
      <c r="B738" s="8">
        <v>108550</v>
      </c>
      <c r="C738" s="35">
        <f>B738/F733</f>
        <v>66.676904176904173</v>
      </c>
      <c r="D738" s="8">
        <v>2100</v>
      </c>
      <c r="E738" s="68">
        <v>0</v>
      </c>
      <c r="F738" s="70">
        <v>0</v>
      </c>
      <c r="G738" s="35" t="e">
        <f t="shared" si="1586"/>
        <v>#DIV/0!</v>
      </c>
      <c r="H738" s="11" t="e">
        <f t="shared" si="1587"/>
        <v>#DIV/0!</v>
      </c>
      <c r="I738" s="35">
        <v>0</v>
      </c>
      <c r="J738" s="70">
        <v>0</v>
      </c>
      <c r="K738" s="35" t="e">
        <f t="shared" si="1588"/>
        <v>#DIV/0!</v>
      </c>
      <c r="L738" s="6" t="e">
        <f t="shared" si="1589"/>
        <v>#DIV/0!</v>
      </c>
      <c r="M738" s="68">
        <v>0</v>
      </c>
      <c r="N738" s="5">
        <v>0</v>
      </c>
      <c r="O738" s="35" t="e">
        <f t="shared" si="1590"/>
        <v>#DIV/0!</v>
      </c>
      <c r="P738" s="11" t="e">
        <f t="shared" si="1591"/>
        <v>#DIV/0!</v>
      </c>
      <c r="Q738" s="35">
        <v>0</v>
      </c>
      <c r="R738" s="66">
        <v>0</v>
      </c>
      <c r="S738" s="35" t="e">
        <f t="shared" si="1592"/>
        <v>#DIV/0!</v>
      </c>
      <c r="T738" s="6" t="e">
        <f t="shared" si="1593"/>
        <v>#DIV/0!</v>
      </c>
      <c r="U738" s="68">
        <v>0</v>
      </c>
      <c r="V738" s="66">
        <v>0</v>
      </c>
      <c r="W738" s="20" t="e">
        <f t="shared" si="1594"/>
        <v>#DIV/0!</v>
      </c>
      <c r="X738" s="6" t="e">
        <f t="shared" si="1595"/>
        <v>#DIV/0!</v>
      </c>
      <c r="Y738" s="68">
        <v>0</v>
      </c>
      <c r="Z738" s="70">
        <v>0</v>
      </c>
      <c r="AA738" s="35" t="e">
        <f t="shared" si="1596"/>
        <v>#DIV/0!</v>
      </c>
      <c r="AB738" s="11" t="e">
        <f t="shared" si="1597"/>
        <v>#DIV/0!</v>
      </c>
      <c r="AC738" s="20">
        <v>0</v>
      </c>
      <c r="AD738" s="36">
        <v>0</v>
      </c>
      <c r="AE738" s="35" t="e">
        <f t="shared" si="1598"/>
        <v>#DIV/0!</v>
      </c>
      <c r="AF738" s="6" t="e">
        <f t="shared" si="1599"/>
        <v>#DIV/0!</v>
      </c>
      <c r="AG738" s="68">
        <v>0</v>
      </c>
      <c r="AH738" s="66">
        <v>0</v>
      </c>
      <c r="AI738" s="35" t="e">
        <f t="shared" si="1600"/>
        <v>#DIV/0!</v>
      </c>
      <c r="AJ738" s="6" t="e">
        <f t="shared" si="1601"/>
        <v>#DIV/0!</v>
      </c>
      <c r="AK738" s="68">
        <v>1430</v>
      </c>
      <c r="AL738" s="65">
        <v>162</v>
      </c>
      <c r="AM738" s="35">
        <f t="shared" si="1602"/>
        <v>8.8271604938271597</v>
      </c>
      <c r="AN738" s="6">
        <f t="shared" si="1603"/>
        <v>0.13238707769645894</v>
      </c>
      <c r="AO738" s="68">
        <v>2540</v>
      </c>
      <c r="AP738" s="65">
        <v>266</v>
      </c>
      <c r="AQ738" s="35">
        <f t="shared" si="1604"/>
        <v>9.5488721804511272</v>
      </c>
      <c r="AR738" s="6">
        <f t="shared" si="1605"/>
        <v>0.14321109083163922</v>
      </c>
      <c r="AS738" s="68">
        <v>0</v>
      </c>
      <c r="AT738" s="66">
        <v>0</v>
      </c>
      <c r="AU738" s="35" t="e">
        <f t="shared" si="1606"/>
        <v>#DIV/0!</v>
      </c>
      <c r="AV738" s="6" t="e">
        <f t="shared" si="1607"/>
        <v>#DIV/0!</v>
      </c>
      <c r="AW738" s="68">
        <v>3960</v>
      </c>
      <c r="AX738" s="65">
        <v>360</v>
      </c>
      <c r="AY738" s="35">
        <f t="shared" si="1608"/>
        <v>11</v>
      </c>
      <c r="AZ738" s="6">
        <f t="shared" si="1609"/>
        <v>0.16497466605251038</v>
      </c>
      <c r="BA738" s="68">
        <v>0</v>
      </c>
      <c r="BB738" s="66">
        <v>0</v>
      </c>
      <c r="BC738" s="35" t="e">
        <f t="shared" si="1610"/>
        <v>#DIV/0!</v>
      </c>
      <c r="BD738" s="11" t="e">
        <f t="shared" si="1611"/>
        <v>#DIV/0!</v>
      </c>
    </row>
    <row r="739" spans="1:56" ht="15.75" thickBot="1" x14ac:dyDescent="0.3">
      <c r="A739" s="19" t="s">
        <v>3</v>
      </c>
      <c r="B739" s="8">
        <v>131390</v>
      </c>
      <c r="C739" s="35">
        <f>B739/F733</f>
        <v>80.706388206388212</v>
      </c>
      <c r="D739" s="8">
        <v>2700</v>
      </c>
      <c r="E739" s="68">
        <v>0</v>
      </c>
      <c r="F739" s="70">
        <v>0</v>
      </c>
      <c r="G739" s="35" t="e">
        <f t="shared" si="1586"/>
        <v>#DIV/0!</v>
      </c>
      <c r="H739" s="11" t="e">
        <f t="shared" si="1587"/>
        <v>#DIV/0!</v>
      </c>
      <c r="I739" s="35">
        <v>0</v>
      </c>
      <c r="J739" s="70">
        <v>0</v>
      </c>
      <c r="K739" s="35" t="e">
        <f t="shared" si="1588"/>
        <v>#DIV/0!</v>
      </c>
      <c r="L739" s="6" t="e">
        <f t="shared" si="1589"/>
        <v>#DIV/0!</v>
      </c>
      <c r="M739" s="68">
        <v>0</v>
      </c>
      <c r="N739" s="5">
        <v>0</v>
      </c>
      <c r="O739" s="35" t="e">
        <f t="shared" si="1590"/>
        <v>#DIV/0!</v>
      </c>
      <c r="P739" s="11" t="e">
        <f t="shared" si="1591"/>
        <v>#DIV/0!</v>
      </c>
      <c r="Q739" s="35">
        <v>0</v>
      </c>
      <c r="R739" s="66">
        <v>0</v>
      </c>
      <c r="S739" s="35" t="e">
        <f t="shared" si="1592"/>
        <v>#DIV/0!</v>
      </c>
      <c r="T739" s="6" t="e">
        <f t="shared" si="1593"/>
        <v>#DIV/0!</v>
      </c>
      <c r="U739" s="68">
        <v>0</v>
      </c>
      <c r="V739" s="66">
        <v>0</v>
      </c>
      <c r="W739" s="20" t="e">
        <f t="shared" si="1594"/>
        <v>#DIV/0!</v>
      </c>
      <c r="X739" s="6" t="e">
        <f t="shared" si="1595"/>
        <v>#DIV/0!</v>
      </c>
      <c r="Y739" s="68">
        <v>0</v>
      </c>
      <c r="Z739" s="70">
        <v>0</v>
      </c>
      <c r="AA739" s="35" t="e">
        <f t="shared" si="1596"/>
        <v>#DIV/0!</v>
      </c>
      <c r="AB739" s="11" t="e">
        <f t="shared" si="1597"/>
        <v>#DIV/0!</v>
      </c>
      <c r="AC739" s="20">
        <v>0</v>
      </c>
      <c r="AD739" s="36">
        <v>0</v>
      </c>
      <c r="AE739" s="35" t="e">
        <f t="shared" si="1598"/>
        <v>#DIV/0!</v>
      </c>
      <c r="AF739" s="6" t="e">
        <f t="shared" si="1599"/>
        <v>#DIV/0!</v>
      </c>
      <c r="AG739" s="68">
        <v>0</v>
      </c>
      <c r="AH739" s="66">
        <v>0</v>
      </c>
      <c r="AI739" s="35" t="e">
        <f t="shared" si="1600"/>
        <v>#DIV/0!</v>
      </c>
      <c r="AJ739" s="6" t="e">
        <f t="shared" si="1601"/>
        <v>#DIV/0!</v>
      </c>
      <c r="AK739" s="68">
        <v>1550</v>
      </c>
      <c r="AL739" s="65">
        <v>162</v>
      </c>
      <c r="AM739" s="35">
        <f t="shared" si="1602"/>
        <v>9.567901234567902</v>
      </c>
      <c r="AN739" s="6">
        <f t="shared" si="1603"/>
        <v>0.11855196902257815</v>
      </c>
      <c r="AO739" s="68">
        <v>2670</v>
      </c>
      <c r="AP739" s="65">
        <v>266</v>
      </c>
      <c r="AQ739" s="35">
        <f t="shared" si="1604"/>
        <v>10.037593984962406</v>
      </c>
      <c r="AR739" s="6">
        <f t="shared" si="1605"/>
        <v>0.12437174067675467</v>
      </c>
      <c r="AS739" s="68">
        <v>0</v>
      </c>
      <c r="AT739" s="66">
        <v>0</v>
      </c>
      <c r="AU739" s="35" t="e">
        <f t="shared" si="1606"/>
        <v>#DIV/0!</v>
      </c>
      <c r="AV739" s="6" t="e">
        <f t="shared" si="1607"/>
        <v>#DIV/0!</v>
      </c>
      <c r="AW739" s="68">
        <v>5580</v>
      </c>
      <c r="AX739" s="65">
        <v>360</v>
      </c>
      <c r="AY739" s="35">
        <f t="shared" si="1608"/>
        <v>15.5</v>
      </c>
      <c r="AZ739" s="6">
        <f t="shared" si="1609"/>
        <v>0.1920541898165766</v>
      </c>
      <c r="BA739" s="68">
        <v>0</v>
      </c>
      <c r="BB739" s="66">
        <v>0</v>
      </c>
      <c r="BC739" s="35" t="e">
        <f t="shared" si="1610"/>
        <v>#DIV/0!</v>
      </c>
      <c r="BD739" s="11" t="e">
        <f t="shared" si="1611"/>
        <v>#DIV/0!</v>
      </c>
    </row>
    <row r="740" spans="1:56" ht="15.75" thickBot="1" x14ac:dyDescent="0.3">
      <c r="A740" s="19" t="s">
        <v>4</v>
      </c>
      <c r="B740" s="8">
        <v>162940</v>
      </c>
      <c r="C740" s="35">
        <f>B740/F733</f>
        <v>100.08599508599508</v>
      </c>
      <c r="D740" s="8">
        <v>5250</v>
      </c>
      <c r="E740" s="68">
        <v>0</v>
      </c>
      <c r="F740" s="70">
        <v>0</v>
      </c>
      <c r="G740" s="35" t="e">
        <f t="shared" si="1586"/>
        <v>#DIV/0!</v>
      </c>
      <c r="H740" s="11" t="e">
        <f t="shared" si="1587"/>
        <v>#DIV/0!</v>
      </c>
      <c r="I740" s="35">
        <v>0</v>
      </c>
      <c r="J740" s="70">
        <v>0</v>
      </c>
      <c r="K740" s="35" t="e">
        <f t="shared" si="1588"/>
        <v>#DIV/0!</v>
      </c>
      <c r="L740" s="6" t="e">
        <f t="shared" si="1589"/>
        <v>#DIV/0!</v>
      </c>
      <c r="M740" s="68">
        <v>0</v>
      </c>
      <c r="N740" s="5">
        <v>0</v>
      </c>
      <c r="O740" s="35" t="e">
        <f t="shared" si="1590"/>
        <v>#DIV/0!</v>
      </c>
      <c r="P740" s="11" t="e">
        <f t="shared" si="1591"/>
        <v>#DIV/0!</v>
      </c>
      <c r="Q740" s="35">
        <v>0</v>
      </c>
      <c r="R740" s="66">
        <v>0</v>
      </c>
      <c r="S740" s="35" t="e">
        <f t="shared" si="1592"/>
        <v>#DIV/0!</v>
      </c>
      <c r="T740" s="6" t="e">
        <f t="shared" si="1593"/>
        <v>#DIV/0!</v>
      </c>
      <c r="U740" s="68">
        <v>0</v>
      </c>
      <c r="V740" s="66">
        <v>0</v>
      </c>
      <c r="W740" s="20" t="e">
        <f t="shared" si="1594"/>
        <v>#DIV/0!</v>
      </c>
      <c r="X740" s="6" t="e">
        <f t="shared" si="1595"/>
        <v>#DIV/0!</v>
      </c>
      <c r="Y740" s="68">
        <v>0</v>
      </c>
      <c r="Z740" s="70">
        <v>0</v>
      </c>
      <c r="AA740" s="35" t="e">
        <f t="shared" si="1596"/>
        <v>#DIV/0!</v>
      </c>
      <c r="AB740" s="11" t="e">
        <f t="shared" si="1597"/>
        <v>#DIV/0!</v>
      </c>
      <c r="AC740" s="20">
        <v>0</v>
      </c>
      <c r="AD740" s="36">
        <v>0</v>
      </c>
      <c r="AE740" s="35" t="e">
        <f t="shared" si="1598"/>
        <v>#DIV/0!</v>
      </c>
      <c r="AF740" s="6" t="e">
        <f t="shared" si="1599"/>
        <v>#DIV/0!</v>
      </c>
      <c r="AG740" s="68">
        <v>0</v>
      </c>
      <c r="AH740" s="66">
        <v>0</v>
      </c>
      <c r="AI740" s="35" t="e">
        <f t="shared" si="1600"/>
        <v>#DIV/0!</v>
      </c>
      <c r="AJ740" s="6" t="e">
        <f t="shared" si="1601"/>
        <v>#DIV/0!</v>
      </c>
      <c r="AK740" s="68">
        <v>1830</v>
      </c>
      <c r="AL740" s="65">
        <v>162</v>
      </c>
      <c r="AM740" s="35">
        <f t="shared" si="1602"/>
        <v>11.296296296296296</v>
      </c>
      <c r="AN740" s="6">
        <f t="shared" si="1603"/>
        <v>0.11286590383190359</v>
      </c>
      <c r="AO740" s="68">
        <v>3550</v>
      </c>
      <c r="AP740" s="65">
        <v>266</v>
      </c>
      <c r="AQ740" s="35">
        <f t="shared" si="1604"/>
        <v>13.345864661654135</v>
      </c>
      <c r="AR740" s="6">
        <f t="shared" si="1605"/>
        <v>0.13334397734855119</v>
      </c>
      <c r="AS740" s="68">
        <v>0</v>
      </c>
      <c r="AT740" s="66">
        <v>0</v>
      </c>
      <c r="AU740" s="35" t="e">
        <f t="shared" si="1606"/>
        <v>#DIV/0!</v>
      </c>
      <c r="AV740" s="6" t="e">
        <f t="shared" si="1607"/>
        <v>#DIV/0!</v>
      </c>
      <c r="AW740" s="68">
        <v>6330</v>
      </c>
      <c r="AX740" s="65">
        <v>360</v>
      </c>
      <c r="AY740" s="35">
        <f t="shared" si="1608"/>
        <v>17.583333333333332</v>
      </c>
      <c r="AZ740" s="6">
        <f t="shared" si="1609"/>
        <v>0.17568225522687286</v>
      </c>
      <c r="BA740" s="68">
        <v>0</v>
      </c>
      <c r="BB740" s="66">
        <v>0</v>
      </c>
      <c r="BC740" s="35" t="e">
        <f t="shared" si="1610"/>
        <v>#DIV/0!</v>
      </c>
      <c r="BD740" s="11" t="e">
        <f t="shared" si="1611"/>
        <v>#DIV/0!</v>
      </c>
    </row>
    <row r="741" spans="1:56" ht="15.75" thickBot="1" x14ac:dyDescent="0.3">
      <c r="A741" s="19" t="s">
        <v>5</v>
      </c>
      <c r="B741" s="8">
        <v>215080</v>
      </c>
      <c r="C741" s="35">
        <f>B741/F733</f>
        <v>132.11302211302211</v>
      </c>
      <c r="D741" s="8">
        <v>7050</v>
      </c>
      <c r="E741" s="68">
        <v>0</v>
      </c>
      <c r="F741" s="70">
        <v>0</v>
      </c>
      <c r="G741" s="35" t="e">
        <f t="shared" si="1586"/>
        <v>#DIV/0!</v>
      </c>
      <c r="H741" s="11" t="e">
        <f t="shared" si="1587"/>
        <v>#DIV/0!</v>
      </c>
      <c r="I741" s="35">
        <v>0</v>
      </c>
      <c r="J741" s="70">
        <v>0</v>
      </c>
      <c r="K741" s="35" t="e">
        <f t="shared" si="1588"/>
        <v>#DIV/0!</v>
      </c>
      <c r="L741" s="6" t="e">
        <f t="shared" si="1589"/>
        <v>#DIV/0!</v>
      </c>
      <c r="M741" s="68">
        <v>0</v>
      </c>
      <c r="N741" s="5">
        <v>0</v>
      </c>
      <c r="O741" s="35" t="e">
        <f t="shared" si="1590"/>
        <v>#DIV/0!</v>
      </c>
      <c r="P741" s="11" t="e">
        <f t="shared" si="1591"/>
        <v>#DIV/0!</v>
      </c>
      <c r="Q741" s="35">
        <v>0</v>
      </c>
      <c r="R741" s="66">
        <v>0</v>
      </c>
      <c r="S741" s="35" t="e">
        <f t="shared" si="1592"/>
        <v>#DIV/0!</v>
      </c>
      <c r="T741" s="6" t="e">
        <f t="shared" si="1593"/>
        <v>#DIV/0!</v>
      </c>
      <c r="U741" s="68">
        <v>0</v>
      </c>
      <c r="V741" s="66">
        <v>0</v>
      </c>
      <c r="W741" s="20" t="e">
        <f t="shared" si="1594"/>
        <v>#DIV/0!</v>
      </c>
      <c r="X741" s="6" t="e">
        <f t="shared" si="1595"/>
        <v>#DIV/0!</v>
      </c>
      <c r="Y741" s="68">
        <v>0</v>
      </c>
      <c r="Z741" s="70">
        <v>0</v>
      </c>
      <c r="AA741" s="35" t="e">
        <f t="shared" si="1596"/>
        <v>#DIV/0!</v>
      </c>
      <c r="AB741" s="11" t="e">
        <f t="shared" si="1597"/>
        <v>#DIV/0!</v>
      </c>
      <c r="AC741" s="20">
        <v>0</v>
      </c>
      <c r="AD741" s="36">
        <v>0</v>
      </c>
      <c r="AE741" s="35" t="e">
        <f t="shared" si="1598"/>
        <v>#DIV/0!</v>
      </c>
      <c r="AF741" s="6" t="e">
        <f t="shared" si="1599"/>
        <v>#DIV/0!</v>
      </c>
      <c r="AG741" s="68">
        <v>0</v>
      </c>
      <c r="AH741" s="66">
        <v>0</v>
      </c>
      <c r="AI741" s="35" t="e">
        <f t="shared" si="1600"/>
        <v>#DIV/0!</v>
      </c>
      <c r="AJ741" s="6" t="e">
        <f t="shared" si="1601"/>
        <v>#DIV/0!</v>
      </c>
      <c r="AK741" s="68">
        <v>2020</v>
      </c>
      <c r="AL741" s="65">
        <v>162</v>
      </c>
      <c r="AM741" s="35">
        <f t="shared" si="1602"/>
        <v>12.469135802469136</v>
      </c>
      <c r="AN741" s="6">
        <f t="shared" si="1603"/>
        <v>9.438233720671263E-2</v>
      </c>
      <c r="AO741" s="68">
        <v>4350</v>
      </c>
      <c r="AP741" s="65">
        <v>266</v>
      </c>
      <c r="AQ741" s="35">
        <f t="shared" si="1604"/>
        <v>16.353383458646615</v>
      </c>
      <c r="AR741" s="6">
        <f t="shared" si="1605"/>
        <v>0.12378328189825502</v>
      </c>
      <c r="AS741" s="68">
        <v>0</v>
      </c>
      <c r="AT741" s="66">
        <v>0</v>
      </c>
      <c r="AU741" s="35" t="e">
        <f t="shared" si="1606"/>
        <v>#DIV/0!</v>
      </c>
      <c r="AV741" s="6" t="e">
        <f t="shared" si="1607"/>
        <v>#DIV/0!</v>
      </c>
      <c r="AW741" s="68">
        <v>7710</v>
      </c>
      <c r="AX741" s="65">
        <v>360</v>
      </c>
      <c r="AY741" s="35">
        <f t="shared" si="1608"/>
        <v>21.416666666666668</v>
      </c>
      <c r="AZ741" s="6">
        <f t="shared" si="1609"/>
        <v>0.1621086727419255</v>
      </c>
      <c r="BA741" s="68">
        <v>0</v>
      </c>
      <c r="BB741" s="66">
        <v>0</v>
      </c>
      <c r="BC741" s="35" t="e">
        <f t="shared" si="1610"/>
        <v>#DIV/0!</v>
      </c>
      <c r="BD741" s="11" t="e">
        <f t="shared" si="1611"/>
        <v>#DIV/0!</v>
      </c>
    </row>
    <row r="742" spans="1:56" x14ac:dyDescent="0.25">
      <c r="A742" s="19" t="s">
        <v>6</v>
      </c>
      <c r="B742" s="8">
        <v>262840</v>
      </c>
      <c r="C742" s="35">
        <f>B742/F733</f>
        <v>161.44963144963145</v>
      </c>
      <c r="D742" s="8">
        <v>10950</v>
      </c>
      <c r="E742" s="68">
        <v>0</v>
      </c>
      <c r="F742" s="70">
        <v>0</v>
      </c>
      <c r="G742" s="35" t="e">
        <f t="shared" si="1586"/>
        <v>#DIV/0!</v>
      </c>
      <c r="H742" s="11" t="e">
        <f t="shared" si="1587"/>
        <v>#DIV/0!</v>
      </c>
      <c r="I742" s="35">
        <v>0</v>
      </c>
      <c r="J742" s="70">
        <v>0</v>
      </c>
      <c r="K742" s="35" t="e">
        <f t="shared" si="1588"/>
        <v>#DIV/0!</v>
      </c>
      <c r="L742" s="6" t="e">
        <f t="shared" si="1589"/>
        <v>#DIV/0!</v>
      </c>
      <c r="M742" s="68">
        <v>0</v>
      </c>
      <c r="N742" s="5">
        <v>0</v>
      </c>
      <c r="O742" s="35" t="e">
        <f t="shared" si="1590"/>
        <v>#DIV/0!</v>
      </c>
      <c r="P742" s="11" t="e">
        <f t="shared" si="1591"/>
        <v>#DIV/0!</v>
      </c>
      <c r="Q742" s="35">
        <v>0</v>
      </c>
      <c r="R742" s="66">
        <v>0</v>
      </c>
      <c r="S742" s="35" t="e">
        <f t="shared" si="1592"/>
        <v>#DIV/0!</v>
      </c>
      <c r="T742" s="6" t="e">
        <f t="shared" si="1593"/>
        <v>#DIV/0!</v>
      </c>
      <c r="U742" s="68">
        <v>0</v>
      </c>
      <c r="V742" s="66">
        <v>0</v>
      </c>
      <c r="W742" s="20" t="e">
        <f t="shared" si="1594"/>
        <v>#DIV/0!</v>
      </c>
      <c r="X742" s="6" t="e">
        <f t="shared" si="1595"/>
        <v>#DIV/0!</v>
      </c>
      <c r="Y742" s="68">
        <v>0</v>
      </c>
      <c r="Z742" s="70">
        <v>0</v>
      </c>
      <c r="AA742" s="35" t="e">
        <f t="shared" si="1596"/>
        <v>#DIV/0!</v>
      </c>
      <c r="AB742" s="11" t="e">
        <f t="shared" si="1597"/>
        <v>#DIV/0!</v>
      </c>
      <c r="AC742" s="20">
        <v>0</v>
      </c>
      <c r="AD742" s="36">
        <v>0</v>
      </c>
      <c r="AE742" s="35" t="e">
        <f t="shared" si="1598"/>
        <v>#DIV/0!</v>
      </c>
      <c r="AF742" s="6" t="e">
        <f t="shared" si="1599"/>
        <v>#DIV/0!</v>
      </c>
      <c r="AG742" s="68">
        <v>0</v>
      </c>
      <c r="AH742" s="66">
        <v>0</v>
      </c>
      <c r="AI742" s="35" t="e">
        <f t="shared" si="1600"/>
        <v>#DIV/0!</v>
      </c>
      <c r="AJ742" s="6" t="e">
        <f t="shared" si="1601"/>
        <v>#DIV/0!</v>
      </c>
      <c r="AK742" s="68">
        <v>2250</v>
      </c>
      <c r="AL742" s="65">
        <v>162</v>
      </c>
      <c r="AM742" s="35">
        <f t="shared" si="1602"/>
        <v>13.888888888888889</v>
      </c>
      <c r="AN742" s="6">
        <f t="shared" si="1603"/>
        <v>8.6026141801518463E-2</v>
      </c>
      <c r="AO742" s="68">
        <v>4640</v>
      </c>
      <c r="AP742" s="65">
        <v>266</v>
      </c>
      <c r="AQ742" s="35">
        <f t="shared" si="1604"/>
        <v>17.443609022556391</v>
      </c>
      <c r="AR742" s="6">
        <f t="shared" si="1605"/>
        <v>0.10804365959793716</v>
      </c>
      <c r="AS742" s="68">
        <v>0</v>
      </c>
      <c r="AT742" s="66">
        <v>0</v>
      </c>
      <c r="AU742" s="35" t="e">
        <f t="shared" si="1606"/>
        <v>#DIV/0!</v>
      </c>
      <c r="AV742" s="6" t="e">
        <f t="shared" si="1607"/>
        <v>#DIV/0!</v>
      </c>
      <c r="AW742" s="68">
        <v>8940</v>
      </c>
      <c r="AX742" s="65">
        <v>360</v>
      </c>
      <c r="AY742" s="35">
        <f t="shared" si="1608"/>
        <v>24.833333333333332</v>
      </c>
      <c r="AZ742" s="6">
        <f t="shared" si="1609"/>
        <v>0.15381474154111499</v>
      </c>
      <c r="BA742" s="68">
        <v>0</v>
      </c>
      <c r="BB742" s="66">
        <v>0</v>
      </c>
      <c r="BC742" s="35" t="e">
        <f t="shared" si="1610"/>
        <v>#DIV/0!</v>
      </c>
      <c r="BD742" s="11" t="e">
        <f t="shared" si="1611"/>
        <v>#DIV/0!</v>
      </c>
    </row>
    <row r="743" spans="1:56" ht="15.75" thickBot="1" x14ac:dyDescent="0.3">
      <c r="A743" s="21"/>
      <c r="B743" s="22"/>
      <c r="C743" s="23">
        <f>AVERAGE(Table11055[MA $/Sq Ft])</f>
        <v>92.384169884169879</v>
      </c>
      <c r="D743" s="22">
        <f>AVERAGE(Table11055[Basic Allowance])</f>
        <v>4442.8571428571431</v>
      </c>
      <c r="E743" s="16"/>
      <c r="F743" s="22"/>
      <c r="G743" s="15"/>
      <c r="H743" s="24" t="e">
        <f>AVERAGE(Table11055[Bsmt % Base])</f>
        <v>#DIV/0!</v>
      </c>
      <c r="I743" s="15"/>
      <c r="J743" s="15"/>
      <c r="K743" s="15"/>
      <c r="L743" s="25" t="e">
        <f>AVERAGE(Table11055[[#Headers],[#Data],[UnfBsmt % Base]])</f>
        <v>#DIV/0!</v>
      </c>
      <c r="M743" s="44"/>
      <c r="N743" s="15"/>
      <c r="O743" s="23" t="e">
        <f>AVERAGE(Table11055[LowerVal/SqFt])</f>
        <v>#DIV/0!</v>
      </c>
      <c r="P743" s="24" t="e">
        <f>AVERAGE(Table11055[Lower % Base])</f>
        <v>#DIV/0!</v>
      </c>
      <c r="Q743" s="13"/>
      <c r="R743" s="13"/>
      <c r="S743" s="13"/>
      <c r="T743" s="25" t="e">
        <f>AVERAGE(Table11055[Unf Lower % Base])</f>
        <v>#DIV/0!</v>
      </c>
      <c r="U743" s="12"/>
      <c r="V743" s="13"/>
      <c r="W743" s="13"/>
      <c r="X743" s="25" t="e">
        <f>AVERAGE(Table11055[1/2 Story % Base])</f>
        <v>#DIV/0!</v>
      </c>
      <c r="Y743" s="12"/>
      <c r="Z743" s="13"/>
      <c r="AA743" s="13"/>
      <c r="AB743" s="24" t="e">
        <f>AVERAGE(Table11055[2nd Story % Base])</f>
        <v>#DIV/0!</v>
      </c>
      <c r="AC743" s="13"/>
      <c r="AD743" s="13"/>
      <c r="AE743" s="23" t="e">
        <f>AVERAGE(Table11055[AttGarVal/SqFt])</f>
        <v>#DIV/0!</v>
      </c>
      <c r="AF743" s="25" t="e">
        <f>AVERAGE(Table11055[Att Gar % Base])</f>
        <v>#DIV/0!</v>
      </c>
      <c r="AG743" s="12"/>
      <c r="AH743" s="13"/>
      <c r="AI743" s="13"/>
      <c r="AJ743" s="25" t="e">
        <f>AVERAGE(Table11055[Porch % Base])</f>
        <v>#DIV/0!</v>
      </c>
      <c r="AK743" s="12"/>
      <c r="AL743" s="13"/>
      <c r="AM743" s="13"/>
      <c r="AN743" s="25">
        <f>AVERAGE(Table11055[Cov Porch % Base])</f>
        <v>0.11432041119650338</v>
      </c>
      <c r="AO743" s="12"/>
      <c r="AP743" s="13"/>
      <c r="AQ743" s="13"/>
      <c r="AR743" s="25">
        <f>AVERAGE(Table11055[Deck % Base])</f>
        <v>0.13284222084612346</v>
      </c>
      <c r="AS743" s="12"/>
      <c r="AT743" s="13"/>
      <c r="AU743" s="23" t="e">
        <f>AVERAGE(Table11055[CovDeckVal/SqFt])</f>
        <v>#DIV/0!</v>
      </c>
      <c r="AV743" s="25" t="e">
        <f>AVERAGE(Table11055[CovDeck % Base])</f>
        <v>#DIV/0!</v>
      </c>
      <c r="AW743" s="12"/>
      <c r="AX743" s="13"/>
      <c r="AY743" s="13"/>
      <c r="AZ743" s="25">
        <f>AVERAGE(Table11055[CarP % Base])</f>
        <v>0.17032052982022336</v>
      </c>
      <c r="BA743" s="12"/>
      <c r="BB743" s="13"/>
      <c r="BC743" s="13"/>
      <c r="BD743" s="24" t="e">
        <f>AVERAGE(Table11055[EFP % Base])</f>
        <v>#DIV/0!</v>
      </c>
    </row>
    <row r="745" spans="1:56" ht="15.75" thickBot="1" x14ac:dyDescent="0.3">
      <c r="A745" s="82"/>
      <c r="B745" t="s">
        <v>79</v>
      </c>
      <c r="C745" s="78" t="s">
        <v>161</v>
      </c>
      <c r="E745" t="s">
        <v>33</v>
      </c>
      <c r="F745" s="79">
        <v>1288</v>
      </c>
      <c r="H745" t="s">
        <v>80</v>
      </c>
      <c r="I745" t="s">
        <v>199</v>
      </c>
    </row>
    <row r="746" spans="1:56" x14ac:dyDescent="0.25">
      <c r="A746" s="112"/>
      <c r="B746" s="113"/>
      <c r="C746" s="113"/>
      <c r="D746" s="114"/>
      <c r="E746" s="115" t="s">
        <v>27</v>
      </c>
      <c r="F746" s="116"/>
      <c r="G746" s="116"/>
      <c r="H746" s="117"/>
      <c r="I746" s="118" t="s">
        <v>28</v>
      </c>
      <c r="J746" s="119"/>
      <c r="K746" s="119"/>
      <c r="L746" s="120"/>
      <c r="M746" s="121" t="s">
        <v>7</v>
      </c>
      <c r="N746" s="122"/>
      <c r="O746" s="122"/>
      <c r="P746" s="123"/>
      <c r="Q746" s="124" t="s">
        <v>29</v>
      </c>
      <c r="R746" s="125"/>
      <c r="S746" s="125"/>
      <c r="T746" s="126"/>
      <c r="U746" s="127" t="s">
        <v>8</v>
      </c>
      <c r="V746" s="128"/>
      <c r="W746" s="128"/>
      <c r="X746" s="129"/>
      <c r="Y746" s="130" t="s">
        <v>0</v>
      </c>
      <c r="Z746" s="131"/>
      <c r="AA746" s="131"/>
      <c r="AB746" s="132"/>
      <c r="AC746" s="133" t="s">
        <v>34</v>
      </c>
      <c r="AD746" s="134"/>
      <c r="AE746" s="134"/>
      <c r="AF746" s="135"/>
      <c r="AG746" s="115" t="s">
        <v>9</v>
      </c>
      <c r="AH746" s="116"/>
      <c r="AI746" s="116"/>
      <c r="AJ746" s="117"/>
      <c r="AK746" s="136" t="s">
        <v>35</v>
      </c>
      <c r="AL746" s="137"/>
      <c r="AM746" s="137"/>
      <c r="AN746" s="138"/>
      <c r="AO746" s="139" t="s">
        <v>10</v>
      </c>
      <c r="AP746" s="140"/>
      <c r="AQ746" s="140"/>
      <c r="AR746" s="141"/>
      <c r="AS746" s="124" t="s">
        <v>36</v>
      </c>
      <c r="AT746" s="125"/>
      <c r="AU746" s="125"/>
      <c r="AV746" s="126"/>
      <c r="AW746" s="142" t="s">
        <v>11</v>
      </c>
      <c r="AX746" s="143"/>
      <c r="AY746" s="143"/>
      <c r="AZ746" s="144"/>
      <c r="BA746" s="148" t="s">
        <v>17</v>
      </c>
      <c r="BB746" s="149"/>
      <c r="BC746" s="149"/>
      <c r="BD746" s="150"/>
    </row>
    <row r="747" spans="1:56" s="1" customFormat="1" ht="15.75" thickBot="1" x14ac:dyDescent="0.3">
      <c r="A747" s="41" t="s">
        <v>13</v>
      </c>
      <c r="B747" s="42" t="s">
        <v>15</v>
      </c>
      <c r="C747" s="42" t="s">
        <v>32</v>
      </c>
      <c r="D747" s="43" t="s">
        <v>18</v>
      </c>
      <c r="E747" s="30" t="s">
        <v>30</v>
      </c>
      <c r="F747" s="31" t="s">
        <v>61</v>
      </c>
      <c r="G747" s="31" t="s">
        <v>38</v>
      </c>
      <c r="H747" s="32" t="s">
        <v>62</v>
      </c>
      <c r="I747" s="37" t="s">
        <v>31</v>
      </c>
      <c r="J747" s="38" t="s">
        <v>39</v>
      </c>
      <c r="K747" s="38" t="s">
        <v>40</v>
      </c>
      <c r="L747" s="39" t="s">
        <v>63</v>
      </c>
      <c r="M747" s="40" t="s">
        <v>19</v>
      </c>
      <c r="N747" s="7" t="s">
        <v>41</v>
      </c>
      <c r="O747" s="7" t="s">
        <v>37</v>
      </c>
      <c r="P747" s="7" t="s">
        <v>64</v>
      </c>
      <c r="Q747" s="27" t="s">
        <v>20</v>
      </c>
      <c r="R747" s="28" t="s">
        <v>60</v>
      </c>
      <c r="S747" s="28" t="s">
        <v>59</v>
      </c>
      <c r="T747" s="29" t="s">
        <v>65</v>
      </c>
      <c r="U747" s="48" t="s">
        <v>21</v>
      </c>
      <c r="V747" s="48" t="s">
        <v>42</v>
      </c>
      <c r="W747" s="48" t="s">
        <v>43</v>
      </c>
      <c r="X747" s="49" t="s">
        <v>66</v>
      </c>
      <c r="Y747" s="50" t="s">
        <v>22</v>
      </c>
      <c r="Z747" s="51" t="s">
        <v>44</v>
      </c>
      <c r="AA747" s="51" t="s">
        <v>45</v>
      </c>
      <c r="AB747" s="52" t="s">
        <v>67</v>
      </c>
      <c r="AC747" s="45" t="s">
        <v>23</v>
      </c>
      <c r="AD747" s="46" t="s">
        <v>46</v>
      </c>
      <c r="AE747" s="46" t="s">
        <v>47</v>
      </c>
      <c r="AF747" s="47" t="s">
        <v>68</v>
      </c>
      <c r="AG747" s="30" t="s">
        <v>24</v>
      </c>
      <c r="AH747" s="31" t="s">
        <v>48</v>
      </c>
      <c r="AI747" s="31" t="s">
        <v>49</v>
      </c>
      <c r="AJ747" s="32" t="s">
        <v>69</v>
      </c>
      <c r="AK747" s="53" t="s">
        <v>25</v>
      </c>
      <c r="AL747" s="54" t="s">
        <v>50</v>
      </c>
      <c r="AM747" s="54" t="s">
        <v>51</v>
      </c>
      <c r="AN747" s="55" t="s">
        <v>70</v>
      </c>
      <c r="AO747" s="56" t="s">
        <v>26</v>
      </c>
      <c r="AP747" s="57" t="s">
        <v>52</v>
      </c>
      <c r="AQ747" s="57" t="s">
        <v>53</v>
      </c>
      <c r="AR747" s="58" t="s">
        <v>71</v>
      </c>
      <c r="AS747" s="59" t="s">
        <v>55</v>
      </c>
      <c r="AT747" s="60" t="s">
        <v>54</v>
      </c>
      <c r="AU747" s="60" t="s">
        <v>56</v>
      </c>
      <c r="AV747" s="61" t="s">
        <v>76</v>
      </c>
      <c r="AW747" s="62" t="s">
        <v>72</v>
      </c>
      <c r="AX747" s="63" t="s">
        <v>73</v>
      </c>
      <c r="AY747" s="63" t="s">
        <v>74</v>
      </c>
      <c r="AZ747" s="64" t="s">
        <v>75</v>
      </c>
      <c r="BA747" s="71" t="s">
        <v>77</v>
      </c>
      <c r="BB747" s="72" t="s">
        <v>57</v>
      </c>
      <c r="BC747" s="72" t="s">
        <v>58</v>
      </c>
      <c r="BD747" s="73" t="s">
        <v>78</v>
      </c>
    </row>
    <row r="748" spans="1:56" ht="15.75" thickBot="1" x14ac:dyDescent="0.3">
      <c r="A748" s="17" t="s">
        <v>1</v>
      </c>
      <c r="B748" s="14">
        <v>64670</v>
      </c>
      <c r="C748" s="34">
        <f>B748/F745</f>
        <v>50.20962732919255</v>
      </c>
      <c r="D748" s="87">
        <v>3050</v>
      </c>
      <c r="E748" s="67">
        <v>0</v>
      </c>
      <c r="F748" s="69">
        <v>0</v>
      </c>
      <c r="G748" s="34" t="e">
        <f t="shared" ref="G748:G754" si="1612">E748/F748</f>
        <v>#DIV/0!</v>
      </c>
      <c r="H748" s="10" t="e">
        <f t="shared" ref="H748:H754" si="1613">G748/C748</f>
        <v>#DIV/0!</v>
      </c>
      <c r="I748" s="34">
        <v>0</v>
      </c>
      <c r="J748" s="69">
        <v>0</v>
      </c>
      <c r="K748" s="34" t="e">
        <f t="shared" ref="K748:K754" si="1614">I748/J748</f>
        <v>#DIV/0!</v>
      </c>
      <c r="L748" s="9" t="e">
        <f t="shared" ref="L748:L754" si="1615">K748/C748</f>
        <v>#DIV/0!</v>
      </c>
      <c r="M748" s="67">
        <v>0</v>
      </c>
      <c r="N748" s="26">
        <v>0</v>
      </c>
      <c r="O748" s="34" t="e">
        <f t="shared" ref="O748:O754" si="1616">M748/N748</f>
        <v>#DIV/0!</v>
      </c>
      <c r="P748" s="10" t="e">
        <f t="shared" ref="P748:P754" si="1617">O748/C748</f>
        <v>#DIV/0!</v>
      </c>
      <c r="Q748" s="35">
        <v>0</v>
      </c>
      <c r="R748" s="66">
        <v>0</v>
      </c>
      <c r="S748" s="35" t="e">
        <f t="shared" ref="S748:S754" si="1618">Q748/R748</f>
        <v>#DIV/0!</v>
      </c>
      <c r="T748" s="6" t="e">
        <f t="shared" ref="T748:T754" si="1619">S748/C748</f>
        <v>#DIV/0!</v>
      </c>
      <c r="U748" s="67">
        <v>0</v>
      </c>
      <c r="V748" s="65">
        <v>0</v>
      </c>
      <c r="W748" s="18" t="e">
        <f t="shared" ref="W748:W754" si="1620">U748/V748</f>
        <v>#DIV/0!</v>
      </c>
      <c r="X748" s="9" t="e">
        <f t="shared" ref="X748:X754" si="1621">W748/C748</f>
        <v>#DIV/0!</v>
      </c>
      <c r="Y748" s="67">
        <v>0</v>
      </c>
      <c r="Z748" s="69">
        <v>0</v>
      </c>
      <c r="AA748" s="34" t="e">
        <f t="shared" ref="AA748:AA754" si="1622">Y748/Z748</f>
        <v>#DIV/0!</v>
      </c>
      <c r="AB748" s="10" t="e">
        <f t="shared" ref="AB748:AB754" si="1623">AA748/C748</f>
        <v>#DIV/0!</v>
      </c>
      <c r="AC748" s="18">
        <v>0</v>
      </c>
      <c r="AD748" s="33">
        <v>0</v>
      </c>
      <c r="AE748" s="34" t="e">
        <f t="shared" ref="AE748:AE754" si="1624">AC748/AD748</f>
        <v>#DIV/0!</v>
      </c>
      <c r="AF748" s="9" t="e">
        <f t="shared" ref="AF748:AF754" si="1625">AE748/C748</f>
        <v>#DIV/0!</v>
      </c>
      <c r="AG748" s="67">
        <v>0</v>
      </c>
      <c r="AH748" s="65">
        <v>0</v>
      </c>
      <c r="AI748" s="34" t="e">
        <f t="shared" ref="AI748:AI754" si="1626">AG748/AH748</f>
        <v>#DIV/0!</v>
      </c>
      <c r="AJ748" s="9" t="e">
        <f t="shared" ref="AJ748:AJ754" si="1627">AI748/C748</f>
        <v>#DIV/0!</v>
      </c>
      <c r="AK748" s="67">
        <v>0</v>
      </c>
      <c r="AL748" s="65">
        <v>0</v>
      </c>
      <c r="AM748" s="34" t="e">
        <f t="shared" ref="AM748:AM754" si="1628">AK748/AL748</f>
        <v>#DIV/0!</v>
      </c>
      <c r="AN748" s="9" t="e">
        <f t="shared" ref="AN748:AN754" si="1629">AM748/C748</f>
        <v>#DIV/0!</v>
      </c>
      <c r="AO748" s="67">
        <v>0</v>
      </c>
      <c r="AP748" s="65">
        <v>0</v>
      </c>
      <c r="AQ748" s="34" t="e">
        <f t="shared" ref="AQ748:AQ754" si="1630">AO748/AP748</f>
        <v>#DIV/0!</v>
      </c>
      <c r="AR748" s="9" t="e">
        <f t="shared" ref="AR748:AR754" si="1631">AQ748/C748</f>
        <v>#DIV/0!</v>
      </c>
      <c r="AS748" s="67">
        <v>0</v>
      </c>
      <c r="AT748" s="65">
        <v>0</v>
      </c>
      <c r="AU748" s="34" t="e">
        <f t="shared" ref="AU748:AU754" si="1632">AS748/AT748</f>
        <v>#DIV/0!</v>
      </c>
      <c r="AV748" s="9" t="e">
        <f t="shared" ref="AV748:AV754" si="1633">AU748/C748</f>
        <v>#DIV/0!</v>
      </c>
      <c r="AW748" s="67">
        <v>5290</v>
      </c>
      <c r="AX748" s="65">
        <v>627</v>
      </c>
      <c r="AY748" s="34">
        <f t="shared" ref="AY748:AY754" si="1634">AW748/AX748</f>
        <v>8.4370015948963317</v>
      </c>
      <c r="AZ748" s="9">
        <f t="shared" ref="AZ748:AZ754" si="1635">AY748/C748</f>
        <v>0.16803553508932231</v>
      </c>
      <c r="BA748" s="67">
        <v>0</v>
      </c>
      <c r="BB748" s="65">
        <v>0</v>
      </c>
      <c r="BC748" s="34" t="e">
        <f t="shared" ref="BC748:BC754" si="1636">BA748/BB748</f>
        <v>#DIV/0!</v>
      </c>
      <c r="BD748" s="10" t="e">
        <f t="shared" ref="BD748:BD754" si="1637">BC748/C748</f>
        <v>#DIV/0!</v>
      </c>
    </row>
    <row r="749" spans="1:56" ht="15.75" thickBot="1" x14ac:dyDescent="0.3">
      <c r="A749" s="19" t="s">
        <v>16</v>
      </c>
      <c r="B749" s="8">
        <v>76090</v>
      </c>
      <c r="C749" s="35">
        <f>B749/F745</f>
        <v>59.076086956521742</v>
      </c>
      <c r="D749" s="88">
        <v>3050</v>
      </c>
      <c r="E749" s="68">
        <v>0</v>
      </c>
      <c r="F749" s="70">
        <v>0</v>
      </c>
      <c r="G749" s="35" t="e">
        <f t="shared" si="1612"/>
        <v>#DIV/0!</v>
      </c>
      <c r="H749" s="11" t="e">
        <f t="shared" si="1613"/>
        <v>#DIV/0!</v>
      </c>
      <c r="I749" s="35">
        <v>0</v>
      </c>
      <c r="J749" s="70">
        <v>0</v>
      </c>
      <c r="K749" s="35" t="e">
        <f t="shared" si="1614"/>
        <v>#DIV/0!</v>
      </c>
      <c r="L749" s="6" t="e">
        <f t="shared" si="1615"/>
        <v>#DIV/0!</v>
      </c>
      <c r="M749" s="68">
        <v>0</v>
      </c>
      <c r="N749" s="5">
        <v>0</v>
      </c>
      <c r="O749" s="35" t="e">
        <f t="shared" si="1616"/>
        <v>#DIV/0!</v>
      </c>
      <c r="P749" s="11" t="e">
        <f t="shared" si="1617"/>
        <v>#DIV/0!</v>
      </c>
      <c r="Q749" s="35">
        <v>0</v>
      </c>
      <c r="R749" s="66">
        <v>0</v>
      </c>
      <c r="S749" s="35" t="e">
        <f t="shared" si="1618"/>
        <v>#DIV/0!</v>
      </c>
      <c r="T749" s="6" t="e">
        <f t="shared" si="1619"/>
        <v>#DIV/0!</v>
      </c>
      <c r="U749" s="68">
        <v>0</v>
      </c>
      <c r="V749" s="66">
        <v>0</v>
      </c>
      <c r="W749" s="20" t="e">
        <f t="shared" si="1620"/>
        <v>#DIV/0!</v>
      </c>
      <c r="X749" s="6" t="e">
        <f t="shared" si="1621"/>
        <v>#DIV/0!</v>
      </c>
      <c r="Y749" s="68">
        <v>0</v>
      </c>
      <c r="Z749" s="70">
        <v>0</v>
      </c>
      <c r="AA749" s="35" t="e">
        <f t="shared" si="1622"/>
        <v>#DIV/0!</v>
      </c>
      <c r="AB749" s="11" t="e">
        <f t="shared" si="1623"/>
        <v>#DIV/0!</v>
      </c>
      <c r="AC749" s="20">
        <v>0</v>
      </c>
      <c r="AD749" s="36">
        <v>0</v>
      </c>
      <c r="AE749" s="35" t="e">
        <f t="shared" si="1624"/>
        <v>#DIV/0!</v>
      </c>
      <c r="AF749" s="6" t="e">
        <f t="shared" si="1625"/>
        <v>#DIV/0!</v>
      </c>
      <c r="AG749" s="68">
        <v>0</v>
      </c>
      <c r="AH749" s="66">
        <v>0</v>
      </c>
      <c r="AI749" s="35" t="e">
        <f t="shared" si="1626"/>
        <v>#DIV/0!</v>
      </c>
      <c r="AJ749" s="6" t="e">
        <f t="shared" si="1627"/>
        <v>#DIV/0!</v>
      </c>
      <c r="AK749" s="68">
        <v>0</v>
      </c>
      <c r="AL749" s="66">
        <v>0</v>
      </c>
      <c r="AM749" s="35" t="e">
        <f t="shared" si="1628"/>
        <v>#DIV/0!</v>
      </c>
      <c r="AN749" s="6" t="e">
        <f t="shared" si="1629"/>
        <v>#DIV/0!</v>
      </c>
      <c r="AO749" s="68">
        <v>0</v>
      </c>
      <c r="AP749" s="66">
        <v>0</v>
      </c>
      <c r="AQ749" s="35" t="e">
        <f t="shared" si="1630"/>
        <v>#DIV/0!</v>
      </c>
      <c r="AR749" s="6" t="e">
        <f t="shared" si="1631"/>
        <v>#DIV/0!</v>
      </c>
      <c r="AS749" s="68">
        <v>0</v>
      </c>
      <c r="AT749" s="66">
        <v>0</v>
      </c>
      <c r="AU749" s="35" t="e">
        <f t="shared" si="1632"/>
        <v>#DIV/0!</v>
      </c>
      <c r="AV749" s="6" t="e">
        <f t="shared" si="1633"/>
        <v>#DIV/0!</v>
      </c>
      <c r="AW749" s="68">
        <v>6090</v>
      </c>
      <c r="AX749" s="65">
        <v>627</v>
      </c>
      <c r="AY749" s="35">
        <f t="shared" si="1634"/>
        <v>9.7129186602870821</v>
      </c>
      <c r="AZ749" s="6">
        <f t="shared" si="1635"/>
        <v>0.16441371053291839</v>
      </c>
      <c r="BA749" s="68">
        <v>0</v>
      </c>
      <c r="BB749" s="66">
        <v>0</v>
      </c>
      <c r="BC749" s="35" t="e">
        <f t="shared" si="1636"/>
        <v>#DIV/0!</v>
      </c>
      <c r="BD749" s="11" t="e">
        <f t="shared" si="1637"/>
        <v>#DIV/0!</v>
      </c>
    </row>
    <row r="750" spans="1:56" ht="15.75" thickBot="1" x14ac:dyDescent="0.3">
      <c r="A750" s="19" t="s">
        <v>2</v>
      </c>
      <c r="B750" s="8">
        <v>88960</v>
      </c>
      <c r="C750" s="35">
        <f>B750/F745</f>
        <v>69.068322981366464</v>
      </c>
      <c r="D750" s="88">
        <v>4200</v>
      </c>
      <c r="E750" s="68">
        <v>0</v>
      </c>
      <c r="F750" s="70">
        <v>0</v>
      </c>
      <c r="G750" s="35" t="e">
        <f t="shared" si="1612"/>
        <v>#DIV/0!</v>
      </c>
      <c r="H750" s="11" t="e">
        <f t="shared" si="1613"/>
        <v>#DIV/0!</v>
      </c>
      <c r="I750" s="35">
        <v>0</v>
      </c>
      <c r="J750" s="70">
        <v>0</v>
      </c>
      <c r="K750" s="35" t="e">
        <f t="shared" si="1614"/>
        <v>#DIV/0!</v>
      </c>
      <c r="L750" s="6" t="e">
        <f t="shared" si="1615"/>
        <v>#DIV/0!</v>
      </c>
      <c r="M750" s="68">
        <v>0</v>
      </c>
      <c r="N750" s="5">
        <v>0</v>
      </c>
      <c r="O750" s="35" t="e">
        <f t="shared" si="1616"/>
        <v>#DIV/0!</v>
      </c>
      <c r="P750" s="11" t="e">
        <f t="shared" si="1617"/>
        <v>#DIV/0!</v>
      </c>
      <c r="Q750" s="35">
        <v>0</v>
      </c>
      <c r="R750" s="66">
        <v>0</v>
      </c>
      <c r="S750" s="35" t="e">
        <f t="shared" si="1618"/>
        <v>#DIV/0!</v>
      </c>
      <c r="T750" s="6" t="e">
        <f t="shared" si="1619"/>
        <v>#DIV/0!</v>
      </c>
      <c r="U750" s="68">
        <v>0</v>
      </c>
      <c r="V750" s="66">
        <v>0</v>
      </c>
      <c r="W750" s="20" t="e">
        <f t="shared" si="1620"/>
        <v>#DIV/0!</v>
      </c>
      <c r="X750" s="6" t="e">
        <f t="shared" si="1621"/>
        <v>#DIV/0!</v>
      </c>
      <c r="Y750" s="68">
        <v>0</v>
      </c>
      <c r="Z750" s="70">
        <v>0</v>
      </c>
      <c r="AA750" s="35" t="e">
        <f t="shared" si="1622"/>
        <v>#DIV/0!</v>
      </c>
      <c r="AB750" s="11" t="e">
        <f t="shared" si="1623"/>
        <v>#DIV/0!</v>
      </c>
      <c r="AC750" s="20">
        <v>0</v>
      </c>
      <c r="AD750" s="36">
        <v>0</v>
      </c>
      <c r="AE750" s="35" t="e">
        <f t="shared" si="1624"/>
        <v>#DIV/0!</v>
      </c>
      <c r="AF750" s="6" t="e">
        <f t="shared" si="1625"/>
        <v>#DIV/0!</v>
      </c>
      <c r="AG750" s="68">
        <v>0</v>
      </c>
      <c r="AH750" s="66">
        <v>0</v>
      </c>
      <c r="AI750" s="35" t="e">
        <f t="shared" si="1626"/>
        <v>#DIV/0!</v>
      </c>
      <c r="AJ750" s="6" t="e">
        <f t="shared" si="1627"/>
        <v>#DIV/0!</v>
      </c>
      <c r="AK750" s="68">
        <v>0</v>
      </c>
      <c r="AL750" s="66">
        <v>0</v>
      </c>
      <c r="AM750" s="35" t="e">
        <f t="shared" si="1628"/>
        <v>#DIV/0!</v>
      </c>
      <c r="AN750" s="6" t="e">
        <f t="shared" si="1629"/>
        <v>#DIV/0!</v>
      </c>
      <c r="AO750" s="68">
        <v>0</v>
      </c>
      <c r="AP750" s="66">
        <v>0</v>
      </c>
      <c r="AQ750" s="35" t="e">
        <f t="shared" si="1630"/>
        <v>#DIV/0!</v>
      </c>
      <c r="AR750" s="6" t="e">
        <f t="shared" si="1631"/>
        <v>#DIV/0!</v>
      </c>
      <c r="AS750" s="68">
        <v>0</v>
      </c>
      <c r="AT750" s="66">
        <v>0</v>
      </c>
      <c r="AU750" s="35" t="e">
        <f t="shared" si="1632"/>
        <v>#DIV/0!</v>
      </c>
      <c r="AV750" s="6" t="e">
        <f t="shared" si="1633"/>
        <v>#DIV/0!</v>
      </c>
      <c r="AW750" s="68">
        <v>6900</v>
      </c>
      <c r="AX750" s="65">
        <v>627</v>
      </c>
      <c r="AY750" s="35">
        <f t="shared" si="1634"/>
        <v>11.004784688995215</v>
      </c>
      <c r="AZ750" s="6">
        <f t="shared" si="1635"/>
        <v>0.1593318646518192</v>
      </c>
      <c r="BA750" s="68">
        <v>0</v>
      </c>
      <c r="BB750" s="66">
        <v>0</v>
      </c>
      <c r="BC750" s="35" t="e">
        <f t="shared" si="1636"/>
        <v>#DIV/0!</v>
      </c>
      <c r="BD750" s="11" t="e">
        <f t="shared" si="1637"/>
        <v>#DIV/0!</v>
      </c>
    </row>
    <row r="751" spans="1:56" ht="15.75" thickBot="1" x14ac:dyDescent="0.3">
      <c r="A751" s="19" t="s">
        <v>3</v>
      </c>
      <c r="B751" s="8">
        <v>107490</v>
      </c>
      <c r="C751" s="35">
        <f>B751/F745</f>
        <v>83.454968944099377</v>
      </c>
      <c r="D751" s="88">
        <v>5400</v>
      </c>
      <c r="E751" s="68">
        <v>0</v>
      </c>
      <c r="F751" s="70">
        <v>0</v>
      </c>
      <c r="G751" s="35" t="e">
        <f t="shared" si="1612"/>
        <v>#DIV/0!</v>
      </c>
      <c r="H751" s="11" t="e">
        <f t="shared" si="1613"/>
        <v>#DIV/0!</v>
      </c>
      <c r="I751" s="35">
        <v>0</v>
      </c>
      <c r="J751" s="70">
        <v>0</v>
      </c>
      <c r="K751" s="35" t="e">
        <f t="shared" si="1614"/>
        <v>#DIV/0!</v>
      </c>
      <c r="L751" s="6" t="e">
        <f t="shared" si="1615"/>
        <v>#DIV/0!</v>
      </c>
      <c r="M751" s="68">
        <v>0</v>
      </c>
      <c r="N751" s="5">
        <v>0</v>
      </c>
      <c r="O751" s="35" t="e">
        <f t="shared" si="1616"/>
        <v>#DIV/0!</v>
      </c>
      <c r="P751" s="11" t="e">
        <f t="shared" si="1617"/>
        <v>#DIV/0!</v>
      </c>
      <c r="Q751" s="35">
        <v>0</v>
      </c>
      <c r="R751" s="66">
        <v>0</v>
      </c>
      <c r="S751" s="35" t="e">
        <f t="shared" si="1618"/>
        <v>#DIV/0!</v>
      </c>
      <c r="T751" s="6" t="e">
        <f t="shared" si="1619"/>
        <v>#DIV/0!</v>
      </c>
      <c r="U751" s="68">
        <v>0</v>
      </c>
      <c r="V751" s="66">
        <v>0</v>
      </c>
      <c r="W751" s="20" t="e">
        <f t="shared" si="1620"/>
        <v>#DIV/0!</v>
      </c>
      <c r="X751" s="6" t="e">
        <f t="shared" si="1621"/>
        <v>#DIV/0!</v>
      </c>
      <c r="Y751" s="68">
        <v>0</v>
      </c>
      <c r="Z751" s="70">
        <v>0</v>
      </c>
      <c r="AA751" s="35" t="e">
        <f t="shared" si="1622"/>
        <v>#DIV/0!</v>
      </c>
      <c r="AB751" s="11" t="e">
        <f t="shared" si="1623"/>
        <v>#DIV/0!</v>
      </c>
      <c r="AC751" s="20">
        <v>0</v>
      </c>
      <c r="AD751" s="36">
        <v>0</v>
      </c>
      <c r="AE751" s="35" t="e">
        <f t="shared" si="1624"/>
        <v>#DIV/0!</v>
      </c>
      <c r="AF751" s="6" t="e">
        <f t="shared" si="1625"/>
        <v>#DIV/0!</v>
      </c>
      <c r="AG751" s="68">
        <v>0</v>
      </c>
      <c r="AH751" s="66">
        <v>0</v>
      </c>
      <c r="AI751" s="35" t="e">
        <f t="shared" si="1626"/>
        <v>#DIV/0!</v>
      </c>
      <c r="AJ751" s="6" t="e">
        <f t="shared" si="1627"/>
        <v>#DIV/0!</v>
      </c>
      <c r="AK751" s="68">
        <v>0</v>
      </c>
      <c r="AL751" s="66">
        <v>0</v>
      </c>
      <c r="AM751" s="35" t="e">
        <f t="shared" si="1628"/>
        <v>#DIV/0!</v>
      </c>
      <c r="AN751" s="6" t="e">
        <f t="shared" si="1629"/>
        <v>#DIV/0!</v>
      </c>
      <c r="AO751" s="68">
        <v>0</v>
      </c>
      <c r="AP751" s="66">
        <v>0</v>
      </c>
      <c r="AQ751" s="35" t="e">
        <f t="shared" si="1630"/>
        <v>#DIV/0!</v>
      </c>
      <c r="AR751" s="6" t="e">
        <f t="shared" si="1631"/>
        <v>#DIV/0!</v>
      </c>
      <c r="AS751" s="68">
        <v>0</v>
      </c>
      <c r="AT751" s="66">
        <v>0</v>
      </c>
      <c r="AU751" s="35" t="e">
        <f t="shared" si="1632"/>
        <v>#DIV/0!</v>
      </c>
      <c r="AV751" s="6" t="e">
        <f t="shared" si="1633"/>
        <v>#DIV/0!</v>
      </c>
      <c r="AW751" s="68">
        <v>9710</v>
      </c>
      <c r="AX751" s="65">
        <v>627</v>
      </c>
      <c r="AY751" s="35">
        <f t="shared" si="1634"/>
        <v>15.486443381180223</v>
      </c>
      <c r="AZ751" s="6">
        <f t="shared" si="1635"/>
        <v>0.18556646269383317</v>
      </c>
      <c r="BA751" s="68">
        <v>0</v>
      </c>
      <c r="BB751" s="66">
        <v>0</v>
      </c>
      <c r="BC751" s="35" t="e">
        <f t="shared" si="1636"/>
        <v>#DIV/0!</v>
      </c>
      <c r="BD751" s="11" t="e">
        <f t="shared" si="1637"/>
        <v>#DIV/0!</v>
      </c>
    </row>
    <row r="752" spans="1:56" ht="15.75" thickBot="1" x14ac:dyDescent="0.3">
      <c r="A752" s="19" t="s">
        <v>4</v>
      </c>
      <c r="B752" s="8">
        <v>133920</v>
      </c>
      <c r="C752" s="35">
        <f>B752/F745</f>
        <v>103.9751552795031</v>
      </c>
      <c r="D752" s="88">
        <v>10500</v>
      </c>
      <c r="E752" s="68">
        <v>0</v>
      </c>
      <c r="F752" s="70">
        <v>0</v>
      </c>
      <c r="G752" s="35" t="e">
        <f t="shared" si="1612"/>
        <v>#DIV/0!</v>
      </c>
      <c r="H752" s="11" t="e">
        <f t="shared" si="1613"/>
        <v>#DIV/0!</v>
      </c>
      <c r="I752" s="35">
        <v>0</v>
      </c>
      <c r="J752" s="70">
        <v>0</v>
      </c>
      <c r="K752" s="35" t="e">
        <f t="shared" si="1614"/>
        <v>#DIV/0!</v>
      </c>
      <c r="L752" s="6" t="e">
        <f t="shared" si="1615"/>
        <v>#DIV/0!</v>
      </c>
      <c r="M752" s="68">
        <v>0</v>
      </c>
      <c r="N752" s="5">
        <v>0</v>
      </c>
      <c r="O752" s="35" t="e">
        <f t="shared" si="1616"/>
        <v>#DIV/0!</v>
      </c>
      <c r="P752" s="11" t="e">
        <f t="shared" si="1617"/>
        <v>#DIV/0!</v>
      </c>
      <c r="Q752" s="35">
        <v>0</v>
      </c>
      <c r="R752" s="66">
        <v>0</v>
      </c>
      <c r="S752" s="35" t="e">
        <f t="shared" si="1618"/>
        <v>#DIV/0!</v>
      </c>
      <c r="T752" s="6" t="e">
        <f t="shared" si="1619"/>
        <v>#DIV/0!</v>
      </c>
      <c r="U752" s="68">
        <v>0</v>
      </c>
      <c r="V752" s="66">
        <v>0</v>
      </c>
      <c r="W752" s="20" t="e">
        <f t="shared" si="1620"/>
        <v>#DIV/0!</v>
      </c>
      <c r="X752" s="6" t="e">
        <f t="shared" si="1621"/>
        <v>#DIV/0!</v>
      </c>
      <c r="Y752" s="68">
        <v>0</v>
      </c>
      <c r="Z752" s="70">
        <v>0</v>
      </c>
      <c r="AA752" s="35" t="e">
        <f t="shared" si="1622"/>
        <v>#DIV/0!</v>
      </c>
      <c r="AB752" s="11" t="e">
        <f t="shared" si="1623"/>
        <v>#DIV/0!</v>
      </c>
      <c r="AC752" s="20">
        <v>0</v>
      </c>
      <c r="AD752" s="36">
        <v>0</v>
      </c>
      <c r="AE752" s="35" t="e">
        <f t="shared" si="1624"/>
        <v>#DIV/0!</v>
      </c>
      <c r="AF752" s="6" t="e">
        <f t="shared" si="1625"/>
        <v>#DIV/0!</v>
      </c>
      <c r="AG752" s="68">
        <v>0</v>
      </c>
      <c r="AH752" s="66">
        <v>0</v>
      </c>
      <c r="AI752" s="35" t="e">
        <f t="shared" si="1626"/>
        <v>#DIV/0!</v>
      </c>
      <c r="AJ752" s="6" t="e">
        <f t="shared" si="1627"/>
        <v>#DIV/0!</v>
      </c>
      <c r="AK752" s="68">
        <v>0</v>
      </c>
      <c r="AL752" s="66">
        <v>0</v>
      </c>
      <c r="AM752" s="35" t="e">
        <f t="shared" si="1628"/>
        <v>#DIV/0!</v>
      </c>
      <c r="AN752" s="6" t="e">
        <f t="shared" si="1629"/>
        <v>#DIV/0!</v>
      </c>
      <c r="AO752" s="68">
        <v>0</v>
      </c>
      <c r="AP752" s="66">
        <v>0</v>
      </c>
      <c r="AQ752" s="35" t="e">
        <f t="shared" si="1630"/>
        <v>#DIV/0!</v>
      </c>
      <c r="AR752" s="6" t="e">
        <f t="shared" si="1631"/>
        <v>#DIV/0!</v>
      </c>
      <c r="AS752" s="68">
        <v>0</v>
      </c>
      <c r="AT752" s="66">
        <v>0</v>
      </c>
      <c r="AU752" s="35" t="e">
        <f t="shared" si="1632"/>
        <v>#DIV/0!</v>
      </c>
      <c r="AV752" s="6" t="e">
        <f t="shared" si="1633"/>
        <v>#DIV/0!</v>
      </c>
      <c r="AW752" s="68">
        <v>11020</v>
      </c>
      <c r="AX752" s="65">
        <v>627</v>
      </c>
      <c r="AY752" s="35">
        <f t="shared" si="1634"/>
        <v>17.575757575757574</v>
      </c>
      <c r="AZ752" s="6">
        <f t="shared" si="1635"/>
        <v>0.16903805075848086</v>
      </c>
      <c r="BA752" s="68">
        <v>0</v>
      </c>
      <c r="BB752" s="66">
        <v>0</v>
      </c>
      <c r="BC752" s="35" t="e">
        <f t="shared" si="1636"/>
        <v>#DIV/0!</v>
      </c>
      <c r="BD752" s="11" t="e">
        <f t="shared" si="1637"/>
        <v>#DIV/0!</v>
      </c>
    </row>
    <row r="753" spans="1:56" ht="15.75" thickBot="1" x14ac:dyDescent="0.3">
      <c r="A753" s="19" t="s">
        <v>5</v>
      </c>
      <c r="B753" s="8">
        <v>176390</v>
      </c>
      <c r="C753" s="35">
        <f>B753/F745</f>
        <v>136.94875776397515</v>
      </c>
      <c r="D753" s="88">
        <v>14100</v>
      </c>
      <c r="E753" s="68">
        <v>0</v>
      </c>
      <c r="F753" s="70">
        <v>0</v>
      </c>
      <c r="G753" s="35" t="e">
        <f t="shared" si="1612"/>
        <v>#DIV/0!</v>
      </c>
      <c r="H753" s="11" t="e">
        <f t="shared" si="1613"/>
        <v>#DIV/0!</v>
      </c>
      <c r="I753" s="35">
        <v>0</v>
      </c>
      <c r="J753" s="70">
        <v>0</v>
      </c>
      <c r="K753" s="35" t="e">
        <f t="shared" si="1614"/>
        <v>#DIV/0!</v>
      </c>
      <c r="L753" s="6" t="e">
        <f t="shared" si="1615"/>
        <v>#DIV/0!</v>
      </c>
      <c r="M753" s="68">
        <v>0</v>
      </c>
      <c r="N753" s="5">
        <v>0</v>
      </c>
      <c r="O753" s="35" t="e">
        <f t="shared" si="1616"/>
        <v>#DIV/0!</v>
      </c>
      <c r="P753" s="11" t="e">
        <f t="shared" si="1617"/>
        <v>#DIV/0!</v>
      </c>
      <c r="Q753" s="35">
        <v>0</v>
      </c>
      <c r="R753" s="66">
        <v>0</v>
      </c>
      <c r="S753" s="35" t="e">
        <f t="shared" si="1618"/>
        <v>#DIV/0!</v>
      </c>
      <c r="T753" s="6" t="e">
        <f t="shared" si="1619"/>
        <v>#DIV/0!</v>
      </c>
      <c r="U753" s="68">
        <v>0</v>
      </c>
      <c r="V753" s="66">
        <v>0</v>
      </c>
      <c r="W753" s="20" t="e">
        <f t="shared" si="1620"/>
        <v>#DIV/0!</v>
      </c>
      <c r="X753" s="6" t="e">
        <f t="shared" si="1621"/>
        <v>#DIV/0!</v>
      </c>
      <c r="Y753" s="68">
        <v>0</v>
      </c>
      <c r="Z753" s="70">
        <v>0</v>
      </c>
      <c r="AA753" s="35" t="e">
        <f t="shared" si="1622"/>
        <v>#DIV/0!</v>
      </c>
      <c r="AB753" s="11" t="e">
        <f t="shared" si="1623"/>
        <v>#DIV/0!</v>
      </c>
      <c r="AC753" s="20">
        <v>0</v>
      </c>
      <c r="AD753" s="36">
        <v>0</v>
      </c>
      <c r="AE753" s="35" t="e">
        <f t="shared" si="1624"/>
        <v>#DIV/0!</v>
      </c>
      <c r="AF753" s="6" t="e">
        <f t="shared" si="1625"/>
        <v>#DIV/0!</v>
      </c>
      <c r="AG753" s="68">
        <v>0</v>
      </c>
      <c r="AH753" s="66">
        <v>0</v>
      </c>
      <c r="AI753" s="35" t="e">
        <f t="shared" si="1626"/>
        <v>#DIV/0!</v>
      </c>
      <c r="AJ753" s="6" t="e">
        <f t="shared" si="1627"/>
        <v>#DIV/0!</v>
      </c>
      <c r="AK753" s="68">
        <v>0</v>
      </c>
      <c r="AL753" s="66">
        <v>0</v>
      </c>
      <c r="AM753" s="35" t="e">
        <f t="shared" si="1628"/>
        <v>#DIV/0!</v>
      </c>
      <c r="AN753" s="6" t="e">
        <f t="shared" si="1629"/>
        <v>#DIV/0!</v>
      </c>
      <c r="AO753" s="68">
        <v>0</v>
      </c>
      <c r="AP753" s="66">
        <v>0</v>
      </c>
      <c r="AQ753" s="35" t="e">
        <f t="shared" si="1630"/>
        <v>#DIV/0!</v>
      </c>
      <c r="AR753" s="6" t="e">
        <f t="shared" si="1631"/>
        <v>#DIV/0!</v>
      </c>
      <c r="AS753" s="68">
        <v>0</v>
      </c>
      <c r="AT753" s="66">
        <v>0</v>
      </c>
      <c r="AU753" s="35" t="e">
        <f t="shared" si="1632"/>
        <v>#DIV/0!</v>
      </c>
      <c r="AV753" s="6" t="e">
        <f t="shared" si="1633"/>
        <v>#DIV/0!</v>
      </c>
      <c r="AW753" s="68">
        <v>13430</v>
      </c>
      <c r="AX753" s="65">
        <v>627</v>
      </c>
      <c r="AY753" s="35">
        <f t="shared" si="1634"/>
        <v>21.41945773524721</v>
      </c>
      <c r="AZ753" s="6">
        <f t="shared" si="1635"/>
        <v>0.156404907097899</v>
      </c>
      <c r="BA753" s="68">
        <v>0</v>
      </c>
      <c r="BB753" s="66">
        <v>0</v>
      </c>
      <c r="BC753" s="35" t="e">
        <f t="shared" si="1636"/>
        <v>#DIV/0!</v>
      </c>
      <c r="BD753" s="11" t="e">
        <f t="shared" si="1637"/>
        <v>#DIV/0!</v>
      </c>
    </row>
    <row r="754" spans="1:56" x14ac:dyDescent="0.25">
      <c r="A754" s="19" t="s">
        <v>6</v>
      </c>
      <c r="B754" s="8">
        <v>211010</v>
      </c>
      <c r="C754" s="35">
        <f>B754/F745</f>
        <v>163.82763975155279</v>
      </c>
      <c r="D754" s="88">
        <v>21900</v>
      </c>
      <c r="E754" s="68">
        <v>0</v>
      </c>
      <c r="F754" s="70">
        <v>0</v>
      </c>
      <c r="G754" s="35" t="e">
        <f t="shared" si="1612"/>
        <v>#DIV/0!</v>
      </c>
      <c r="H754" s="11" t="e">
        <f t="shared" si="1613"/>
        <v>#DIV/0!</v>
      </c>
      <c r="I754" s="35">
        <v>0</v>
      </c>
      <c r="J754" s="70">
        <v>0</v>
      </c>
      <c r="K754" s="35" t="e">
        <f t="shared" si="1614"/>
        <v>#DIV/0!</v>
      </c>
      <c r="L754" s="6" t="e">
        <f t="shared" si="1615"/>
        <v>#DIV/0!</v>
      </c>
      <c r="M754" s="68">
        <v>0</v>
      </c>
      <c r="N754" s="5">
        <v>0</v>
      </c>
      <c r="O754" s="35" t="e">
        <f t="shared" si="1616"/>
        <v>#DIV/0!</v>
      </c>
      <c r="P754" s="11" t="e">
        <f t="shared" si="1617"/>
        <v>#DIV/0!</v>
      </c>
      <c r="Q754" s="35">
        <v>0</v>
      </c>
      <c r="R754" s="66">
        <v>0</v>
      </c>
      <c r="S754" s="35" t="e">
        <f t="shared" si="1618"/>
        <v>#DIV/0!</v>
      </c>
      <c r="T754" s="6" t="e">
        <f t="shared" si="1619"/>
        <v>#DIV/0!</v>
      </c>
      <c r="U754" s="68">
        <v>0</v>
      </c>
      <c r="V754" s="66">
        <v>0</v>
      </c>
      <c r="W754" s="20" t="e">
        <f t="shared" si="1620"/>
        <v>#DIV/0!</v>
      </c>
      <c r="X754" s="6" t="e">
        <f t="shared" si="1621"/>
        <v>#DIV/0!</v>
      </c>
      <c r="Y754" s="68">
        <v>0</v>
      </c>
      <c r="Z754" s="70">
        <v>0</v>
      </c>
      <c r="AA754" s="35" t="e">
        <f t="shared" si="1622"/>
        <v>#DIV/0!</v>
      </c>
      <c r="AB754" s="11" t="e">
        <f t="shared" si="1623"/>
        <v>#DIV/0!</v>
      </c>
      <c r="AC754" s="20">
        <v>0</v>
      </c>
      <c r="AD754" s="36">
        <v>0</v>
      </c>
      <c r="AE754" s="35" t="e">
        <f t="shared" si="1624"/>
        <v>#DIV/0!</v>
      </c>
      <c r="AF754" s="6" t="e">
        <f t="shared" si="1625"/>
        <v>#DIV/0!</v>
      </c>
      <c r="AG754" s="68">
        <v>0</v>
      </c>
      <c r="AH754" s="66">
        <v>0</v>
      </c>
      <c r="AI754" s="35" t="e">
        <f t="shared" si="1626"/>
        <v>#DIV/0!</v>
      </c>
      <c r="AJ754" s="6" t="e">
        <f t="shared" si="1627"/>
        <v>#DIV/0!</v>
      </c>
      <c r="AK754" s="68">
        <v>0</v>
      </c>
      <c r="AL754" s="66">
        <v>0</v>
      </c>
      <c r="AM754" s="35" t="e">
        <f t="shared" si="1628"/>
        <v>#DIV/0!</v>
      </c>
      <c r="AN754" s="6" t="e">
        <f t="shared" si="1629"/>
        <v>#DIV/0!</v>
      </c>
      <c r="AO754" s="68">
        <v>0</v>
      </c>
      <c r="AP754" s="66">
        <v>0</v>
      </c>
      <c r="AQ754" s="35" t="e">
        <f t="shared" si="1630"/>
        <v>#DIV/0!</v>
      </c>
      <c r="AR754" s="6" t="e">
        <f t="shared" si="1631"/>
        <v>#DIV/0!</v>
      </c>
      <c r="AS754" s="68">
        <v>0</v>
      </c>
      <c r="AT754" s="66">
        <v>0</v>
      </c>
      <c r="AU754" s="35" t="e">
        <f t="shared" si="1632"/>
        <v>#DIV/0!</v>
      </c>
      <c r="AV754" s="6" t="e">
        <f t="shared" si="1633"/>
        <v>#DIV/0!</v>
      </c>
      <c r="AW754" s="68">
        <v>15560</v>
      </c>
      <c r="AX754" s="65">
        <v>627</v>
      </c>
      <c r="AY754" s="35">
        <f t="shared" si="1634"/>
        <v>24.816586921850078</v>
      </c>
      <c r="AZ754" s="6">
        <f t="shared" si="1635"/>
        <v>0.15147985382371879</v>
      </c>
      <c r="BA754" s="68">
        <v>0</v>
      </c>
      <c r="BB754" s="66">
        <v>0</v>
      </c>
      <c r="BC754" s="35" t="e">
        <f t="shared" si="1636"/>
        <v>#DIV/0!</v>
      </c>
      <c r="BD754" s="11" t="e">
        <f t="shared" si="1637"/>
        <v>#DIV/0!</v>
      </c>
    </row>
    <row r="755" spans="1:56" ht="15.75" thickBot="1" x14ac:dyDescent="0.3">
      <c r="A755" s="21"/>
      <c r="B755" s="22"/>
      <c r="C755" s="23">
        <f>AVERAGE(Table11056[MA $/Sq Ft])</f>
        <v>95.222937000887313</v>
      </c>
      <c r="D755" s="22">
        <f>AVERAGE(Table11056[Basic Allowance])</f>
        <v>8885.7142857142862</v>
      </c>
      <c r="E755" s="16"/>
      <c r="F755" s="22"/>
      <c r="G755" s="15"/>
      <c r="H755" s="24" t="e">
        <f>AVERAGE(Table11056[Bsmt % Base])</f>
        <v>#DIV/0!</v>
      </c>
      <c r="I755" s="15"/>
      <c r="J755" s="15"/>
      <c r="K755" s="15"/>
      <c r="L755" s="25" t="e">
        <f>AVERAGE(Table11056[[#Headers],[#Data],[UnfBsmt % Base]])</f>
        <v>#DIV/0!</v>
      </c>
      <c r="M755" s="44"/>
      <c r="N755" s="15"/>
      <c r="O755" s="23" t="e">
        <f>AVERAGE(Table11056[LowerVal/SqFt])</f>
        <v>#DIV/0!</v>
      </c>
      <c r="P755" s="24" t="e">
        <f>AVERAGE(Table11056[Lower % Base])</f>
        <v>#DIV/0!</v>
      </c>
      <c r="Q755" s="13"/>
      <c r="R755" s="13"/>
      <c r="S755" s="13"/>
      <c r="T755" s="25" t="e">
        <f>AVERAGE(Table11056[Unf Lower % Base])</f>
        <v>#DIV/0!</v>
      </c>
      <c r="U755" s="12"/>
      <c r="V755" s="13"/>
      <c r="W755" s="13"/>
      <c r="X755" s="25" t="e">
        <f>AVERAGE(Table11056[1/2 Story % Base])</f>
        <v>#DIV/0!</v>
      </c>
      <c r="Y755" s="12"/>
      <c r="Z755" s="13"/>
      <c r="AA755" s="13"/>
      <c r="AB755" s="24" t="e">
        <f>AVERAGE(Table11056[2nd Story % Base])</f>
        <v>#DIV/0!</v>
      </c>
      <c r="AC755" s="13"/>
      <c r="AD755" s="13"/>
      <c r="AE755" s="23" t="e">
        <f>AVERAGE(Table11056[AttGarVal/SqFt])</f>
        <v>#DIV/0!</v>
      </c>
      <c r="AF755" s="25" t="e">
        <f>AVERAGE(Table11056[Att Gar % Base])</f>
        <v>#DIV/0!</v>
      </c>
      <c r="AG755" s="12"/>
      <c r="AH755" s="13"/>
      <c r="AI755" s="13"/>
      <c r="AJ755" s="25" t="e">
        <f>AVERAGE(Table11056[Porch % Base])</f>
        <v>#DIV/0!</v>
      </c>
      <c r="AK755" s="12"/>
      <c r="AL755" s="13"/>
      <c r="AM755" s="13"/>
      <c r="AN755" s="25" t="e">
        <f>AVERAGE(Table11056[Cov Porch % Base])</f>
        <v>#DIV/0!</v>
      </c>
      <c r="AO755" s="12"/>
      <c r="AP755" s="13"/>
      <c r="AQ755" s="13"/>
      <c r="AR755" s="25" t="e">
        <f>AVERAGE(Table11056[Deck % Base])</f>
        <v>#DIV/0!</v>
      </c>
      <c r="AS755" s="12"/>
      <c r="AT755" s="13"/>
      <c r="AU755" s="23" t="e">
        <f>AVERAGE(Table11056[CovDeckVal/SqFt])</f>
        <v>#DIV/0!</v>
      </c>
      <c r="AV755" s="25" t="e">
        <f>AVERAGE(Table11056[CovDeck % Base])</f>
        <v>#DIV/0!</v>
      </c>
      <c r="AW755" s="12"/>
      <c r="AX755" s="13"/>
      <c r="AY755" s="13"/>
      <c r="AZ755" s="25">
        <f>AVERAGE(Table11056[CarP % Base])</f>
        <v>0.1648957692354274</v>
      </c>
      <c r="BA755" s="12"/>
      <c r="BB755" s="13"/>
      <c r="BC755" s="13"/>
      <c r="BD755" s="24" t="e">
        <f>AVERAGE(Table11056[EFP % Base])</f>
        <v>#DIV/0!</v>
      </c>
    </row>
    <row r="757" spans="1:56" ht="15.75" thickBot="1" x14ac:dyDescent="0.3">
      <c r="A757" s="82"/>
      <c r="B757" t="s">
        <v>79</v>
      </c>
      <c r="C757" s="78" t="s">
        <v>162</v>
      </c>
      <c r="E757" t="s">
        <v>33</v>
      </c>
      <c r="F757" s="79">
        <v>1321</v>
      </c>
      <c r="H757" t="s">
        <v>80</v>
      </c>
      <c r="I757" t="s">
        <v>95</v>
      </c>
    </row>
    <row r="758" spans="1:56" x14ac:dyDescent="0.25">
      <c r="A758" s="112"/>
      <c r="B758" s="113"/>
      <c r="C758" s="113"/>
      <c r="D758" s="114"/>
      <c r="E758" s="115" t="s">
        <v>27</v>
      </c>
      <c r="F758" s="116"/>
      <c r="G758" s="116"/>
      <c r="H758" s="117"/>
      <c r="I758" s="118" t="s">
        <v>28</v>
      </c>
      <c r="J758" s="119"/>
      <c r="K758" s="119"/>
      <c r="L758" s="120"/>
      <c r="M758" s="121" t="s">
        <v>7</v>
      </c>
      <c r="N758" s="122"/>
      <c r="O758" s="122"/>
      <c r="P758" s="123"/>
      <c r="Q758" s="124" t="s">
        <v>29</v>
      </c>
      <c r="R758" s="125"/>
      <c r="S758" s="125"/>
      <c r="T758" s="126"/>
      <c r="U758" s="127" t="s">
        <v>8</v>
      </c>
      <c r="V758" s="128"/>
      <c r="W758" s="128"/>
      <c r="X758" s="129"/>
      <c r="Y758" s="130" t="s">
        <v>0</v>
      </c>
      <c r="Z758" s="131"/>
      <c r="AA758" s="131"/>
      <c r="AB758" s="132"/>
      <c r="AC758" s="133" t="s">
        <v>34</v>
      </c>
      <c r="AD758" s="134"/>
      <c r="AE758" s="134"/>
      <c r="AF758" s="135"/>
      <c r="AG758" s="115" t="s">
        <v>9</v>
      </c>
      <c r="AH758" s="116"/>
      <c r="AI758" s="116"/>
      <c r="AJ758" s="117"/>
      <c r="AK758" s="136" t="s">
        <v>35</v>
      </c>
      <c r="AL758" s="137"/>
      <c r="AM758" s="137"/>
      <c r="AN758" s="138"/>
      <c r="AO758" s="139" t="s">
        <v>10</v>
      </c>
      <c r="AP758" s="140"/>
      <c r="AQ758" s="140"/>
      <c r="AR758" s="141"/>
      <c r="AS758" s="124" t="s">
        <v>36</v>
      </c>
      <c r="AT758" s="125"/>
      <c r="AU758" s="125"/>
      <c r="AV758" s="126"/>
      <c r="AW758" s="142" t="s">
        <v>11</v>
      </c>
      <c r="AX758" s="143"/>
      <c r="AY758" s="143"/>
      <c r="AZ758" s="144"/>
      <c r="BA758" s="148" t="s">
        <v>17</v>
      </c>
      <c r="BB758" s="149"/>
      <c r="BC758" s="149"/>
      <c r="BD758" s="150"/>
    </row>
    <row r="759" spans="1:56" s="1" customFormat="1" ht="15.75" thickBot="1" x14ac:dyDescent="0.3">
      <c r="A759" s="41" t="s">
        <v>13</v>
      </c>
      <c r="B759" s="42" t="s">
        <v>15</v>
      </c>
      <c r="C759" s="42" t="s">
        <v>32</v>
      </c>
      <c r="D759" s="43" t="s">
        <v>18</v>
      </c>
      <c r="E759" s="30" t="s">
        <v>30</v>
      </c>
      <c r="F759" s="31" t="s">
        <v>61</v>
      </c>
      <c r="G759" s="31" t="s">
        <v>38</v>
      </c>
      <c r="H759" s="32" t="s">
        <v>62</v>
      </c>
      <c r="I759" s="37" t="s">
        <v>31</v>
      </c>
      <c r="J759" s="38" t="s">
        <v>39</v>
      </c>
      <c r="K759" s="38" t="s">
        <v>40</v>
      </c>
      <c r="L759" s="39" t="s">
        <v>63</v>
      </c>
      <c r="M759" s="40" t="s">
        <v>19</v>
      </c>
      <c r="N759" s="7" t="s">
        <v>41</v>
      </c>
      <c r="O759" s="7" t="s">
        <v>37</v>
      </c>
      <c r="P759" s="7" t="s">
        <v>64</v>
      </c>
      <c r="Q759" s="27" t="s">
        <v>20</v>
      </c>
      <c r="R759" s="28" t="s">
        <v>60</v>
      </c>
      <c r="S759" s="28" t="s">
        <v>59</v>
      </c>
      <c r="T759" s="29" t="s">
        <v>65</v>
      </c>
      <c r="U759" s="48" t="s">
        <v>21</v>
      </c>
      <c r="V759" s="48" t="s">
        <v>42</v>
      </c>
      <c r="W759" s="48" t="s">
        <v>43</v>
      </c>
      <c r="X759" s="49" t="s">
        <v>66</v>
      </c>
      <c r="Y759" s="50" t="s">
        <v>22</v>
      </c>
      <c r="Z759" s="51" t="s">
        <v>44</v>
      </c>
      <c r="AA759" s="51" t="s">
        <v>45</v>
      </c>
      <c r="AB759" s="52" t="s">
        <v>67</v>
      </c>
      <c r="AC759" s="45" t="s">
        <v>23</v>
      </c>
      <c r="AD759" s="46" t="s">
        <v>46</v>
      </c>
      <c r="AE759" s="46" t="s">
        <v>47</v>
      </c>
      <c r="AF759" s="47" t="s">
        <v>68</v>
      </c>
      <c r="AG759" s="30" t="s">
        <v>24</v>
      </c>
      <c r="AH759" s="31" t="s">
        <v>48</v>
      </c>
      <c r="AI759" s="31" t="s">
        <v>49</v>
      </c>
      <c r="AJ759" s="32" t="s">
        <v>69</v>
      </c>
      <c r="AK759" s="53" t="s">
        <v>25</v>
      </c>
      <c r="AL759" s="54" t="s">
        <v>50</v>
      </c>
      <c r="AM759" s="54" t="s">
        <v>51</v>
      </c>
      <c r="AN759" s="55" t="s">
        <v>70</v>
      </c>
      <c r="AO759" s="56" t="s">
        <v>26</v>
      </c>
      <c r="AP759" s="57" t="s">
        <v>52</v>
      </c>
      <c r="AQ759" s="57" t="s">
        <v>53</v>
      </c>
      <c r="AR759" s="58" t="s">
        <v>71</v>
      </c>
      <c r="AS759" s="59" t="s">
        <v>55</v>
      </c>
      <c r="AT759" s="60" t="s">
        <v>54</v>
      </c>
      <c r="AU759" s="60" t="s">
        <v>56</v>
      </c>
      <c r="AV759" s="61" t="s">
        <v>76</v>
      </c>
      <c r="AW759" s="62" t="s">
        <v>72</v>
      </c>
      <c r="AX759" s="63" t="s">
        <v>73</v>
      </c>
      <c r="AY759" s="63" t="s">
        <v>74</v>
      </c>
      <c r="AZ759" s="64" t="s">
        <v>75</v>
      </c>
      <c r="BA759" s="71" t="s">
        <v>77</v>
      </c>
      <c r="BB759" s="72" t="s">
        <v>57</v>
      </c>
      <c r="BC759" s="72" t="s">
        <v>58</v>
      </c>
      <c r="BD759" s="73" t="s">
        <v>78</v>
      </c>
    </row>
    <row r="760" spans="1:56" ht="15.75" thickBot="1" x14ac:dyDescent="0.3">
      <c r="A760" s="17" t="s">
        <v>1</v>
      </c>
      <c r="B760" s="14">
        <v>66060</v>
      </c>
      <c r="C760" s="34">
        <f>B760/F757</f>
        <v>50.00757002271007</v>
      </c>
      <c r="D760" s="14">
        <v>1525</v>
      </c>
      <c r="E760" s="67">
        <v>29710</v>
      </c>
      <c r="F760" s="69">
        <v>1276</v>
      </c>
      <c r="G760" s="34">
        <f t="shared" ref="G760:G766" si="1638">E760/F760</f>
        <v>23.28369905956113</v>
      </c>
      <c r="H760" s="10">
        <f t="shared" ref="H760:H766" si="1639">G760/C760</f>
        <v>0.46560348861156903</v>
      </c>
      <c r="I760" s="34">
        <v>0</v>
      </c>
      <c r="J760" s="69">
        <v>0</v>
      </c>
      <c r="K760" s="34" t="e">
        <f t="shared" ref="K760:K766" si="1640">I760/J760</f>
        <v>#DIV/0!</v>
      </c>
      <c r="L760" s="9" t="e">
        <f t="shared" ref="L760:L766" si="1641">K760/C760</f>
        <v>#DIV/0!</v>
      </c>
      <c r="M760" s="67">
        <v>0</v>
      </c>
      <c r="N760" s="26">
        <v>0</v>
      </c>
      <c r="O760" s="34" t="e">
        <f t="shared" ref="O760:O766" si="1642">M760/N760</f>
        <v>#DIV/0!</v>
      </c>
      <c r="P760" s="10" t="e">
        <f t="shared" ref="P760:P766" si="1643">O760/C760</f>
        <v>#DIV/0!</v>
      </c>
      <c r="Q760" s="35">
        <v>0</v>
      </c>
      <c r="R760" s="66">
        <v>0</v>
      </c>
      <c r="S760" s="35" t="e">
        <f t="shared" ref="S760:S766" si="1644">Q760/R760</f>
        <v>#DIV/0!</v>
      </c>
      <c r="T760" s="6" t="e">
        <f t="shared" ref="T760:T766" si="1645">S760/C760</f>
        <v>#DIV/0!</v>
      </c>
      <c r="U760" s="67">
        <v>0</v>
      </c>
      <c r="V760" s="65">
        <v>0</v>
      </c>
      <c r="W760" s="18" t="e">
        <f t="shared" ref="W760:W766" si="1646">U760/V760</f>
        <v>#DIV/0!</v>
      </c>
      <c r="X760" s="9" t="e">
        <f t="shared" ref="X760:X766" si="1647">W760/C760</f>
        <v>#DIV/0!</v>
      </c>
      <c r="Y760" s="67">
        <v>0</v>
      </c>
      <c r="Z760" s="69">
        <v>0</v>
      </c>
      <c r="AA760" s="34" t="e">
        <f t="shared" ref="AA760:AA766" si="1648">Y760/Z760</f>
        <v>#DIV/0!</v>
      </c>
      <c r="AB760" s="10" t="e">
        <f t="shared" ref="AB760:AB766" si="1649">AA760/C760</f>
        <v>#DIV/0!</v>
      </c>
      <c r="AC760" s="18">
        <v>6580</v>
      </c>
      <c r="AD760" s="33">
        <v>430</v>
      </c>
      <c r="AE760" s="34">
        <f t="shared" ref="AE760:AE766" si="1650">AC760/AD760</f>
        <v>15.302325581395349</v>
      </c>
      <c r="AF760" s="9">
        <f t="shared" ref="AF760:AF766" si="1651">AE760/C760</f>
        <v>0.3060001830612058</v>
      </c>
      <c r="AG760" s="67">
        <v>0</v>
      </c>
      <c r="AH760" s="65">
        <v>0</v>
      </c>
      <c r="AI760" s="34" t="e">
        <f t="shared" ref="AI760:AI766" si="1652">AG760/AH760</f>
        <v>#DIV/0!</v>
      </c>
      <c r="AJ760" s="9" t="e">
        <f t="shared" ref="AJ760:AJ766" si="1653">AI760/C760</f>
        <v>#DIV/0!</v>
      </c>
      <c r="AK760" s="67">
        <v>2690</v>
      </c>
      <c r="AL760" s="65">
        <v>399</v>
      </c>
      <c r="AM760" s="34">
        <f t="shared" ref="AM760:AM766" si="1654">AK760/AL760</f>
        <v>6.7418546365914791</v>
      </c>
      <c r="AN760" s="9">
        <f t="shared" ref="AN760:AN766" si="1655">AM760/C760</f>
        <v>0.1348166814250279</v>
      </c>
      <c r="AO760" s="67">
        <v>0</v>
      </c>
      <c r="AP760" s="65">
        <v>0</v>
      </c>
      <c r="AQ760" s="34" t="e">
        <f t="shared" ref="AQ760:AQ766" si="1656">AO760/AP760</f>
        <v>#DIV/0!</v>
      </c>
      <c r="AR760" s="9" t="e">
        <f t="shared" ref="AR760:AR766" si="1657">AQ760/C760</f>
        <v>#DIV/0!</v>
      </c>
      <c r="AS760" s="67">
        <v>0</v>
      </c>
      <c r="AT760" s="65">
        <v>0</v>
      </c>
      <c r="AU760" s="34" t="e">
        <f t="shared" ref="AU760:AU766" si="1658">AS760/AT760</f>
        <v>#DIV/0!</v>
      </c>
      <c r="AV760" s="9" t="e">
        <f t="shared" ref="AV760:AV766" si="1659">AU760/C760</f>
        <v>#DIV/0!</v>
      </c>
      <c r="AW760" s="67">
        <v>0</v>
      </c>
      <c r="AX760" s="65">
        <v>0</v>
      </c>
      <c r="AY760" s="34" t="e">
        <f t="shared" ref="AY760:AY766" si="1660">AW760/AX760</f>
        <v>#DIV/0!</v>
      </c>
      <c r="AZ760" s="9" t="e">
        <f t="shared" ref="AZ760:AZ766" si="1661">AY760/C760</f>
        <v>#DIV/0!</v>
      </c>
      <c r="BA760" s="67">
        <v>0</v>
      </c>
      <c r="BB760" s="65">
        <v>0</v>
      </c>
      <c r="BC760" s="34" t="e">
        <f t="shared" ref="BC760:BC766" si="1662">BA760/BB760</f>
        <v>#DIV/0!</v>
      </c>
      <c r="BD760" s="10" t="e">
        <f t="shared" ref="BD760:BD766" si="1663">BC760/C760</f>
        <v>#DIV/0!</v>
      </c>
    </row>
    <row r="761" spans="1:56" ht="15.75" thickBot="1" x14ac:dyDescent="0.3">
      <c r="A761" s="19" t="s">
        <v>16</v>
      </c>
      <c r="B761" s="8">
        <v>77720</v>
      </c>
      <c r="C761" s="35">
        <f>B761/F757</f>
        <v>58.834216502649511</v>
      </c>
      <c r="D761" s="8">
        <v>1525</v>
      </c>
      <c r="E761" s="68">
        <v>40340</v>
      </c>
      <c r="F761" s="69">
        <v>1276</v>
      </c>
      <c r="G761" s="35">
        <f t="shared" si="1638"/>
        <v>31.614420062695924</v>
      </c>
      <c r="H761" s="11">
        <f t="shared" si="1639"/>
        <v>0.53734751547634219</v>
      </c>
      <c r="I761" s="35">
        <v>0</v>
      </c>
      <c r="J761" s="70">
        <v>0</v>
      </c>
      <c r="K761" s="35" t="e">
        <f t="shared" si="1640"/>
        <v>#DIV/0!</v>
      </c>
      <c r="L761" s="6" t="e">
        <f t="shared" si="1641"/>
        <v>#DIV/0!</v>
      </c>
      <c r="M761" s="68">
        <v>0</v>
      </c>
      <c r="N761" s="5">
        <v>0</v>
      </c>
      <c r="O761" s="35" t="e">
        <f t="shared" si="1642"/>
        <v>#DIV/0!</v>
      </c>
      <c r="P761" s="11" t="e">
        <f t="shared" si="1643"/>
        <v>#DIV/0!</v>
      </c>
      <c r="Q761" s="35">
        <v>0</v>
      </c>
      <c r="R761" s="66">
        <v>0</v>
      </c>
      <c r="S761" s="35" t="e">
        <f t="shared" si="1644"/>
        <v>#DIV/0!</v>
      </c>
      <c r="T761" s="6" t="e">
        <f t="shared" si="1645"/>
        <v>#DIV/0!</v>
      </c>
      <c r="U761" s="68">
        <v>0</v>
      </c>
      <c r="V761" s="66">
        <v>0</v>
      </c>
      <c r="W761" s="20" t="e">
        <f t="shared" si="1646"/>
        <v>#DIV/0!</v>
      </c>
      <c r="X761" s="6" t="e">
        <f t="shared" si="1647"/>
        <v>#DIV/0!</v>
      </c>
      <c r="Y761" s="68">
        <v>0</v>
      </c>
      <c r="Z761" s="70">
        <v>0</v>
      </c>
      <c r="AA761" s="35" t="e">
        <f t="shared" si="1648"/>
        <v>#DIV/0!</v>
      </c>
      <c r="AB761" s="11" t="e">
        <f t="shared" si="1649"/>
        <v>#DIV/0!</v>
      </c>
      <c r="AC761" s="20">
        <v>9160</v>
      </c>
      <c r="AD761" s="33">
        <v>430</v>
      </c>
      <c r="AE761" s="35">
        <f t="shared" si="1650"/>
        <v>21.302325581395348</v>
      </c>
      <c r="AF761" s="6">
        <f t="shared" si="1651"/>
        <v>0.36207375312690754</v>
      </c>
      <c r="AG761" s="68">
        <v>0</v>
      </c>
      <c r="AH761" s="66">
        <v>0</v>
      </c>
      <c r="AI761" s="35" t="e">
        <f t="shared" si="1652"/>
        <v>#DIV/0!</v>
      </c>
      <c r="AJ761" s="6" t="e">
        <f t="shared" si="1653"/>
        <v>#DIV/0!</v>
      </c>
      <c r="AK761" s="68">
        <v>4000</v>
      </c>
      <c r="AL761" s="65">
        <v>399</v>
      </c>
      <c r="AM761" s="35">
        <f t="shared" si="1654"/>
        <v>10.025062656641603</v>
      </c>
      <c r="AN761" s="6">
        <f t="shared" si="1655"/>
        <v>0.17039510768687027</v>
      </c>
      <c r="AO761" s="68">
        <v>0</v>
      </c>
      <c r="AP761" s="66">
        <v>0</v>
      </c>
      <c r="AQ761" s="35" t="e">
        <f t="shared" si="1656"/>
        <v>#DIV/0!</v>
      </c>
      <c r="AR761" s="6" t="e">
        <f t="shared" si="1657"/>
        <v>#DIV/0!</v>
      </c>
      <c r="AS761" s="68">
        <v>0</v>
      </c>
      <c r="AT761" s="66">
        <v>0</v>
      </c>
      <c r="AU761" s="35" t="e">
        <f t="shared" si="1658"/>
        <v>#DIV/0!</v>
      </c>
      <c r="AV761" s="6" t="e">
        <f t="shared" si="1659"/>
        <v>#DIV/0!</v>
      </c>
      <c r="AW761" s="68">
        <v>0</v>
      </c>
      <c r="AX761" s="66">
        <v>0</v>
      </c>
      <c r="AY761" s="35" t="e">
        <f t="shared" si="1660"/>
        <v>#DIV/0!</v>
      </c>
      <c r="AZ761" s="6" t="e">
        <f t="shared" si="1661"/>
        <v>#DIV/0!</v>
      </c>
      <c r="BA761" s="68">
        <v>0</v>
      </c>
      <c r="BB761" s="66">
        <v>0</v>
      </c>
      <c r="BC761" s="35" t="e">
        <f t="shared" si="1662"/>
        <v>#DIV/0!</v>
      </c>
      <c r="BD761" s="11" t="e">
        <f t="shared" si="1663"/>
        <v>#DIV/0!</v>
      </c>
    </row>
    <row r="762" spans="1:56" ht="15.75" thickBot="1" x14ac:dyDescent="0.3">
      <c r="A762" s="19" t="s">
        <v>2</v>
      </c>
      <c r="B762" s="8">
        <v>90870</v>
      </c>
      <c r="C762" s="35">
        <f>B762/F757</f>
        <v>68.788796366389093</v>
      </c>
      <c r="D762" s="8">
        <v>2100</v>
      </c>
      <c r="E762" s="68">
        <v>46410</v>
      </c>
      <c r="F762" s="69">
        <v>1276</v>
      </c>
      <c r="G762" s="35">
        <f t="shared" si="1638"/>
        <v>36.371473354231973</v>
      </c>
      <c r="H762" s="11">
        <f t="shared" si="1639"/>
        <v>0.52874123804270323</v>
      </c>
      <c r="I762" s="35">
        <v>0</v>
      </c>
      <c r="J762" s="70">
        <v>0</v>
      </c>
      <c r="K762" s="35" t="e">
        <f t="shared" si="1640"/>
        <v>#DIV/0!</v>
      </c>
      <c r="L762" s="6" t="e">
        <f t="shared" si="1641"/>
        <v>#DIV/0!</v>
      </c>
      <c r="M762" s="68">
        <v>0</v>
      </c>
      <c r="N762" s="5">
        <v>0</v>
      </c>
      <c r="O762" s="35" t="e">
        <f t="shared" si="1642"/>
        <v>#DIV/0!</v>
      </c>
      <c r="P762" s="11" t="e">
        <f t="shared" si="1643"/>
        <v>#DIV/0!</v>
      </c>
      <c r="Q762" s="35">
        <v>0</v>
      </c>
      <c r="R762" s="66">
        <v>0</v>
      </c>
      <c r="S762" s="35" t="e">
        <f t="shared" si="1644"/>
        <v>#DIV/0!</v>
      </c>
      <c r="T762" s="6" t="e">
        <f t="shared" si="1645"/>
        <v>#DIV/0!</v>
      </c>
      <c r="U762" s="68">
        <v>0</v>
      </c>
      <c r="V762" s="66">
        <v>0</v>
      </c>
      <c r="W762" s="20" t="e">
        <f t="shared" si="1646"/>
        <v>#DIV/0!</v>
      </c>
      <c r="X762" s="6" t="e">
        <f t="shared" si="1647"/>
        <v>#DIV/0!</v>
      </c>
      <c r="Y762" s="68">
        <v>0</v>
      </c>
      <c r="Z762" s="70">
        <v>0</v>
      </c>
      <c r="AA762" s="35" t="e">
        <f t="shared" si="1648"/>
        <v>#DIV/0!</v>
      </c>
      <c r="AB762" s="11" t="e">
        <f t="shared" si="1649"/>
        <v>#DIV/0!</v>
      </c>
      <c r="AC762" s="20">
        <v>11070</v>
      </c>
      <c r="AD762" s="33">
        <v>430</v>
      </c>
      <c r="AE762" s="35">
        <f t="shared" si="1650"/>
        <v>25.744186046511629</v>
      </c>
      <c r="AF762" s="6">
        <f t="shared" si="1651"/>
        <v>0.37424969481062909</v>
      </c>
      <c r="AG762" s="68">
        <v>0</v>
      </c>
      <c r="AH762" s="66">
        <v>0</v>
      </c>
      <c r="AI762" s="35" t="e">
        <f t="shared" si="1652"/>
        <v>#DIV/0!</v>
      </c>
      <c r="AJ762" s="6" t="e">
        <f t="shared" si="1653"/>
        <v>#DIV/0!</v>
      </c>
      <c r="AK762" s="68">
        <v>4380</v>
      </c>
      <c r="AL762" s="65">
        <v>399</v>
      </c>
      <c r="AM762" s="35">
        <f t="shared" si="1654"/>
        <v>10.977443609022556</v>
      </c>
      <c r="AN762" s="6">
        <f t="shared" si="1655"/>
        <v>0.15958185327961702</v>
      </c>
      <c r="AO762" s="68">
        <v>0</v>
      </c>
      <c r="AP762" s="66">
        <v>0</v>
      </c>
      <c r="AQ762" s="35" t="e">
        <f t="shared" si="1656"/>
        <v>#DIV/0!</v>
      </c>
      <c r="AR762" s="6" t="e">
        <f t="shared" si="1657"/>
        <v>#DIV/0!</v>
      </c>
      <c r="AS762" s="68">
        <v>0</v>
      </c>
      <c r="AT762" s="66">
        <v>0</v>
      </c>
      <c r="AU762" s="35" t="e">
        <f t="shared" si="1658"/>
        <v>#DIV/0!</v>
      </c>
      <c r="AV762" s="6" t="e">
        <f t="shared" si="1659"/>
        <v>#DIV/0!</v>
      </c>
      <c r="AW762" s="68">
        <v>0</v>
      </c>
      <c r="AX762" s="66">
        <v>0</v>
      </c>
      <c r="AY762" s="35" t="e">
        <f t="shared" si="1660"/>
        <v>#DIV/0!</v>
      </c>
      <c r="AZ762" s="6" t="e">
        <f t="shared" si="1661"/>
        <v>#DIV/0!</v>
      </c>
      <c r="BA762" s="68">
        <v>0</v>
      </c>
      <c r="BB762" s="66">
        <v>0</v>
      </c>
      <c r="BC762" s="35" t="e">
        <f t="shared" si="1662"/>
        <v>#DIV/0!</v>
      </c>
      <c r="BD762" s="11" t="e">
        <f t="shared" si="1663"/>
        <v>#DIV/0!</v>
      </c>
    </row>
    <row r="763" spans="1:56" ht="15.75" thickBot="1" x14ac:dyDescent="0.3">
      <c r="A763" s="19" t="s">
        <v>3</v>
      </c>
      <c r="B763" s="8">
        <v>109840</v>
      </c>
      <c r="C763" s="35">
        <f>B763/F757</f>
        <v>83.149129447388347</v>
      </c>
      <c r="D763" s="8">
        <v>2700</v>
      </c>
      <c r="E763" s="68">
        <v>53440</v>
      </c>
      <c r="F763" s="69">
        <v>1276</v>
      </c>
      <c r="G763" s="35">
        <f t="shared" si="1638"/>
        <v>41.880877742946709</v>
      </c>
      <c r="H763" s="11">
        <f t="shared" si="1639"/>
        <v>0.50368389929381463</v>
      </c>
      <c r="I763" s="35">
        <v>0</v>
      </c>
      <c r="J763" s="70">
        <v>0</v>
      </c>
      <c r="K763" s="35" t="e">
        <f t="shared" si="1640"/>
        <v>#DIV/0!</v>
      </c>
      <c r="L763" s="6" t="e">
        <f t="shared" si="1641"/>
        <v>#DIV/0!</v>
      </c>
      <c r="M763" s="68">
        <v>0</v>
      </c>
      <c r="N763" s="5">
        <v>0</v>
      </c>
      <c r="O763" s="35" t="e">
        <f t="shared" si="1642"/>
        <v>#DIV/0!</v>
      </c>
      <c r="P763" s="11" t="e">
        <f t="shared" si="1643"/>
        <v>#DIV/0!</v>
      </c>
      <c r="Q763" s="35">
        <v>0</v>
      </c>
      <c r="R763" s="66">
        <v>0</v>
      </c>
      <c r="S763" s="35" t="e">
        <f t="shared" si="1644"/>
        <v>#DIV/0!</v>
      </c>
      <c r="T763" s="6" t="e">
        <f t="shared" si="1645"/>
        <v>#DIV/0!</v>
      </c>
      <c r="U763" s="68">
        <v>0</v>
      </c>
      <c r="V763" s="66">
        <v>0</v>
      </c>
      <c r="W763" s="20" t="e">
        <f t="shared" si="1646"/>
        <v>#DIV/0!</v>
      </c>
      <c r="X763" s="6" t="e">
        <f t="shared" si="1647"/>
        <v>#DIV/0!</v>
      </c>
      <c r="Y763" s="68">
        <v>0</v>
      </c>
      <c r="Z763" s="70">
        <v>0</v>
      </c>
      <c r="AA763" s="35" t="e">
        <f t="shared" si="1648"/>
        <v>#DIV/0!</v>
      </c>
      <c r="AB763" s="11" t="e">
        <f t="shared" si="1649"/>
        <v>#DIV/0!</v>
      </c>
      <c r="AC763" s="20">
        <v>11690</v>
      </c>
      <c r="AD763" s="33">
        <v>430</v>
      </c>
      <c r="AE763" s="35">
        <f t="shared" si="1650"/>
        <v>27.186046511627907</v>
      </c>
      <c r="AF763" s="6">
        <f t="shared" si="1651"/>
        <v>0.32695527532647911</v>
      </c>
      <c r="AG763" s="68">
        <v>0</v>
      </c>
      <c r="AH763" s="66">
        <v>0</v>
      </c>
      <c r="AI763" s="35" t="e">
        <f t="shared" si="1652"/>
        <v>#DIV/0!</v>
      </c>
      <c r="AJ763" s="6" t="e">
        <f t="shared" si="1653"/>
        <v>#DIV/0!</v>
      </c>
      <c r="AK763" s="68">
        <v>4940</v>
      </c>
      <c r="AL763" s="65">
        <v>399</v>
      </c>
      <c r="AM763" s="35">
        <f t="shared" si="1654"/>
        <v>12.380952380952381</v>
      </c>
      <c r="AN763" s="6">
        <f t="shared" si="1655"/>
        <v>0.14890056532445461</v>
      </c>
      <c r="AO763" s="68">
        <v>0</v>
      </c>
      <c r="AP763" s="66">
        <v>0</v>
      </c>
      <c r="AQ763" s="35" t="e">
        <f t="shared" si="1656"/>
        <v>#DIV/0!</v>
      </c>
      <c r="AR763" s="6" t="e">
        <f t="shared" si="1657"/>
        <v>#DIV/0!</v>
      </c>
      <c r="AS763" s="68">
        <v>0</v>
      </c>
      <c r="AT763" s="66">
        <v>0</v>
      </c>
      <c r="AU763" s="35" t="e">
        <f t="shared" si="1658"/>
        <v>#DIV/0!</v>
      </c>
      <c r="AV763" s="6" t="e">
        <f t="shared" si="1659"/>
        <v>#DIV/0!</v>
      </c>
      <c r="AW763" s="68">
        <v>0</v>
      </c>
      <c r="AX763" s="66">
        <v>0</v>
      </c>
      <c r="AY763" s="35" t="e">
        <f t="shared" si="1660"/>
        <v>#DIV/0!</v>
      </c>
      <c r="AZ763" s="6" t="e">
        <f t="shared" si="1661"/>
        <v>#DIV/0!</v>
      </c>
      <c r="BA763" s="68">
        <v>0</v>
      </c>
      <c r="BB763" s="66">
        <v>0</v>
      </c>
      <c r="BC763" s="35" t="e">
        <f t="shared" si="1662"/>
        <v>#DIV/0!</v>
      </c>
      <c r="BD763" s="11" t="e">
        <f t="shared" si="1663"/>
        <v>#DIV/0!</v>
      </c>
    </row>
    <row r="764" spans="1:56" ht="15.75" thickBot="1" x14ac:dyDescent="0.3">
      <c r="A764" s="19" t="s">
        <v>4</v>
      </c>
      <c r="B764" s="8">
        <v>136750</v>
      </c>
      <c r="C764" s="35">
        <f>B764/F757</f>
        <v>103.52006056018168</v>
      </c>
      <c r="D764" s="8">
        <v>5250</v>
      </c>
      <c r="E764" s="68">
        <v>75880</v>
      </c>
      <c r="F764" s="69">
        <v>1276</v>
      </c>
      <c r="G764" s="35">
        <f t="shared" si="1638"/>
        <v>59.467084639498431</v>
      </c>
      <c r="H764" s="11">
        <f t="shared" si="1639"/>
        <v>0.57444986331829928</v>
      </c>
      <c r="I764" s="35">
        <v>0</v>
      </c>
      <c r="J764" s="70">
        <v>0</v>
      </c>
      <c r="K764" s="35" t="e">
        <f t="shared" si="1640"/>
        <v>#DIV/0!</v>
      </c>
      <c r="L764" s="6" t="e">
        <f t="shared" si="1641"/>
        <v>#DIV/0!</v>
      </c>
      <c r="M764" s="68">
        <v>0</v>
      </c>
      <c r="N764" s="5">
        <v>0</v>
      </c>
      <c r="O764" s="35" t="e">
        <f t="shared" si="1642"/>
        <v>#DIV/0!</v>
      </c>
      <c r="P764" s="11" t="e">
        <f t="shared" si="1643"/>
        <v>#DIV/0!</v>
      </c>
      <c r="Q764" s="35">
        <v>0</v>
      </c>
      <c r="R764" s="66">
        <v>0</v>
      </c>
      <c r="S764" s="35" t="e">
        <f t="shared" si="1644"/>
        <v>#DIV/0!</v>
      </c>
      <c r="T764" s="6" t="e">
        <f t="shared" si="1645"/>
        <v>#DIV/0!</v>
      </c>
      <c r="U764" s="68">
        <v>0</v>
      </c>
      <c r="V764" s="66">
        <v>0</v>
      </c>
      <c r="W764" s="20" t="e">
        <f t="shared" si="1646"/>
        <v>#DIV/0!</v>
      </c>
      <c r="X764" s="6" t="e">
        <f t="shared" si="1647"/>
        <v>#DIV/0!</v>
      </c>
      <c r="Y764" s="68">
        <v>0</v>
      </c>
      <c r="Z764" s="70">
        <v>0</v>
      </c>
      <c r="AA764" s="35" t="e">
        <f t="shared" si="1648"/>
        <v>#DIV/0!</v>
      </c>
      <c r="AB764" s="11" t="e">
        <f t="shared" si="1649"/>
        <v>#DIV/0!</v>
      </c>
      <c r="AC764" s="20">
        <v>13340</v>
      </c>
      <c r="AD764" s="33">
        <v>430</v>
      </c>
      <c r="AE764" s="35">
        <f t="shared" si="1650"/>
        <v>31.023255813953487</v>
      </c>
      <c r="AF764" s="6">
        <f t="shared" si="1651"/>
        <v>0.29968351685727646</v>
      </c>
      <c r="AG764" s="68">
        <v>0</v>
      </c>
      <c r="AH764" s="66">
        <v>0</v>
      </c>
      <c r="AI764" s="35" t="e">
        <f t="shared" si="1652"/>
        <v>#DIV/0!</v>
      </c>
      <c r="AJ764" s="6" t="e">
        <f t="shared" si="1653"/>
        <v>#DIV/0!</v>
      </c>
      <c r="AK764" s="68">
        <v>5770</v>
      </c>
      <c r="AL764" s="65">
        <v>399</v>
      </c>
      <c r="AM764" s="35">
        <f t="shared" si="1654"/>
        <v>14.461152882205514</v>
      </c>
      <c r="AN764" s="6">
        <f t="shared" si="1655"/>
        <v>0.13969420809794139</v>
      </c>
      <c r="AO764" s="68">
        <v>0</v>
      </c>
      <c r="AP764" s="66">
        <v>0</v>
      </c>
      <c r="AQ764" s="35" t="e">
        <f t="shared" si="1656"/>
        <v>#DIV/0!</v>
      </c>
      <c r="AR764" s="6" t="e">
        <f t="shared" si="1657"/>
        <v>#DIV/0!</v>
      </c>
      <c r="AS764" s="68">
        <v>0</v>
      </c>
      <c r="AT764" s="66">
        <v>0</v>
      </c>
      <c r="AU764" s="35" t="e">
        <f t="shared" si="1658"/>
        <v>#DIV/0!</v>
      </c>
      <c r="AV764" s="6" t="e">
        <f t="shared" si="1659"/>
        <v>#DIV/0!</v>
      </c>
      <c r="AW764" s="68">
        <v>0</v>
      </c>
      <c r="AX764" s="66">
        <v>0</v>
      </c>
      <c r="AY764" s="35" t="e">
        <f t="shared" si="1660"/>
        <v>#DIV/0!</v>
      </c>
      <c r="AZ764" s="6" t="e">
        <f t="shared" si="1661"/>
        <v>#DIV/0!</v>
      </c>
      <c r="BA764" s="68">
        <v>0</v>
      </c>
      <c r="BB764" s="66">
        <v>0</v>
      </c>
      <c r="BC764" s="35" t="e">
        <f t="shared" si="1662"/>
        <v>#DIV/0!</v>
      </c>
      <c r="BD764" s="11" t="e">
        <f t="shared" si="1663"/>
        <v>#DIV/0!</v>
      </c>
    </row>
    <row r="765" spans="1:56" ht="15.75" thickBot="1" x14ac:dyDescent="0.3">
      <c r="A765" s="19" t="s">
        <v>5</v>
      </c>
      <c r="B765" s="8">
        <v>180300</v>
      </c>
      <c r="C765" s="35">
        <f>B765/F757</f>
        <v>136.48750946252838</v>
      </c>
      <c r="D765" s="8">
        <v>7050</v>
      </c>
      <c r="E765" s="68">
        <v>85330</v>
      </c>
      <c r="F765" s="69">
        <v>1276</v>
      </c>
      <c r="G765" s="35">
        <f t="shared" si="1638"/>
        <v>66.873040752351102</v>
      </c>
      <c r="H765" s="11">
        <f t="shared" si="1639"/>
        <v>0.48995722037634948</v>
      </c>
      <c r="I765" s="35">
        <v>0</v>
      </c>
      <c r="J765" s="70">
        <v>0</v>
      </c>
      <c r="K765" s="35" t="e">
        <f t="shared" si="1640"/>
        <v>#DIV/0!</v>
      </c>
      <c r="L765" s="6" t="e">
        <f t="shared" si="1641"/>
        <v>#DIV/0!</v>
      </c>
      <c r="M765" s="68">
        <v>0</v>
      </c>
      <c r="N765" s="5">
        <v>0</v>
      </c>
      <c r="O765" s="35" t="e">
        <f t="shared" si="1642"/>
        <v>#DIV/0!</v>
      </c>
      <c r="P765" s="11" t="e">
        <f t="shared" si="1643"/>
        <v>#DIV/0!</v>
      </c>
      <c r="Q765" s="35">
        <v>0</v>
      </c>
      <c r="R765" s="66">
        <v>0</v>
      </c>
      <c r="S765" s="35" t="e">
        <f t="shared" si="1644"/>
        <v>#DIV/0!</v>
      </c>
      <c r="T765" s="6" t="e">
        <f t="shared" si="1645"/>
        <v>#DIV/0!</v>
      </c>
      <c r="U765" s="68">
        <v>0</v>
      </c>
      <c r="V765" s="66">
        <v>0</v>
      </c>
      <c r="W765" s="20" t="e">
        <f t="shared" si="1646"/>
        <v>#DIV/0!</v>
      </c>
      <c r="X765" s="6" t="e">
        <f t="shared" si="1647"/>
        <v>#DIV/0!</v>
      </c>
      <c r="Y765" s="68">
        <v>0</v>
      </c>
      <c r="Z765" s="70">
        <v>0</v>
      </c>
      <c r="AA765" s="35" t="e">
        <f t="shared" si="1648"/>
        <v>#DIV/0!</v>
      </c>
      <c r="AB765" s="11" t="e">
        <f t="shared" si="1649"/>
        <v>#DIV/0!</v>
      </c>
      <c r="AC765" s="20">
        <v>15290</v>
      </c>
      <c r="AD765" s="33">
        <v>430</v>
      </c>
      <c r="AE765" s="35">
        <f t="shared" si="1650"/>
        <v>35.558139534883722</v>
      </c>
      <c r="AF765" s="6">
        <f t="shared" si="1651"/>
        <v>0.26052303009196559</v>
      </c>
      <c r="AG765" s="68">
        <v>0</v>
      </c>
      <c r="AH765" s="66">
        <v>0</v>
      </c>
      <c r="AI765" s="35" t="e">
        <f t="shared" si="1652"/>
        <v>#DIV/0!</v>
      </c>
      <c r="AJ765" s="6" t="e">
        <f t="shared" si="1653"/>
        <v>#DIV/0!</v>
      </c>
      <c r="AK765" s="68">
        <v>6400</v>
      </c>
      <c r="AL765" s="65">
        <v>399</v>
      </c>
      <c r="AM765" s="35">
        <f t="shared" si="1654"/>
        <v>16.040100250626566</v>
      </c>
      <c r="AN765" s="6">
        <f t="shared" si="1655"/>
        <v>0.11752064576304877</v>
      </c>
      <c r="AO765" s="68">
        <v>0</v>
      </c>
      <c r="AP765" s="66">
        <v>0</v>
      </c>
      <c r="AQ765" s="35" t="e">
        <f t="shared" si="1656"/>
        <v>#DIV/0!</v>
      </c>
      <c r="AR765" s="6" t="e">
        <f t="shared" si="1657"/>
        <v>#DIV/0!</v>
      </c>
      <c r="AS765" s="68">
        <v>0</v>
      </c>
      <c r="AT765" s="66">
        <v>0</v>
      </c>
      <c r="AU765" s="35" t="e">
        <f t="shared" si="1658"/>
        <v>#DIV/0!</v>
      </c>
      <c r="AV765" s="6" t="e">
        <f t="shared" si="1659"/>
        <v>#DIV/0!</v>
      </c>
      <c r="AW765" s="68">
        <v>0</v>
      </c>
      <c r="AX765" s="66">
        <v>0</v>
      </c>
      <c r="AY765" s="35" t="e">
        <f t="shared" si="1660"/>
        <v>#DIV/0!</v>
      </c>
      <c r="AZ765" s="6" t="e">
        <f t="shared" si="1661"/>
        <v>#DIV/0!</v>
      </c>
      <c r="BA765" s="68">
        <v>0</v>
      </c>
      <c r="BB765" s="66">
        <v>0</v>
      </c>
      <c r="BC765" s="35" t="e">
        <f t="shared" si="1662"/>
        <v>#DIV/0!</v>
      </c>
      <c r="BD765" s="11" t="e">
        <f t="shared" si="1663"/>
        <v>#DIV/0!</v>
      </c>
    </row>
    <row r="766" spans="1:56" x14ac:dyDescent="0.25">
      <c r="A766" s="19" t="s">
        <v>6</v>
      </c>
      <c r="B766" s="8">
        <v>216420</v>
      </c>
      <c r="C766" s="35">
        <f>B766/F757</f>
        <v>163.83043149129446</v>
      </c>
      <c r="D766" s="8">
        <v>10950</v>
      </c>
      <c r="E766" s="68">
        <v>107770</v>
      </c>
      <c r="F766" s="69">
        <v>1276</v>
      </c>
      <c r="G766" s="35">
        <f t="shared" si="1638"/>
        <v>84.459247648902817</v>
      </c>
      <c r="H766" s="11">
        <f t="shared" si="1639"/>
        <v>0.51552844535717879</v>
      </c>
      <c r="I766" s="35">
        <v>0</v>
      </c>
      <c r="J766" s="70">
        <v>0</v>
      </c>
      <c r="K766" s="35" t="e">
        <f t="shared" si="1640"/>
        <v>#DIV/0!</v>
      </c>
      <c r="L766" s="6" t="e">
        <f t="shared" si="1641"/>
        <v>#DIV/0!</v>
      </c>
      <c r="M766" s="68">
        <v>0</v>
      </c>
      <c r="N766" s="5">
        <v>0</v>
      </c>
      <c r="O766" s="35" t="e">
        <f t="shared" si="1642"/>
        <v>#DIV/0!</v>
      </c>
      <c r="P766" s="11" t="e">
        <f t="shared" si="1643"/>
        <v>#DIV/0!</v>
      </c>
      <c r="Q766" s="35">
        <v>0</v>
      </c>
      <c r="R766" s="66">
        <v>0</v>
      </c>
      <c r="S766" s="35" t="e">
        <f t="shared" si="1644"/>
        <v>#DIV/0!</v>
      </c>
      <c r="T766" s="6" t="e">
        <f t="shared" si="1645"/>
        <v>#DIV/0!</v>
      </c>
      <c r="U766" s="68">
        <v>0</v>
      </c>
      <c r="V766" s="66">
        <v>0</v>
      </c>
      <c r="W766" s="20" t="e">
        <f t="shared" si="1646"/>
        <v>#DIV/0!</v>
      </c>
      <c r="X766" s="6" t="e">
        <f t="shared" si="1647"/>
        <v>#DIV/0!</v>
      </c>
      <c r="Y766" s="68">
        <v>0</v>
      </c>
      <c r="Z766" s="70">
        <v>0</v>
      </c>
      <c r="AA766" s="35" t="e">
        <f t="shared" si="1648"/>
        <v>#DIV/0!</v>
      </c>
      <c r="AB766" s="11" t="e">
        <f t="shared" si="1649"/>
        <v>#DIV/0!</v>
      </c>
      <c r="AC766" s="20">
        <v>21810</v>
      </c>
      <c r="AD766" s="33">
        <v>430</v>
      </c>
      <c r="AE766" s="35">
        <f t="shared" si="1650"/>
        <v>50.720930232558139</v>
      </c>
      <c r="AF766" s="6">
        <f t="shared" si="1651"/>
        <v>0.30959407096021302</v>
      </c>
      <c r="AG766" s="68">
        <v>0</v>
      </c>
      <c r="AH766" s="66">
        <v>0</v>
      </c>
      <c r="AI766" s="35" t="e">
        <f t="shared" si="1652"/>
        <v>#DIV/0!</v>
      </c>
      <c r="AJ766" s="6" t="e">
        <f t="shared" si="1653"/>
        <v>#DIV/0!</v>
      </c>
      <c r="AK766" s="68">
        <v>7240</v>
      </c>
      <c r="AL766" s="65">
        <v>399</v>
      </c>
      <c r="AM766" s="35">
        <f t="shared" si="1654"/>
        <v>18.145363408521302</v>
      </c>
      <c r="AN766" s="6">
        <f t="shared" si="1655"/>
        <v>0.1107569774635276</v>
      </c>
      <c r="AO766" s="68">
        <v>0</v>
      </c>
      <c r="AP766" s="66">
        <v>0</v>
      </c>
      <c r="AQ766" s="35" t="e">
        <f t="shared" si="1656"/>
        <v>#DIV/0!</v>
      </c>
      <c r="AR766" s="6" t="e">
        <f t="shared" si="1657"/>
        <v>#DIV/0!</v>
      </c>
      <c r="AS766" s="68">
        <v>0</v>
      </c>
      <c r="AT766" s="66">
        <v>0</v>
      </c>
      <c r="AU766" s="35" t="e">
        <f t="shared" si="1658"/>
        <v>#DIV/0!</v>
      </c>
      <c r="AV766" s="6" t="e">
        <f t="shared" si="1659"/>
        <v>#DIV/0!</v>
      </c>
      <c r="AW766" s="68">
        <v>0</v>
      </c>
      <c r="AX766" s="66">
        <v>0</v>
      </c>
      <c r="AY766" s="35" t="e">
        <f t="shared" si="1660"/>
        <v>#DIV/0!</v>
      </c>
      <c r="AZ766" s="6" t="e">
        <f t="shared" si="1661"/>
        <v>#DIV/0!</v>
      </c>
      <c r="BA766" s="68">
        <v>0</v>
      </c>
      <c r="BB766" s="66">
        <v>0</v>
      </c>
      <c r="BC766" s="35" t="e">
        <f t="shared" si="1662"/>
        <v>#DIV/0!</v>
      </c>
      <c r="BD766" s="11" t="e">
        <f t="shared" si="1663"/>
        <v>#DIV/0!</v>
      </c>
    </row>
    <row r="767" spans="1:56" ht="15.75" thickBot="1" x14ac:dyDescent="0.3">
      <c r="A767" s="21"/>
      <c r="B767" s="22"/>
      <c r="C767" s="23">
        <f>AVERAGE(Table11057[MA $/Sq Ft])</f>
        <v>94.945387693305932</v>
      </c>
      <c r="D767" s="22">
        <f>AVERAGE(Table11057[Basic Allowance])</f>
        <v>4442.8571428571431</v>
      </c>
      <c r="E767" s="16"/>
      <c r="F767" s="22"/>
      <c r="G767" s="15"/>
      <c r="H767" s="24">
        <f>AVERAGE(Table11057[Bsmt % Base])</f>
        <v>0.51647309578232237</v>
      </c>
      <c r="I767" s="15"/>
      <c r="J767" s="15"/>
      <c r="K767" s="15"/>
      <c r="L767" s="25" t="e">
        <f>AVERAGE(Table11057[[#Headers],[#Data],[UnfBsmt % Base]])</f>
        <v>#DIV/0!</v>
      </c>
      <c r="M767" s="44"/>
      <c r="N767" s="15"/>
      <c r="O767" s="23" t="e">
        <f>AVERAGE(Table11057[LowerVal/SqFt])</f>
        <v>#DIV/0!</v>
      </c>
      <c r="P767" s="24" t="e">
        <f>AVERAGE(Table11057[Lower % Base])</f>
        <v>#DIV/0!</v>
      </c>
      <c r="Q767" s="13"/>
      <c r="R767" s="13"/>
      <c r="S767" s="13"/>
      <c r="T767" s="25" t="e">
        <f>AVERAGE(Table11057[Unf Lower % Base])</f>
        <v>#DIV/0!</v>
      </c>
      <c r="U767" s="12"/>
      <c r="V767" s="13"/>
      <c r="W767" s="13"/>
      <c r="X767" s="25" t="e">
        <f>AVERAGE(Table11057[1/2 Story % Base])</f>
        <v>#DIV/0!</v>
      </c>
      <c r="Y767" s="12"/>
      <c r="Z767" s="13"/>
      <c r="AA767" s="13"/>
      <c r="AB767" s="24" t="e">
        <f>AVERAGE(Table11057[2nd Story % Base])</f>
        <v>#DIV/0!</v>
      </c>
      <c r="AC767" s="13"/>
      <c r="AD767" s="13"/>
      <c r="AE767" s="23">
        <f>AVERAGE(Table11057[AttGarVal/SqFt])</f>
        <v>29.548172757475079</v>
      </c>
      <c r="AF767" s="25">
        <f>AVERAGE(Table11057[Att Gar % Base])</f>
        <v>0.31986850346209666</v>
      </c>
      <c r="AG767" s="12"/>
      <c r="AH767" s="13"/>
      <c r="AI767" s="13"/>
      <c r="AJ767" s="25" t="e">
        <f>AVERAGE(Table11057[Porch % Base])</f>
        <v>#DIV/0!</v>
      </c>
      <c r="AK767" s="12"/>
      <c r="AL767" s="13"/>
      <c r="AM767" s="13"/>
      <c r="AN767" s="25">
        <f>AVERAGE(Table11057[Cov Porch % Base])</f>
        <v>0.14023800557721253</v>
      </c>
      <c r="AO767" s="12"/>
      <c r="AP767" s="13"/>
      <c r="AQ767" s="13"/>
      <c r="AR767" s="25" t="e">
        <f>AVERAGE(Table11057[Deck % Base])</f>
        <v>#DIV/0!</v>
      </c>
      <c r="AS767" s="12"/>
      <c r="AT767" s="13"/>
      <c r="AU767" s="23" t="e">
        <f>AVERAGE(Table11057[CovDeckVal/SqFt])</f>
        <v>#DIV/0!</v>
      </c>
      <c r="AV767" s="25" t="e">
        <f>AVERAGE(Table11057[CovDeck % Base])</f>
        <v>#DIV/0!</v>
      </c>
      <c r="AW767" s="12"/>
      <c r="AX767" s="13"/>
      <c r="AY767" s="13"/>
      <c r="AZ767" s="25" t="e">
        <f>AVERAGE(Table11057[CarP % Base])</f>
        <v>#DIV/0!</v>
      </c>
      <c r="BA767" s="12"/>
      <c r="BB767" s="13"/>
      <c r="BC767" s="13"/>
      <c r="BD767" s="24" t="e">
        <f>AVERAGE(Table11057[EFP % Base])</f>
        <v>#DIV/0!</v>
      </c>
    </row>
    <row r="769" spans="1:56" ht="15.75" thickBot="1" x14ac:dyDescent="0.3">
      <c r="A769" s="82"/>
      <c r="B769" t="s">
        <v>79</v>
      </c>
      <c r="C769" s="78" t="s">
        <v>163</v>
      </c>
      <c r="E769" t="s">
        <v>33</v>
      </c>
      <c r="F769" s="79">
        <v>1172</v>
      </c>
      <c r="H769" t="s">
        <v>80</v>
      </c>
      <c r="I769" t="s">
        <v>134</v>
      </c>
    </row>
    <row r="770" spans="1:56" x14ac:dyDescent="0.25">
      <c r="A770" s="112"/>
      <c r="B770" s="113"/>
      <c r="C770" s="113"/>
      <c r="D770" s="114"/>
      <c r="E770" s="115" t="s">
        <v>27</v>
      </c>
      <c r="F770" s="116"/>
      <c r="G770" s="116"/>
      <c r="H770" s="117"/>
      <c r="I770" s="118" t="s">
        <v>28</v>
      </c>
      <c r="J770" s="119"/>
      <c r="K770" s="119"/>
      <c r="L770" s="120"/>
      <c r="M770" s="121" t="s">
        <v>7</v>
      </c>
      <c r="N770" s="122"/>
      <c r="O770" s="122"/>
      <c r="P770" s="123"/>
      <c r="Q770" s="124" t="s">
        <v>29</v>
      </c>
      <c r="R770" s="125"/>
      <c r="S770" s="125"/>
      <c r="T770" s="126"/>
      <c r="U770" s="127" t="s">
        <v>8</v>
      </c>
      <c r="V770" s="128"/>
      <c r="W770" s="128"/>
      <c r="X770" s="129"/>
      <c r="Y770" s="130" t="s">
        <v>0</v>
      </c>
      <c r="Z770" s="131"/>
      <c r="AA770" s="131"/>
      <c r="AB770" s="132"/>
      <c r="AC770" s="133" t="s">
        <v>34</v>
      </c>
      <c r="AD770" s="134"/>
      <c r="AE770" s="134"/>
      <c r="AF770" s="135"/>
      <c r="AG770" s="115" t="s">
        <v>9</v>
      </c>
      <c r="AH770" s="116"/>
      <c r="AI770" s="116"/>
      <c r="AJ770" s="117"/>
      <c r="AK770" s="136" t="s">
        <v>35</v>
      </c>
      <c r="AL770" s="137"/>
      <c r="AM770" s="137"/>
      <c r="AN770" s="138"/>
      <c r="AO770" s="139" t="s">
        <v>10</v>
      </c>
      <c r="AP770" s="140"/>
      <c r="AQ770" s="140"/>
      <c r="AR770" s="141"/>
      <c r="AS770" s="124" t="s">
        <v>36</v>
      </c>
      <c r="AT770" s="125"/>
      <c r="AU770" s="125"/>
      <c r="AV770" s="126"/>
      <c r="AW770" s="142" t="s">
        <v>11</v>
      </c>
      <c r="AX770" s="143"/>
      <c r="AY770" s="143"/>
      <c r="AZ770" s="144"/>
      <c r="BA770" s="148" t="s">
        <v>17</v>
      </c>
      <c r="BB770" s="149"/>
      <c r="BC770" s="149"/>
      <c r="BD770" s="150"/>
    </row>
    <row r="771" spans="1:56" s="1" customFormat="1" ht="15.75" thickBot="1" x14ac:dyDescent="0.3">
      <c r="A771" s="41" t="s">
        <v>13</v>
      </c>
      <c r="B771" s="42" t="s">
        <v>15</v>
      </c>
      <c r="C771" s="42" t="s">
        <v>32</v>
      </c>
      <c r="D771" s="43" t="s">
        <v>18</v>
      </c>
      <c r="E771" s="30" t="s">
        <v>30</v>
      </c>
      <c r="F771" s="31" t="s">
        <v>61</v>
      </c>
      <c r="G771" s="31" t="s">
        <v>38</v>
      </c>
      <c r="H771" s="32" t="s">
        <v>62</v>
      </c>
      <c r="I771" s="37" t="s">
        <v>31</v>
      </c>
      <c r="J771" s="38" t="s">
        <v>39</v>
      </c>
      <c r="K771" s="38" t="s">
        <v>40</v>
      </c>
      <c r="L771" s="39" t="s">
        <v>63</v>
      </c>
      <c r="M771" s="40" t="s">
        <v>19</v>
      </c>
      <c r="N771" s="7" t="s">
        <v>41</v>
      </c>
      <c r="O771" s="7" t="s">
        <v>37</v>
      </c>
      <c r="P771" s="7" t="s">
        <v>64</v>
      </c>
      <c r="Q771" s="27" t="s">
        <v>20</v>
      </c>
      <c r="R771" s="28" t="s">
        <v>60</v>
      </c>
      <c r="S771" s="28" t="s">
        <v>59</v>
      </c>
      <c r="T771" s="29" t="s">
        <v>65</v>
      </c>
      <c r="U771" s="48" t="s">
        <v>21</v>
      </c>
      <c r="V771" s="48" t="s">
        <v>42</v>
      </c>
      <c r="W771" s="48" t="s">
        <v>43</v>
      </c>
      <c r="X771" s="49" t="s">
        <v>66</v>
      </c>
      <c r="Y771" s="50" t="s">
        <v>22</v>
      </c>
      <c r="Z771" s="51" t="s">
        <v>44</v>
      </c>
      <c r="AA771" s="51" t="s">
        <v>45</v>
      </c>
      <c r="AB771" s="52" t="s">
        <v>67</v>
      </c>
      <c r="AC771" s="45" t="s">
        <v>23</v>
      </c>
      <c r="AD771" s="46" t="s">
        <v>46</v>
      </c>
      <c r="AE771" s="46" t="s">
        <v>47</v>
      </c>
      <c r="AF771" s="47" t="s">
        <v>68</v>
      </c>
      <c r="AG771" s="30" t="s">
        <v>24</v>
      </c>
      <c r="AH771" s="31" t="s">
        <v>48</v>
      </c>
      <c r="AI771" s="31" t="s">
        <v>49</v>
      </c>
      <c r="AJ771" s="32" t="s">
        <v>69</v>
      </c>
      <c r="AK771" s="53" t="s">
        <v>25</v>
      </c>
      <c r="AL771" s="54" t="s">
        <v>50</v>
      </c>
      <c r="AM771" s="54" t="s">
        <v>51</v>
      </c>
      <c r="AN771" s="55" t="s">
        <v>70</v>
      </c>
      <c r="AO771" s="56" t="s">
        <v>26</v>
      </c>
      <c r="AP771" s="57" t="s">
        <v>52</v>
      </c>
      <c r="AQ771" s="57" t="s">
        <v>53</v>
      </c>
      <c r="AR771" s="58" t="s">
        <v>71</v>
      </c>
      <c r="AS771" s="59" t="s">
        <v>55</v>
      </c>
      <c r="AT771" s="60" t="s">
        <v>54</v>
      </c>
      <c r="AU771" s="60" t="s">
        <v>56</v>
      </c>
      <c r="AV771" s="61" t="s">
        <v>76</v>
      </c>
      <c r="AW771" s="62" t="s">
        <v>72</v>
      </c>
      <c r="AX771" s="63" t="s">
        <v>73</v>
      </c>
      <c r="AY771" s="63" t="s">
        <v>74</v>
      </c>
      <c r="AZ771" s="64" t="s">
        <v>75</v>
      </c>
      <c r="BA771" s="71" t="s">
        <v>77</v>
      </c>
      <c r="BB771" s="72" t="s">
        <v>57</v>
      </c>
      <c r="BC771" s="72" t="s">
        <v>58</v>
      </c>
      <c r="BD771" s="73" t="s">
        <v>78</v>
      </c>
    </row>
    <row r="772" spans="1:56" ht="15.75" thickBot="1" x14ac:dyDescent="0.3">
      <c r="A772" s="17" t="s">
        <v>1</v>
      </c>
      <c r="B772" s="14">
        <v>59720</v>
      </c>
      <c r="C772" s="34">
        <f>B772/F769</f>
        <v>50.955631399317404</v>
      </c>
      <c r="D772" s="14">
        <v>1525</v>
      </c>
      <c r="E772" s="67">
        <v>0</v>
      </c>
      <c r="F772" s="69">
        <v>0</v>
      </c>
      <c r="G772" s="34" t="e">
        <f t="shared" ref="G772:G778" si="1664">E772/F772</f>
        <v>#DIV/0!</v>
      </c>
      <c r="H772" s="10" t="e">
        <f t="shared" ref="H772:H778" si="1665">G772/C772</f>
        <v>#DIV/0!</v>
      </c>
      <c r="I772" s="34">
        <v>0</v>
      </c>
      <c r="J772" s="69">
        <v>0</v>
      </c>
      <c r="K772" s="34" t="e">
        <f t="shared" ref="K772:K778" si="1666">I772/J772</f>
        <v>#DIV/0!</v>
      </c>
      <c r="L772" s="9" t="e">
        <f t="shared" ref="L772:L778" si="1667">K772/C772</f>
        <v>#DIV/0!</v>
      </c>
      <c r="M772" s="67">
        <v>0</v>
      </c>
      <c r="N772" s="26">
        <v>0</v>
      </c>
      <c r="O772" s="34" t="e">
        <f t="shared" ref="O772:O778" si="1668">M772/N772</f>
        <v>#DIV/0!</v>
      </c>
      <c r="P772" s="10" t="e">
        <f t="shared" ref="P772:P778" si="1669">O772/C772</f>
        <v>#DIV/0!</v>
      </c>
      <c r="Q772" s="35">
        <v>0</v>
      </c>
      <c r="R772" s="66">
        <v>0</v>
      </c>
      <c r="S772" s="35" t="e">
        <f t="shared" ref="S772:S778" si="1670">Q772/R772</f>
        <v>#DIV/0!</v>
      </c>
      <c r="T772" s="6" t="e">
        <f t="shared" ref="T772:T778" si="1671">S772/C772</f>
        <v>#DIV/0!</v>
      </c>
      <c r="U772" s="67">
        <v>0</v>
      </c>
      <c r="V772" s="65">
        <v>0</v>
      </c>
      <c r="W772" s="18" t="e">
        <f t="shared" ref="W772:W778" si="1672">U772/V772</f>
        <v>#DIV/0!</v>
      </c>
      <c r="X772" s="9" t="e">
        <f t="shared" ref="X772:X778" si="1673">W772/C772</f>
        <v>#DIV/0!</v>
      </c>
      <c r="Y772" s="67">
        <v>0</v>
      </c>
      <c r="Z772" s="69">
        <v>0</v>
      </c>
      <c r="AA772" s="34" t="e">
        <f t="shared" ref="AA772:AA778" si="1674">Y772/Z772</f>
        <v>#DIV/0!</v>
      </c>
      <c r="AB772" s="10" t="e">
        <f t="shared" ref="AB772:AB778" si="1675">AA772/C772</f>
        <v>#DIV/0!</v>
      </c>
      <c r="AC772" s="18">
        <v>5340</v>
      </c>
      <c r="AD772" s="33">
        <v>315</v>
      </c>
      <c r="AE772" s="34">
        <f t="shared" ref="AE772:AE778" si="1676">AC772/AD772</f>
        <v>16.952380952380953</v>
      </c>
      <c r="AF772" s="9">
        <f t="shared" ref="AF772:AF778" si="1677">AE772/C772</f>
        <v>0.33268905686856126</v>
      </c>
      <c r="AG772" s="67">
        <v>0</v>
      </c>
      <c r="AH772" s="65">
        <v>0</v>
      </c>
      <c r="AI772" s="34" t="e">
        <f t="shared" ref="AI772:AI778" si="1678">AG772/AH772</f>
        <v>#DIV/0!</v>
      </c>
      <c r="AJ772" s="9" t="e">
        <f t="shared" ref="AJ772:AJ778" si="1679">AI772/C772</f>
        <v>#DIV/0!</v>
      </c>
      <c r="AK772" s="67">
        <v>3070</v>
      </c>
      <c r="AL772" s="65">
        <v>353</v>
      </c>
      <c r="AM772" s="34">
        <f t="shared" ref="AM772:AM778" si="1680">AK772/AL772</f>
        <v>8.6968838526912187</v>
      </c>
      <c r="AN772" s="9">
        <f t="shared" ref="AN772:AN778" si="1681">AM772/C772</f>
        <v>0.17067561747076537</v>
      </c>
      <c r="AO772" s="67">
        <v>0</v>
      </c>
      <c r="AP772" s="65">
        <v>0</v>
      </c>
      <c r="AQ772" s="34" t="e">
        <f t="shared" ref="AQ772:AQ778" si="1682">AO772/AP772</f>
        <v>#DIV/0!</v>
      </c>
      <c r="AR772" s="9" t="e">
        <f t="shared" ref="AR772:AR778" si="1683">AQ772/C772</f>
        <v>#DIV/0!</v>
      </c>
      <c r="AS772" s="67">
        <v>0</v>
      </c>
      <c r="AT772" s="65">
        <v>0</v>
      </c>
      <c r="AU772" s="34" t="e">
        <f t="shared" ref="AU772:AU778" si="1684">AS772/AT772</f>
        <v>#DIV/0!</v>
      </c>
      <c r="AV772" s="9" t="e">
        <f t="shared" ref="AV772:AV778" si="1685">AU772/C772</f>
        <v>#DIV/0!</v>
      </c>
      <c r="AW772" s="67">
        <v>2190</v>
      </c>
      <c r="AX772" s="65">
        <v>260</v>
      </c>
      <c r="AY772" s="34">
        <f t="shared" ref="AY772:AY778" si="1686">AW772/AX772</f>
        <v>8.4230769230769234</v>
      </c>
      <c r="AZ772" s="9">
        <f t="shared" ref="AZ772:AZ778" si="1687">AY772/C772</f>
        <v>0.16530217940130867</v>
      </c>
      <c r="BA772" s="67">
        <v>0</v>
      </c>
      <c r="BB772" s="65">
        <v>0</v>
      </c>
      <c r="BC772" s="34" t="e">
        <f t="shared" ref="BC772:BC778" si="1688">BA772/BB772</f>
        <v>#DIV/0!</v>
      </c>
      <c r="BD772" s="10" t="e">
        <f t="shared" ref="BD772:BD778" si="1689">BC772/C772</f>
        <v>#DIV/0!</v>
      </c>
    </row>
    <row r="773" spans="1:56" ht="15.75" thickBot="1" x14ac:dyDescent="0.3">
      <c r="A773" s="19" t="s">
        <v>16</v>
      </c>
      <c r="B773" s="8">
        <v>70270</v>
      </c>
      <c r="C773" s="35">
        <f>B773/F769</f>
        <v>59.957337883959042</v>
      </c>
      <c r="D773" s="8">
        <v>1525</v>
      </c>
      <c r="E773" s="68">
        <v>0</v>
      </c>
      <c r="F773" s="70">
        <v>0</v>
      </c>
      <c r="G773" s="35" t="e">
        <f t="shared" si="1664"/>
        <v>#DIV/0!</v>
      </c>
      <c r="H773" s="11" t="e">
        <f t="shared" si="1665"/>
        <v>#DIV/0!</v>
      </c>
      <c r="I773" s="35">
        <v>0</v>
      </c>
      <c r="J773" s="70">
        <v>0</v>
      </c>
      <c r="K773" s="35" t="e">
        <f t="shared" si="1666"/>
        <v>#DIV/0!</v>
      </c>
      <c r="L773" s="6" t="e">
        <f t="shared" si="1667"/>
        <v>#DIV/0!</v>
      </c>
      <c r="M773" s="68">
        <v>0</v>
      </c>
      <c r="N773" s="5">
        <v>0</v>
      </c>
      <c r="O773" s="35" t="e">
        <f t="shared" si="1668"/>
        <v>#DIV/0!</v>
      </c>
      <c r="P773" s="11" t="e">
        <f t="shared" si="1669"/>
        <v>#DIV/0!</v>
      </c>
      <c r="Q773" s="35">
        <v>0</v>
      </c>
      <c r="R773" s="66">
        <v>0</v>
      </c>
      <c r="S773" s="35" t="e">
        <f t="shared" si="1670"/>
        <v>#DIV/0!</v>
      </c>
      <c r="T773" s="6" t="e">
        <f t="shared" si="1671"/>
        <v>#DIV/0!</v>
      </c>
      <c r="U773" s="68">
        <v>0</v>
      </c>
      <c r="V773" s="66">
        <v>0</v>
      </c>
      <c r="W773" s="20" t="e">
        <f t="shared" si="1672"/>
        <v>#DIV/0!</v>
      </c>
      <c r="X773" s="6" t="e">
        <f t="shared" si="1673"/>
        <v>#DIV/0!</v>
      </c>
      <c r="Y773" s="68">
        <v>0</v>
      </c>
      <c r="Z773" s="70">
        <v>0</v>
      </c>
      <c r="AA773" s="35" t="e">
        <f t="shared" si="1674"/>
        <v>#DIV/0!</v>
      </c>
      <c r="AB773" s="11" t="e">
        <f t="shared" si="1675"/>
        <v>#DIV/0!</v>
      </c>
      <c r="AC773" s="20">
        <v>7460</v>
      </c>
      <c r="AD773" s="33">
        <v>315</v>
      </c>
      <c r="AE773" s="35">
        <f t="shared" si="1676"/>
        <v>23.682539682539684</v>
      </c>
      <c r="AF773" s="6">
        <f t="shared" si="1677"/>
        <v>0.39498984642004425</v>
      </c>
      <c r="AG773" s="68">
        <v>0</v>
      </c>
      <c r="AH773" s="66">
        <v>0</v>
      </c>
      <c r="AI773" s="35" t="e">
        <f t="shared" si="1678"/>
        <v>#DIV/0!</v>
      </c>
      <c r="AJ773" s="6" t="e">
        <f t="shared" si="1679"/>
        <v>#DIV/0!</v>
      </c>
      <c r="AK773" s="68">
        <v>4440</v>
      </c>
      <c r="AL773" s="65">
        <v>353</v>
      </c>
      <c r="AM773" s="35">
        <f t="shared" si="1680"/>
        <v>12.577903682719548</v>
      </c>
      <c r="AN773" s="6">
        <f t="shared" si="1681"/>
        <v>0.20978088965628733</v>
      </c>
      <c r="AO773" s="68">
        <v>0</v>
      </c>
      <c r="AP773" s="66">
        <v>0</v>
      </c>
      <c r="AQ773" s="35" t="e">
        <f t="shared" si="1682"/>
        <v>#DIV/0!</v>
      </c>
      <c r="AR773" s="6" t="e">
        <f t="shared" si="1683"/>
        <v>#DIV/0!</v>
      </c>
      <c r="AS773" s="68">
        <v>0</v>
      </c>
      <c r="AT773" s="66">
        <v>0</v>
      </c>
      <c r="AU773" s="35" t="e">
        <f t="shared" si="1684"/>
        <v>#DIV/0!</v>
      </c>
      <c r="AV773" s="6" t="e">
        <f t="shared" si="1685"/>
        <v>#DIV/0!</v>
      </c>
      <c r="AW773" s="68">
        <v>2530</v>
      </c>
      <c r="AX773" s="65">
        <v>260</v>
      </c>
      <c r="AY773" s="35">
        <f t="shared" si="1686"/>
        <v>9.7307692307692299</v>
      </c>
      <c r="AZ773" s="6">
        <f t="shared" si="1687"/>
        <v>0.16229488456612406</v>
      </c>
      <c r="BA773" s="68">
        <v>0</v>
      </c>
      <c r="BB773" s="66">
        <v>0</v>
      </c>
      <c r="BC773" s="35" t="e">
        <f t="shared" si="1688"/>
        <v>#DIV/0!</v>
      </c>
      <c r="BD773" s="11" t="e">
        <f t="shared" si="1689"/>
        <v>#DIV/0!</v>
      </c>
    </row>
    <row r="774" spans="1:56" ht="15.75" thickBot="1" x14ac:dyDescent="0.3">
      <c r="A774" s="19" t="s">
        <v>2</v>
      </c>
      <c r="B774" s="8">
        <v>82190</v>
      </c>
      <c r="C774" s="35">
        <f>B774/F769</f>
        <v>70.12798634812286</v>
      </c>
      <c r="D774" s="8">
        <v>2100</v>
      </c>
      <c r="E774" s="68">
        <v>0</v>
      </c>
      <c r="F774" s="70">
        <v>0</v>
      </c>
      <c r="G774" s="35" t="e">
        <f t="shared" si="1664"/>
        <v>#DIV/0!</v>
      </c>
      <c r="H774" s="11" t="e">
        <f t="shared" si="1665"/>
        <v>#DIV/0!</v>
      </c>
      <c r="I774" s="35">
        <v>0</v>
      </c>
      <c r="J774" s="70">
        <v>0</v>
      </c>
      <c r="K774" s="35" t="e">
        <f t="shared" si="1666"/>
        <v>#DIV/0!</v>
      </c>
      <c r="L774" s="6" t="e">
        <f t="shared" si="1667"/>
        <v>#DIV/0!</v>
      </c>
      <c r="M774" s="68">
        <v>0</v>
      </c>
      <c r="N774" s="5">
        <v>0</v>
      </c>
      <c r="O774" s="35" t="e">
        <f t="shared" si="1668"/>
        <v>#DIV/0!</v>
      </c>
      <c r="P774" s="11" t="e">
        <f t="shared" si="1669"/>
        <v>#DIV/0!</v>
      </c>
      <c r="Q774" s="35">
        <v>0</v>
      </c>
      <c r="R774" s="66">
        <v>0</v>
      </c>
      <c r="S774" s="35" t="e">
        <f t="shared" si="1670"/>
        <v>#DIV/0!</v>
      </c>
      <c r="T774" s="6" t="e">
        <f t="shared" si="1671"/>
        <v>#DIV/0!</v>
      </c>
      <c r="U774" s="68">
        <v>0</v>
      </c>
      <c r="V774" s="66">
        <v>0</v>
      </c>
      <c r="W774" s="20" t="e">
        <f t="shared" si="1672"/>
        <v>#DIV/0!</v>
      </c>
      <c r="X774" s="6" t="e">
        <f t="shared" si="1673"/>
        <v>#DIV/0!</v>
      </c>
      <c r="Y774" s="68">
        <v>0</v>
      </c>
      <c r="Z774" s="70">
        <v>0</v>
      </c>
      <c r="AA774" s="35" t="e">
        <f t="shared" si="1674"/>
        <v>#DIV/0!</v>
      </c>
      <c r="AB774" s="11" t="e">
        <f t="shared" si="1675"/>
        <v>#DIV/0!</v>
      </c>
      <c r="AC774" s="20">
        <v>9100</v>
      </c>
      <c r="AD774" s="33">
        <v>315</v>
      </c>
      <c r="AE774" s="35">
        <f t="shared" si="1676"/>
        <v>28.888888888888889</v>
      </c>
      <c r="AF774" s="6">
        <f t="shared" si="1677"/>
        <v>0.41194522177610149</v>
      </c>
      <c r="AG774" s="68">
        <v>0</v>
      </c>
      <c r="AH774" s="66">
        <v>0</v>
      </c>
      <c r="AI774" s="35" t="e">
        <f t="shared" si="1678"/>
        <v>#DIV/0!</v>
      </c>
      <c r="AJ774" s="6" t="e">
        <f t="shared" si="1679"/>
        <v>#DIV/0!</v>
      </c>
      <c r="AK774" s="68">
        <v>4850</v>
      </c>
      <c r="AL774" s="65">
        <v>353</v>
      </c>
      <c r="AM774" s="35">
        <f t="shared" si="1680"/>
        <v>13.739376770538243</v>
      </c>
      <c r="AN774" s="6">
        <f t="shared" si="1681"/>
        <v>0.19591859806631978</v>
      </c>
      <c r="AO774" s="68">
        <v>0</v>
      </c>
      <c r="AP774" s="66">
        <v>0</v>
      </c>
      <c r="AQ774" s="35" t="e">
        <f t="shared" si="1682"/>
        <v>#DIV/0!</v>
      </c>
      <c r="AR774" s="6" t="e">
        <f t="shared" si="1683"/>
        <v>#DIV/0!</v>
      </c>
      <c r="AS774" s="68">
        <v>0</v>
      </c>
      <c r="AT774" s="66">
        <v>0</v>
      </c>
      <c r="AU774" s="35" t="e">
        <f t="shared" si="1684"/>
        <v>#DIV/0!</v>
      </c>
      <c r="AV774" s="6" t="e">
        <f t="shared" si="1685"/>
        <v>#DIV/0!</v>
      </c>
      <c r="AW774" s="68">
        <v>2860</v>
      </c>
      <c r="AX774" s="65">
        <v>260</v>
      </c>
      <c r="AY774" s="35">
        <f t="shared" si="1686"/>
        <v>11</v>
      </c>
      <c r="AZ774" s="6">
        <f t="shared" si="1687"/>
        <v>0.15685606521474632</v>
      </c>
      <c r="BA774" s="68">
        <v>0</v>
      </c>
      <c r="BB774" s="66">
        <v>0</v>
      </c>
      <c r="BC774" s="35" t="e">
        <f t="shared" si="1688"/>
        <v>#DIV/0!</v>
      </c>
      <c r="BD774" s="11" t="e">
        <f t="shared" si="1689"/>
        <v>#DIV/0!</v>
      </c>
    </row>
    <row r="775" spans="1:56" ht="15.75" thickBot="1" x14ac:dyDescent="0.3">
      <c r="A775" s="19" t="s">
        <v>3</v>
      </c>
      <c r="B775" s="8">
        <v>99220</v>
      </c>
      <c r="C775" s="35">
        <f>B775/F769</f>
        <v>84.658703071672349</v>
      </c>
      <c r="D775" s="8">
        <v>2700</v>
      </c>
      <c r="E775" s="68">
        <v>0</v>
      </c>
      <c r="F775" s="70">
        <v>0</v>
      </c>
      <c r="G775" s="35" t="e">
        <f t="shared" si="1664"/>
        <v>#DIV/0!</v>
      </c>
      <c r="H775" s="11" t="e">
        <f t="shared" si="1665"/>
        <v>#DIV/0!</v>
      </c>
      <c r="I775" s="35">
        <v>0</v>
      </c>
      <c r="J775" s="70">
        <v>0</v>
      </c>
      <c r="K775" s="35" t="e">
        <f t="shared" si="1666"/>
        <v>#DIV/0!</v>
      </c>
      <c r="L775" s="6" t="e">
        <f t="shared" si="1667"/>
        <v>#DIV/0!</v>
      </c>
      <c r="M775" s="68">
        <v>0</v>
      </c>
      <c r="N775" s="5">
        <v>0</v>
      </c>
      <c r="O775" s="35" t="e">
        <f t="shared" si="1668"/>
        <v>#DIV/0!</v>
      </c>
      <c r="P775" s="11" t="e">
        <f t="shared" si="1669"/>
        <v>#DIV/0!</v>
      </c>
      <c r="Q775" s="35">
        <v>0</v>
      </c>
      <c r="R775" s="66">
        <v>0</v>
      </c>
      <c r="S775" s="35" t="e">
        <f t="shared" si="1670"/>
        <v>#DIV/0!</v>
      </c>
      <c r="T775" s="6" t="e">
        <f t="shared" si="1671"/>
        <v>#DIV/0!</v>
      </c>
      <c r="U775" s="68">
        <v>0</v>
      </c>
      <c r="V775" s="66">
        <v>0</v>
      </c>
      <c r="W775" s="20" t="e">
        <f t="shared" si="1672"/>
        <v>#DIV/0!</v>
      </c>
      <c r="X775" s="6" t="e">
        <f t="shared" si="1673"/>
        <v>#DIV/0!</v>
      </c>
      <c r="Y775" s="68">
        <v>0</v>
      </c>
      <c r="Z775" s="70">
        <v>0</v>
      </c>
      <c r="AA775" s="35" t="e">
        <f t="shared" si="1674"/>
        <v>#DIV/0!</v>
      </c>
      <c r="AB775" s="11" t="e">
        <f t="shared" si="1675"/>
        <v>#DIV/0!</v>
      </c>
      <c r="AC775" s="20">
        <v>9530</v>
      </c>
      <c r="AD775" s="33">
        <v>315</v>
      </c>
      <c r="AE775" s="35">
        <f t="shared" si="1676"/>
        <v>30.253968253968253</v>
      </c>
      <c r="AF775" s="6">
        <f t="shared" si="1677"/>
        <v>0.35736394672093119</v>
      </c>
      <c r="AG775" s="68">
        <v>0</v>
      </c>
      <c r="AH775" s="66">
        <v>0</v>
      </c>
      <c r="AI775" s="35" t="e">
        <f t="shared" si="1678"/>
        <v>#DIV/0!</v>
      </c>
      <c r="AJ775" s="6" t="e">
        <f t="shared" si="1679"/>
        <v>#DIV/0!</v>
      </c>
      <c r="AK775" s="68">
        <v>5530</v>
      </c>
      <c r="AL775" s="65">
        <v>353</v>
      </c>
      <c r="AM775" s="35">
        <f t="shared" si="1680"/>
        <v>15.6657223796034</v>
      </c>
      <c r="AN775" s="6">
        <f t="shared" si="1681"/>
        <v>0.18504562214165679</v>
      </c>
      <c r="AO775" s="68">
        <v>0</v>
      </c>
      <c r="AP775" s="66">
        <v>0</v>
      </c>
      <c r="AQ775" s="35" t="e">
        <f t="shared" si="1682"/>
        <v>#DIV/0!</v>
      </c>
      <c r="AR775" s="6" t="e">
        <f t="shared" si="1683"/>
        <v>#DIV/0!</v>
      </c>
      <c r="AS775" s="68">
        <v>0</v>
      </c>
      <c r="AT775" s="66">
        <v>0</v>
      </c>
      <c r="AU775" s="35" t="e">
        <f t="shared" si="1684"/>
        <v>#DIV/0!</v>
      </c>
      <c r="AV775" s="6" t="e">
        <f t="shared" si="1685"/>
        <v>#DIV/0!</v>
      </c>
      <c r="AW775" s="68">
        <v>4030</v>
      </c>
      <c r="AX775" s="65">
        <v>260</v>
      </c>
      <c r="AY775" s="35">
        <f t="shared" si="1686"/>
        <v>15.5</v>
      </c>
      <c r="AZ775" s="6">
        <f t="shared" si="1687"/>
        <v>0.18308808707921792</v>
      </c>
      <c r="BA775" s="68">
        <v>0</v>
      </c>
      <c r="BB775" s="66">
        <v>0</v>
      </c>
      <c r="BC775" s="35" t="e">
        <f t="shared" si="1688"/>
        <v>#DIV/0!</v>
      </c>
      <c r="BD775" s="11" t="e">
        <f t="shared" si="1689"/>
        <v>#DIV/0!</v>
      </c>
    </row>
    <row r="776" spans="1:56" ht="15.75" thickBot="1" x14ac:dyDescent="0.3">
      <c r="A776" s="19" t="s">
        <v>4</v>
      </c>
      <c r="B776" s="8">
        <v>123810</v>
      </c>
      <c r="C776" s="35">
        <f>B776/F769</f>
        <v>105.63993174061433</v>
      </c>
      <c r="D776" s="8">
        <v>5250</v>
      </c>
      <c r="E776" s="68">
        <v>0</v>
      </c>
      <c r="F776" s="70">
        <v>0</v>
      </c>
      <c r="G776" s="35" t="e">
        <f t="shared" si="1664"/>
        <v>#DIV/0!</v>
      </c>
      <c r="H776" s="11" t="e">
        <f t="shared" si="1665"/>
        <v>#DIV/0!</v>
      </c>
      <c r="I776" s="35">
        <v>0</v>
      </c>
      <c r="J776" s="70">
        <v>0</v>
      </c>
      <c r="K776" s="35" t="e">
        <f t="shared" si="1666"/>
        <v>#DIV/0!</v>
      </c>
      <c r="L776" s="6" t="e">
        <f t="shared" si="1667"/>
        <v>#DIV/0!</v>
      </c>
      <c r="M776" s="68">
        <v>0</v>
      </c>
      <c r="N776" s="5">
        <v>0</v>
      </c>
      <c r="O776" s="35" t="e">
        <f t="shared" si="1668"/>
        <v>#DIV/0!</v>
      </c>
      <c r="P776" s="11" t="e">
        <f t="shared" si="1669"/>
        <v>#DIV/0!</v>
      </c>
      <c r="Q776" s="35">
        <v>0</v>
      </c>
      <c r="R776" s="66">
        <v>0</v>
      </c>
      <c r="S776" s="35" t="e">
        <f t="shared" si="1670"/>
        <v>#DIV/0!</v>
      </c>
      <c r="T776" s="6" t="e">
        <f t="shared" si="1671"/>
        <v>#DIV/0!</v>
      </c>
      <c r="U776" s="68">
        <v>0</v>
      </c>
      <c r="V776" s="66">
        <v>0</v>
      </c>
      <c r="W776" s="20" t="e">
        <f t="shared" si="1672"/>
        <v>#DIV/0!</v>
      </c>
      <c r="X776" s="6" t="e">
        <f t="shared" si="1673"/>
        <v>#DIV/0!</v>
      </c>
      <c r="Y776" s="68">
        <v>0</v>
      </c>
      <c r="Z776" s="70">
        <v>0</v>
      </c>
      <c r="AA776" s="35" t="e">
        <f t="shared" si="1674"/>
        <v>#DIV/0!</v>
      </c>
      <c r="AB776" s="11" t="e">
        <f t="shared" si="1675"/>
        <v>#DIV/0!</v>
      </c>
      <c r="AC776" s="20">
        <v>10920</v>
      </c>
      <c r="AD776" s="33">
        <v>315</v>
      </c>
      <c r="AE776" s="35">
        <f t="shared" si="1676"/>
        <v>34.666666666666664</v>
      </c>
      <c r="AF776" s="6">
        <f t="shared" si="1677"/>
        <v>0.32815873785100824</v>
      </c>
      <c r="AG776" s="68">
        <v>0</v>
      </c>
      <c r="AH776" s="66">
        <v>0</v>
      </c>
      <c r="AI776" s="35" t="e">
        <f t="shared" si="1678"/>
        <v>#DIV/0!</v>
      </c>
      <c r="AJ776" s="6" t="e">
        <f t="shared" si="1679"/>
        <v>#DIV/0!</v>
      </c>
      <c r="AK776" s="68">
        <v>6570</v>
      </c>
      <c r="AL776" s="65">
        <v>353</v>
      </c>
      <c r="AM776" s="35">
        <f t="shared" si="1680"/>
        <v>18.611898016997166</v>
      </c>
      <c r="AN776" s="6">
        <f t="shared" si="1681"/>
        <v>0.1761824123731579</v>
      </c>
      <c r="AO776" s="68">
        <v>0</v>
      </c>
      <c r="AP776" s="66">
        <v>0</v>
      </c>
      <c r="AQ776" s="35" t="e">
        <f t="shared" si="1682"/>
        <v>#DIV/0!</v>
      </c>
      <c r="AR776" s="6" t="e">
        <f t="shared" si="1683"/>
        <v>#DIV/0!</v>
      </c>
      <c r="AS776" s="68">
        <v>0</v>
      </c>
      <c r="AT776" s="66">
        <v>0</v>
      </c>
      <c r="AU776" s="35" t="e">
        <f t="shared" si="1684"/>
        <v>#DIV/0!</v>
      </c>
      <c r="AV776" s="6" t="e">
        <f t="shared" si="1685"/>
        <v>#DIV/0!</v>
      </c>
      <c r="AW776" s="68">
        <v>4570</v>
      </c>
      <c r="AX776" s="65">
        <v>260</v>
      </c>
      <c r="AY776" s="35">
        <f t="shared" si="1686"/>
        <v>17.576923076923077</v>
      </c>
      <c r="AZ776" s="6">
        <f t="shared" si="1687"/>
        <v>0.16638521804501935</v>
      </c>
      <c r="BA776" s="68">
        <v>0</v>
      </c>
      <c r="BB776" s="66">
        <v>0</v>
      </c>
      <c r="BC776" s="35" t="e">
        <f t="shared" si="1688"/>
        <v>#DIV/0!</v>
      </c>
      <c r="BD776" s="11" t="e">
        <f t="shared" si="1689"/>
        <v>#DIV/0!</v>
      </c>
    </row>
    <row r="777" spans="1:56" ht="15.75" thickBot="1" x14ac:dyDescent="0.3">
      <c r="A777" s="19" t="s">
        <v>5</v>
      </c>
      <c r="B777" s="8">
        <v>162740</v>
      </c>
      <c r="C777" s="35">
        <f>B777/F769</f>
        <v>138.8566552901024</v>
      </c>
      <c r="D777" s="8">
        <v>7050</v>
      </c>
      <c r="E777" s="68">
        <v>0</v>
      </c>
      <c r="F777" s="70">
        <v>0</v>
      </c>
      <c r="G777" s="35" t="e">
        <f t="shared" si="1664"/>
        <v>#DIV/0!</v>
      </c>
      <c r="H777" s="11" t="e">
        <f t="shared" si="1665"/>
        <v>#DIV/0!</v>
      </c>
      <c r="I777" s="35">
        <v>0</v>
      </c>
      <c r="J777" s="70">
        <v>0</v>
      </c>
      <c r="K777" s="35" t="e">
        <f t="shared" si="1666"/>
        <v>#DIV/0!</v>
      </c>
      <c r="L777" s="6" t="e">
        <f t="shared" si="1667"/>
        <v>#DIV/0!</v>
      </c>
      <c r="M777" s="68">
        <v>0</v>
      </c>
      <c r="N777" s="5">
        <v>0</v>
      </c>
      <c r="O777" s="35" t="e">
        <f t="shared" si="1668"/>
        <v>#DIV/0!</v>
      </c>
      <c r="P777" s="11" t="e">
        <f t="shared" si="1669"/>
        <v>#DIV/0!</v>
      </c>
      <c r="Q777" s="35">
        <v>0</v>
      </c>
      <c r="R777" s="66">
        <v>0</v>
      </c>
      <c r="S777" s="35" t="e">
        <f t="shared" si="1670"/>
        <v>#DIV/0!</v>
      </c>
      <c r="T777" s="6" t="e">
        <f t="shared" si="1671"/>
        <v>#DIV/0!</v>
      </c>
      <c r="U777" s="68">
        <v>0</v>
      </c>
      <c r="V777" s="66">
        <v>0</v>
      </c>
      <c r="W777" s="20" t="e">
        <f t="shared" si="1672"/>
        <v>#DIV/0!</v>
      </c>
      <c r="X777" s="6" t="e">
        <f t="shared" si="1673"/>
        <v>#DIV/0!</v>
      </c>
      <c r="Y777" s="68">
        <v>0</v>
      </c>
      <c r="Z777" s="70">
        <v>0</v>
      </c>
      <c r="AA777" s="35" t="e">
        <f t="shared" si="1674"/>
        <v>#DIV/0!</v>
      </c>
      <c r="AB777" s="11" t="e">
        <f t="shared" si="1675"/>
        <v>#DIV/0!</v>
      </c>
      <c r="AC777" s="20">
        <v>12660</v>
      </c>
      <c r="AD777" s="33">
        <v>315</v>
      </c>
      <c r="AE777" s="35">
        <f t="shared" si="1676"/>
        <v>40.19047619047619</v>
      </c>
      <c r="AF777" s="6">
        <f t="shared" si="1677"/>
        <v>0.28943860203538213</v>
      </c>
      <c r="AG777" s="68">
        <v>0</v>
      </c>
      <c r="AH777" s="66">
        <v>0</v>
      </c>
      <c r="AI777" s="35" t="e">
        <f t="shared" si="1678"/>
        <v>#DIV/0!</v>
      </c>
      <c r="AJ777" s="6" t="e">
        <f t="shared" si="1679"/>
        <v>#DIV/0!</v>
      </c>
      <c r="AK777" s="68">
        <v>7460</v>
      </c>
      <c r="AL777" s="65">
        <v>353</v>
      </c>
      <c r="AM777" s="35">
        <f t="shared" si="1680"/>
        <v>21.13314447592068</v>
      </c>
      <c r="AN777" s="6">
        <f t="shared" si="1681"/>
        <v>0.15219396169214106</v>
      </c>
      <c r="AO777" s="68">
        <v>0</v>
      </c>
      <c r="AP777" s="66">
        <v>0</v>
      </c>
      <c r="AQ777" s="35" t="e">
        <f t="shared" si="1682"/>
        <v>#DIV/0!</v>
      </c>
      <c r="AR777" s="6" t="e">
        <f t="shared" si="1683"/>
        <v>#DIV/0!</v>
      </c>
      <c r="AS777" s="68">
        <v>0</v>
      </c>
      <c r="AT777" s="66">
        <v>0</v>
      </c>
      <c r="AU777" s="35" t="e">
        <f t="shared" si="1684"/>
        <v>#DIV/0!</v>
      </c>
      <c r="AV777" s="6" t="e">
        <f t="shared" si="1685"/>
        <v>#DIV/0!</v>
      </c>
      <c r="AW777" s="68">
        <v>5570</v>
      </c>
      <c r="AX777" s="65">
        <v>260</v>
      </c>
      <c r="AY777" s="35">
        <f t="shared" si="1686"/>
        <v>21.423076923076923</v>
      </c>
      <c r="AZ777" s="6">
        <f t="shared" si="1687"/>
        <v>0.15428195989828039</v>
      </c>
      <c r="BA777" s="68">
        <v>0</v>
      </c>
      <c r="BB777" s="66">
        <v>0</v>
      </c>
      <c r="BC777" s="35" t="e">
        <f t="shared" si="1688"/>
        <v>#DIV/0!</v>
      </c>
      <c r="BD777" s="11" t="e">
        <f t="shared" si="1689"/>
        <v>#DIV/0!</v>
      </c>
    </row>
    <row r="778" spans="1:56" x14ac:dyDescent="0.25">
      <c r="A778" s="19" t="s">
        <v>6</v>
      </c>
      <c r="B778" s="8">
        <v>192010</v>
      </c>
      <c r="C778" s="35">
        <f>B778/F769</f>
        <v>163.83105802047783</v>
      </c>
      <c r="D778" s="8">
        <v>10950</v>
      </c>
      <c r="E778" s="68">
        <v>0</v>
      </c>
      <c r="F778" s="70">
        <v>0</v>
      </c>
      <c r="G778" s="35" t="e">
        <f t="shared" si="1664"/>
        <v>#DIV/0!</v>
      </c>
      <c r="H778" s="11" t="e">
        <f t="shared" si="1665"/>
        <v>#DIV/0!</v>
      </c>
      <c r="I778" s="35">
        <v>0</v>
      </c>
      <c r="J778" s="70">
        <v>0</v>
      </c>
      <c r="K778" s="35" t="e">
        <f t="shared" si="1666"/>
        <v>#DIV/0!</v>
      </c>
      <c r="L778" s="6" t="e">
        <f t="shared" si="1667"/>
        <v>#DIV/0!</v>
      </c>
      <c r="M778" s="68">
        <v>0</v>
      </c>
      <c r="N778" s="5">
        <v>0</v>
      </c>
      <c r="O778" s="35" t="e">
        <f t="shared" si="1668"/>
        <v>#DIV/0!</v>
      </c>
      <c r="P778" s="11" t="e">
        <f t="shared" si="1669"/>
        <v>#DIV/0!</v>
      </c>
      <c r="Q778" s="35">
        <v>0</v>
      </c>
      <c r="R778" s="66">
        <v>0</v>
      </c>
      <c r="S778" s="35" t="e">
        <f t="shared" si="1670"/>
        <v>#DIV/0!</v>
      </c>
      <c r="T778" s="6" t="e">
        <f t="shared" si="1671"/>
        <v>#DIV/0!</v>
      </c>
      <c r="U778" s="68">
        <v>0</v>
      </c>
      <c r="V778" s="66">
        <v>0</v>
      </c>
      <c r="W778" s="20" t="e">
        <f t="shared" si="1672"/>
        <v>#DIV/0!</v>
      </c>
      <c r="X778" s="6" t="e">
        <f t="shared" si="1673"/>
        <v>#DIV/0!</v>
      </c>
      <c r="Y778" s="68">
        <v>0</v>
      </c>
      <c r="Z778" s="70">
        <v>0</v>
      </c>
      <c r="AA778" s="35" t="e">
        <f t="shared" si="1674"/>
        <v>#DIV/0!</v>
      </c>
      <c r="AB778" s="11" t="e">
        <f t="shared" si="1675"/>
        <v>#DIV/0!</v>
      </c>
      <c r="AC778" s="20">
        <v>17930</v>
      </c>
      <c r="AD778" s="33">
        <v>315</v>
      </c>
      <c r="AE778" s="35">
        <f t="shared" si="1676"/>
        <v>56.920634920634917</v>
      </c>
      <c r="AF778" s="6">
        <f t="shared" si="1677"/>
        <v>0.34743494675789866</v>
      </c>
      <c r="AG778" s="68">
        <v>0</v>
      </c>
      <c r="AH778" s="66">
        <v>0</v>
      </c>
      <c r="AI778" s="35" t="e">
        <f t="shared" si="1678"/>
        <v>#DIV/0!</v>
      </c>
      <c r="AJ778" s="6" t="e">
        <f t="shared" si="1679"/>
        <v>#DIV/0!</v>
      </c>
      <c r="AK778" s="68">
        <v>8400</v>
      </c>
      <c r="AL778" s="65">
        <v>353</v>
      </c>
      <c r="AM778" s="35">
        <f t="shared" si="1680"/>
        <v>23.796033994334277</v>
      </c>
      <c r="AN778" s="6">
        <f t="shared" si="1681"/>
        <v>0.14524739253872074</v>
      </c>
      <c r="AO778" s="68">
        <v>0</v>
      </c>
      <c r="AP778" s="66">
        <v>0</v>
      </c>
      <c r="AQ778" s="35" t="e">
        <f t="shared" si="1682"/>
        <v>#DIV/0!</v>
      </c>
      <c r="AR778" s="6" t="e">
        <f t="shared" si="1683"/>
        <v>#DIV/0!</v>
      </c>
      <c r="AS778" s="68">
        <v>0</v>
      </c>
      <c r="AT778" s="66">
        <v>0</v>
      </c>
      <c r="AU778" s="35" t="e">
        <f t="shared" si="1684"/>
        <v>#DIV/0!</v>
      </c>
      <c r="AV778" s="6" t="e">
        <f t="shared" si="1685"/>
        <v>#DIV/0!</v>
      </c>
      <c r="AW778" s="68">
        <v>6450</v>
      </c>
      <c r="AX778" s="65">
        <v>260</v>
      </c>
      <c r="AY778" s="35">
        <f t="shared" si="1686"/>
        <v>24.807692307692307</v>
      </c>
      <c r="AZ778" s="6">
        <f t="shared" si="1687"/>
        <v>0.15142240187810729</v>
      </c>
      <c r="BA778" s="68">
        <v>0</v>
      </c>
      <c r="BB778" s="66">
        <v>0</v>
      </c>
      <c r="BC778" s="35" t="e">
        <f t="shared" si="1688"/>
        <v>#DIV/0!</v>
      </c>
      <c r="BD778" s="11" t="e">
        <f t="shared" si="1689"/>
        <v>#DIV/0!</v>
      </c>
    </row>
    <row r="779" spans="1:56" ht="15.75" thickBot="1" x14ac:dyDescent="0.3">
      <c r="A779" s="21"/>
      <c r="B779" s="22"/>
      <c r="C779" s="23">
        <f>AVERAGE(Table11058[MA $/Sq Ft])</f>
        <v>96.289614822038033</v>
      </c>
      <c r="D779" s="22">
        <f>AVERAGE(Table11058[Basic Allowance])</f>
        <v>4442.8571428571431</v>
      </c>
      <c r="E779" s="16"/>
      <c r="F779" s="22"/>
      <c r="G779" s="15"/>
      <c r="H779" s="24" t="e">
        <f>AVERAGE(Table11058[Bsmt % Base])</f>
        <v>#DIV/0!</v>
      </c>
      <c r="I779" s="15"/>
      <c r="J779" s="15"/>
      <c r="K779" s="15"/>
      <c r="L779" s="25" t="e">
        <f>AVERAGE(Table11058[[#Headers],[#Data],[UnfBsmt % Base]])</f>
        <v>#DIV/0!</v>
      </c>
      <c r="M779" s="44"/>
      <c r="N779" s="15"/>
      <c r="O779" s="23" t="e">
        <f>AVERAGE(Table11058[LowerVal/SqFt])</f>
        <v>#DIV/0!</v>
      </c>
      <c r="P779" s="24" t="e">
        <f>AVERAGE(Table11058[Lower % Base])</f>
        <v>#DIV/0!</v>
      </c>
      <c r="Q779" s="13"/>
      <c r="R779" s="13"/>
      <c r="S779" s="13"/>
      <c r="T779" s="25" t="e">
        <f>AVERAGE(Table11058[Unf Lower % Base])</f>
        <v>#DIV/0!</v>
      </c>
      <c r="U779" s="12"/>
      <c r="V779" s="13"/>
      <c r="W779" s="13"/>
      <c r="X779" s="25" t="e">
        <f>AVERAGE(Table11058[1/2 Story % Base])</f>
        <v>#DIV/0!</v>
      </c>
      <c r="Y779" s="12"/>
      <c r="Z779" s="13"/>
      <c r="AA779" s="13"/>
      <c r="AB779" s="24" t="e">
        <f>AVERAGE(Table11058[2nd Story % Base])</f>
        <v>#DIV/0!</v>
      </c>
      <c r="AC779" s="13"/>
      <c r="AD779" s="13"/>
      <c r="AE779" s="23">
        <f>AVERAGE(Table11058[AttGarVal/SqFt])</f>
        <v>33.079365079365076</v>
      </c>
      <c r="AF779" s="25">
        <f>AVERAGE(Table11058[Att Gar % Base])</f>
        <v>0.35171719406141821</v>
      </c>
      <c r="AG779" s="12"/>
      <c r="AH779" s="13"/>
      <c r="AI779" s="13"/>
      <c r="AJ779" s="25" t="e">
        <f>AVERAGE(Table11058[Porch % Base])</f>
        <v>#DIV/0!</v>
      </c>
      <c r="AK779" s="12"/>
      <c r="AL779" s="13"/>
      <c r="AM779" s="13"/>
      <c r="AN779" s="25">
        <f>AVERAGE(Table11058[Cov Porch % Base])</f>
        <v>0.17643492770557842</v>
      </c>
      <c r="AO779" s="12"/>
      <c r="AP779" s="13"/>
      <c r="AQ779" s="13"/>
      <c r="AR779" s="25" t="e">
        <f>AVERAGE(Table11058[Deck % Base])</f>
        <v>#DIV/0!</v>
      </c>
      <c r="AS779" s="12"/>
      <c r="AT779" s="13"/>
      <c r="AU779" s="23" t="e">
        <f>AVERAGE(Table11058[CovDeckVal/SqFt])</f>
        <v>#DIV/0!</v>
      </c>
      <c r="AV779" s="25" t="e">
        <f>AVERAGE(Table11058[CovDeck % Base])</f>
        <v>#DIV/0!</v>
      </c>
      <c r="AW779" s="12"/>
      <c r="AX779" s="13"/>
      <c r="AY779" s="13"/>
      <c r="AZ779" s="25">
        <f>AVERAGE(Table11058[CarP % Base])</f>
        <v>0.16280439944040057</v>
      </c>
      <c r="BA779" s="12"/>
      <c r="BB779" s="13"/>
      <c r="BC779" s="13"/>
      <c r="BD779" s="24" t="e">
        <f>AVERAGE(Table11058[EFP % Base])</f>
        <v>#DIV/0!</v>
      </c>
    </row>
    <row r="781" spans="1:56" ht="15.75" thickBot="1" x14ac:dyDescent="0.3">
      <c r="A781" s="82"/>
      <c r="B781" t="s">
        <v>79</v>
      </c>
      <c r="C781" s="78" t="s">
        <v>164</v>
      </c>
      <c r="E781" t="s">
        <v>33</v>
      </c>
      <c r="F781" s="79">
        <v>2943</v>
      </c>
      <c r="H781" t="s">
        <v>80</v>
      </c>
      <c r="I781" t="s">
        <v>134</v>
      </c>
    </row>
    <row r="782" spans="1:56" x14ac:dyDescent="0.25">
      <c r="A782" s="112"/>
      <c r="B782" s="113"/>
      <c r="C782" s="113"/>
      <c r="D782" s="114"/>
      <c r="E782" s="115" t="s">
        <v>27</v>
      </c>
      <c r="F782" s="116"/>
      <c r="G782" s="116"/>
      <c r="H782" s="117"/>
      <c r="I782" s="118" t="s">
        <v>28</v>
      </c>
      <c r="J782" s="119"/>
      <c r="K782" s="119"/>
      <c r="L782" s="120"/>
      <c r="M782" s="121" t="s">
        <v>7</v>
      </c>
      <c r="N782" s="122"/>
      <c r="O782" s="122"/>
      <c r="P782" s="123"/>
      <c r="Q782" s="124" t="s">
        <v>29</v>
      </c>
      <c r="R782" s="125"/>
      <c r="S782" s="125"/>
      <c r="T782" s="126"/>
      <c r="U782" s="127" t="s">
        <v>8</v>
      </c>
      <c r="V782" s="128"/>
      <c r="W782" s="128"/>
      <c r="X782" s="129"/>
      <c r="Y782" s="130" t="s">
        <v>0</v>
      </c>
      <c r="Z782" s="131"/>
      <c r="AA782" s="131"/>
      <c r="AB782" s="132"/>
      <c r="AC782" s="133" t="s">
        <v>34</v>
      </c>
      <c r="AD782" s="134"/>
      <c r="AE782" s="134"/>
      <c r="AF782" s="135"/>
      <c r="AG782" s="115" t="s">
        <v>9</v>
      </c>
      <c r="AH782" s="116"/>
      <c r="AI782" s="116"/>
      <c r="AJ782" s="117"/>
      <c r="AK782" s="136" t="s">
        <v>35</v>
      </c>
      <c r="AL782" s="137"/>
      <c r="AM782" s="137"/>
      <c r="AN782" s="138"/>
      <c r="AO782" s="139" t="s">
        <v>10</v>
      </c>
      <c r="AP782" s="140"/>
      <c r="AQ782" s="140"/>
      <c r="AR782" s="141"/>
      <c r="AS782" s="124" t="s">
        <v>36</v>
      </c>
      <c r="AT782" s="125"/>
      <c r="AU782" s="125"/>
      <c r="AV782" s="126"/>
      <c r="AW782" s="142" t="s">
        <v>11</v>
      </c>
      <c r="AX782" s="143"/>
      <c r="AY782" s="143"/>
      <c r="AZ782" s="144"/>
      <c r="BA782" s="148" t="s">
        <v>17</v>
      </c>
      <c r="BB782" s="149"/>
      <c r="BC782" s="149"/>
      <c r="BD782" s="150"/>
    </row>
    <row r="783" spans="1:56" s="1" customFormat="1" ht="15.75" thickBot="1" x14ac:dyDescent="0.3">
      <c r="A783" s="41" t="s">
        <v>13</v>
      </c>
      <c r="B783" s="42" t="s">
        <v>15</v>
      </c>
      <c r="C783" s="42" t="s">
        <v>32</v>
      </c>
      <c r="D783" s="43" t="s">
        <v>18</v>
      </c>
      <c r="E783" s="30" t="s">
        <v>30</v>
      </c>
      <c r="F783" s="31" t="s">
        <v>61</v>
      </c>
      <c r="G783" s="31" t="s">
        <v>38</v>
      </c>
      <c r="H783" s="32" t="s">
        <v>62</v>
      </c>
      <c r="I783" s="37" t="s">
        <v>31</v>
      </c>
      <c r="J783" s="38" t="s">
        <v>39</v>
      </c>
      <c r="K783" s="38" t="s">
        <v>40</v>
      </c>
      <c r="L783" s="39" t="s">
        <v>63</v>
      </c>
      <c r="M783" s="40" t="s">
        <v>19</v>
      </c>
      <c r="N783" s="7" t="s">
        <v>41</v>
      </c>
      <c r="O783" s="7" t="s">
        <v>37</v>
      </c>
      <c r="P783" s="7" t="s">
        <v>64</v>
      </c>
      <c r="Q783" s="27" t="s">
        <v>20</v>
      </c>
      <c r="R783" s="28" t="s">
        <v>60</v>
      </c>
      <c r="S783" s="28" t="s">
        <v>59</v>
      </c>
      <c r="T783" s="29" t="s">
        <v>65</v>
      </c>
      <c r="U783" s="48" t="s">
        <v>21</v>
      </c>
      <c r="V783" s="48" t="s">
        <v>42</v>
      </c>
      <c r="W783" s="48" t="s">
        <v>43</v>
      </c>
      <c r="X783" s="49" t="s">
        <v>66</v>
      </c>
      <c r="Y783" s="50" t="s">
        <v>22</v>
      </c>
      <c r="Z783" s="51" t="s">
        <v>44</v>
      </c>
      <c r="AA783" s="51" t="s">
        <v>45</v>
      </c>
      <c r="AB783" s="52" t="s">
        <v>67</v>
      </c>
      <c r="AC783" s="45" t="s">
        <v>23</v>
      </c>
      <c r="AD783" s="46" t="s">
        <v>46</v>
      </c>
      <c r="AE783" s="46" t="s">
        <v>47</v>
      </c>
      <c r="AF783" s="47" t="s">
        <v>68</v>
      </c>
      <c r="AG783" s="30" t="s">
        <v>24</v>
      </c>
      <c r="AH783" s="31" t="s">
        <v>48</v>
      </c>
      <c r="AI783" s="31" t="s">
        <v>49</v>
      </c>
      <c r="AJ783" s="32" t="s">
        <v>69</v>
      </c>
      <c r="AK783" s="53" t="s">
        <v>25</v>
      </c>
      <c r="AL783" s="54" t="s">
        <v>50</v>
      </c>
      <c r="AM783" s="54" t="s">
        <v>51</v>
      </c>
      <c r="AN783" s="55" t="s">
        <v>70</v>
      </c>
      <c r="AO783" s="56" t="s">
        <v>26</v>
      </c>
      <c r="AP783" s="57" t="s">
        <v>52</v>
      </c>
      <c r="AQ783" s="57" t="s">
        <v>53</v>
      </c>
      <c r="AR783" s="58" t="s">
        <v>71</v>
      </c>
      <c r="AS783" s="59" t="s">
        <v>55</v>
      </c>
      <c r="AT783" s="60" t="s">
        <v>54</v>
      </c>
      <c r="AU783" s="60" t="s">
        <v>56</v>
      </c>
      <c r="AV783" s="61" t="s">
        <v>76</v>
      </c>
      <c r="AW783" s="62" t="s">
        <v>72</v>
      </c>
      <c r="AX783" s="63" t="s">
        <v>73</v>
      </c>
      <c r="AY783" s="63" t="s">
        <v>74</v>
      </c>
      <c r="AZ783" s="64" t="s">
        <v>75</v>
      </c>
      <c r="BA783" s="71" t="s">
        <v>77</v>
      </c>
      <c r="BB783" s="72" t="s">
        <v>57</v>
      </c>
      <c r="BC783" s="72" t="s">
        <v>58</v>
      </c>
      <c r="BD783" s="73" t="s">
        <v>78</v>
      </c>
    </row>
    <row r="784" spans="1:56" ht="15.75" thickBot="1" x14ac:dyDescent="0.3">
      <c r="A784" s="17" t="s">
        <v>1</v>
      </c>
      <c r="B784" s="14">
        <v>135380</v>
      </c>
      <c r="C784" s="34">
        <f>B784/F781</f>
        <v>46.000679578661227</v>
      </c>
      <c r="D784" s="14">
        <v>1525</v>
      </c>
      <c r="E784" s="67">
        <v>0</v>
      </c>
      <c r="F784" s="69">
        <v>0</v>
      </c>
      <c r="G784" s="34" t="e">
        <f t="shared" ref="G784:G790" si="1690">E784/F784</f>
        <v>#DIV/0!</v>
      </c>
      <c r="H784" s="10" t="e">
        <f t="shared" ref="H784:H790" si="1691">G784/C784</f>
        <v>#DIV/0!</v>
      </c>
      <c r="I784" s="34">
        <v>0</v>
      </c>
      <c r="J784" s="69">
        <v>0</v>
      </c>
      <c r="K784" s="34" t="e">
        <f t="shared" ref="K784:K790" si="1692">I784/J784</f>
        <v>#DIV/0!</v>
      </c>
      <c r="L784" s="9" t="e">
        <f t="shared" ref="L784:L790" si="1693">K784/C784</f>
        <v>#DIV/0!</v>
      </c>
      <c r="M784" s="67">
        <v>0</v>
      </c>
      <c r="N784" s="26">
        <v>0</v>
      </c>
      <c r="O784" s="34" t="e">
        <f t="shared" ref="O784:O790" si="1694">M784/N784</f>
        <v>#DIV/0!</v>
      </c>
      <c r="P784" s="10" t="e">
        <f t="shared" ref="P784:P790" si="1695">O784/C784</f>
        <v>#DIV/0!</v>
      </c>
      <c r="Q784" s="35">
        <v>0</v>
      </c>
      <c r="R784" s="66">
        <v>0</v>
      </c>
      <c r="S784" s="35" t="e">
        <f t="shared" ref="S784:S790" si="1696">Q784/R784</f>
        <v>#DIV/0!</v>
      </c>
      <c r="T784" s="6" t="e">
        <f t="shared" ref="T784:T790" si="1697">S784/C784</f>
        <v>#DIV/0!</v>
      </c>
      <c r="U784" s="67">
        <v>0</v>
      </c>
      <c r="V784" s="65">
        <v>0</v>
      </c>
      <c r="W784" s="18" t="e">
        <f t="shared" ref="W784:W790" si="1698">U784/V784</f>
        <v>#DIV/0!</v>
      </c>
      <c r="X784" s="9" t="e">
        <f t="shared" ref="X784:X790" si="1699">W784/C784</f>
        <v>#DIV/0!</v>
      </c>
      <c r="Y784" s="67">
        <v>0</v>
      </c>
      <c r="Z784" s="69">
        <v>0</v>
      </c>
      <c r="AA784" s="34" t="e">
        <f t="shared" ref="AA784:AA790" si="1700">Y784/Z784</f>
        <v>#DIV/0!</v>
      </c>
      <c r="AB784" s="10" t="e">
        <f t="shared" ref="AB784:AB790" si="1701">AA784/C784</f>
        <v>#DIV/0!</v>
      </c>
      <c r="AC784" s="18">
        <v>7300</v>
      </c>
      <c r="AD784" s="33">
        <v>484</v>
      </c>
      <c r="AE784" s="34">
        <f t="shared" ref="AE784:AE790" si="1702">AC784/AD784</f>
        <v>15.082644628099173</v>
      </c>
      <c r="AF784" s="9">
        <f t="shared" ref="AF784:AF790" si="1703">AE784/C784</f>
        <v>0.32787873497190034</v>
      </c>
      <c r="AG784" s="67">
        <v>0</v>
      </c>
      <c r="AH784" s="65">
        <v>0</v>
      </c>
      <c r="AI784" s="34" t="e">
        <f t="shared" ref="AI784:AI790" si="1704">AG784/AH784</f>
        <v>#DIV/0!</v>
      </c>
      <c r="AJ784" s="9" t="e">
        <f t="shared" ref="AJ784:AJ790" si="1705">AI784/C784</f>
        <v>#DIV/0!</v>
      </c>
      <c r="AK784" s="67">
        <v>0</v>
      </c>
      <c r="AL784" s="65">
        <v>0</v>
      </c>
      <c r="AM784" s="34" t="e">
        <f t="shared" ref="AM784:AM790" si="1706">AK784/AL784</f>
        <v>#DIV/0!</v>
      </c>
      <c r="AN784" s="9" t="e">
        <f t="shared" ref="AN784:AN790" si="1707">AM784/C784</f>
        <v>#DIV/0!</v>
      </c>
      <c r="AO784" s="67">
        <v>1450</v>
      </c>
      <c r="AP784" s="65">
        <v>168</v>
      </c>
      <c r="AQ784" s="34">
        <f t="shared" ref="AQ784:AQ790" si="1708">AO784/AP784</f>
        <v>8.6309523809523814</v>
      </c>
      <c r="AR784" s="9">
        <f t="shared" ref="AR784:AR790" si="1709">AQ784/C784</f>
        <v>0.18762662769347657</v>
      </c>
      <c r="AS784" s="67">
        <v>0</v>
      </c>
      <c r="AT784" s="65">
        <v>0</v>
      </c>
      <c r="AU784" s="34" t="e">
        <f t="shared" ref="AU784:AU790" si="1710">AS784/AT784</f>
        <v>#DIV/0!</v>
      </c>
      <c r="AV784" s="9" t="e">
        <f t="shared" ref="AV784:AV790" si="1711">AU784/C784</f>
        <v>#DIV/0!</v>
      </c>
      <c r="AW784" s="67">
        <v>0</v>
      </c>
      <c r="AX784" s="65">
        <v>0</v>
      </c>
      <c r="AY784" s="34" t="e">
        <f t="shared" ref="AY784:AY790" si="1712">AW784/AX784</f>
        <v>#DIV/0!</v>
      </c>
      <c r="AZ784" s="9" t="e">
        <f t="shared" ref="AZ784:AZ790" si="1713">AY784/C784</f>
        <v>#DIV/0!</v>
      </c>
      <c r="BA784" s="67">
        <v>0</v>
      </c>
      <c r="BB784" s="65">
        <v>0</v>
      </c>
      <c r="BC784" s="34" t="e">
        <f t="shared" ref="BC784:BC790" si="1714">BA784/BB784</f>
        <v>#DIV/0!</v>
      </c>
      <c r="BD784" s="10" t="e">
        <f t="shared" ref="BD784:BD790" si="1715">BC784/C784</f>
        <v>#DIV/0!</v>
      </c>
    </row>
    <row r="785" spans="1:56" ht="15.75" thickBot="1" x14ac:dyDescent="0.3">
      <c r="A785" s="19" t="s">
        <v>16</v>
      </c>
      <c r="B785" s="8">
        <v>159130</v>
      </c>
      <c r="C785" s="35">
        <f>B785/F781</f>
        <v>54.070676180767926</v>
      </c>
      <c r="D785" s="8">
        <v>1525</v>
      </c>
      <c r="E785" s="68">
        <v>0</v>
      </c>
      <c r="F785" s="70">
        <v>0</v>
      </c>
      <c r="G785" s="35" t="e">
        <f t="shared" si="1690"/>
        <v>#DIV/0!</v>
      </c>
      <c r="H785" s="11" t="e">
        <f t="shared" si="1691"/>
        <v>#DIV/0!</v>
      </c>
      <c r="I785" s="35">
        <v>0</v>
      </c>
      <c r="J785" s="70">
        <v>0</v>
      </c>
      <c r="K785" s="35" t="e">
        <f t="shared" si="1692"/>
        <v>#DIV/0!</v>
      </c>
      <c r="L785" s="6" t="e">
        <f t="shared" si="1693"/>
        <v>#DIV/0!</v>
      </c>
      <c r="M785" s="68">
        <v>0</v>
      </c>
      <c r="N785" s="5">
        <v>0</v>
      </c>
      <c r="O785" s="35" t="e">
        <f t="shared" si="1694"/>
        <v>#DIV/0!</v>
      </c>
      <c r="P785" s="11" t="e">
        <f t="shared" si="1695"/>
        <v>#DIV/0!</v>
      </c>
      <c r="Q785" s="35">
        <v>0</v>
      </c>
      <c r="R785" s="66">
        <v>0</v>
      </c>
      <c r="S785" s="35" t="e">
        <f t="shared" si="1696"/>
        <v>#DIV/0!</v>
      </c>
      <c r="T785" s="6" t="e">
        <f t="shared" si="1697"/>
        <v>#DIV/0!</v>
      </c>
      <c r="U785" s="68">
        <v>0</v>
      </c>
      <c r="V785" s="66">
        <v>0</v>
      </c>
      <c r="W785" s="20" t="e">
        <f t="shared" si="1698"/>
        <v>#DIV/0!</v>
      </c>
      <c r="X785" s="6" t="e">
        <f t="shared" si="1699"/>
        <v>#DIV/0!</v>
      </c>
      <c r="Y785" s="68">
        <v>0</v>
      </c>
      <c r="Z785" s="70">
        <v>0</v>
      </c>
      <c r="AA785" s="35" t="e">
        <f t="shared" si="1700"/>
        <v>#DIV/0!</v>
      </c>
      <c r="AB785" s="11" t="e">
        <f t="shared" si="1701"/>
        <v>#DIV/0!</v>
      </c>
      <c r="AC785" s="20">
        <v>10060</v>
      </c>
      <c r="AD785" s="33">
        <v>484</v>
      </c>
      <c r="AE785" s="35">
        <f t="shared" si="1702"/>
        <v>20.785123966942148</v>
      </c>
      <c r="AF785" s="6">
        <f t="shared" si="1703"/>
        <v>0.38440658477163792</v>
      </c>
      <c r="AG785" s="68">
        <v>0</v>
      </c>
      <c r="AH785" s="66">
        <v>0</v>
      </c>
      <c r="AI785" s="35" t="e">
        <f t="shared" si="1704"/>
        <v>#DIV/0!</v>
      </c>
      <c r="AJ785" s="6" t="e">
        <f t="shared" si="1705"/>
        <v>#DIV/0!</v>
      </c>
      <c r="AK785" s="68">
        <v>0</v>
      </c>
      <c r="AL785" s="66">
        <v>0</v>
      </c>
      <c r="AM785" s="35" t="e">
        <f t="shared" si="1706"/>
        <v>#DIV/0!</v>
      </c>
      <c r="AN785" s="6" t="e">
        <f t="shared" si="1707"/>
        <v>#DIV/0!</v>
      </c>
      <c r="AO785" s="68">
        <v>2020</v>
      </c>
      <c r="AP785" s="65">
        <v>168</v>
      </c>
      <c r="AQ785" s="35">
        <f t="shared" si="1708"/>
        <v>12.023809523809524</v>
      </c>
      <c r="AR785" s="6">
        <f t="shared" si="1709"/>
        <v>0.22237209469346714</v>
      </c>
      <c r="AS785" s="68">
        <v>0</v>
      </c>
      <c r="AT785" s="66">
        <v>0</v>
      </c>
      <c r="AU785" s="35" t="e">
        <f t="shared" si="1710"/>
        <v>#DIV/0!</v>
      </c>
      <c r="AV785" s="6" t="e">
        <f t="shared" si="1711"/>
        <v>#DIV/0!</v>
      </c>
      <c r="AW785" s="68">
        <v>0</v>
      </c>
      <c r="AX785" s="66">
        <v>0</v>
      </c>
      <c r="AY785" s="35" t="e">
        <f t="shared" si="1712"/>
        <v>#DIV/0!</v>
      </c>
      <c r="AZ785" s="6" t="e">
        <f t="shared" si="1713"/>
        <v>#DIV/0!</v>
      </c>
      <c r="BA785" s="68">
        <v>0</v>
      </c>
      <c r="BB785" s="66">
        <v>0</v>
      </c>
      <c r="BC785" s="35" t="e">
        <f t="shared" si="1714"/>
        <v>#DIV/0!</v>
      </c>
      <c r="BD785" s="11" t="e">
        <f t="shared" si="1715"/>
        <v>#DIV/0!</v>
      </c>
    </row>
    <row r="786" spans="1:56" ht="15.75" thickBot="1" x14ac:dyDescent="0.3">
      <c r="A786" s="19" t="s">
        <v>2</v>
      </c>
      <c r="B786" s="8">
        <v>185200</v>
      </c>
      <c r="C786" s="35">
        <f>B786/F781</f>
        <v>62.928984029901464</v>
      </c>
      <c r="D786" s="8">
        <v>2100</v>
      </c>
      <c r="E786" s="68">
        <v>0</v>
      </c>
      <c r="F786" s="70">
        <v>0</v>
      </c>
      <c r="G786" s="35" t="e">
        <f t="shared" si="1690"/>
        <v>#DIV/0!</v>
      </c>
      <c r="H786" s="11" t="e">
        <f t="shared" si="1691"/>
        <v>#DIV/0!</v>
      </c>
      <c r="I786" s="35">
        <v>0</v>
      </c>
      <c r="J786" s="70">
        <v>0</v>
      </c>
      <c r="K786" s="35" t="e">
        <f t="shared" si="1692"/>
        <v>#DIV/0!</v>
      </c>
      <c r="L786" s="6" t="e">
        <f t="shared" si="1693"/>
        <v>#DIV/0!</v>
      </c>
      <c r="M786" s="68">
        <v>0</v>
      </c>
      <c r="N786" s="5">
        <v>0</v>
      </c>
      <c r="O786" s="35" t="e">
        <f t="shared" si="1694"/>
        <v>#DIV/0!</v>
      </c>
      <c r="P786" s="11" t="e">
        <f t="shared" si="1695"/>
        <v>#DIV/0!</v>
      </c>
      <c r="Q786" s="35">
        <v>0</v>
      </c>
      <c r="R786" s="66">
        <v>0</v>
      </c>
      <c r="S786" s="35" t="e">
        <f t="shared" si="1696"/>
        <v>#DIV/0!</v>
      </c>
      <c r="T786" s="6" t="e">
        <f t="shared" si="1697"/>
        <v>#DIV/0!</v>
      </c>
      <c r="U786" s="68">
        <v>0</v>
      </c>
      <c r="V786" s="66">
        <v>0</v>
      </c>
      <c r="W786" s="20" t="e">
        <f t="shared" si="1698"/>
        <v>#DIV/0!</v>
      </c>
      <c r="X786" s="6" t="e">
        <f t="shared" si="1699"/>
        <v>#DIV/0!</v>
      </c>
      <c r="Y786" s="68">
        <v>0</v>
      </c>
      <c r="Z786" s="70">
        <v>0</v>
      </c>
      <c r="AA786" s="35" t="e">
        <f t="shared" si="1700"/>
        <v>#DIV/0!</v>
      </c>
      <c r="AB786" s="11" t="e">
        <f t="shared" si="1701"/>
        <v>#DIV/0!</v>
      </c>
      <c r="AC786" s="20">
        <v>12340</v>
      </c>
      <c r="AD786" s="33">
        <v>484</v>
      </c>
      <c r="AE786" s="35">
        <f t="shared" si="1702"/>
        <v>25.495867768595041</v>
      </c>
      <c r="AF786" s="6">
        <f t="shared" si="1703"/>
        <v>0.40515301751066524</v>
      </c>
      <c r="AG786" s="68">
        <v>0</v>
      </c>
      <c r="AH786" s="66">
        <v>0</v>
      </c>
      <c r="AI786" s="35" t="e">
        <f t="shared" si="1704"/>
        <v>#DIV/0!</v>
      </c>
      <c r="AJ786" s="6" t="e">
        <f t="shared" si="1705"/>
        <v>#DIV/0!</v>
      </c>
      <c r="AK786" s="68">
        <v>0</v>
      </c>
      <c r="AL786" s="66">
        <v>0</v>
      </c>
      <c r="AM786" s="35" t="e">
        <f t="shared" si="1706"/>
        <v>#DIV/0!</v>
      </c>
      <c r="AN786" s="6" t="e">
        <f t="shared" si="1707"/>
        <v>#DIV/0!</v>
      </c>
      <c r="AO786" s="68">
        <v>2120</v>
      </c>
      <c r="AP786" s="65">
        <v>168</v>
      </c>
      <c r="AQ786" s="35">
        <f t="shared" si="1708"/>
        <v>12.619047619047619</v>
      </c>
      <c r="AR786" s="6">
        <f t="shared" si="1709"/>
        <v>0.20052838630052452</v>
      </c>
      <c r="AS786" s="68">
        <v>0</v>
      </c>
      <c r="AT786" s="66">
        <v>0</v>
      </c>
      <c r="AU786" s="35" t="e">
        <f t="shared" si="1710"/>
        <v>#DIV/0!</v>
      </c>
      <c r="AV786" s="6" t="e">
        <f t="shared" si="1711"/>
        <v>#DIV/0!</v>
      </c>
      <c r="AW786" s="68">
        <v>0</v>
      </c>
      <c r="AX786" s="66">
        <v>0</v>
      </c>
      <c r="AY786" s="35" t="e">
        <f t="shared" si="1712"/>
        <v>#DIV/0!</v>
      </c>
      <c r="AZ786" s="6" t="e">
        <f t="shared" si="1713"/>
        <v>#DIV/0!</v>
      </c>
      <c r="BA786" s="68">
        <v>0</v>
      </c>
      <c r="BB786" s="66">
        <v>0</v>
      </c>
      <c r="BC786" s="35" t="e">
        <f t="shared" si="1714"/>
        <v>#DIV/0!</v>
      </c>
      <c r="BD786" s="11" t="e">
        <f t="shared" si="1715"/>
        <v>#DIV/0!</v>
      </c>
    </row>
    <row r="787" spans="1:56" ht="15.75" thickBot="1" x14ac:dyDescent="0.3">
      <c r="A787" s="19" t="s">
        <v>3</v>
      </c>
      <c r="B787" s="8">
        <v>221360</v>
      </c>
      <c r="C787" s="35">
        <f>B787/F781</f>
        <v>75.215766224940538</v>
      </c>
      <c r="D787" s="8">
        <v>2700</v>
      </c>
      <c r="E787" s="68">
        <v>0</v>
      </c>
      <c r="F787" s="70">
        <v>0</v>
      </c>
      <c r="G787" s="35" t="e">
        <f t="shared" si="1690"/>
        <v>#DIV/0!</v>
      </c>
      <c r="H787" s="11" t="e">
        <f t="shared" si="1691"/>
        <v>#DIV/0!</v>
      </c>
      <c r="I787" s="35">
        <v>0</v>
      </c>
      <c r="J787" s="70">
        <v>0</v>
      </c>
      <c r="K787" s="35" t="e">
        <f t="shared" si="1692"/>
        <v>#DIV/0!</v>
      </c>
      <c r="L787" s="6" t="e">
        <f t="shared" si="1693"/>
        <v>#DIV/0!</v>
      </c>
      <c r="M787" s="68">
        <v>0</v>
      </c>
      <c r="N787" s="5">
        <v>0</v>
      </c>
      <c r="O787" s="35" t="e">
        <f t="shared" si="1694"/>
        <v>#DIV/0!</v>
      </c>
      <c r="P787" s="11" t="e">
        <f t="shared" si="1695"/>
        <v>#DIV/0!</v>
      </c>
      <c r="Q787" s="35">
        <v>0</v>
      </c>
      <c r="R787" s="66">
        <v>0</v>
      </c>
      <c r="S787" s="35" t="e">
        <f t="shared" si="1696"/>
        <v>#DIV/0!</v>
      </c>
      <c r="T787" s="6" t="e">
        <f t="shared" si="1697"/>
        <v>#DIV/0!</v>
      </c>
      <c r="U787" s="68">
        <v>0</v>
      </c>
      <c r="V787" s="66">
        <v>0</v>
      </c>
      <c r="W787" s="20" t="e">
        <f t="shared" si="1698"/>
        <v>#DIV/0!</v>
      </c>
      <c r="X787" s="6" t="e">
        <f t="shared" si="1699"/>
        <v>#DIV/0!</v>
      </c>
      <c r="Y787" s="68">
        <v>0</v>
      </c>
      <c r="Z787" s="70">
        <v>0</v>
      </c>
      <c r="AA787" s="35" t="e">
        <f t="shared" si="1700"/>
        <v>#DIV/0!</v>
      </c>
      <c r="AB787" s="11" t="e">
        <f t="shared" si="1701"/>
        <v>#DIV/0!</v>
      </c>
      <c r="AC787" s="20">
        <v>13070</v>
      </c>
      <c r="AD787" s="33">
        <v>484</v>
      </c>
      <c r="AE787" s="35">
        <f t="shared" si="1702"/>
        <v>27.004132231404959</v>
      </c>
      <c r="AF787" s="6">
        <f t="shared" si="1703"/>
        <v>0.35902223146469459</v>
      </c>
      <c r="AG787" s="68">
        <v>0</v>
      </c>
      <c r="AH787" s="66">
        <v>0</v>
      </c>
      <c r="AI787" s="35" t="e">
        <f t="shared" si="1704"/>
        <v>#DIV/0!</v>
      </c>
      <c r="AJ787" s="6" t="e">
        <f t="shared" si="1705"/>
        <v>#DIV/0!</v>
      </c>
      <c r="AK787" s="68">
        <v>0</v>
      </c>
      <c r="AL787" s="66">
        <v>0</v>
      </c>
      <c r="AM787" s="35" t="e">
        <f t="shared" si="1706"/>
        <v>#DIV/0!</v>
      </c>
      <c r="AN787" s="6" t="e">
        <f t="shared" si="1707"/>
        <v>#DIV/0!</v>
      </c>
      <c r="AO787" s="68">
        <v>2220</v>
      </c>
      <c r="AP787" s="65">
        <v>168</v>
      </c>
      <c r="AQ787" s="35">
        <f t="shared" si="1708"/>
        <v>13.214285714285714</v>
      </c>
      <c r="AR787" s="6">
        <f t="shared" si="1709"/>
        <v>0.17568505085445815</v>
      </c>
      <c r="AS787" s="68">
        <v>0</v>
      </c>
      <c r="AT787" s="66">
        <v>0</v>
      </c>
      <c r="AU787" s="35" t="e">
        <f t="shared" si="1710"/>
        <v>#DIV/0!</v>
      </c>
      <c r="AV787" s="6" t="e">
        <f t="shared" si="1711"/>
        <v>#DIV/0!</v>
      </c>
      <c r="AW787" s="68">
        <v>0</v>
      </c>
      <c r="AX787" s="66">
        <v>0</v>
      </c>
      <c r="AY787" s="35" t="e">
        <f t="shared" si="1712"/>
        <v>#DIV/0!</v>
      </c>
      <c r="AZ787" s="6" t="e">
        <f t="shared" si="1713"/>
        <v>#DIV/0!</v>
      </c>
      <c r="BA787" s="68">
        <v>0</v>
      </c>
      <c r="BB787" s="66">
        <v>0</v>
      </c>
      <c r="BC787" s="35" t="e">
        <f t="shared" si="1714"/>
        <v>#DIV/0!</v>
      </c>
      <c r="BD787" s="11" t="e">
        <f t="shared" si="1715"/>
        <v>#DIV/0!</v>
      </c>
    </row>
    <row r="788" spans="1:56" ht="15.75" thickBot="1" x14ac:dyDescent="0.3">
      <c r="A788" s="19" t="s">
        <v>4</v>
      </c>
      <c r="B788" s="8">
        <v>273410</v>
      </c>
      <c r="C788" s="35">
        <f>B788/F781</f>
        <v>92.901800883452253</v>
      </c>
      <c r="D788" s="8">
        <v>5250</v>
      </c>
      <c r="E788" s="68">
        <v>0</v>
      </c>
      <c r="F788" s="70">
        <v>0</v>
      </c>
      <c r="G788" s="35" t="e">
        <f t="shared" si="1690"/>
        <v>#DIV/0!</v>
      </c>
      <c r="H788" s="11" t="e">
        <f t="shared" si="1691"/>
        <v>#DIV/0!</v>
      </c>
      <c r="I788" s="35">
        <v>0</v>
      </c>
      <c r="J788" s="70">
        <v>0</v>
      </c>
      <c r="K788" s="35" t="e">
        <f t="shared" si="1692"/>
        <v>#DIV/0!</v>
      </c>
      <c r="L788" s="6" t="e">
        <f t="shared" si="1693"/>
        <v>#DIV/0!</v>
      </c>
      <c r="M788" s="68">
        <v>0</v>
      </c>
      <c r="N788" s="5">
        <v>0</v>
      </c>
      <c r="O788" s="35" t="e">
        <f t="shared" si="1694"/>
        <v>#DIV/0!</v>
      </c>
      <c r="P788" s="11" t="e">
        <f t="shared" si="1695"/>
        <v>#DIV/0!</v>
      </c>
      <c r="Q788" s="35">
        <v>0</v>
      </c>
      <c r="R788" s="66">
        <v>0</v>
      </c>
      <c r="S788" s="35" t="e">
        <f t="shared" si="1696"/>
        <v>#DIV/0!</v>
      </c>
      <c r="T788" s="6" t="e">
        <f t="shared" si="1697"/>
        <v>#DIV/0!</v>
      </c>
      <c r="U788" s="68">
        <v>0</v>
      </c>
      <c r="V788" s="66">
        <v>0</v>
      </c>
      <c r="W788" s="20" t="e">
        <f t="shared" si="1698"/>
        <v>#DIV/0!</v>
      </c>
      <c r="X788" s="6" t="e">
        <f t="shared" si="1699"/>
        <v>#DIV/0!</v>
      </c>
      <c r="Y788" s="68">
        <v>0</v>
      </c>
      <c r="Z788" s="70">
        <v>0</v>
      </c>
      <c r="AA788" s="35" t="e">
        <f t="shared" si="1700"/>
        <v>#DIV/0!</v>
      </c>
      <c r="AB788" s="11" t="e">
        <f t="shared" si="1701"/>
        <v>#DIV/0!</v>
      </c>
      <c r="AC788" s="20">
        <v>14900</v>
      </c>
      <c r="AD788" s="33">
        <v>484</v>
      </c>
      <c r="AE788" s="35">
        <f t="shared" si="1702"/>
        <v>30.785123966942148</v>
      </c>
      <c r="AF788" s="6">
        <f t="shared" si="1703"/>
        <v>0.33137273631070829</v>
      </c>
      <c r="AG788" s="68">
        <v>0</v>
      </c>
      <c r="AH788" s="66">
        <v>0</v>
      </c>
      <c r="AI788" s="35" t="e">
        <f t="shared" si="1704"/>
        <v>#DIV/0!</v>
      </c>
      <c r="AJ788" s="6" t="e">
        <f t="shared" si="1705"/>
        <v>#DIV/0!</v>
      </c>
      <c r="AK788" s="68">
        <v>0</v>
      </c>
      <c r="AL788" s="66">
        <v>0</v>
      </c>
      <c r="AM788" s="35" t="e">
        <f t="shared" si="1706"/>
        <v>#DIV/0!</v>
      </c>
      <c r="AN788" s="6" t="e">
        <f t="shared" si="1707"/>
        <v>#DIV/0!</v>
      </c>
      <c r="AO788" s="68">
        <v>2900</v>
      </c>
      <c r="AP788" s="65">
        <v>168</v>
      </c>
      <c r="AQ788" s="35">
        <f t="shared" si="1708"/>
        <v>17.261904761904763</v>
      </c>
      <c r="AR788" s="6">
        <f t="shared" si="1709"/>
        <v>0.18580807473861863</v>
      </c>
      <c r="AS788" s="68">
        <v>0</v>
      </c>
      <c r="AT788" s="66">
        <v>0</v>
      </c>
      <c r="AU788" s="35" t="e">
        <f t="shared" si="1710"/>
        <v>#DIV/0!</v>
      </c>
      <c r="AV788" s="6" t="e">
        <f t="shared" si="1711"/>
        <v>#DIV/0!</v>
      </c>
      <c r="AW788" s="68">
        <v>0</v>
      </c>
      <c r="AX788" s="66">
        <v>0</v>
      </c>
      <c r="AY788" s="35" t="e">
        <f t="shared" si="1712"/>
        <v>#DIV/0!</v>
      </c>
      <c r="AZ788" s="6" t="e">
        <f t="shared" si="1713"/>
        <v>#DIV/0!</v>
      </c>
      <c r="BA788" s="68">
        <v>0</v>
      </c>
      <c r="BB788" s="66">
        <v>0</v>
      </c>
      <c r="BC788" s="35" t="e">
        <f t="shared" si="1714"/>
        <v>#DIV/0!</v>
      </c>
      <c r="BD788" s="11" t="e">
        <f t="shared" si="1715"/>
        <v>#DIV/0!</v>
      </c>
    </row>
    <row r="789" spans="1:56" ht="15.75" thickBot="1" x14ac:dyDescent="0.3">
      <c r="A789" s="19" t="s">
        <v>5</v>
      </c>
      <c r="B789" s="8">
        <v>367320</v>
      </c>
      <c r="C789" s="35">
        <f>B789/F781</f>
        <v>124.81141692150867</v>
      </c>
      <c r="D789" s="8">
        <v>7050</v>
      </c>
      <c r="E789" s="68">
        <v>0</v>
      </c>
      <c r="F789" s="70">
        <v>0</v>
      </c>
      <c r="G789" s="35" t="e">
        <f t="shared" si="1690"/>
        <v>#DIV/0!</v>
      </c>
      <c r="H789" s="11" t="e">
        <f t="shared" si="1691"/>
        <v>#DIV/0!</v>
      </c>
      <c r="I789" s="35">
        <v>0</v>
      </c>
      <c r="J789" s="70">
        <v>0</v>
      </c>
      <c r="K789" s="35" t="e">
        <f t="shared" si="1692"/>
        <v>#DIV/0!</v>
      </c>
      <c r="L789" s="6" t="e">
        <f t="shared" si="1693"/>
        <v>#DIV/0!</v>
      </c>
      <c r="M789" s="68">
        <v>0</v>
      </c>
      <c r="N789" s="5">
        <v>0</v>
      </c>
      <c r="O789" s="35" t="e">
        <f t="shared" si="1694"/>
        <v>#DIV/0!</v>
      </c>
      <c r="P789" s="11" t="e">
        <f t="shared" si="1695"/>
        <v>#DIV/0!</v>
      </c>
      <c r="Q789" s="35">
        <v>0</v>
      </c>
      <c r="R789" s="66">
        <v>0</v>
      </c>
      <c r="S789" s="35" t="e">
        <f t="shared" si="1696"/>
        <v>#DIV/0!</v>
      </c>
      <c r="T789" s="6" t="e">
        <f t="shared" si="1697"/>
        <v>#DIV/0!</v>
      </c>
      <c r="U789" s="68">
        <v>0</v>
      </c>
      <c r="V789" s="66">
        <v>0</v>
      </c>
      <c r="W789" s="20" t="e">
        <f t="shared" si="1698"/>
        <v>#DIV/0!</v>
      </c>
      <c r="X789" s="6" t="e">
        <f t="shared" si="1699"/>
        <v>#DIV/0!</v>
      </c>
      <c r="Y789" s="68">
        <v>0</v>
      </c>
      <c r="Z789" s="70">
        <v>0</v>
      </c>
      <c r="AA789" s="35" t="e">
        <f t="shared" si="1700"/>
        <v>#DIV/0!</v>
      </c>
      <c r="AB789" s="11" t="e">
        <f t="shared" si="1701"/>
        <v>#DIV/0!</v>
      </c>
      <c r="AC789" s="20">
        <v>16920</v>
      </c>
      <c r="AD789" s="33">
        <v>484</v>
      </c>
      <c r="AE789" s="35">
        <f t="shared" si="1702"/>
        <v>34.958677685950413</v>
      </c>
      <c r="AF789" s="6">
        <f t="shared" si="1703"/>
        <v>0.28009198635999144</v>
      </c>
      <c r="AG789" s="68">
        <v>0</v>
      </c>
      <c r="AH789" s="66">
        <v>0</v>
      </c>
      <c r="AI789" s="35" t="e">
        <f t="shared" si="1704"/>
        <v>#DIV/0!</v>
      </c>
      <c r="AJ789" s="6" t="e">
        <f t="shared" si="1705"/>
        <v>#DIV/0!</v>
      </c>
      <c r="AK789" s="68">
        <v>0</v>
      </c>
      <c r="AL789" s="66">
        <v>0</v>
      </c>
      <c r="AM789" s="35" t="e">
        <f t="shared" si="1706"/>
        <v>#DIV/0!</v>
      </c>
      <c r="AN789" s="6" t="e">
        <f t="shared" si="1707"/>
        <v>#DIV/0!</v>
      </c>
      <c r="AO789" s="68">
        <v>3460</v>
      </c>
      <c r="AP789" s="65">
        <v>168</v>
      </c>
      <c r="AQ789" s="35">
        <f t="shared" si="1708"/>
        <v>20.595238095238095</v>
      </c>
      <c r="AR789" s="6">
        <f t="shared" si="1709"/>
        <v>0.16501085079572503</v>
      </c>
      <c r="AS789" s="68">
        <v>0</v>
      </c>
      <c r="AT789" s="66">
        <v>0</v>
      </c>
      <c r="AU789" s="35" t="e">
        <f t="shared" si="1710"/>
        <v>#DIV/0!</v>
      </c>
      <c r="AV789" s="6" t="e">
        <f t="shared" si="1711"/>
        <v>#DIV/0!</v>
      </c>
      <c r="AW789" s="68">
        <v>0</v>
      </c>
      <c r="AX789" s="66">
        <v>0</v>
      </c>
      <c r="AY789" s="35" t="e">
        <f t="shared" si="1712"/>
        <v>#DIV/0!</v>
      </c>
      <c r="AZ789" s="6" t="e">
        <f t="shared" si="1713"/>
        <v>#DIV/0!</v>
      </c>
      <c r="BA789" s="68">
        <v>0</v>
      </c>
      <c r="BB789" s="66">
        <v>0</v>
      </c>
      <c r="BC789" s="35" t="e">
        <f t="shared" si="1714"/>
        <v>#DIV/0!</v>
      </c>
      <c r="BD789" s="11" t="e">
        <f t="shared" si="1715"/>
        <v>#DIV/0!</v>
      </c>
    </row>
    <row r="790" spans="1:56" x14ac:dyDescent="0.25">
      <c r="A790" s="19" t="s">
        <v>6</v>
      </c>
      <c r="B790" s="8">
        <v>442410</v>
      </c>
      <c r="C790" s="35">
        <f>B790/F781</f>
        <v>150.32619775739042</v>
      </c>
      <c r="D790" s="8">
        <v>10950</v>
      </c>
      <c r="E790" s="68">
        <v>0</v>
      </c>
      <c r="F790" s="70">
        <v>0</v>
      </c>
      <c r="G790" s="35" t="e">
        <f t="shared" si="1690"/>
        <v>#DIV/0!</v>
      </c>
      <c r="H790" s="11" t="e">
        <f t="shared" si="1691"/>
        <v>#DIV/0!</v>
      </c>
      <c r="I790" s="35">
        <v>0</v>
      </c>
      <c r="J790" s="70">
        <v>0</v>
      </c>
      <c r="K790" s="35" t="e">
        <f t="shared" si="1692"/>
        <v>#DIV/0!</v>
      </c>
      <c r="L790" s="6" t="e">
        <f t="shared" si="1693"/>
        <v>#DIV/0!</v>
      </c>
      <c r="M790" s="68">
        <v>0</v>
      </c>
      <c r="N790" s="5">
        <v>0</v>
      </c>
      <c r="O790" s="35" t="e">
        <f t="shared" si="1694"/>
        <v>#DIV/0!</v>
      </c>
      <c r="P790" s="11" t="e">
        <f t="shared" si="1695"/>
        <v>#DIV/0!</v>
      </c>
      <c r="Q790" s="35">
        <v>0</v>
      </c>
      <c r="R790" s="66">
        <v>0</v>
      </c>
      <c r="S790" s="35" t="e">
        <f t="shared" si="1696"/>
        <v>#DIV/0!</v>
      </c>
      <c r="T790" s="6" t="e">
        <f t="shared" si="1697"/>
        <v>#DIV/0!</v>
      </c>
      <c r="U790" s="68">
        <v>0</v>
      </c>
      <c r="V790" s="66">
        <v>0</v>
      </c>
      <c r="W790" s="20" t="e">
        <f t="shared" si="1698"/>
        <v>#DIV/0!</v>
      </c>
      <c r="X790" s="6" t="e">
        <f t="shared" si="1699"/>
        <v>#DIV/0!</v>
      </c>
      <c r="Y790" s="68">
        <v>0</v>
      </c>
      <c r="Z790" s="70">
        <v>0</v>
      </c>
      <c r="AA790" s="35" t="e">
        <f t="shared" si="1700"/>
        <v>#DIV/0!</v>
      </c>
      <c r="AB790" s="11" t="e">
        <f t="shared" si="1701"/>
        <v>#DIV/0!</v>
      </c>
      <c r="AC790" s="20">
        <v>24180</v>
      </c>
      <c r="AD790" s="33">
        <v>484</v>
      </c>
      <c r="AE790" s="35">
        <f t="shared" si="1702"/>
        <v>49.958677685950413</v>
      </c>
      <c r="AF790" s="6">
        <f t="shared" si="1703"/>
        <v>0.33233513806141829</v>
      </c>
      <c r="AG790" s="68">
        <v>0</v>
      </c>
      <c r="AH790" s="66">
        <v>0</v>
      </c>
      <c r="AI790" s="35" t="e">
        <f t="shared" si="1704"/>
        <v>#DIV/0!</v>
      </c>
      <c r="AJ790" s="6" t="e">
        <f t="shared" si="1705"/>
        <v>#DIV/0!</v>
      </c>
      <c r="AK790" s="68">
        <v>0</v>
      </c>
      <c r="AL790" s="66">
        <v>0</v>
      </c>
      <c r="AM790" s="35" t="e">
        <f t="shared" si="1706"/>
        <v>#DIV/0!</v>
      </c>
      <c r="AN790" s="6" t="e">
        <f t="shared" si="1707"/>
        <v>#DIV/0!</v>
      </c>
      <c r="AO790" s="68">
        <v>3710</v>
      </c>
      <c r="AP790" s="65">
        <v>168</v>
      </c>
      <c r="AQ790" s="35">
        <f t="shared" si="1708"/>
        <v>22.083333333333332</v>
      </c>
      <c r="AR790" s="6">
        <f t="shared" si="1709"/>
        <v>0.1469027598833661</v>
      </c>
      <c r="AS790" s="68">
        <v>0</v>
      </c>
      <c r="AT790" s="66">
        <v>0</v>
      </c>
      <c r="AU790" s="35" t="e">
        <f t="shared" si="1710"/>
        <v>#DIV/0!</v>
      </c>
      <c r="AV790" s="6" t="e">
        <f t="shared" si="1711"/>
        <v>#DIV/0!</v>
      </c>
      <c r="AW790" s="68">
        <v>0</v>
      </c>
      <c r="AX790" s="66">
        <v>0</v>
      </c>
      <c r="AY790" s="35" t="e">
        <f t="shared" si="1712"/>
        <v>#DIV/0!</v>
      </c>
      <c r="AZ790" s="6" t="e">
        <f t="shared" si="1713"/>
        <v>#DIV/0!</v>
      </c>
      <c r="BA790" s="68">
        <v>0</v>
      </c>
      <c r="BB790" s="66">
        <v>0</v>
      </c>
      <c r="BC790" s="35" t="e">
        <f t="shared" si="1714"/>
        <v>#DIV/0!</v>
      </c>
      <c r="BD790" s="11" t="e">
        <f t="shared" si="1715"/>
        <v>#DIV/0!</v>
      </c>
    </row>
    <row r="791" spans="1:56" ht="15.75" thickBot="1" x14ac:dyDescent="0.3">
      <c r="A791" s="21"/>
      <c r="B791" s="22"/>
      <c r="C791" s="23">
        <f>AVERAGE(Table11059[MA $/Sq Ft])</f>
        <v>86.60793165380322</v>
      </c>
      <c r="D791" s="22">
        <f>AVERAGE(Table11059[Basic Allowance])</f>
        <v>4442.8571428571431</v>
      </c>
      <c r="E791" s="16"/>
      <c r="F791" s="22"/>
      <c r="G791" s="15"/>
      <c r="H791" s="24" t="e">
        <f>AVERAGE(Table11059[Bsmt % Base])</f>
        <v>#DIV/0!</v>
      </c>
      <c r="I791" s="15"/>
      <c r="J791" s="15"/>
      <c r="K791" s="15"/>
      <c r="L791" s="25" t="e">
        <f>AVERAGE(Table11059[[#Headers],[#Data],[UnfBsmt % Base]])</f>
        <v>#DIV/0!</v>
      </c>
      <c r="M791" s="44"/>
      <c r="N791" s="15"/>
      <c r="O791" s="23" t="e">
        <f>AVERAGE(Table11059[LowerVal/SqFt])</f>
        <v>#DIV/0!</v>
      </c>
      <c r="P791" s="24" t="e">
        <f>AVERAGE(Table11059[Lower % Base])</f>
        <v>#DIV/0!</v>
      </c>
      <c r="Q791" s="13"/>
      <c r="R791" s="13"/>
      <c r="S791" s="13"/>
      <c r="T791" s="25" t="e">
        <f>AVERAGE(Table11059[Unf Lower % Base])</f>
        <v>#DIV/0!</v>
      </c>
      <c r="U791" s="12"/>
      <c r="V791" s="13"/>
      <c r="W791" s="13"/>
      <c r="X791" s="25" t="e">
        <f>AVERAGE(Table11059[1/2 Story % Base])</f>
        <v>#DIV/0!</v>
      </c>
      <c r="Y791" s="12"/>
      <c r="Z791" s="13"/>
      <c r="AA791" s="13"/>
      <c r="AB791" s="24" t="e">
        <f>AVERAGE(Table11059[2nd Story % Base])</f>
        <v>#DIV/0!</v>
      </c>
      <c r="AC791" s="13"/>
      <c r="AD791" s="13"/>
      <c r="AE791" s="23">
        <f>AVERAGE(Table11059[AttGarVal/SqFt])</f>
        <v>29.152892561983471</v>
      </c>
      <c r="AF791" s="25">
        <f>AVERAGE(Table11059[Att Gar % Base])</f>
        <v>0.34575148992157378</v>
      </c>
      <c r="AG791" s="12"/>
      <c r="AH791" s="13"/>
      <c r="AI791" s="13"/>
      <c r="AJ791" s="25" t="e">
        <f>AVERAGE(Table11059[Porch % Base])</f>
        <v>#DIV/0!</v>
      </c>
      <c r="AK791" s="12"/>
      <c r="AL791" s="13"/>
      <c r="AM791" s="13"/>
      <c r="AN791" s="25" t="e">
        <f>AVERAGE(Table11059[Cov Porch % Base])</f>
        <v>#DIV/0!</v>
      </c>
      <c r="AO791" s="12"/>
      <c r="AP791" s="13"/>
      <c r="AQ791" s="13"/>
      <c r="AR791" s="25">
        <f>AVERAGE(Table11059[Deck % Base])</f>
        <v>0.18341912070851943</v>
      </c>
      <c r="AS791" s="12"/>
      <c r="AT791" s="13"/>
      <c r="AU791" s="23" t="e">
        <f>AVERAGE(Table11059[CovDeckVal/SqFt])</f>
        <v>#DIV/0!</v>
      </c>
      <c r="AV791" s="25" t="e">
        <f>AVERAGE(Table11059[CovDeck % Base])</f>
        <v>#DIV/0!</v>
      </c>
      <c r="AW791" s="12"/>
      <c r="AX791" s="13"/>
      <c r="AY791" s="13"/>
      <c r="AZ791" s="25" t="e">
        <f>AVERAGE(Table11059[CarP % Base])</f>
        <v>#DIV/0!</v>
      </c>
      <c r="BA791" s="12"/>
      <c r="BB791" s="13"/>
      <c r="BC791" s="13"/>
      <c r="BD791" s="24" t="e">
        <f>AVERAGE(Table11059[EFP % Base])</f>
        <v>#DIV/0!</v>
      </c>
    </row>
    <row r="793" spans="1:56" ht="15.75" thickBot="1" x14ac:dyDescent="0.3">
      <c r="A793" s="82"/>
      <c r="B793" t="s">
        <v>79</v>
      </c>
      <c r="C793" s="78" t="s">
        <v>165</v>
      </c>
      <c r="E793" t="s">
        <v>33</v>
      </c>
      <c r="F793" s="79">
        <v>1138</v>
      </c>
      <c r="H793" t="s">
        <v>80</v>
      </c>
      <c r="I793" t="s">
        <v>195</v>
      </c>
    </row>
    <row r="794" spans="1:56" x14ac:dyDescent="0.25">
      <c r="A794" s="112"/>
      <c r="B794" s="113"/>
      <c r="C794" s="113"/>
      <c r="D794" s="114"/>
      <c r="E794" s="115" t="s">
        <v>27</v>
      </c>
      <c r="F794" s="116"/>
      <c r="G794" s="116"/>
      <c r="H794" s="117"/>
      <c r="I794" s="118" t="s">
        <v>28</v>
      </c>
      <c r="J794" s="119"/>
      <c r="K794" s="119"/>
      <c r="L794" s="120"/>
      <c r="M794" s="121" t="s">
        <v>7</v>
      </c>
      <c r="N794" s="122"/>
      <c r="O794" s="122"/>
      <c r="P794" s="123"/>
      <c r="Q794" s="124" t="s">
        <v>29</v>
      </c>
      <c r="R794" s="125"/>
      <c r="S794" s="125"/>
      <c r="T794" s="126"/>
      <c r="U794" s="127" t="s">
        <v>8</v>
      </c>
      <c r="V794" s="128"/>
      <c r="W794" s="128"/>
      <c r="X794" s="129"/>
      <c r="Y794" s="130" t="s">
        <v>0</v>
      </c>
      <c r="Z794" s="131"/>
      <c r="AA794" s="131"/>
      <c r="AB794" s="132"/>
      <c r="AC794" s="133" t="s">
        <v>34</v>
      </c>
      <c r="AD794" s="134"/>
      <c r="AE794" s="134"/>
      <c r="AF794" s="135"/>
      <c r="AG794" s="115" t="s">
        <v>9</v>
      </c>
      <c r="AH794" s="116"/>
      <c r="AI794" s="116"/>
      <c r="AJ794" s="117"/>
      <c r="AK794" s="136" t="s">
        <v>35</v>
      </c>
      <c r="AL794" s="137"/>
      <c r="AM794" s="137"/>
      <c r="AN794" s="138"/>
      <c r="AO794" s="139" t="s">
        <v>10</v>
      </c>
      <c r="AP794" s="140"/>
      <c r="AQ794" s="140"/>
      <c r="AR794" s="141"/>
      <c r="AS794" s="124" t="s">
        <v>36</v>
      </c>
      <c r="AT794" s="125"/>
      <c r="AU794" s="125"/>
      <c r="AV794" s="126"/>
      <c r="AW794" s="142" t="s">
        <v>11</v>
      </c>
      <c r="AX794" s="143"/>
      <c r="AY794" s="143"/>
      <c r="AZ794" s="144"/>
      <c r="BA794" s="148" t="s">
        <v>17</v>
      </c>
      <c r="BB794" s="149"/>
      <c r="BC794" s="149"/>
      <c r="BD794" s="150"/>
    </row>
    <row r="795" spans="1:56" s="1" customFormat="1" ht="15.75" thickBot="1" x14ac:dyDescent="0.3">
      <c r="A795" s="41" t="s">
        <v>13</v>
      </c>
      <c r="B795" s="42" t="s">
        <v>15</v>
      </c>
      <c r="C795" s="42" t="s">
        <v>32</v>
      </c>
      <c r="D795" s="43" t="s">
        <v>18</v>
      </c>
      <c r="E795" s="30" t="s">
        <v>30</v>
      </c>
      <c r="F795" s="31" t="s">
        <v>61</v>
      </c>
      <c r="G795" s="31" t="s">
        <v>38</v>
      </c>
      <c r="H795" s="32" t="s">
        <v>62</v>
      </c>
      <c r="I795" s="37" t="s">
        <v>31</v>
      </c>
      <c r="J795" s="38" t="s">
        <v>39</v>
      </c>
      <c r="K795" s="38" t="s">
        <v>40</v>
      </c>
      <c r="L795" s="39" t="s">
        <v>63</v>
      </c>
      <c r="M795" s="40" t="s">
        <v>19</v>
      </c>
      <c r="N795" s="7" t="s">
        <v>41</v>
      </c>
      <c r="O795" s="7" t="s">
        <v>37</v>
      </c>
      <c r="P795" s="7" t="s">
        <v>64</v>
      </c>
      <c r="Q795" s="27" t="s">
        <v>20</v>
      </c>
      <c r="R795" s="28" t="s">
        <v>60</v>
      </c>
      <c r="S795" s="28" t="s">
        <v>59</v>
      </c>
      <c r="T795" s="29" t="s">
        <v>65</v>
      </c>
      <c r="U795" s="48" t="s">
        <v>21</v>
      </c>
      <c r="V795" s="48" t="s">
        <v>42</v>
      </c>
      <c r="W795" s="48" t="s">
        <v>43</v>
      </c>
      <c r="X795" s="49" t="s">
        <v>66</v>
      </c>
      <c r="Y795" s="50" t="s">
        <v>22</v>
      </c>
      <c r="Z795" s="51" t="s">
        <v>44</v>
      </c>
      <c r="AA795" s="51" t="s">
        <v>45</v>
      </c>
      <c r="AB795" s="52" t="s">
        <v>67</v>
      </c>
      <c r="AC795" s="45" t="s">
        <v>23</v>
      </c>
      <c r="AD795" s="46" t="s">
        <v>46</v>
      </c>
      <c r="AE795" s="46" t="s">
        <v>47</v>
      </c>
      <c r="AF795" s="47" t="s">
        <v>68</v>
      </c>
      <c r="AG795" s="30" t="s">
        <v>24</v>
      </c>
      <c r="AH795" s="31" t="s">
        <v>48</v>
      </c>
      <c r="AI795" s="31" t="s">
        <v>49</v>
      </c>
      <c r="AJ795" s="32" t="s">
        <v>69</v>
      </c>
      <c r="AK795" s="53" t="s">
        <v>25</v>
      </c>
      <c r="AL795" s="54" t="s">
        <v>50</v>
      </c>
      <c r="AM795" s="54" t="s">
        <v>51</v>
      </c>
      <c r="AN795" s="55" t="s">
        <v>70</v>
      </c>
      <c r="AO795" s="56" t="s">
        <v>26</v>
      </c>
      <c r="AP795" s="57" t="s">
        <v>52</v>
      </c>
      <c r="AQ795" s="57" t="s">
        <v>53</v>
      </c>
      <c r="AR795" s="58" t="s">
        <v>71</v>
      </c>
      <c r="AS795" s="59" t="s">
        <v>55</v>
      </c>
      <c r="AT795" s="60" t="s">
        <v>54</v>
      </c>
      <c r="AU795" s="60" t="s">
        <v>56</v>
      </c>
      <c r="AV795" s="61" t="s">
        <v>76</v>
      </c>
      <c r="AW795" s="62" t="s">
        <v>72</v>
      </c>
      <c r="AX795" s="63" t="s">
        <v>73</v>
      </c>
      <c r="AY795" s="63" t="s">
        <v>74</v>
      </c>
      <c r="AZ795" s="64" t="s">
        <v>75</v>
      </c>
      <c r="BA795" s="71" t="s">
        <v>77</v>
      </c>
      <c r="BB795" s="72" t="s">
        <v>57</v>
      </c>
      <c r="BC795" s="72" t="s">
        <v>58</v>
      </c>
      <c r="BD795" s="73" t="s">
        <v>78</v>
      </c>
    </row>
    <row r="796" spans="1:56" ht="15.75" thickBot="1" x14ac:dyDescent="0.3">
      <c r="A796" s="17" t="s">
        <v>1</v>
      </c>
      <c r="B796" s="14">
        <v>58290</v>
      </c>
      <c r="C796" s="34">
        <f>B796/F793</f>
        <v>51.22144112478032</v>
      </c>
      <c r="D796" s="14">
        <v>1525</v>
      </c>
      <c r="E796" s="67">
        <v>13990</v>
      </c>
      <c r="F796" s="69">
        <v>480</v>
      </c>
      <c r="G796" s="34">
        <f t="shared" ref="G796:G802" si="1716">E796/F796</f>
        <v>29.145833333333332</v>
      </c>
      <c r="H796" s="10">
        <f t="shared" ref="H796:H802" si="1717">G796/C796</f>
        <v>0.56901626922856974</v>
      </c>
      <c r="I796" s="34">
        <v>0</v>
      </c>
      <c r="J796" s="69">
        <v>0</v>
      </c>
      <c r="K796" s="34" t="e">
        <f t="shared" ref="K796:K802" si="1718">I796/J796</f>
        <v>#DIV/0!</v>
      </c>
      <c r="L796" s="9" t="e">
        <f t="shared" ref="L796:L802" si="1719">K796/C796</f>
        <v>#DIV/0!</v>
      </c>
      <c r="M796" s="67">
        <v>0</v>
      </c>
      <c r="N796" s="26">
        <v>0</v>
      </c>
      <c r="O796" s="34" t="e">
        <f t="shared" ref="O796:O802" si="1720">M796/N796</f>
        <v>#DIV/0!</v>
      </c>
      <c r="P796" s="10" t="e">
        <f t="shared" ref="P796:P802" si="1721">O796/C796</f>
        <v>#DIV/0!</v>
      </c>
      <c r="Q796" s="35">
        <v>0</v>
      </c>
      <c r="R796" s="66">
        <v>0</v>
      </c>
      <c r="S796" s="35" t="e">
        <f t="shared" ref="S796:S802" si="1722">Q796/R796</f>
        <v>#DIV/0!</v>
      </c>
      <c r="T796" s="6" t="e">
        <f t="shared" ref="T796:T802" si="1723">S796/C796</f>
        <v>#DIV/0!</v>
      </c>
      <c r="U796" s="67">
        <v>0</v>
      </c>
      <c r="V796" s="65">
        <v>0</v>
      </c>
      <c r="W796" s="18" t="e">
        <f t="shared" ref="W796:W802" si="1724">U796/V796</f>
        <v>#DIV/0!</v>
      </c>
      <c r="X796" s="9" t="e">
        <f t="shared" ref="X796:X802" si="1725">W796/C796</f>
        <v>#DIV/0!</v>
      </c>
      <c r="Y796" s="67">
        <v>41080</v>
      </c>
      <c r="Z796" s="69">
        <v>1138</v>
      </c>
      <c r="AA796" s="34">
        <f t="shared" ref="AA796:AA802" si="1726">Y796/Z796</f>
        <v>36.098418277680139</v>
      </c>
      <c r="AB796" s="10">
        <f t="shared" ref="AB796:AB802" si="1727">AA796/C796</f>
        <v>0.70475210156115964</v>
      </c>
      <c r="AC796" s="18">
        <v>7550</v>
      </c>
      <c r="AD796" s="33">
        <v>504</v>
      </c>
      <c r="AE796" s="34">
        <f t="shared" ref="AE796:AE802" si="1728">AC796/AD796</f>
        <v>14.980158730158729</v>
      </c>
      <c r="AF796" s="9">
        <f t="shared" ref="AF796:AF802" si="1729">AE796/C796</f>
        <v>0.29245875167130952</v>
      </c>
      <c r="AG796" s="67">
        <v>0</v>
      </c>
      <c r="AH796" s="65">
        <v>0</v>
      </c>
      <c r="AI796" s="34" t="e">
        <f t="shared" ref="AI796:AI802" si="1730">AG796/AH796</f>
        <v>#DIV/0!</v>
      </c>
      <c r="AJ796" s="9" t="e">
        <f t="shared" ref="AJ796:AJ802" si="1731">AI796/C796</f>
        <v>#DIV/0!</v>
      </c>
      <c r="AK796" s="67">
        <v>1300</v>
      </c>
      <c r="AL796" s="65">
        <v>236</v>
      </c>
      <c r="AM796" s="34">
        <f t="shared" ref="AM796:AM802" si="1732">AK796/AL796</f>
        <v>5.5084745762711869</v>
      </c>
      <c r="AN796" s="9">
        <f t="shared" ref="AN796:AN802" si="1733">AM796/C796</f>
        <v>0.10754235834271077</v>
      </c>
      <c r="AO796" s="67">
        <v>0</v>
      </c>
      <c r="AP796" s="65">
        <v>0</v>
      </c>
      <c r="AQ796" s="34" t="e">
        <f t="shared" ref="AQ796:AQ802" si="1734">AO796/AP796</f>
        <v>#DIV/0!</v>
      </c>
      <c r="AR796" s="9" t="e">
        <f t="shared" ref="AR796:AR802" si="1735">AQ796/C796</f>
        <v>#DIV/0!</v>
      </c>
      <c r="AS796" s="67">
        <v>0</v>
      </c>
      <c r="AT796" s="65">
        <v>0</v>
      </c>
      <c r="AU796" s="34" t="e">
        <f t="shared" ref="AU796:AU802" si="1736">AS796/AT796</f>
        <v>#DIV/0!</v>
      </c>
      <c r="AV796" s="9" t="e">
        <f t="shared" ref="AV796:AV802" si="1737">AU796/C796</f>
        <v>#DIV/0!</v>
      </c>
      <c r="AW796" s="67">
        <v>0</v>
      </c>
      <c r="AX796" s="65">
        <v>0</v>
      </c>
      <c r="AY796" s="34" t="e">
        <f t="shared" ref="AY796:AY802" si="1738">AW796/AX796</f>
        <v>#DIV/0!</v>
      </c>
      <c r="AZ796" s="9" t="e">
        <f t="shared" ref="AZ796:AZ802" si="1739">AY796/C796</f>
        <v>#DIV/0!</v>
      </c>
      <c r="BA796" s="67">
        <v>0</v>
      </c>
      <c r="BB796" s="65">
        <v>0</v>
      </c>
      <c r="BC796" s="34" t="e">
        <f t="shared" ref="BC796:BC802" si="1740">BA796/BB796</f>
        <v>#DIV/0!</v>
      </c>
      <c r="BD796" s="10" t="e">
        <f t="shared" ref="BD796:BD802" si="1741">BC796/C796</f>
        <v>#DIV/0!</v>
      </c>
    </row>
    <row r="797" spans="1:56" ht="15.75" thickBot="1" x14ac:dyDescent="0.3">
      <c r="A797" s="19" t="s">
        <v>16</v>
      </c>
      <c r="B797" s="8">
        <v>68580</v>
      </c>
      <c r="C797" s="35">
        <f>B797/F793</f>
        <v>60.263620386643233</v>
      </c>
      <c r="D797" s="8">
        <v>1525</v>
      </c>
      <c r="E797" s="68">
        <v>18440</v>
      </c>
      <c r="F797" s="69">
        <v>480</v>
      </c>
      <c r="G797" s="35">
        <f t="shared" si="1716"/>
        <v>38.416666666666664</v>
      </c>
      <c r="H797" s="11">
        <f t="shared" si="1717"/>
        <v>0.63747691260814621</v>
      </c>
      <c r="I797" s="35">
        <v>0</v>
      </c>
      <c r="J797" s="70">
        <v>0</v>
      </c>
      <c r="K797" s="35" t="e">
        <f t="shared" si="1718"/>
        <v>#DIV/0!</v>
      </c>
      <c r="L797" s="6" t="e">
        <f t="shared" si="1719"/>
        <v>#DIV/0!</v>
      </c>
      <c r="M797" s="68">
        <v>0</v>
      </c>
      <c r="N797" s="5">
        <v>0</v>
      </c>
      <c r="O797" s="35" t="e">
        <f t="shared" si="1720"/>
        <v>#DIV/0!</v>
      </c>
      <c r="P797" s="11" t="e">
        <f t="shared" si="1721"/>
        <v>#DIV/0!</v>
      </c>
      <c r="Q797" s="35">
        <v>0</v>
      </c>
      <c r="R797" s="66">
        <v>0</v>
      </c>
      <c r="S797" s="35" t="e">
        <f t="shared" si="1722"/>
        <v>#DIV/0!</v>
      </c>
      <c r="T797" s="6" t="e">
        <f t="shared" si="1723"/>
        <v>#DIV/0!</v>
      </c>
      <c r="U797" s="68">
        <v>0</v>
      </c>
      <c r="V797" s="66">
        <v>0</v>
      </c>
      <c r="W797" s="20" t="e">
        <f t="shared" si="1724"/>
        <v>#DIV/0!</v>
      </c>
      <c r="X797" s="6" t="e">
        <f t="shared" si="1725"/>
        <v>#DIV/0!</v>
      </c>
      <c r="Y797" s="68">
        <v>56320</v>
      </c>
      <c r="Z797" s="69">
        <v>1138</v>
      </c>
      <c r="AA797" s="35">
        <f t="shared" si="1726"/>
        <v>49.490333919156413</v>
      </c>
      <c r="AB797" s="11">
        <f t="shared" si="1727"/>
        <v>0.82123067949839601</v>
      </c>
      <c r="AC797" s="20">
        <v>10380</v>
      </c>
      <c r="AD797" s="33">
        <v>504</v>
      </c>
      <c r="AE797" s="35">
        <f t="shared" si="1728"/>
        <v>20.595238095238095</v>
      </c>
      <c r="AF797" s="6">
        <f t="shared" si="1729"/>
        <v>0.34175241983640936</v>
      </c>
      <c r="AG797" s="68">
        <v>0</v>
      </c>
      <c r="AH797" s="66">
        <v>0</v>
      </c>
      <c r="AI797" s="35" t="e">
        <f t="shared" si="1730"/>
        <v>#DIV/0!</v>
      </c>
      <c r="AJ797" s="6" t="e">
        <f t="shared" si="1731"/>
        <v>#DIV/0!</v>
      </c>
      <c r="AK797" s="68">
        <v>1910</v>
      </c>
      <c r="AL797" s="65">
        <v>236</v>
      </c>
      <c r="AM797" s="35">
        <f t="shared" si="1732"/>
        <v>8.0932203389830502</v>
      </c>
      <c r="AN797" s="6">
        <f t="shared" si="1733"/>
        <v>0.13429694875711157</v>
      </c>
      <c r="AO797" s="68">
        <v>0</v>
      </c>
      <c r="AP797" s="66">
        <v>0</v>
      </c>
      <c r="AQ797" s="35" t="e">
        <f t="shared" si="1734"/>
        <v>#DIV/0!</v>
      </c>
      <c r="AR797" s="6" t="e">
        <f t="shared" si="1735"/>
        <v>#DIV/0!</v>
      </c>
      <c r="AS797" s="68">
        <v>0</v>
      </c>
      <c r="AT797" s="66">
        <v>0</v>
      </c>
      <c r="AU797" s="35" t="e">
        <f t="shared" si="1736"/>
        <v>#DIV/0!</v>
      </c>
      <c r="AV797" s="6" t="e">
        <f t="shared" si="1737"/>
        <v>#DIV/0!</v>
      </c>
      <c r="AW797" s="68">
        <v>0</v>
      </c>
      <c r="AX797" s="66">
        <v>0</v>
      </c>
      <c r="AY797" s="35" t="e">
        <f t="shared" si="1738"/>
        <v>#DIV/0!</v>
      </c>
      <c r="AZ797" s="6" t="e">
        <f t="shared" si="1739"/>
        <v>#DIV/0!</v>
      </c>
      <c r="BA797" s="68">
        <v>0</v>
      </c>
      <c r="BB797" s="66">
        <v>0</v>
      </c>
      <c r="BC797" s="35" t="e">
        <f t="shared" si="1740"/>
        <v>#DIV/0!</v>
      </c>
      <c r="BD797" s="11" t="e">
        <f t="shared" si="1741"/>
        <v>#DIV/0!</v>
      </c>
    </row>
    <row r="798" spans="1:56" ht="15.75" thickBot="1" x14ac:dyDescent="0.3">
      <c r="A798" s="19" t="s">
        <v>2</v>
      </c>
      <c r="B798" s="8">
        <v>80240</v>
      </c>
      <c r="C798" s="35">
        <f>B798/F793</f>
        <v>70.509666080843587</v>
      </c>
      <c r="D798" s="8">
        <v>2100</v>
      </c>
      <c r="E798" s="68">
        <v>21060</v>
      </c>
      <c r="F798" s="69">
        <v>480</v>
      </c>
      <c r="G798" s="35">
        <f t="shared" si="1716"/>
        <v>43.875</v>
      </c>
      <c r="H798" s="11">
        <f t="shared" si="1717"/>
        <v>0.62225510967098707</v>
      </c>
      <c r="I798" s="35">
        <v>0</v>
      </c>
      <c r="J798" s="70">
        <v>0</v>
      </c>
      <c r="K798" s="35" t="e">
        <f t="shared" si="1718"/>
        <v>#DIV/0!</v>
      </c>
      <c r="L798" s="6" t="e">
        <f t="shared" si="1719"/>
        <v>#DIV/0!</v>
      </c>
      <c r="M798" s="68">
        <v>0</v>
      </c>
      <c r="N798" s="5">
        <v>0</v>
      </c>
      <c r="O798" s="35" t="e">
        <f t="shared" si="1720"/>
        <v>#DIV/0!</v>
      </c>
      <c r="P798" s="11" t="e">
        <f t="shared" si="1721"/>
        <v>#DIV/0!</v>
      </c>
      <c r="Q798" s="35">
        <v>0</v>
      </c>
      <c r="R798" s="66">
        <v>0</v>
      </c>
      <c r="S798" s="35" t="e">
        <f t="shared" si="1722"/>
        <v>#DIV/0!</v>
      </c>
      <c r="T798" s="6" t="e">
        <f t="shared" si="1723"/>
        <v>#DIV/0!</v>
      </c>
      <c r="U798" s="68">
        <v>0</v>
      </c>
      <c r="V798" s="66">
        <v>0</v>
      </c>
      <c r="W798" s="20" t="e">
        <f t="shared" si="1724"/>
        <v>#DIV/0!</v>
      </c>
      <c r="X798" s="6" t="e">
        <f t="shared" si="1725"/>
        <v>#DIV/0!</v>
      </c>
      <c r="Y798" s="68">
        <v>64570</v>
      </c>
      <c r="Z798" s="69">
        <v>1138</v>
      </c>
      <c r="AA798" s="35">
        <f t="shared" si="1726"/>
        <v>56.739894551845346</v>
      </c>
      <c r="AB798" s="11">
        <f t="shared" si="1727"/>
        <v>0.80471086739780662</v>
      </c>
      <c r="AC798" s="20">
        <v>12800</v>
      </c>
      <c r="AD798" s="33">
        <v>504</v>
      </c>
      <c r="AE798" s="35">
        <f t="shared" si="1728"/>
        <v>25.396825396825395</v>
      </c>
      <c r="AF798" s="6">
        <f t="shared" si="1729"/>
        <v>0.36018927344949275</v>
      </c>
      <c r="AG798" s="68">
        <v>0</v>
      </c>
      <c r="AH798" s="66">
        <v>0</v>
      </c>
      <c r="AI798" s="35" t="e">
        <f t="shared" si="1730"/>
        <v>#DIV/0!</v>
      </c>
      <c r="AJ798" s="6" t="e">
        <f t="shared" si="1731"/>
        <v>#DIV/0!</v>
      </c>
      <c r="AK798" s="68">
        <v>2080</v>
      </c>
      <c r="AL798" s="65">
        <v>236</v>
      </c>
      <c r="AM798" s="35">
        <f t="shared" si="1732"/>
        <v>8.8135593220338979</v>
      </c>
      <c r="AN798" s="6">
        <f t="shared" si="1733"/>
        <v>0.12499788769285364</v>
      </c>
      <c r="AO798" s="68">
        <v>0</v>
      </c>
      <c r="AP798" s="66">
        <v>0</v>
      </c>
      <c r="AQ798" s="35" t="e">
        <f t="shared" si="1734"/>
        <v>#DIV/0!</v>
      </c>
      <c r="AR798" s="6" t="e">
        <f t="shared" si="1735"/>
        <v>#DIV/0!</v>
      </c>
      <c r="AS798" s="68">
        <v>0</v>
      </c>
      <c r="AT798" s="66">
        <v>0</v>
      </c>
      <c r="AU798" s="35" t="e">
        <f t="shared" si="1736"/>
        <v>#DIV/0!</v>
      </c>
      <c r="AV798" s="6" t="e">
        <f t="shared" si="1737"/>
        <v>#DIV/0!</v>
      </c>
      <c r="AW798" s="68">
        <v>0</v>
      </c>
      <c r="AX798" s="66">
        <v>0</v>
      </c>
      <c r="AY798" s="35" t="e">
        <f t="shared" si="1738"/>
        <v>#DIV/0!</v>
      </c>
      <c r="AZ798" s="6" t="e">
        <f t="shared" si="1739"/>
        <v>#DIV/0!</v>
      </c>
      <c r="BA798" s="68">
        <v>0</v>
      </c>
      <c r="BB798" s="66">
        <v>0</v>
      </c>
      <c r="BC798" s="35" t="e">
        <f t="shared" si="1740"/>
        <v>#DIV/0!</v>
      </c>
      <c r="BD798" s="11" t="e">
        <f t="shared" si="1741"/>
        <v>#DIV/0!</v>
      </c>
    </row>
    <row r="799" spans="1:56" ht="15.75" thickBot="1" x14ac:dyDescent="0.3">
      <c r="A799" s="19" t="s">
        <v>3</v>
      </c>
      <c r="B799" s="8">
        <v>96860</v>
      </c>
      <c r="C799" s="35">
        <f>B799/F793</f>
        <v>85.114235500878735</v>
      </c>
      <c r="D799" s="8">
        <v>2700</v>
      </c>
      <c r="E799" s="68">
        <v>23000</v>
      </c>
      <c r="F799" s="69">
        <v>480</v>
      </c>
      <c r="G799" s="35">
        <f t="shared" si="1716"/>
        <v>47.916666666666664</v>
      </c>
      <c r="H799" s="11">
        <f t="shared" si="1717"/>
        <v>0.56296888980659365</v>
      </c>
      <c r="I799" s="35">
        <v>0</v>
      </c>
      <c r="J799" s="70">
        <v>0</v>
      </c>
      <c r="K799" s="35" t="e">
        <f t="shared" si="1718"/>
        <v>#DIV/0!</v>
      </c>
      <c r="L799" s="6" t="e">
        <f t="shared" si="1719"/>
        <v>#DIV/0!</v>
      </c>
      <c r="M799" s="68">
        <v>0</v>
      </c>
      <c r="N799" s="5">
        <v>0</v>
      </c>
      <c r="O799" s="35" t="e">
        <f t="shared" si="1720"/>
        <v>#DIV/0!</v>
      </c>
      <c r="P799" s="11" t="e">
        <f t="shared" si="1721"/>
        <v>#DIV/0!</v>
      </c>
      <c r="Q799" s="35">
        <v>0</v>
      </c>
      <c r="R799" s="66">
        <v>0</v>
      </c>
      <c r="S799" s="35" t="e">
        <f t="shared" si="1722"/>
        <v>#DIV/0!</v>
      </c>
      <c r="T799" s="6" t="e">
        <f t="shared" si="1723"/>
        <v>#DIV/0!</v>
      </c>
      <c r="U799" s="68">
        <v>0</v>
      </c>
      <c r="V799" s="66">
        <v>0</v>
      </c>
      <c r="W799" s="20" t="e">
        <f t="shared" si="1724"/>
        <v>#DIV/0!</v>
      </c>
      <c r="X799" s="6" t="e">
        <f t="shared" si="1725"/>
        <v>#DIV/0!</v>
      </c>
      <c r="Y799" s="68">
        <v>73090</v>
      </c>
      <c r="Z799" s="69">
        <v>1138</v>
      </c>
      <c r="AA799" s="35">
        <f t="shared" si="1726"/>
        <v>64.226713532513187</v>
      </c>
      <c r="AB799" s="11">
        <f t="shared" si="1727"/>
        <v>0.75459425975634942</v>
      </c>
      <c r="AC799" s="20">
        <v>13570</v>
      </c>
      <c r="AD799" s="33">
        <v>504</v>
      </c>
      <c r="AE799" s="35">
        <f t="shared" si="1728"/>
        <v>26.924603174603174</v>
      </c>
      <c r="AF799" s="6">
        <f t="shared" si="1729"/>
        <v>0.31633489998656217</v>
      </c>
      <c r="AG799" s="68">
        <v>0</v>
      </c>
      <c r="AH799" s="66">
        <v>0</v>
      </c>
      <c r="AI799" s="35" t="e">
        <f t="shared" si="1730"/>
        <v>#DIV/0!</v>
      </c>
      <c r="AJ799" s="6" t="e">
        <f t="shared" si="1731"/>
        <v>#DIV/0!</v>
      </c>
      <c r="AK799" s="68">
        <v>2250</v>
      </c>
      <c r="AL799" s="65">
        <v>236</v>
      </c>
      <c r="AM799" s="35">
        <f t="shared" si="1732"/>
        <v>9.5338983050847457</v>
      </c>
      <c r="AN799" s="6">
        <f t="shared" si="1733"/>
        <v>0.11201296996888747</v>
      </c>
      <c r="AO799" s="68">
        <v>0</v>
      </c>
      <c r="AP799" s="66">
        <v>0</v>
      </c>
      <c r="AQ799" s="35" t="e">
        <f t="shared" si="1734"/>
        <v>#DIV/0!</v>
      </c>
      <c r="AR799" s="6" t="e">
        <f t="shared" si="1735"/>
        <v>#DIV/0!</v>
      </c>
      <c r="AS799" s="68">
        <v>0</v>
      </c>
      <c r="AT799" s="66">
        <v>0</v>
      </c>
      <c r="AU799" s="35" t="e">
        <f t="shared" si="1736"/>
        <v>#DIV/0!</v>
      </c>
      <c r="AV799" s="6" t="e">
        <f t="shared" si="1737"/>
        <v>#DIV/0!</v>
      </c>
      <c r="AW799" s="68">
        <v>0</v>
      </c>
      <c r="AX799" s="66">
        <v>0</v>
      </c>
      <c r="AY799" s="35" t="e">
        <f t="shared" si="1738"/>
        <v>#DIV/0!</v>
      </c>
      <c r="AZ799" s="6" t="e">
        <f t="shared" si="1739"/>
        <v>#DIV/0!</v>
      </c>
      <c r="BA799" s="68">
        <v>0</v>
      </c>
      <c r="BB799" s="66">
        <v>0</v>
      </c>
      <c r="BC799" s="35" t="e">
        <f t="shared" si="1740"/>
        <v>#DIV/0!</v>
      </c>
      <c r="BD799" s="11" t="e">
        <f t="shared" si="1741"/>
        <v>#DIV/0!</v>
      </c>
    </row>
    <row r="800" spans="1:56" ht="15.75" thickBot="1" x14ac:dyDescent="0.3">
      <c r="A800" s="19" t="s">
        <v>4</v>
      </c>
      <c r="B800" s="8">
        <v>120850</v>
      </c>
      <c r="C800" s="35">
        <f>B800/F793</f>
        <v>106.195079086116</v>
      </c>
      <c r="D800" s="8">
        <v>5250</v>
      </c>
      <c r="E800" s="68">
        <v>31290</v>
      </c>
      <c r="F800" s="69">
        <v>480</v>
      </c>
      <c r="G800" s="35">
        <f t="shared" si="1716"/>
        <v>65.1875</v>
      </c>
      <c r="H800" s="11">
        <f t="shared" si="1717"/>
        <v>0.6138467107985105</v>
      </c>
      <c r="I800" s="35">
        <v>0</v>
      </c>
      <c r="J800" s="70">
        <v>0</v>
      </c>
      <c r="K800" s="35" t="e">
        <f t="shared" si="1718"/>
        <v>#DIV/0!</v>
      </c>
      <c r="L800" s="6" t="e">
        <f t="shared" si="1719"/>
        <v>#DIV/0!</v>
      </c>
      <c r="M800" s="68">
        <v>0</v>
      </c>
      <c r="N800" s="5">
        <v>0</v>
      </c>
      <c r="O800" s="35" t="e">
        <f t="shared" si="1720"/>
        <v>#DIV/0!</v>
      </c>
      <c r="P800" s="11" t="e">
        <f t="shared" si="1721"/>
        <v>#DIV/0!</v>
      </c>
      <c r="Q800" s="35">
        <v>0</v>
      </c>
      <c r="R800" s="66">
        <v>0</v>
      </c>
      <c r="S800" s="35" t="e">
        <f t="shared" si="1722"/>
        <v>#DIV/0!</v>
      </c>
      <c r="T800" s="6" t="e">
        <f t="shared" si="1723"/>
        <v>#DIV/0!</v>
      </c>
      <c r="U800" s="68">
        <v>0</v>
      </c>
      <c r="V800" s="66">
        <v>0</v>
      </c>
      <c r="W800" s="20" t="e">
        <f t="shared" si="1724"/>
        <v>#DIV/0!</v>
      </c>
      <c r="X800" s="6" t="e">
        <f t="shared" si="1725"/>
        <v>#DIV/0!</v>
      </c>
      <c r="Y800" s="68">
        <v>93870</v>
      </c>
      <c r="Z800" s="69">
        <v>1138</v>
      </c>
      <c r="AA800" s="35">
        <f t="shared" si="1726"/>
        <v>82.486818980667834</v>
      </c>
      <c r="AB800" s="11">
        <f t="shared" si="1727"/>
        <v>0.77674803475382703</v>
      </c>
      <c r="AC800" s="20">
        <v>15470</v>
      </c>
      <c r="AD800" s="33">
        <v>504</v>
      </c>
      <c r="AE800" s="35">
        <f t="shared" si="1728"/>
        <v>30.694444444444443</v>
      </c>
      <c r="AF800" s="6">
        <f t="shared" si="1729"/>
        <v>0.28903829356870314</v>
      </c>
      <c r="AG800" s="68">
        <v>0</v>
      </c>
      <c r="AH800" s="66">
        <v>0</v>
      </c>
      <c r="AI800" s="35" t="e">
        <f t="shared" si="1730"/>
        <v>#DIV/0!</v>
      </c>
      <c r="AJ800" s="6" t="e">
        <f t="shared" si="1731"/>
        <v>#DIV/0!</v>
      </c>
      <c r="AK800" s="68">
        <v>2670</v>
      </c>
      <c r="AL800" s="65">
        <v>236</v>
      </c>
      <c r="AM800" s="35">
        <f t="shared" si="1732"/>
        <v>11.313559322033898</v>
      </c>
      <c r="AN800" s="6">
        <f t="shared" si="1733"/>
        <v>0.10653562688021991</v>
      </c>
      <c r="AO800" s="68">
        <v>0</v>
      </c>
      <c r="AP800" s="66">
        <v>0</v>
      </c>
      <c r="AQ800" s="35" t="e">
        <f t="shared" si="1734"/>
        <v>#DIV/0!</v>
      </c>
      <c r="AR800" s="6" t="e">
        <f t="shared" si="1735"/>
        <v>#DIV/0!</v>
      </c>
      <c r="AS800" s="68">
        <v>0</v>
      </c>
      <c r="AT800" s="66">
        <v>0</v>
      </c>
      <c r="AU800" s="35" t="e">
        <f t="shared" si="1736"/>
        <v>#DIV/0!</v>
      </c>
      <c r="AV800" s="6" t="e">
        <f t="shared" si="1737"/>
        <v>#DIV/0!</v>
      </c>
      <c r="AW800" s="68">
        <v>0</v>
      </c>
      <c r="AX800" s="66">
        <v>0</v>
      </c>
      <c r="AY800" s="35" t="e">
        <f t="shared" si="1738"/>
        <v>#DIV/0!</v>
      </c>
      <c r="AZ800" s="6" t="e">
        <f t="shared" si="1739"/>
        <v>#DIV/0!</v>
      </c>
      <c r="BA800" s="68">
        <v>0</v>
      </c>
      <c r="BB800" s="66">
        <v>0</v>
      </c>
      <c r="BC800" s="35" t="e">
        <f t="shared" si="1740"/>
        <v>#DIV/0!</v>
      </c>
      <c r="BD800" s="11" t="e">
        <f t="shared" si="1741"/>
        <v>#DIV/0!</v>
      </c>
    </row>
    <row r="801" spans="1:56" ht="15.75" thickBot="1" x14ac:dyDescent="0.3">
      <c r="A801" s="19" t="s">
        <v>5</v>
      </c>
      <c r="B801" s="8">
        <v>158960</v>
      </c>
      <c r="C801" s="35">
        <f>B801/F793</f>
        <v>139.68365553602811</v>
      </c>
      <c r="D801" s="8">
        <v>7050</v>
      </c>
      <c r="E801" s="68">
        <v>34730</v>
      </c>
      <c r="F801" s="69">
        <v>480</v>
      </c>
      <c r="G801" s="35">
        <f t="shared" si="1716"/>
        <v>72.354166666666671</v>
      </c>
      <c r="H801" s="11">
        <f t="shared" si="1717"/>
        <v>0.51798591888944812</v>
      </c>
      <c r="I801" s="35">
        <v>0</v>
      </c>
      <c r="J801" s="70">
        <v>0</v>
      </c>
      <c r="K801" s="35" t="e">
        <f t="shared" si="1718"/>
        <v>#DIV/0!</v>
      </c>
      <c r="L801" s="6" t="e">
        <f t="shared" si="1719"/>
        <v>#DIV/0!</v>
      </c>
      <c r="M801" s="68">
        <v>0</v>
      </c>
      <c r="N801" s="5">
        <v>0</v>
      </c>
      <c r="O801" s="35" t="e">
        <f t="shared" si="1720"/>
        <v>#DIV/0!</v>
      </c>
      <c r="P801" s="11" t="e">
        <f t="shared" si="1721"/>
        <v>#DIV/0!</v>
      </c>
      <c r="Q801" s="35">
        <v>0</v>
      </c>
      <c r="R801" s="66">
        <v>0</v>
      </c>
      <c r="S801" s="35" t="e">
        <f t="shared" si="1722"/>
        <v>#DIV/0!</v>
      </c>
      <c r="T801" s="6" t="e">
        <f t="shared" si="1723"/>
        <v>#DIV/0!</v>
      </c>
      <c r="U801" s="68">
        <v>0</v>
      </c>
      <c r="V801" s="66">
        <v>0</v>
      </c>
      <c r="W801" s="20" t="e">
        <f t="shared" si="1724"/>
        <v>#DIV/0!</v>
      </c>
      <c r="X801" s="6" t="e">
        <f t="shared" si="1725"/>
        <v>#DIV/0!</v>
      </c>
      <c r="Y801" s="68">
        <v>126790</v>
      </c>
      <c r="Z801" s="69">
        <v>1138</v>
      </c>
      <c r="AA801" s="35">
        <f t="shared" si="1726"/>
        <v>111.41476274165203</v>
      </c>
      <c r="AB801" s="11">
        <f t="shared" si="1727"/>
        <v>0.79762204328132869</v>
      </c>
      <c r="AC801" s="20">
        <v>17510</v>
      </c>
      <c r="AD801" s="33">
        <v>504</v>
      </c>
      <c r="AE801" s="35">
        <f t="shared" si="1728"/>
        <v>34.742063492063494</v>
      </c>
      <c r="AF801" s="6">
        <f t="shared" si="1729"/>
        <v>0.24871960401338863</v>
      </c>
      <c r="AG801" s="68">
        <v>0</v>
      </c>
      <c r="AH801" s="66">
        <v>0</v>
      </c>
      <c r="AI801" s="35" t="e">
        <f t="shared" si="1730"/>
        <v>#DIV/0!</v>
      </c>
      <c r="AJ801" s="6" t="e">
        <f t="shared" si="1731"/>
        <v>#DIV/0!</v>
      </c>
      <c r="AK801" s="68">
        <v>2940</v>
      </c>
      <c r="AL801" s="65">
        <v>236</v>
      </c>
      <c r="AM801" s="35">
        <f t="shared" si="1732"/>
        <v>12.457627118644067</v>
      </c>
      <c r="AN801" s="6">
        <f t="shared" si="1733"/>
        <v>8.9184572603277237E-2</v>
      </c>
      <c r="AO801" s="68">
        <v>0</v>
      </c>
      <c r="AP801" s="66">
        <v>0</v>
      </c>
      <c r="AQ801" s="35" t="e">
        <f t="shared" si="1734"/>
        <v>#DIV/0!</v>
      </c>
      <c r="AR801" s="6" t="e">
        <f t="shared" si="1735"/>
        <v>#DIV/0!</v>
      </c>
      <c r="AS801" s="68">
        <v>0</v>
      </c>
      <c r="AT801" s="66">
        <v>0</v>
      </c>
      <c r="AU801" s="35" t="e">
        <f t="shared" si="1736"/>
        <v>#DIV/0!</v>
      </c>
      <c r="AV801" s="6" t="e">
        <f t="shared" si="1737"/>
        <v>#DIV/0!</v>
      </c>
      <c r="AW801" s="68">
        <v>0</v>
      </c>
      <c r="AX801" s="66">
        <v>0</v>
      </c>
      <c r="AY801" s="35" t="e">
        <f t="shared" si="1738"/>
        <v>#DIV/0!</v>
      </c>
      <c r="AZ801" s="6" t="e">
        <f t="shared" si="1739"/>
        <v>#DIV/0!</v>
      </c>
      <c r="BA801" s="68">
        <v>0</v>
      </c>
      <c r="BB801" s="66">
        <v>0</v>
      </c>
      <c r="BC801" s="35" t="e">
        <f t="shared" si="1740"/>
        <v>#DIV/0!</v>
      </c>
      <c r="BD801" s="11" t="e">
        <f t="shared" si="1741"/>
        <v>#DIV/0!</v>
      </c>
    </row>
    <row r="802" spans="1:56" x14ac:dyDescent="0.25">
      <c r="A802" s="19" t="s">
        <v>6</v>
      </c>
      <c r="B802" s="8">
        <v>186440</v>
      </c>
      <c r="C802" s="35">
        <f>B802/F793</f>
        <v>163.83128295254832</v>
      </c>
      <c r="D802" s="8">
        <v>10950</v>
      </c>
      <c r="E802" s="68">
        <v>41640</v>
      </c>
      <c r="F802" s="69">
        <v>480</v>
      </c>
      <c r="G802" s="35">
        <f t="shared" si="1716"/>
        <v>86.75</v>
      </c>
      <c r="H802" s="11">
        <f t="shared" si="1717"/>
        <v>0.52950815275691909</v>
      </c>
      <c r="I802" s="35">
        <v>0</v>
      </c>
      <c r="J802" s="70">
        <v>0</v>
      </c>
      <c r="K802" s="35" t="e">
        <f t="shared" si="1718"/>
        <v>#DIV/0!</v>
      </c>
      <c r="L802" s="6" t="e">
        <f t="shared" si="1719"/>
        <v>#DIV/0!</v>
      </c>
      <c r="M802" s="68">
        <v>0</v>
      </c>
      <c r="N802" s="5">
        <v>0</v>
      </c>
      <c r="O802" s="35" t="e">
        <f t="shared" si="1720"/>
        <v>#DIV/0!</v>
      </c>
      <c r="P802" s="11" t="e">
        <f t="shared" si="1721"/>
        <v>#DIV/0!</v>
      </c>
      <c r="Q802" s="35">
        <v>0</v>
      </c>
      <c r="R802" s="66">
        <v>0</v>
      </c>
      <c r="S802" s="35" t="e">
        <f t="shared" si="1722"/>
        <v>#DIV/0!</v>
      </c>
      <c r="T802" s="6" t="e">
        <f t="shared" si="1723"/>
        <v>#DIV/0!</v>
      </c>
      <c r="U802" s="68">
        <v>0</v>
      </c>
      <c r="V802" s="66">
        <v>0</v>
      </c>
      <c r="W802" s="20" t="e">
        <f t="shared" si="1724"/>
        <v>#DIV/0!</v>
      </c>
      <c r="X802" s="6" t="e">
        <f t="shared" si="1725"/>
        <v>#DIV/0!</v>
      </c>
      <c r="Y802" s="68">
        <v>142850</v>
      </c>
      <c r="Z802" s="69">
        <v>1138</v>
      </c>
      <c r="AA802" s="35">
        <f t="shared" si="1726"/>
        <v>125.52724077328647</v>
      </c>
      <c r="AB802" s="11">
        <f t="shared" si="1727"/>
        <v>0.76619824072087539</v>
      </c>
      <c r="AC802" s="20">
        <v>25040</v>
      </c>
      <c r="AD802" s="33">
        <v>504</v>
      </c>
      <c r="AE802" s="35">
        <f t="shared" si="1728"/>
        <v>49.682539682539684</v>
      </c>
      <c r="AF802" s="6">
        <f t="shared" si="1729"/>
        <v>0.30325429177606822</v>
      </c>
      <c r="AG802" s="68">
        <v>0</v>
      </c>
      <c r="AH802" s="66">
        <v>0</v>
      </c>
      <c r="AI802" s="35" t="e">
        <f t="shared" si="1730"/>
        <v>#DIV/0!</v>
      </c>
      <c r="AJ802" s="6" t="e">
        <f t="shared" si="1731"/>
        <v>#DIV/0!</v>
      </c>
      <c r="AK802" s="68">
        <v>3280</v>
      </c>
      <c r="AL802" s="65">
        <v>236</v>
      </c>
      <c r="AM802" s="35">
        <f t="shared" si="1732"/>
        <v>13.898305084745763</v>
      </c>
      <c r="AN802" s="6">
        <f t="shared" si="1733"/>
        <v>8.483303575649366E-2</v>
      </c>
      <c r="AO802" s="68">
        <v>0</v>
      </c>
      <c r="AP802" s="66">
        <v>0</v>
      </c>
      <c r="AQ802" s="35" t="e">
        <f t="shared" si="1734"/>
        <v>#DIV/0!</v>
      </c>
      <c r="AR802" s="6" t="e">
        <f t="shared" si="1735"/>
        <v>#DIV/0!</v>
      </c>
      <c r="AS802" s="68">
        <v>0</v>
      </c>
      <c r="AT802" s="66">
        <v>0</v>
      </c>
      <c r="AU802" s="35" t="e">
        <f t="shared" si="1736"/>
        <v>#DIV/0!</v>
      </c>
      <c r="AV802" s="6" t="e">
        <f t="shared" si="1737"/>
        <v>#DIV/0!</v>
      </c>
      <c r="AW802" s="68">
        <v>0</v>
      </c>
      <c r="AX802" s="66">
        <v>0</v>
      </c>
      <c r="AY802" s="35" t="e">
        <f t="shared" si="1738"/>
        <v>#DIV/0!</v>
      </c>
      <c r="AZ802" s="6" t="e">
        <f t="shared" si="1739"/>
        <v>#DIV/0!</v>
      </c>
      <c r="BA802" s="68">
        <v>0</v>
      </c>
      <c r="BB802" s="66">
        <v>0</v>
      </c>
      <c r="BC802" s="35" t="e">
        <f t="shared" si="1740"/>
        <v>#DIV/0!</v>
      </c>
      <c r="BD802" s="11" t="e">
        <f t="shared" si="1741"/>
        <v>#DIV/0!</v>
      </c>
    </row>
    <row r="803" spans="1:56" ht="15.75" thickBot="1" x14ac:dyDescent="0.3">
      <c r="A803" s="21"/>
      <c r="B803" s="22"/>
      <c r="C803" s="23">
        <f>AVERAGE(Table11060[MA $/Sq Ft])</f>
        <v>96.688425809691196</v>
      </c>
      <c r="D803" s="22">
        <f>AVERAGE(Table11060[Basic Allowance])</f>
        <v>4442.8571428571431</v>
      </c>
      <c r="E803" s="16"/>
      <c r="F803" s="22"/>
      <c r="G803" s="15"/>
      <c r="H803" s="24">
        <f>AVERAGE(Table11060[Bsmt % Base])</f>
        <v>0.57900828053702491</v>
      </c>
      <c r="I803" s="15"/>
      <c r="J803" s="15"/>
      <c r="K803" s="15"/>
      <c r="L803" s="25" t="e">
        <f>AVERAGE(Table11060[[#Headers],[#Data],[UnfBsmt % Base]])</f>
        <v>#DIV/0!</v>
      </c>
      <c r="M803" s="44"/>
      <c r="N803" s="15"/>
      <c r="O803" s="23" t="e">
        <f>AVERAGE(Table11060[LowerVal/SqFt])</f>
        <v>#DIV/0!</v>
      </c>
      <c r="P803" s="24" t="e">
        <f>AVERAGE(Table11060[Lower % Base])</f>
        <v>#DIV/0!</v>
      </c>
      <c r="Q803" s="13"/>
      <c r="R803" s="13"/>
      <c r="S803" s="13"/>
      <c r="T803" s="25" t="e">
        <f>AVERAGE(Table11060[Unf Lower % Base])</f>
        <v>#DIV/0!</v>
      </c>
      <c r="U803" s="12"/>
      <c r="V803" s="13"/>
      <c r="W803" s="13"/>
      <c r="X803" s="25" t="e">
        <f>AVERAGE(Table11060[1/2 Story % Base])</f>
        <v>#DIV/0!</v>
      </c>
      <c r="Y803" s="12"/>
      <c r="Z803" s="13"/>
      <c r="AA803" s="13"/>
      <c r="AB803" s="24">
        <f>AVERAGE(Table11060[2nd Story % Base])</f>
        <v>0.77512231813853461</v>
      </c>
      <c r="AC803" s="13"/>
      <c r="AD803" s="13"/>
      <c r="AE803" s="23">
        <f>AVERAGE(Table11060[AttGarVal/SqFt])</f>
        <v>29.002267573696145</v>
      </c>
      <c r="AF803" s="25">
        <f>AVERAGE(Table11060[Att Gar % Base])</f>
        <v>0.30739250490027625</v>
      </c>
      <c r="AG803" s="12"/>
      <c r="AH803" s="13"/>
      <c r="AI803" s="13"/>
      <c r="AJ803" s="25" t="e">
        <f>AVERAGE(Table11060[Porch % Base])</f>
        <v>#DIV/0!</v>
      </c>
      <c r="AK803" s="12"/>
      <c r="AL803" s="13"/>
      <c r="AM803" s="13"/>
      <c r="AN803" s="25">
        <f>AVERAGE(Table11060[Cov Porch % Base])</f>
        <v>0.10848620000022205</v>
      </c>
      <c r="AO803" s="12"/>
      <c r="AP803" s="13"/>
      <c r="AQ803" s="13"/>
      <c r="AR803" s="25" t="e">
        <f>AVERAGE(Table11060[Deck % Base])</f>
        <v>#DIV/0!</v>
      </c>
      <c r="AS803" s="12"/>
      <c r="AT803" s="13"/>
      <c r="AU803" s="23" t="e">
        <f>AVERAGE(Table11060[CovDeckVal/SqFt])</f>
        <v>#DIV/0!</v>
      </c>
      <c r="AV803" s="25" t="e">
        <f>AVERAGE(Table11060[CovDeck % Base])</f>
        <v>#DIV/0!</v>
      </c>
      <c r="AW803" s="12"/>
      <c r="AX803" s="13"/>
      <c r="AY803" s="13"/>
      <c r="AZ803" s="25" t="e">
        <f>AVERAGE(Table11060[CarP % Base])</f>
        <v>#DIV/0!</v>
      </c>
      <c r="BA803" s="12"/>
      <c r="BB803" s="13"/>
      <c r="BC803" s="13"/>
      <c r="BD803" s="24" t="e">
        <f>AVERAGE(Table11060[EFP % Base])</f>
        <v>#DIV/0!</v>
      </c>
    </row>
    <row r="805" spans="1:56" ht="15.75" thickBot="1" x14ac:dyDescent="0.3">
      <c r="A805" s="84"/>
      <c r="B805" s="74" t="s">
        <v>79</v>
      </c>
      <c r="C805" s="86" t="s">
        <v>166</v>
      </c>
      <c r="D805" s="74"/>
      <c r="E805" s="74" t="s">
        <v>33</v>
      </c>
      <c r="F805" s="75">
        <v>1272</v>
      </c>
      <c r="G805" s="74"/>
      <c r="H805" s="74" t="s">
        <v>197</v>
      </c>
      <c r="I805" s="74"/>
      <c r="J805" s="74" t="s">
        <v>83</v>
      </c>
      <c r="K805" s="75">
        <v>1950</v>
      </c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6"/>
    </row>
    <row r="806" spans="1:56" x14ac:dyDescent="0.25">
      <c r="A806" s="112"/>
      <c r="B806" s="113"/>
      <c r="C806" s="113"/>
      <c r="D806" s="114"/>
      <c r="E806" s="115" t="s">
        <v>27</v>
      </c>
      <c r="F806" s="116"/>
      <c r="G806" s="116"/>
      <c r="H806" s="117"/>
      <c r="I806" s="118" t="s">
        <v>28</v>
      </c>
      <c r="J806" s="119"/>
      <c r="K806" s="119"/>
      <c r="L806" s="120"/>
      <c r="M806" s="121" t="s">
        <v>7</v>
      </c>
      <c r="N806" s="122"/>
      <c r="O806" s="122"/>
      <c r="P806" s="122"/>
      <c r="Q806" s="124" t="s">
        <v>29</v>
      </c>
      <c r="R806" s="125"/>
      <c r="S806" s="125"/>
      <c r="T806" s="126"/>
      <c r="U806" s="128" t="s">
        <v>8</v>
      </c>
      <c r="V806" s="128"/>
      <c r="W806" s="128"/>
      <c r="X806" s="129"/>
      <c r="Y806" s="130" t="s">
        <v>0</v>
      </c>
      <c r="Z806" s="131"/>
      <c r="AA806" s="131"/>
      <c r="AB806" s="132"/>
      <c r="AC806" s="133" t="s">
        <v>34</v>
      </c>
      <c r="AD806" s="134"/>
      <c r="AE806" s="134"/>
      <c r="AF806" s="135"/>
      <c r="AG806" s="115" t="s">
        <v>9</v>
      </c>
      <c r="AH806" s="116"/>
      <c r="AI806" s="116"/>
      <c r="AJ806" s="117"/>
      <c r="AK806" s="136" t="s">
        <v>35</v>
      </c>
      <c r="AL806" s="137"/>
      <c r="AM806" s="137"/>
      <c r="AN806" s="138"/>
      <c r="AO806" s="139" t="s">
        <v>10</v>
      </c>
      <c r="AP806" s="140"/>
      <c r="AQ806" s="140"/>
      <c r="AR806" s="141"/>
      <c r="AS806" s="124" t="s">
        <v>36</v>
      </c>
      <c r="AT806" s="125"/>
      <c r="AU806" s="125"/>
      <c r="AV806" s="126"/>
      <c r="AW806" s="142" t="s">
        <v>11</v>
      </c>
      <c r="AX806" s="143"/>
      <c r="AY806" s="143"/>
      <c r="AZ806" s="144"/>
      <c r="BA806" s="148" t="s">
        <v>17</v>
      </c>
      <c r="BB806" s="149"/>
      <c r="BC806" s="149"/>
      <c r="BD806" s="150"/>
    </row>
    <row r="807" spans="1:56" s="1" customFormat="1" ht="15.75" thickBot="1" x14ac:dyDescent="0.3">
      <c r="A807" s="41" t="s">
        <v>13</v>
      </c>
      <c r="B807" s="42" t="s">
        <v>15</v>
      </c>
      <c r="C807" s="42" t="s">
        <v>32</v>
      </c>
      <c r="D807" s="43" t="s">
        <v>18</v>
      </c>
      <c r="E807" s="30" t="s">
        <v>30</v>
      </c>
      <c r="F807" s="31" t="s">
        <v>61</v>
      </c>
      <c r="G807" s="31" t="s">
        <v>38</v>
      </c>
      <c r="H807" s="32" t="s">
        <v>62</v>
      </c>
      <c r="I807" s="37" t="s">
        <v>31</v>
      </c>
      <c r="J807" s="38" t="s">
        <v>39</v>
      </c>
      <c r="K807" s="38" t="s">
        <v>40</v>
      </c>
      <c r="L807" s="39" t="s">
        <v>63</v>
      </c>
      <c r="M807" s="40" t="s">
        <v>19</v>
      </c>
      <c r="N807" s="7" t="s">
        <v>41</v>
      </c>
      <c r="O807" s="7" t="s">
        <v>37</v>
      </c>
      <c r="P807" s="7" t="s">
        <v>64</v>
      </c>
      <c r="Q807" s="27" t="s">
        <v>20</v>
      </c>
      <c r="R807" s="28" t="s">
        <v>60</v>
      </c>
      <c r="S807" s="28" t="s">
        <v>59</v>
      </c>
      <c r="T807" s="29" t="s">
        <v>65</v>
      </c>
      <c r="U807" s="48" t="s">
        <v>21</v>
      </c>
      <c r="V807" s="48" t="s">
        <v>42</v>
      </c>
      <c r="W807" s="48" t="s">
        <v>43</v>
      </c>
      <c r="X807" s="49" t="s">
        <v>66</v>
      </c>
      <c r="Y807" s="50" t="s">
        <v>22</v>
      </c>
      <c r="Z807" s="51" t="s">
        <v>44</v>
      </c>
      <c r="AA807" s="51" t="s">
        <v>45</v>
      </c>
      <c r="AB807" s="52" t="s">
        <v>67</v>
      </c>
      <c r="AC807" s="45" t="s">
        <v>23</v>
      </c>
      <c r="AD807" s="46" t="s">
        <v>46</v>
      </c>
      <c r="AE807" s="46" t="s">
        <v>47</v>
      </c>
      <c r="AF807" s="47" t="s">
        <v>68</v>
      </c>
      <c r="AG807" s="30" t="s">
        <v>24</v>
      </c>
      <c r="AH807" s="31" t="s">
        <v>48</v>
      </c>
      <c r="AI807" s="31" t="s">
        <v>49</v>
      </c>
      <c r="AJ807" s="32" t="s">
        <v>69</v>
      </c>
      <c r="AK807" s="53" t="s">
        <v>25</v>
      </c>
      <c r="AL807" s="54" t="s">
        <v>50</v>
      </c>
      <c r="AM807" s="54" t="s">
        <v>51</v>
      </c>
      <c r="AN807" s="55" t="s">
        <v>70</v>
      </c>
      <c r="AO807" s="56" t="s">
        <v>26</v>
      </c>
      <c r="AP807" s="57" t="s">
        <v>52</v>
      </c>
      <c r="AQ807" s="57" t="s">
        <v>53</v>
      </c>
      <c r="AR807" s="58" t="s">
        <v>71</v>
      </c>
      <c r="AS807" s="59" t="s">
        <v>55</v>
      </c>
      <c r="AT807" s="60" t="s">
        <v>54</v>
      </c>
      <c r="AU807" s="60" t="s">
        <v>56</v>
      </c>
      <c r="AV807" s="61" t="s">
        <v>76</v>
      </c>
      <c r="AW807" s="62" t="s">
        <v>72</v>
      </c>
      <c r="AX807" s="63" t="s">
        <v>73</v>
      </c>
      <c r="AY807" s="63" t="s">
        <v>74</v>
      </c>
      <c r="AZ807" s="64" t="s">
        <v>75</v>
      </c>
      <c r="BA807" s="71" t="s">
        <v>77</v>
      </c>
      <c r="BB807" s="72" t="s">
        <v>57</v>
      </c>
      <c r="BC807" s="72" t="s">
        <v>58</v>
      </c>
      <c r="BD807" s="73" t="s">
        <v>78</v>
      </c>
    </row>
    <row r="808" spans="1:56" x14ac:dyDescent="0.25">
      <c r="A808" s="17" t="s">
        <v>1</v>
      </c>
      <c r="B808" s="14">
        <v>63990</v>
      </c>
      <c r="C808" s="34">
        <f>B808/F805</f>
        <v>50.306603773584904</v>
      </c>
      <c r="D808" s="14">
        <v>1525</v>
      </c>
      <c r="E808" s="67">
        <v>0</v>
      </c>
      <c r="F808" s="69">
        <v>0</v>
      </c>
      <c r="G808" s="34" t="e">
        <f t="shared" ref="G808:G814" si="1742">E808/F808</f>
        <v>#DIV/0!</v>
      </c>
      <c r="H808" s="10" t="e">
        <f t="shared" ref="H808:H814" si="1743">G808/C808</f>
        <v>#DIV/0!</v>
      </c>
      <c r="I808" s="34">
        <v>0</v>
      </c>
      <c r="J808" s="69">
        <v>0</v>
      </c>
      <c r="K808" s="34" t="e">
        <f t="shared" ref="K808:K814" si="1744">I808/J808</f>
        <v>#DIV/0!</v>
      </c>
      <c r="L808" s="9" t="e">
        <f t="shared" ref="L808:L814" si="1745">K808/C808</f>
        <v>#DIV/0!</v>
      </c>
      <c r="M808" s="67">
        <v>0</v>
      </c>
      <c r="N808" s="26">
        <v>0</v>
      </c>
      <c r="O808" s="34" t="e">
        <f t="shared" ref="O808:O814" si="1746">M808/N808</f>
        <v>#DIV/0!</v>
      </c>
      <c r="P808" s="10" t="e">
        <f t="shared" ref="P808:P814" si="1747">O808/C808</f>
        <v>#DIV/0!</v>
      </c>
      <c r="Q808" s="35">
        <v>0</v>
      </c>
      <c r="R808" s="66">
        <v>0</v>
      </c>
      <c r="S808" s="35" t="e">
        <f t="shared" ref="S808:S814" si="1748">Q808/R808</f>
        <v>#DIV/0!</v>
      </c>
      <c r="T808" s="6" t="e">
        <f t="shared" ref="T808:T814" si="1749">S808/C808</f>
        <v>#DIV/0!</v>
      </c>
      <c r="U808" s="67">
        <v>10910</v>
      </c>
      <c r="V808" s="65">
        <v>336</v>
      </c>
      <c r="W808" s="34">
        <f t="shared" ref="W808:W814" si="1750">U808/V808</f>
        <v>32.470238095238095</v>
      </c>
      <c r="X808" s="9">
        <f t="shared" ref="X808:X814" si="1751">W808/C808</f>
        <v>0.6454468332105463</v>
      </c>
      <c r="Y808" s="67">
        <v>0</v>
      </c>
      <c r="Z808" s="69">
        <v>0</v>
      </c>
      <c r="AA808" s="34" t="e">
        <f t="shared" ref="AA808:AA814" si="1752">Y808/Z808</f>
        <v>#DIV/0!</v>
      </c>
      <c r="AB808" s="10" t="e">
        <f t="shared" ref="AB808:AB814" si="1753">AA808/C808</f>
        <v>#DIV/0!</v>
      </c>
      <c r="AC808" s="34">
        <v>0</v>
      </c>
      <c r="AD808" s="33">
        <v>0</v>
      </c>
      <c r="AE808" s="34" t="e">
        <f t="shared" ref="AE808:AE814" si="1754">AC808/AD808</f>
        <v>#DIV/0!</v>
      </c>
      <c r="AF808" s="9" t="e">
        <f t="shared" ref="AF808:AF814" si="1755">AE808/C808</f>
        <v>#DIV/0!</v>
      </c>
      <c r="AG808" s="67">
        <v>0</v>
      </c>
      <c r="AH808" s="65">
        <v>0</v>
      </c>
      <c r="AI808" s="34" t="e">
        <f t="shared" ref="AI808:AI814" si="1756">AG808/AH808</f>
        <v>#DIV/0!</v>
      </c>
      <c r="AJ808" s="9" t="e">
        <f t="shared" ref="AJ808:AJ814" si="1757">AI808/C808</f>
        <v>#DIV/0!</v>
      </c>
      <c r="AK808" s="67">
        <v>0</v>
      </c>
      <c r="AL808" s="65">
        <v>0</v>
      </c>
      <c r="AM808" s="34" t="e">
        <f t="shared" ref="AM808:AM814" si="1758">AK808/AL808</f>
        <v>#DIV/0!</v>
      </c>
      <c r="AN808" s="9" t="e">
        <f t="shared" ref="AN808:AN814" si="1759">AM808/C808</f>
        <v>#DIV/0!</v>
      </c>
      <c r="AO808" s="67">
        <v>0</v>
      </c>
      <c r="AP808" s="65">
        <v>0</v>
      </c>
      <c r="AQ808" s="34" t="e">
        <f t="shared" ref="AQ808:AQ814" si="1760">AO808/AP808</f>
        <v>#DIV/0!</v>
      </c>
      <c r="AR808" s="9" t="e">
        <f t="shared" ref="AR808:AR814" si="1761">AQ808/C808</f>
        <v>#DIV/0!</v>
      </c>
      <c r="AS808" s="67">
        <v>0</v>
      </c>
      <c r="AT808" s="65">
        <v>0</v>
      </c>
      <c r="AU808" s="34" t="e">
        <f t="shared" ref="AU808:AU814" si="1762">AS808/AT808</f>
        <v>#DIV/0!</v>
      </c>
      <c r="AV808" s="9" t="e">
        <f t="shared" ref="AV808:AV814" si="1763">AU808/C808</f>
        <v>#DIV/0!</v>
      </c>
      <c r="AW808" s="67">
        <v>0</v>
      </c>
      <c r="AX808" s="65">
        <v>0</v>
      </c>
      <c r="AY808" s="34" t="e">
        <f t="shared" ref="AY808:AY814" si="1764">AW808/AX808</f>
        <v>#DIV/0!</v>
      </c>
      <c r="AZ808" s="9" t="e">
        <f t="shared" ref="AZ808:AZ814" si="1765">AY808/C808</f>
        <v>#DIV/0!</v>
      </c>
      <c r="BA808" s="67">
        <v>0</v>
      </c>
      <c r="BB808" s="65">
        <v>0</v>
      </c>
      <c r="BC808" s="34" t="e">
        <f t="shared" ref="BC808:BC814" si="1766">BA808/BB808</f>
        <v>#DIV/0!</v>
      </c>
      <c r="BD808" s="10" t="e">
        <f t="shared" ref="BD808:BD814" si="1767">BC808/C808</f>
        <v>#DIV/0!</v>
      </c>
    </row>
    <row r="809" spans="1:56" x14ac:dyDescent="0.25">
      <c r="A809" s="19" t="s">
        <v>16</v>
      </c>
      <c r="B809" s="8">
        <v>75290</v>
      </c>
      <c r="C809" s="35">
        <f>B809/F805</f>
        <v>59.190251572327043</v>
      </c>
      <c r="D809" s="8">
        <v>1525</v>
      </c>
      <c r="E809" s="68">
        <v>0</v>
      </c>
      <c r="F809" s="70">
        <v>0</v>
      </c>
      <c r="G809" s="35" t="e">
        <f t="shared" si="1742"/>
        <v>#DIV/0!</v>
      </c>
      <c r="H809" s="11" t="e">
        <f t="shared" si="1743"/>
        <v>#DIV/0!</v>
      </c>
      <c r="I809" s="35">
        <v>0</v>
      </c>
      <c r="J809" s="70">
        <v>0</v>
      </c>
      <c r="K809" s="35" t="e">
        <f t="shared" si="1744"/>
        <v>#DIV/0!</v>
      </c>
      <c r="L809" s="6" t="e">
        <f t="shared" si="1745"/>
        <v>#DIV/0!</v>
      </c>
      <c r="M809" s="68">
        <v>0</v>
      </c>
      <c r="N809" s="5">
        <v>0</v>
      </c>
      <c r="O809" s="35" t="e">
        <f t="shared" si="1746"/>
        <v>#DIV/0!</v>
      </c>
      <c r="P809" s="11" t="e">
        <f t="shared" si="1747"/>
        <v>#DIV/0!</v>
      </c>
      <c r="Q809" s="35">
        <v>0</v>
      </c>
      <c r="R809" s="66">
        <v>0</v>
      </c>
      <c r="S809" s="35" t="e">
        <f t="shared" si="1748"/>
        <v>#DIV/0!</v>
      </c>
      <c r="T809" s="6" t="e">
        <f t="shared" si="1749"/>
        <v>#DIV/0!</v>
      </c>
      <c r="U809" s="68">
        <v>14430</v>
      </c>
      <c r="V809" s="66">
        <v>336</v>
      </c>
      <c r="W809" s="35">
        <f t="shared" si="1750"/>
        <v>42.946428571428569</v>
      </c>
      <c r="X809" s="6">
        <f t="shared" si="1751"/>
        <v>0.72556590706411395</v>
      </c>
      <c r="Y809" s="68">
        <v>0</v>
      </c>
      <c r="Z809" s="70">
        <v>0</v>
      </c>
      <c r="AA809" s="35" t="e">
        <f t="shared" si="1752"/>
        <v>#DIV/0!</v>
      </c>
      <c r="AB809" s="11" t="e">
        <f t="shared" si="1753"/>
        <v>#DIV/0!</v>
      </c>
      <c r="AC809" s="35">
        <v>0</v>
      </c>
      <c r="AD809" s="36">
        <v>0</v>
      </c>
      <c r="AE809" s="35" t="e">
        <f t="shared" si="1754"/>
        <v>#DIV/0!</v>
      </c>
      <c r="AF809" s="6" t="e">
        <f t="shared" si="1755"/>
        <v>#DIV/0!</v>
      </c>
      <c r="AG809" s="68">
        <v>0</v>
      </c>
      <c r="AH809" s="66">
        <v>0</v>
      </c>
      <c r="AI809" s="35" t="e">
        <f t="shared" si="1756"/>
        <v>#DIV/0!</v>
      </c>
      <c r="AJ809" s="6" t="e">
        <f t="shared" si="1757"/>
        <v>#DIV/0!</v>
      </c>
      <c r="AK809" s="68">
        <v>0</v>
      </c>
      <c r="AL809" s="66">
        <v>0</v>
      </c>
      <c r="AM809" s="35" t="e">
        <f t="shared" si="1758"/>
        <v>#DIV/0!</v>
      </c>
      <c r="AN809" s="6" t="e">
        <f t="shared" si="1759"/>
        <v>#DIV/0!</v>
      </c>
      <c r="AO809" s="68">
        <v>0</v>
      </c>
      <c r="AP809" s="66">
        <v>0</v>
      </c>
      <c r="AQ809" s="35" t="e">
        <f t="shared" si="1760"/>
        <v>#DIV/0!</v>
      </c>
      <c r="AR809" s="6" t="e">
        <f t="shared" si="1761"/>
        <v>#DIV/0!</v>
      </c>
      <c r="AS809" s="68">
        <v>0</v>
      </c>
      <c r="AT809" s="66">
        <v>0</v>
      </c>
      <c r="AU809" s="35" t="e">
        <f t="shared" si="1762"/>
        <v>#DIV/0!</v>
      </c>
      <c r="AV809" s="6" t="e">
        <f t="shared" si="1763"/>
        <v>#DIV/0!</v>
      </c>
      <c r="AW809" s="68">
        <v>0</v>
      </c>
      <c r="AX809" s="66">
        <v>0</v>
      </c>
      <c r="AY809" s="35" t="e">
        <f t="shared" si="1764"/>
        <v>#DIV/0!</v>
      </c>
      <c r="AZ809" s="6" t="e">
        <f t="shared" si="1765"/>
        <v>#DIV/0!</v>
      </c>
      <c r="BA809" s="68">
        <v>0</v>
      </c>
      <c r="BB809" s="66">
        <v>0</v>
      </c>
      <c r="BC809" s="35" t="e">
        <f t="shared" si="1766"/>
        <v>#DIV/0!</v>
      </c>
      <c r="BD809" s="11" t="e">
        <f t="shared" si="1767"/>
        <v>#DIV/0!</v>
      </c>
    </row>
    <row r="810" spans="1:56" x14ac:dyDescent="0.25">
      <c r="A810" s="19" t="s">
        <v>2</v>
      </c>
      <c r="B810" s="8">
        <v>88030</v>
      </c>
      <c r="C810" s="35">
        <f>B810/F805</f>
        <v>69.20597484276729</v>
      </c>
      <c r="D810" s="8">
        <v>2100</v>
      </c>
      <c r="E810" s="68">
        <v>0</v>
      </c>
      <c r="F810" s="70">
        <v>0</v>
      </c>
      <c r="G810" s="35" t="e">
        <f t="shared" si="1742"/>
        <v>#DIV/0!</v>
      </c>
      <c r="H810" s="11" t="e">
        <f t="shared" si="1743"/>
        <v>#DIV/0!</v>
      </c>
      <c r="I810" s="35">
        <v>0</v>
      </c>
      <c r="J810" s="70">
        <v>0</v>
      </c>
      <c r="K810" s="35" t="e">
        <f t="shared" si="1744"/>
        <v>#DIV/0!</v>
      </c>
      <c r="L810" s="6" t="e">
        <f t="shared" si="1745"/>
        <v>#DIV/0!</v>
      </c>
      <c r="M810" s="68">
        <v>0</v>
      </c>
      <c r="N810" s="5">
        <v>0</v>
      </c>
      <c r="O810" s="35" t="e">
        <f t="shared" si="1746"/>
        <v>#DIV/0!</v>
      </c>
      <c r="P810" s="11" t="e">
        <f t="shared" si="1747"/>
        <v>#DIV/0!</v>
      </c>
      <c r="Q810" s="35">
        <v>0</v>
      </c>
      <c r="R810" s="66">
        <v>0</v>
      </c>
      <c r="S810" s="35" t="e">
        <f t="shared" si="1748"/>
        <v>#DIV/0!</v>
      </c>
      <c r="T810" s="6" t="e">
        <f t="shared" si="1749"/>
        <v>#DIV/0!</v>
      </c>
      <c r="U810" s="68">
        <v>18200</v>
      </c>
      <c r="V810" s="66">
        <v>336</v>
      </c>
      <c r="W810" s="35">
        <f t="shared" si="1750"/>
        <v>54.166666666666664</v>
      </c>
      <c r="X810" s="6">
        <f t="shared" si="1751"/>
        <v>0.78268772009542209</v>
      </c>
      <c r="Y810" s="68">
        <v>0</v>
      </c>
      <c r="Z810" s="70">
        <v>0</v>
      </c>
      <c r="AA810" s="35" t="e">
        <f t="shared" si="1752"/>
        <v>#DIV/0!</v>
      </c>
      <c r="AB810" s="11" t="e">
        <f t="shared" si="1753"/>
        <v>#DIV/0!</v>
      </c>
      <c r="AC810" s="35">
        <v>0</v>
      </c>
      <c r="AD810" s="36">
        <v>0</v>
      </c>
      <c r="AE810" s="35" t="e">
        <f t="shared" si="1754"/>
        <v>#DIV/0!</v>
      </c>
      <c r="AF810" s="6" t="e">
        <f t="shared" si="1755"/>
        <v>#DIV/0!</v>
      </c>
      <c r="AG810" s="68">
        <v>0</v>
      </c>
      <c r="AH810" s="66">
        <v>0</v>
      </c>
      <c r="AI810" s="35" t="e">
        <f t="shared" si="1756"/>
        <v>#DIV/0!</v>
      </c>
      <c r="AJ810" s="6" t="e">
        <f t="shared" si="1757"/>
        <v>#DIV/0!</v>
      </c>
      <c r="AK810" s="68">
        <v>0</v>
      </c>
      <c r="AL810" s="66">
        <v>0</v>
      </c>
      <c r="AM810" s="35" t="e">
        <f t="shared" si="1758"/>
        <v>#DIV/0!</v>
      </c>
      <c r="AN810" s="6" t="e">
        <f t="shared" si="1759"/>
        <v>#DIV/0!</v>
      </c>
      <c r="AO810" s="68">
        <v>0</v>
      </c>
      <c r="AP810" s="66">
        <v>0</v>
      </c>
      <c r="AQ810" s="35" t="e">
        <f t="shared" si="1760"/>
        <v>#DIV/0!</v>
      </c>
      <c r="AR810" s="6" t="e">
        <f t="shared" si="1761"/>
        <v>#DIV/0!</v>
      </c>
      <c r="AS810" s="68">
        <v>0</v>
      </c>
      <c r="AT810" s="66">
        <v>0</v>
      </c>
      <c r="AU810" s="35" t="e">
        <f t="shared" si="1762"/>
        <v>#DIV/0!</v>
      </c>
      <c r="AV810" s="6" t="e">
        <f t="shared" si="1763"/>
        <v>#DIV/0!</v>
      </c>
      <c r="AW810" s="68">
        <v>0</v>
      </c>
      <c r="AX810" s="66">
        <v>0</v>
      </c>
      <c r="AY810" s="35" t="e">
        <f t="shared" si="1764"/>
        <v>#DIV/0!</v>
      </c>
      <c r="AZ810" s="6" t="e">
        <f t="shared" si="1765"/>
        <v>#DIV/0!</v>
      </c>
      <c r="BA810" s="68">
        <v>0</v>
      </c>
      <c r="BB810" s="66">
        <v>0</v>
      </c>
      <c r="BC810" s="35" t="e">
        <f t="shared" si="1766"/>
        <v>#DIV/0!</v>
      </c>
      <c r="BD810" s="11" t="e">
        <f t="shared" si="1767"/>
        <v>#DIV/0!</v>
      </c>
    </row>
    <row r="811" spans="1:56" x14ac:dyDescent="0.25">
      <c r="A811" s="19" t="s">
        <v>3</v>
      </c>
      <c r="B811" s="8">
        <v>106350</v>
      </c>
      <c r="C811" s="35">
        <f>B811/F805</f>
        <v>83.60849056603773</v>
      </c>
      <c r="D811" s="8">
        <v>2700</v>
      </c>
      <c r="E811" s="68">
        <v>0</v>
      </c>
      <c r="F811" s="70">
        <v>0</v>
      </c>
      <c r="G811" s="35" t="e">
        <f t="shared" si="1742"/>
        <v>#DIV/0!</v>
      </c>
      <c r="H811" s="11" t="e">
        <f t="shared" si="1743"/>
        <v>#DIV/0!</v>
      </c>
      <c r="I811" s="35">
        <v>0</v>
      </c>
      <c r="J811" s="70">
        <v>0</v>
      </c>
      <c r="K811" s="35" t="e">
        <f t="shared" si="1744"/>
        <v>#DIV/0!</v>
      </c>
      <c r="L811" s="6" t="e">
        <f t="shared" si="1745"/>
        <v>#DIV/0!</v>
      </c>
      <c r="M811" s="68">
        <v>0</v>
      </c>
      <c r="N811" s="5">
        <v>0</v>
      </c>
      <c r="O811" s="35" t="e">
        <f t="shared" si="1746"/>
        <v>#DIV/0!</v>
      </c>
      <c r="P811" s="11" t="e">
        <f t="shared" si="1747"/>
        <v>#DIV/0!</v>
      </c>
      <c r="Q811" s="35">
        <v>0</v>
      </c>
      <c r="R811" s="66">
        <v>0</v>
      </c>
      <c r="S811" s="35" t="e">
        <f t="shared" si="1748"/>
        <v>#DIV/0!</v>
      </c>
      <c r="T811" s="6" t="e">
        <f t="shared" si="1749"/>
        <v>#DIV/0!</v>
      </c>
      <c r="U811" s="68">
        <v>21870</v>
      </c>
      <c r="V811" s="66">
        <v>336</v>
      </c>
      <c r="W811" s="35">
        <f t="shared" si="1750"/>
        <v>65.089285714285708</v>
      </c>
      <c r="X811" s="6">
        <f t="shared" si="1751"/>
        <v>0.77850090670965144</v>
      </c>
      <c r="Y811" s="68">
        <v>0</v>
      </c>
      <c r="Z811" s="70">
        <v>0</v>
      </c>
      <c r="AA811" s="35" t="e">
        <f t="shared" si="1752"/>
        <v>#DIV/0!</v>
      </c>
      <c r="AB811" s="11" t="e">
        <f t="shared" si="1753"/>
        <v>#DIV/0!</v>
      </c>
      <c r="AC811" s="35">
        <v>0</v>
      </c>
      <c r="AD811" s="36">
        <v>0</v>
      </c>
      <c r="AE811" s="35" t="e">
        <f t="shared" si="1754"/>
        <v>#DIV/0!</v>
      </c>
      <c r="AF811" s="6" t="e">
        <f t="shared" si="1755"/>
        <v>#DIV/0!</v>
      </c>
      <c r="AG811" s="68">
        <v>0</v>
      </c>
      <c r="AH811" s="66">
        <v>0</v>
      </c>
      <c r="AI811" s="35" t="e">
        <f t="shared" si="1756"/>
        <v>#DIV/0!</v>
      </c>
      <c r="AJ811" s="6" t="e">
        <f t="shared" si="1757"/>
        <v>#DIV/0!</v>
      </c>
      <c r="AK811" s="68">
        <v>0</v>
      </c>
      <c r="AL811" s="66">
        <v>0</v>
      </c>
      <c r="AM811" s="35" t="e">
        <f t="shared" si="1758"/>
        <v>#DIV/0!</v>
      </c>
      <c r="AN811" s="6" t="e">
        <f t="shared" si="1759"/>
        <v>#DIV/0!</v>
      </c>
      <c r="AO811" s="68">
        <v>0</v>
      </c>
      <c r="AP811" s="66">
        <v>0</v>
      </c>
      <c r="AQ811" s="35" t="e">
        <f t="shared" si="1760"/>
        <v>#DIV/0!</v>
      </c>
      <c r="AR811" s="6" t="e">
        <f t="shared" si="1761"/>
        <v>#DIV/0!</v>
      </c>
      <c r="AS811" s="68">
        <v>0</v>
      </c>
      <c r="AT811" s="66">
        <v>0</v>
      </c>
      <c r="AU811" s="35" t="e">
        <f t="shared" si="1762"/>
        <v>#DIV/0!</v>
      </c>
      <c r="AV811" s="6" t="e">
        <f t="shared" si="1763"/>
        <v>#DIV/0!</v>
      </c>
      <c r="AW811" s="68">
        <v>0</v>
      </c>
      <c r="AX811" s="66">
        <v>0</v>
      </c>
      <c r="AY811" s="35" t="e">
        <f t="shared" si="1764"/>
        <v>#DIV/0!</v>
      </c>
      <c r="AZ811" s="6" t="e">
        <f t="shared" si="1765"/>
        <v>#DIV/0!</v>
      </c>
      <c r="BA811" s="68">
        <v>0</v>
      </c>
      <c r="BB811" s="66">
        <v>0</v>
      </c>
      <c r="BC811" s="35" t="e">
        <f t="shared" si="1766"/>
        <v>#DIV/0!</v>
      </c>
      <c r="BD811" s="11" t="e">
        <f t="shared" si="1767"/>
        <v>#DIV/0!</v>
      </c>
    </row>
    <row r="812" spans="1:56" x14ac:dyDescent="0.25">
      <c r="A812" s="19" t="s">
        <v>4</v>
      </c>
      <c r="B812" s="8">
        <v>132540</v>
      </c>
      <c r="C812" s="35">
        <f>B812/F805</f>
        <v>104.19811320754717</v>
      </c>
      <c r="D812" s="8">
        <v>5250</v>
      </c>
      <c r="E812" s="68">
        <v>0</v>
      </c>
      <c r="F812" s="70">
        <v>0</v>
      </c>
      <c r="G812" s="35" t="e">
        <f t="shared" si="1742"/>
        <v>#DIV/0!</v>
      </c>
      <c r="H812" s="11" t="e">
        <f t="shared" si="1743"/>
        <v>#DIV/0!</v>
      </c>
      <c r="I812" s="35">
        <v>0</v>
      </c>
      <c r="J812" s="70">
        <v>0</v>
      </c>
      <c r="K812" s="35" t="e">
        <f t="shared" si="1744"/>
        <v>#DIV/0!</v>
      </c>
      <c r="L812" s="6" t="e">
        <f t="shared" si="1745"/>
        <v>#DIV/0!</v>
      </c>
      <c r="M812" s="68">
        <v>0</v>
      </c>
      <c r="N812" s="5">
        <v>0</v>
      </c>
      <c r="O812" s="35" t="e">
        <f t="shared" si="1746"/>
        <v>#DIV/0!</v>
      </c>
      <c r="P812" s="11" t="e">
        <f t="shared" si="1747"/>
        <v>#DIV/0!</v>
      </c>
      <c r="Q812" s="35">
        <v>0</v>
      </c>
      <c r="R812" s="66">
        <v>0</v>
      </c>
      <c r="S812" s="35" t="e">
        <f t="shared" si="1748"/>
        <v>#DIV/0!</v>
      </c>
      <c r="T812" s="6" t="e">
        <f t="shared" si="1749"/>
        <v>#DIV/0!</v>
      </c>
      <c r="U812" s="68">
        <v>26250</v>
      </c>
      <c r="V812" s="66">
        <v>336</v>
      </c>
      <c r="W812" s="35">
        <f t="shared" si="1750"/>
        <v>78.125</v>
      </c>
      <c r="X812" s="6">
        <f t="shared" si="1751"/>
        <v>0.74977365323675871</v>
      </c>
      <c r="Y812" s="68">
        <v>0</v>
      </c>
      <c r="Z812" s="70">
        <v>0</v>
      </c>
      <c r="AA812" s="35" t="e">
        <f t="shared" si="1752"/>
        <v>#DIV/0!</v>
      </c>
      <c r="AB812" s="11" t="e">
        <f t="shared" si="1753"/>
        <v>#DIV/0!</v>
      </c>
      <c r="AC812" s="35">
        <v>0</v>
      </c>
      <c r="AD812" s="36">
        <v>0</v>
      </c>
      <c r="AE812" s="35" t="e">
        <f t="shared" si="1754"/>
        <v>#DIV/0!</v>
      </c>
      <c r="AF812" s="6" t="e">
        <f t="shared" si="1755"/>
        <v>#DIV/0!</v>
      </c>
      <c r="AG812" s="68">
        <v>0</v>
      </c>
      <c r="AH812" s="66">
        <v>0</v>
      </c>
      <c r="AI812" s="35" t="e">
        <f t="shared" si="1756"/>
        <v>#DIV/0!</v>
      </c>
      <c r="AJ812" s="6" t="e">
        <f t="shared" si="1757"/>
        <v>#DIV/0!</v>
      </c>
      <c r="AK812" s="68">
        <v>0</v>
      </c>
      <c r="AL812" s="66">
        <v>0</v>
      </c>
      <c r="AM812" s="35" t="e">
        <f t="shared" si="1758"/>
        <v>#DIV/0!</v>
      </c>
      <c r="AN812" s="6" t="e">
        <f t="shared" si="1759"/>
        <v>#DIV/0!</v>
      </c>
      <c r="AO812" s="68">
        <v>0</v>
      </c>
      <c r="AP812" s="66">
        <v>0</v>
      </c>
      <c r="AQ812" s="35" t="e">
        <f t="shared" si="1760"/>
        <v>#DIV/0!</v>
      </c>
      <c r="AR812" s="6" t="e">
        <f t="shared" si="1761"/>
        <v>#DIV/0!</v>
      </c>
      <c r="AS812" s="68">
        <v>0</v>
      </c>
      <c r="AT812" s="66">
        <v>0</v>
      </c>
      <c r="AU812" s="35" t="e">
        <f t="shared" si="1762"/>
        <v>#DIV/0!</v>
      </c>
      <c r="AV812" s="6" t="e">
        <f t="shared" si="1763"/>
        <v>#DIV/0!</v>
      </c>
      <c r="AW812" s="68">
        <v>0</v>
      </c>
      <c r="AX812" s="66">
        <v>0</v>
      </c>
      <c r="AY812" s="35" t="e">
        <f t="shared" si="1764"/>
        <v>#DIV/0!</v>
      </c>
      <c r="AZ812" s="6" t="e">
        <f t="shared" si="1765"/>
        <v>#DIV/0!</v>
      </c>
      <c r="BA812" s="68">
        <v>0</v>
      </c>
      <c r="BB812" s="66">
        <v>0</v>
      </c>
      <c r="BC812" s="35" t="e">
        <f t="shared" si="1766"/>
        <v>#DIV/0!</v>
      </c>
      <c r="BD812" s="11" t="e">
        <f t="shared" si="1767"/>
        <v>#DIV/0!</v>
      </c>
    </row>
    <row r="813" spans="1:56" x14ac:dyDescent="0.25">
      <c r="A813" s="19" t="s">
        <v>5</v>
      </c>
      <c r="B813" s="8">
        <v>174480</v>
      </c>
      <c r="C813" s="35">
        <f>B813/F805</f>
        <v>137.16981132075472</v>
      </c>
      <c r="D813" s="8">
        <v>7050</v>
      </c>
      <c r="E813" s="68">
        <v>0</v>
      </c>
      <c r="F813" s="70">
        <v>0</v>
      </c>
      <c r="G813" s="35" t="e">
        <f t="shared" si="1742"/>
        <v>#DIV/0!</v>
      </c>
      <c r="H813" s="11" t="e">
        <f t="shared" si="1743"/>
        <v>#DIV/0!</v>
      </c>
      <c r="I813" s="35">
        <v>0</v>
      </c>
      <c r="J813" s="70">
        <v>0</v>
      </c>
      <c r="K813" s="35" t="e">
        <f t="shared" si="1744"/>
        <v>#DIV/0!</v>
      </c>
      <c r="L813" s="6" t="e">
        <f t="shared" si="1745"/>
        <v>#DIV/0!</v>
      </c>
      <c r="M813" s="68">
        <v>0</v>
      </c>
      <c r="N813" s="5">
        <v>0</v>
      </c>
      <c r="O813" s="35" t="e">
        <f t="shared" si="1746"/>
        <v>#DIV/0!</v>
      </c>
      <c r="P813" s="11" t="e">
        <f t="shared" si="1747"/>
        <v>#DIV/0!</v>
      </c>
      <c r="Q813" s="35">
        <v>0</v>
      </c>
      <c r="R813" s="66">
        <v>0</v>
      </c>
      <c r="S813" s="35" t="e">
        <f t="shared" si="1748"/>
        <v>#DIV/0!</v>
      </c>
      <c r="T813" s="6" t="e">
        <f t="shared" si="1749"/>
        <v>#DIV/0!</v>
      </c>
      <c r="U813" s="68">
        <v>34770</v>
      </c>
      <c r="V813" s="66">
        <v>336</v>
      </c>
      <c r="W813" s="35">
        <f t="shared" si="1750"/>
        <v>103.48214285714286</v>
      </c>
      <c r="X813" s="6">
        <f t="shared" si="1751"/>
        <v>0.75440901945372374</v>
      </c>
      <c r="Y813" s="68">
        <v>0</v>
      </c>
      <c r="Z813" s="70">
        <v>0</v>
      </c>
      <c r="AA813" s="35" t="e">
        <f t="shared" si="1752"/>
        <v>#DIV/0!</v>
      </c>
      <c r="AB813" s="11" t="e">
        <f t="shared" si="1753"/>
        <v>#DIV/0!</v>
      </c>
      <c r="AC813" s="35">
        <v>0</v>
      </c>
      <c r="AD813" s="36">
        <v>0</v>
      </c>
      <c r="AE813" s="35" t="e">
        <f t="shared" si="1754"/>
        <v>#DIV/0!</v>
      </c>
      <c r="AF813" s="6" t="e">
        <f t="shared" si="1755"/>
        <v>#DIV/0!</v>
      </c>
      <c r="AG813" s="68">
        <v>0</v>
      </c>
      <c r="AH813" s="66">
        <v>0</v>
      </c>
      <c r="AI813" s="35" t="e">
        <f t="shared" si="1756"/>
        <v>#DIV/0!</v>
      </c>
      <c r="AJ813" s="6" t="e">
        <f t="shared" si="1757"/>
        <v>#DIV/0!</v>
      </c>
      <c r="AK813" s="68">
        <v>0</v>
      </c>
      <c r="AL813" s="66">
        <v>0</v>
      </c>
      <c r="AM813" s="35" t="e">
        <f t="shared" si="1758"/>
        <v>#DIV/0!</v>
      </c>
      <c r="AN813" s="6" t="e">
        <f t="shared" si="1759"/>
        <v>#DIV/0!</v>
      </c>
      <c r="AO813" s="68">
        <v>0</v>
      </c>
      <c r="AP813" s="66">
        <v>0</v>
      </c>
      <c r="AQ813" s="35" t="e">
        <f t="shared" si="1760"/>
        <v>#DIV/0!</v>
      </c>
      <c r="AR813" s="6" t="e">
        <f t="shared" si="1761"/>
        <v>#DIV/0!</v>
      </c>
      <c r="AS813" s="68">
        <v>0</v>
      </c>
      <c r="AT813" s="66">
        <v>0</v>
      </c>
      <c r="AU813" s="35" t="e">
        <f t="shared" si="1762"/>
        <v>#DIV/0!</v>
      </c>
      <c r="AV813" s="6" t="e">
        <f t="shared" si="1763"/>
        <v>#DIV/0!</v>
      </c>
      <c r="AW813" s="68">
        <v>0</v>
      </c>
      <c r="AX813" s="66">
        <v>0</v>
      </c>
      <c r="AY813" s="35" t="e">
        <f t="shared" si="1764"/>
        <v>#DIV/0!</v>
      </c>
      <c r="AZ813" s="6" t="e">
        <f t="shared" si="1765"/>
        <v>#DIV/0!</v>
      </c>
      <c r="BA813" s="68">
        <v>0</v>
      </c>
      <c r="BB813" s="66">
        <v>0</v>
      </c>
      <c r="BC813" s="35" t="e">
        <f t="shared" si="1766"/>
        <v>#DIV/0!</v>
      </c>
      <c r="BD813" s="11" t="e">
        <f t="shared" si="1767"/>
        <v>#DIV/0!</v>
      </c>
    </row>
    <row r="814" spans="1:56" x14ac:dyDescent="0.25">
      <c r="A814" s="19" t="s">
        <v>6</v>
      </c>
      <c r="B814" s="8">
        <v>208390</v>
      </c>
      <c r="C814" s="35">
        <f>B814/F805</f>
        <v>163.82861635220127</v>
      </c>
      <c r="D814" s="8">
        <v>10950</v>
      </c>
      <c r="E814" s="68">
        <v>0</v>
      </c>
      <c r="F814" s="70">
        <v>0</v>
      </c>
      <c r="G814" s="35" t="e">
        <f t="shared" si="1742"/>
        <v>#DIV/0!</v>
      </c>
      <c r="H814" s="11" t="e">
        <f t="shared" si="1743"/>
        <v>#DIV/0!</v>
      </c>
      <c r="I814" s="35">
        <v>0</v>
      </c>
      <c r="J814" s="70">
        <v>0</v>
      </c>
      <c r="K814" s="35" t="e">
        <f t="shared" si="1744"/>
        <v>#DIV/0!</v>
      </c>
      <c r="L814" s="6" t="e">
        <f t="shared" si="1745"/>
        <v>#DIV/0!</v>
      </c>
      <c r="M814" s="68">
        <v>0</v>
      </c>
      <c r="N814" s="5">
        <v>0</v>
      </c>
      <c r="O814" s="35" t="e">
        <f t="shared" si="1746"/>
        <v>#DIV/0!</v>
      </c>
      <c r="P814" s="11" t="e">
        <f t="shared" si="1747"/>
        <v>#DIV/0!</v>
      </c>
      <c r="Q814" s="35">
        <v>0</v>
      </c>
      <c r="R814" s="66">
        <v>0</v>
      </c>
      <c r="S814" s="35" t="e">
        <f t="shared" si="1748"/>
        <v>#DIV/0!</v>
      </c>
      <c r="T814" s="6" t="e">
        <f t="shared" si="1749"/>
        <v>#DIV/0!</v>
      </c>
      <c r="U814" s="68">
        <v>41640</v>
      </c>
      <c r="V814" s="66">
        <v>336</v>
      </c>
      <c r="W814" s="35">
        <f t="shared" si="1750"/>
        <v>123.92857142857143</v>
      </c>
      <c r="X814" s="6">
        <f t="shared" si="1751"/>
        <v>0.75645253062595541</v>
      </c>
      <c r="Y814" s="68">
        <v>0</v>
      </c>
      <c r="Z814" s="70">
        <v>0</v>
      </c>
      <c r="AA814" s="35" t="e">
        <f t="shared" si="1752"/>
        <v>#DIV/0!</v>
      </c>
      <c r="AB814" s="11" t="e">
        <f t="shared" si="1753"/>
        <v>#DIV/0!</v>
      </c>
      <c r="AC814" s="35">
        <v>0</v>
      </c>
      <c r="AD814" s="36">
        <v>0</v>
      </c>
      <c r="AE814" s="35" t="e">
        <f t="shared" si="1754"/>
        <v>#DIV/0!</v>
      </c>
      <c r="AF814" s="6" t="e">
        <f t="shared" si="1755"/>
        <v>#DIV/0!</v>
      </c>
      <c r="AG814" s="68">
        <v>0</v>
      </c>
      <c r="AH814" s="66">
        <v>0</v>
      </c>
      <c r="AI814" s="35" t="e">
        <f t="shared" si="1756"/>
        <v>#DIV/0!</v>
      </c>
      <c r="AJ814" s="6" t="e">
        <f t="shared" si="1757"/>
        <v>#DIV/0!</v>
      </c>
      <c r="AK814" s="68">
        <v>0</v>
      </c>
      <c r="AL814" s="66">
        <v>0</v>
      </c>
      <c r="AM814" s="35" t="e">
        <f t="shared" si="1758"/>
        <v>#DIV/0!</v>
      </c>
      <c r="AN814" s="6" t="e">
        <f t="shared" si="1759"/>
        <v>#DIV/0!</v>
      </c>
      <c r="AO814" s="68">
        <v>0</v>
      </c>
      <c r="AP814" s="66">
        <v>0</v>
      </c>
      <c r="AQ814" s="35" t="e">
        <f t="shared" si="1760"/>
        <v>#DIV/0!</v>
      </c>
      <c r="AR814" s="6" t="e">
        <f t="shared" si="1761"/>
        <v>#DIV/0!</v>
      </c>
      <c r="AS814" s="68">
        <v>0</v>
      </c>
      <c r="AT814" s="66">
        <v>0</v>
      </c>
      <c r="AU814" s="35" t="e">
        <f t="shared" si="1762"/>
        <v>#DIV/0!</v>
      </c>
      <c r="AV814" s="6" t="e">
        <f t="shared" si="1763"/>
        <v>#DIV/0!</v>
      </c>
      <c r="AW814" s="68">
        <v>0</v>
      </c>
      <c r="AX814" s="66">
        <v>0</v>
      </c>
      <c r="AY814" s="35" t="e">
        <f t="shared" si="1764"/>
        <v>#DIV/0!</v>
      </c>
      <c r="AZ814" s="6" t="e">
        <f t="shared" si="1765"/>
        <v>#DIV/0!</v>
      </c>
      <c r="BA814" s="68">
        <v>0</v>
      </c>
      <c r="BB814" s="66">
        <v>0</v>
      </c>
      <c r="BC814" s="35" t="e">
        <f t="shared" si="1766"/>
        <v>#DIV/0!</v>
      </c>
      <c r="BD814" s="11" t="e">
        <f t="shared" si="1767"/>
        <v>#DIV/0!</v>
      </c>
    </row>
    <row r="815" spans="1:56" ht="15.75" thickBot="1" x14ac:dyDescent="0.3">
      <c r="A815" s="21"/>
      <c r="B815" s="22"/>
      <c r="C815" s="23">
        <f>AVERAGE(Table11061[MA $/Sq Ft])</f>
        <v>95.358265947888597</v>
      </c>
      <c r="D815" s="22">
        <f>AVERAGE(Table11061[Basic Allowance])</f>
        <v>4442.8571428571431</v>
      </c>
      <c r="E815" s="16"/>
      <c r="F815" s="22"/>
      <c r="G815" s="15"/>
      <c r="H815" s="24" t="e">
        <f>AVERAGE(Table11061[Bsmt % Base])</f>
        <v>#DIV/0!</v>
      </c>
      <c r="I815" s="15"/>
      <c r="J815" s="15"/>
      <c r="K815" s="15"/>
      <c r="L815" s="25" t="e">
        <f>AVERAGE(Table11061[[#Headers],[#Data],[UnfBsmt % Base]])</f>
        <v>#DIV/0!</v>
      </c>
      <c r="M815" s="44"/>
      <c r="N815" s="15"/>
      <c r="O815" s="23" t="e">
        <f>AVERAGE(Table11061[LowerVal/SqFt])</f>
        <v>#DIV/0!</v>
      </c>
      <c r="P815" s="24" t="e">
        <f>AVERAGE(Table11061[Lower % Base])</f>
        <v>#DIV/0!</v>
      </c>
      <c r="Q815" s="13"/>
      <c r="R815" s="13"/>
      <c r="S815" s="13"/>
      <c r="T815" s="25" t="e">
        <f>AVERAGE(Table11061[Unf Lower % Base])</f>
        <v>#DIV/0!</v>
      </c>
      <c r="U815" s="12"/>
      <c r="V815" s="13"/>
      <c r="W815" s="13"/>
      <c r="X815" s="25">
        <f>AVERAGE(Table11061[1/2 Story % Base])</f>
        <v>0.7418337957708816</v>
      </c>
      <c r="Y815" s="12"/>
      <c r="Z815" s="13"/>
      <c r="AA815" s="13"/>
      <c r="AB815" s="24" t="e">
        <f>AVERAGE(Table11061[2nd Story % Base])</f>
        <v>#DIV/0!</v>
      </c>
      <c r="AC815" s="13"/>
      <c r="AD815" s="13"/>
      <c r="AE815" s="23" t="e">
        <f>AVERAGE(Table11061[AttGarVal/SqFt])</f>
        <v>#DIV/0!</v>
      </c>
      <c r="AF815" s="25" t="e">
        <f>AVERAGE(Table11061[Att Gar % Base])</f>
        <v>#DIV/0!</v>
      </c>
      <c r="AG815" s="12"/>
      <c r="AH815" s="13"/>
      <c r="AI815" s="13"/>
      <c r="AJ815" s="25" t="e">
        <f>AVERAGE(Table11061[Porch % Base])</f>
        <v>#DIV/0!</v>
      </c>
      <c r="AK815" s="12"/>
      <c r="AL815" s="13"/>
      <c r="AM815" s="13"/>
      <c r="AN815" s="25" t="e">
        <f>AVERAGE(Table11061[Cov Porch % Base])</f>
        <v>#DIV/0!</v>
      </c>
      <c r="AO815" s="12"/>
      <c r="AP815" s="13"/>
      <c r="AQ815" s="13"/>
      <c r="AR815" s="25" t="e">
        <f>AVERAGE(Table11061[Deck % Base])</f>
        <v>#DIV/0!</v>
      </c>
      <c r="AS815" s="12"/>
      <c r="AT815" s="13"/>
      <c r="AU815" s="23" t="e">
        <f>AVERAGE(Table11061[CovDeckVal/SqFt])</f>
        <v>#DIV/0!</v>
      </c>
      <c r="AV815" s="25" t="e">
        <f>AVERAGE(Table11061[CovDeck % Base])</f>
        <v>#DIV/0!</v>
      </c>
      <c r="AW815" s="12"/>
      <c r="AX815" s="13"/>
      <c r="AY815" s="13"/>
      <c r="AZ815" s="25" t="e">
        <f>AVERAGE(Table11061[CarP % Base])</f>
        <v>#DIV/0!</v>
      </c>
      <c r="BA815" s="12"/>
      <c r="BB815" s="13"/>
      <c r="BC815" s="13"/>
      <c r="BD815" s="24" t="e">
        <f>AVERAGE(Table11061[EFP % Base])</f>
        <v>#DIV/0!</v>
      </c>
    </row>
    <row r="817" spans="1:56" ht="15.75" thickBot="1" x14ac:dyDescent="0.3">
      <c r="A817" s="84"/>
      <c r="B817" s="74" t="s">
        <v>79</v>
      </c>
      <c r="C817" s="86" t="s">
        <v>167</v>
      </c>
      <c r="D817" s="74"/>
      <c r="E817" s="74" t="s">
        <v>33</v>
      </c>
      <c r="F817" s="75">
        <v>1377</v>
      </c>
      <c r="G817" s="74"/>
      <c r="H817" s="74" t="s">
        <v>197</v>
      </c>
      <c r="I817" s="74"/>
      <c r="J817" s="74" t="s">
        <v>83</v>
      </c>
      <c r="K817" s="75">
        <v>1948</v>
      </c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6"/>
    </row>
    <row r="818" spans="1:56" x14ac:dyDescent="0.25">
      <c r="A818" s="112"/>
      <c r="B818" s="113"/>
      <c r="C818" s="113"/>
      <c r="D818" s="114"/>
      <c r="E818" s="115" t="s">
        <v>27</v>
      </c>
      <c r="F818" s="116"/>
      <c r="G818" s="116"/>
      <c r="H818" s="117"/>
      <c r="I818" s="118" t="s">
        <v>28</v>
      </c>
      <c r="J818" s="119"/>
      <c r="K818" s="119"/>
      <c r="L818" s="120"/>
      <c r="M818" s="121" t="s">
        <v>7</v>
      </c>
      <c r="N818" s="122"/>
      <c r="O818" s="122"/>
      <c r="P818" s="122"/>
      <c r="Q818" s="124" t="s">
        <v>29</v>
      </c>
      <c r="R818" s="125"/>
      <c r="S818" s="125"/>
      <c r="T818" s="126"/>
      <c r="U818" s="128" t="s">
        <v>8</v>
      </c>
      <c r="V818" s="128"/>
      <c r="W818" s="128"/>
      <c r="X818" s="129"/>
      <c r="Y818" s="130" t="s">
        <v>0</v>
      </c>
      <c r="Z818" s="131"/>
      <c r="AA818" s="131"/>
      <c r="AB818" s="132"/>
      <c r="AC818" s="133" t="s">
        <v>34</v>
      </c>
      <c r="AD818" s="134"/>
      <c r="AE818" s="134"/>
      <c r="AF818" s="135"/>
      <c r="AG818" s="115" t="s">
        <v>9</v>
      </c>
      <c r="AH818" s="116"/>
      <c r="AI818" s="116"/>
      <c r="AJ818" s="117"/>
      <c r="AK818" s="136" t="s">
        <v>35</v>
      </c>
      <c r="AL818" s="137"/>
      <c r="AM818" s="137"/>
      <c r="AN818" s="138"/>
      <c r="AO818" s="139" t="s">
        <v>10</v>
      </c>
      <c r="AP818" s="140"/>
      <c r="AQ818" s="140"/>
      <c r="AR818" s="141"/>
      <c r="AS818" s="124" t="s">
        <v>36</v>
      </c>
      <c r="AT818" s="125"/>
      <c r="AU818" s="125"/>
      <c r="AV818" s="126"/>
      <c r="AW818" s="142" t="s">
        <v>11</v>
      </c>
      <c r="AX818" s="143"/>
      <c r="AY818" s="143"/>
      <c r="AZ818" s="144"/>
      <c r="BA818" s="148" t="s">
        <v>17</v>
      </c>
      <c r="BB818" s="149"/>
      <c r="BC818" s="149"/>
      <c r="BD818" s="150"/>
    </row>
    <row r="819" spans="1:56" s="1" customFormat="1" ht="15.75" thickBot="1" x14ac:dyDescent="0.3">
      <c r="A819" s="41" t="s">
        <v>13</v>
      </c>
      <c r="B819" s="42" t="s">
        <v>15</v>
      </c>
      <c r="C819" s="42" t="s">
        <v>32</v>
      </c>
      <c r="D819" s="43" t="s">
        <v>18</v>
      </c>
      <c r="E819" s="30" t="s">
        <v>30</v>
      </c>
      <c r="F819" s="31" t="s">
        <v>61</v>
      </c>
      <c r="G819" s="31" t="s">
        <v>38</v>
      </c>
      <c r="H819" s="32" t="s">
        <v>62</v>
      </c>
      <c r="I819" s="37" t="s">
        <v>31</v>
      </c>
      <c r="J819" s="38" t="s">
        <v>39</v>
      </c>
      <c r="K819" s="38" t="s">
        <v>40</v>
      </c>
      <c r="L819" s="39" t="s">
        <v>63</v>
      </c>
      <c r="M819" s="40" t="s">
        <v>19</v>
      </c>
      <c r="N819" s="7" t="s">
        <v>41</v>
      </c>
      <c r="O819" s="7" t="s">
        <v>37</v>
      </c>
      <c r="P819" s="7" t="s">
        <v>64</v>
      </c>
      <c r="Q819" s="27" t="s">
        <v>20</v>
      </c>
      <c r="R819" s="28" t="s">
        <v>60</v>
      </c>
      <c r="S819" s="28" t="s">
        <v>59</v>
      </c>
      <c r="T819" s="29" t="s">
        <v>65</v>
      </c>
      <c r="U819" s="48" t="s">
        <v>21</v>
      </c>
      <c r="V819" s="48" t="s">
        <v>42</v>
      </c>
      <c r="W819" s="48" t="s">
        <v>43</v>
      </c>
      <c r="X819" s="49" t="s">
        <v>66</v>
      </c>
      <c r="Y819" s="50" t="s">
        <v>22</v>
      </c>
      <c r="Z819" s="51" t="s">
        <v>44</v>
      </c>
      <c r="AA819" s="51" t="s">
        <v>45</v>
      </c>
      <c r="AB819" s="52" t="s">
        <v>67</v>
      </c>
      <c r="AC819" s="45" t="s">
        <v>23</v>
      </c>
      <c r="AD819" s="46" t="s">
        <v>46</v>
      </c>
      <c r="AE819" s="46" t="s">
        <v>47</v>
      </c>
      <c r="AF819" s="47" t="s">
        <v>68</v>
      </c>
      <c r="AG819" s="30" t="s">
        <v>24</v>
      </c>
      <c r="AH819" s="31" t="s">
        <v>48</v>
      </c>
      <c r="AI819" s="31" t="s">
        <v>49</v>
      </c>
      <c r="AJ819" s="32" t="s">
        <v>69</v>
      </c>
      <c r="AK819" s="53" t="s">
        <v>25</v>
      </c>
      <c r="AL819" s="54" t="s">
        <v>50</v>
      </c>
      <c r="AM819" s="54" t="s">
        <v>51</v>
      </c>
      <c r="AN819" s="55" t="s">
        <v>70</v>
      </c>
      <c r="AO819" s="56" t="s">
        <v>26</v>
      </c>
      <c r="AP819" s="57" t="s">
        <v>52</v>
      </c>
      <c r="AQ819" s="57" t="s">
        <v>53</v>
      </c>
      <c r="AR819" s="58" t="s">
        <v>71</v>
      </c>
      <c r="AS819" s="59" t="s">
        <v>55</v>
      </c>
      <c r="AT819" s="60" t="s">
        <v>54</v>
      </c>
      <c r="AU819" s="60" t="s">
        <v>56</v>
      </c>
      <c r="AV819" s="61" t="s">
        <v>76</v>
      </c>
      <c r="AW819" s="62" t="s">
        <v>72</v>
      </c>
      <c r="AX819" s="63" t="s">
        <v>73</v>
      </c>
      <c r="AY819" s="63" t="s">
        <v>74</v>
      </c>
      <c r="AZ819" s="64" t="s">
        <v>75</v>
      </c>
      <c r="BA819" s="71" t="s">
        <v>77</v>
      </c>
      <c r="BB819" s="72" t="s">
        <v>57</v>
      </c>
      <c r="BC819" s="72" t="s">
        <v>58</v>
      </c>
      <c r="BD819" s="73" t="s">
        <v>78</v>
      </c>
    </row>
    <row r="820" spans="1:56" x14ac:dyDescent="0.25">
      <c r="A820" s="17" t="s">
        <v>1</v>
      </c>
      <c r="B820" s="14">
        <v>68400</v>
      </c>
      <c r="C820" s="34">
        <f>B820/F817</f>
        <v>49.673202614379086</v>
      </c>
      <c r="D820" s="14">
        <v>1525</v>
      </c>
      <c r="E820" s="67">
        <v>0</v>
      </c>
      <c r="F820" s="69">
        <v>0</v>
      </c>
      <c r="G820" s="34" t="e">
        <f t="shared" ref="G820:G826" si="1768">E820/F820</f>
        <v>#DIV/0!</v>
      </c>
      <c r="H820" s="10" t="e">
        <f t="shared" ref="H820:H826" si="1769">G820/C820</f>
        <v>#DIV/0!</v>
      </c>
      <c r="I820" s="34">
        <v>0</v>
      </c>
      <c r="J820" s="69">
        <v>0</v>
      </c>
      <c r="K820" s="34" t="e">
        <f t="shared" ref="K820:K826" si="1770">I820/J820</f>
        <v>#DIV/0!</v>
      </c>
      <c r="L820" s="9" t="e">
        <f t="shared" ref="L820:L826" si="1771">K820/C820</f>
        <v>#DIV/0!</v>
      </c>
      <c r="M820" s="67">
        <v>0</v>
      </c>
      <c r="N820" s="26">
        <v>0</v>
      </c>
      <c r="O820" s="34" t="e">
        <f t="shared" ref="O820:O826" si="1772">M820/N820</f>
        <v>#DIV/0!</v>
      </c>
      <c r="P820" s="10" t="e">
        <f t="shared" ref="P820:P826" si="1773">O820/C820</f>
        <v>#DIV/0!</v>
      </c>
      <c r="Q820" s="35">
        <v>0</v>
      </c>
      <c r="R820" s="66">
        <v>0</v>
      </c>
      <c r="S820" s="35" t="e">
        <f t="shared" ref="S820:S826" si="1774">Q820/R820</f>
        <v>#DIV/0!</v>
      </c>
      <c r="T820" s="6" t="e">
        <f t="shared" ref="T820:T826" si="1775">S820/C820</f>
        <v>#DIV/0!</v>
      </c>
      <c r="U820" s="67">
        <v>20150</v>
      </c>
      <c r="V820" s="65">
        <v>661</v>
      </c>
      <c r="W820" s="34">
        <f t="shared" ref="W820:W826" si="1776">U820/V820</f>
        <v>30.484114977307112</v>
      </c>
      <c r="X820" s="9">
        <f t="shared" ref="X820:X826" si="1777">W820/C820</f>
        <v>0.61369336730631419</v>
      </c>
      <c r="Y820" s="67">
        <v>0</v>
      </c>
      <c r="Z820" s="69">
        <v>0</v>
      </c>
      <c r="AA820" s="34" t="e">
        <f t="shared" ref="AA820:AA826" si="1778">Y820/Z820</f>
        <v>#DIV/0!</v>
      </c>
      <c r="AB820" s="10" t="e">
        <f t="shared" ref="AB820:AB826" si="1779">AA820/C820</f>
        <v>#DIV/0!</v>
      </c>
      <c r="AC820" s="34">
        <v>0</v>
      </c>
      <c r="AD820" s="33">
        <v>0</v>
      </c>
      <c r="AE820" s="34" t="e">
        <f t="shared" ref="AE820:AE826" si="1780">AC820/AD820</f>
        <v>#DIV/0!</v>
      </c>
      <c r="AF820" s="9" t="e">
        <f t="shared" ref="AF820:AF826" si="1781">AE820/C820</f>
        <v>#DIV/0!</v>
      </c>
      <c r="AG820" s="67">
        <v>0</v>
      </c>
      <c r="AH820" s="65">
        <v>0</v>
      </c>
      <c r="AI820" s="34" t="e">
        <f t="shared" ref="AI820:AI826" si="1782">AG820/AH820</f>
        <v>#DIV/0!</v>
      </c>
      <c r="AJ820" s="9" t="e">
        <f t="shared" ref="AJ820:AJ826" si="1783">AI820/C820</f>
        <v>#DIV/0!</v>
      </c>
      <c r="AK820" s="67">
        <v>0</v>
      </c>
      <c r="AL820" s="65">
        <v>0</v>
      </c>
      <c r="AM820" s="34" t="e">
        <f t="shared" ref="AM820:AM826" si="1784">AK820/AL820</f>
        <v>#DIV/0!</v>
      </c>
      <c r="AN820" s="9" t="e">
        <f t="shared" ref="AN820:AN826" si="1785">AM820/C820</f>
        <v>#DIV/0!</v>
      </c>
      <c r="AO820" s="67">
        <v>0</v>
      </c>
      <c r="AP820" s="65">
        <v>0</v>
      </c>
      <c r="AQ820" s="34" t="e">
        <f t="shared" ref="AQ820:AQ826" si="1786">AO820/AP820</f>
        <v>#DIV/0!</v>
      </c>
      <c r="AR820" s="9" t="e">
        <f t="shared" ref="AR820:AR826" si="1787">AQ820/C820</f>
        <v>#DIV/0!</v>
      </c>
      <c r="AS820" s="67">
        <v>0</v>
      </c>
      <c r="AT820" s="65">
        <v>0</v>
      </c>
      <c r="AU820" s="34" t="e">
        <f t="shared" ref="AU820:AU826" si="1788">AS820/AT820</f>
        <v>#DIV/0!</v>
      </c>
      <c r="AV820" s="9" t="e">
        <f t="shared" ref="AV820:AV826" si="1789">AU820/C820</f>
        <v>#DIV/0!</v>
      </c>
      <c r="AW820" s="67">
        <v>0</v>
      </c>
      <c r="AX820" s="65">
        <v>0</v>
      </c>
      <c r="AY820" s="34" t="e">
        <f t="shared" ref="AY820:AY826" si="1790">AW820/AX820</f>
        <v>#DIV/0!</v>
      </c>
      <c r="AZ820" s="9" t="e">
        <f t="shared" ref="AZ820:AZ826" si="1791">AY820/C820</f>
        <v>#DIV/0!</v>
      </c>
      <c r="BA820" s="67">
        <v>0</v>
      </c>
      <c r="BB820" s="65">
        <v>0</v>
      </c>
      <c r="BC820" s="34" t="e">
        <f t="shared" ref="BC820:BC826" si="1792">BA820/BB820</f>
        <v>#DIV/0!</v>
      </c>
      <c r="BD820" s="10" t="e">
        <f t="shared" ref="BD820:BD826" si="1793">BC820/C820</f>
        <v>#DIV/0!</v>
      </c>
    </row>
    <row r="821" spans="1:56" x14ac:dyDescent="0.25">
      <c r="A821" s="19" t="s">
        <v>16</v>
      </c>
      <c r="B821" s="8">
        <v>80470</v>
      </c>
      <c r="C821" s="35">
        <f>B821/F817</f>
        <v>58.438634713144516</v>
      </c>
      <c r="D821" s="8">
        <v>1525</v>
      </c>
      <c r="E821" s="68">
        <v>0</v>
      </c>
      <c r="F821" s="70">
        <v>0</v>
      </c>
      <c r="G821" s="35" t="e">
        <f t="shared" si="1768"/>
        <v>#DIV/0!</v>
      </c>
      <c r="H821" s="11" t="e">
        <f t="shared" si="1769"/>
        <v>#DIV/0!</v>
      </c>
      <c r="I821" s="35">
        <v>0</v>
      </c>
      <c r="J821" s="70">
        <v>0</v>
      </c>
      <c r="K821" s="35" t="e">
        <f t="shared" si="1770"/>
        <v>#DIV/0!</v>
      </c>
      <c r="L821" s="6" t="e">
        <f t="shared" si="1771"/>
        <v>#DIV/0!</v>
      </c>
      <c r="M821" s="68">
        <v>0</v>
      </c>
      <c r="N821" s="5">
        <v>0</v>
      </c>
      <c r="O821" s="35" t="e">
        <f t="shared" si="1772"/>
        <v>#DIV/0!</v>
      </c>
      <c r="P821" s="11" t="e">
        <f t="shared" si="1773"/>
        <v>#DIV/0!</v>
      </c>
      <c r="Q821" s="35">
        <v>0</v>
      </c>
      <c r="R821" s="66">
        <v>0</v>
      </c>
      <c r="S821" s="35" t="e">
        <f t="shared" si="1774"/>
        <v>#DIV/0!</v>
      </c>
      <c r="T821" s="6" t="e">
        <f t="shared" si="1775"/>
        <v>#DIV/0!</v>
      </c>
      <c r="U821" s="68">
        <v>26140</v>
      </c>
      <c r="V821" s="66">
        <v>661</v>
      </c>
      <c r="W821" s="35">
        <f t="shared" si="1776"/>
        <v>39.546142208774583</v>
      </c>
      <c r="X821" s="6">
        <f t="shared" si="1777"/>
        <v>0.67671228807608552</v>
      </c>
      <c r="Y821" s="68">
        <v>0</v>
      </c>
      <c r="Z821" s="70">
        <v>0</v>
      </c>
      <c r="AA821" s="35" t="e">
        <f t="shared" si="1778"/>
        <v>#DIV/0!</v>
      </c>
      <c r="AB821" s="11" t="e">
        <f t="shared" si="1779"/>
        <v>#DIV/0!</v>
      </c>
      <c r="AC821" s="35">
        <v>0</v>
      </c>
      <c r="AD821" s="36">
        <v>0</v>
      </c>
      <c r="AE821" s="35" t="e">
        <f t="shared" si="1780"/>
        <v>#DIV/0!</v>
      </c>
      <c r="AF821" s="6" t="e">
        <f t="shared" si="1781"/>
        <v>#DIV/0!</v>
      </c>
      <c r="AG821" s="68">
        <v>0</v>
      </c>
      <c r="AH821" s="66">
        <v>0</v>
      </c>
      <c r="AI821" s="35" t="e">
        <f t="shared" si="1782"/>
        <v>#DIV/0!</v>
      </c>
      <c r="AJ821" s="6" t="e">
        <f t="shared" si="1783"/>
        <v>#DIV/0!</v>
      </c>
      <c r="AK821" s="68">
        <v>0</v>
      </c>
      <c r="AL821" s="66">
        <v>0</v>
      </c>
      <c r="AM821" s="35" t="e">
        <f t="shared" si="1784"/>
        <v>#DIV/0!</v>
      </c>
      <c r="AN821" s="6" t="e">
        <f t="shared" si="1785"/>
        <v>#DIV/0!</v>
      </c>
      <c r="AO821" s="68">
        <v>0</v>
      </c>
      <c r="AP821" s="66">
        <v>0</v>
      </c>
      <c r="AQ821" s="35" t="e">
        <f t="shared" si="1786"/>
        <v>#DIV/0!</v>
      </c>
      <c r="AR821" s="6" t="e">
        <f t="shared" si="1787"/>
        <v>#DIV/0!</v>
      </c>
      <c r="AS821" s="68">
        <v>0</v>
      </c>
      <c r="AT821" s="66">
        <v>0</v>
      </c>
      <c r="AU821" s="35" t="e">
        <f t="shared" si="1788"/>
        <v>#DIV/0!</v>
      </c>
      <c r="AV821" s="6" t="e">
        <f t="shared" si="1789"/>
        <v>#DIV/0!</v>
      </c>
      <c r="AW821" s="68">
        <v>0</v>
      </c>
      <c r="AX821" s="66">
        <v>0</v>
      </c>
      <c r="AY821" s="35" t="e">
        <f t="shared" si="1790"/>
        <v>#DIV/0!</v>
      </c>
      <c r="AZ821" s="6" t="e">
        <f t="shared" si="1791"/>
        <v>#DIV/0!</v>
      </c>
      <c r="BA821" s="68">
        <v>0</v>
      </c>
      <c r="BB821" s="66">
        <v>0</v>
      </c>
      <c r="BC821" s="35" t="e">
        <f t="shared" si="1792"/>
        <v>#DIV/0!</v>
      </c>
      <c r="BD821" s="11" t="e">
        <f t="shared" si="1793"/>
        <v>#DIV/0!</v>
      </c>
    </row>
    <row r="822" spans="1:56" x14ac:dyDescent="0.25">
      <c r="A822" s="19" t="s">
        <v>2</v>
      </c>
      <c r="B822" s="8">
        <v>94070</v>
      </c>
      <c r="C822" s="35">
        <f>B822/F817</f>
        <v>68.315177923021054</v>
      </c>
      <c r="D822" s="8">
        <v>2100</v>
      </c>
      <c r="E822" s="68">
        <v>0</v>
      </c>
      <c r="F822" s="70">
        <v>0</v>
      </c>
      <c r="G822" s="35" t="e">
        <f t="shared" si="1768"/>
        <v>#DIV/0!</v>
      </c>
      <c r="H822" s="11" t="e">
        <f t="shared" si="1769"/>
        <v>#DIV/0!</v>
      </c>
      <c r="I822" s="35">
        <v>0</v>
      </c>
      <c r="J822" s="70">
        <v>0</v>
      </c>
      <c r="K822" s="35" t="e">
        <f t="shared" si="1770"/>
        <v>#DIV/0!</v>
      </c>
      <c r="L822" s="6" t="e">
        <f t="shared" si="1771"/>
        <v>#DIV/0!</v>
      </c>
      <c r="M822" s="68">
        <v>0</v>
      </c>
      <c r="N822" s="5">
        <v>0</v>
      </c>
      <c r="O822" s="35" t="e">
        <f t="shared" si="1772"/>
        <v>#DIV/0!</v>
      </c>
      <c r="P822" s="11" t="e">
        <f t="shared" si="1773"/>
        <v>#DIV/0!</v>
      </c>
      <c r="Q822" s="35">
        <v>0</v>
      </c>
      <c r="R822" s="66">
        <v>0</v>
      </c>
      <c r="S822" s="35" t="e">
        <f t="shared" si="1774"/>
        <v>#DIV/0!</v>
      </c>
      <c r="T822" s="6" t="e">
        <f t="shared" si="1775"/>
        <v>#DIV/0!</v>
      </c>
      <c r="U822" s="68">
        <v>32720</v>
      </c>
      <c r="V822" s="66">
        <v>661</v>
      </c>
      <c r="W822" s="35">
        <f t="shared" si="1776"/>
        <v>49.500756429652043</v>
      </c>
      <c r="X822" s="6">
        <f t="shared" si="1777"/>
        <v>0.72459383016509904</v>
      </c>
      <c r="Y822" s="68">
        <v>0</v>
      </c>
      <c r="Z822" s="70">
        <v>0</v>
      </c>
      <c r="AA822" s="35" t="e">
        <f t="shared" si="1778"/>
        <v>#DIV/0!</v>
      </c>
      <c r="AB822" s="11" t="e">
        <f t="shared" si="1779"/>
        <v>#DIV/0!</v>
      </c>
      <c r="AC822" s="35">
        <v>0</v>
      </c>
      <c r="AD822" s="36">
        <v>0</v>
      </c>
      <c r="AE822" s="35" t="e">
        <f t="shared" si="1780"/>
        <v>#DIV/0!</v>
      </c>
      <c r="AF822" s="6" t="e">
        <f t="shared" si="1781"/>
        <v>#DIV/0!</v>
      </c>
      <c r="AG822" s="68">
        <v>0</v>
      </c>
      <c r="AH822" s="66">
        <v>0</v>
      </c>
      <c r="AI822" s="35" t="e">
        <f t="shared" si="1782"/>
        <v>#DIV/0!</v>
      </c>
      <c r="AJ822" s="6" t="e">
        <f t="shared" si="1783"/>
        <v>#DIV/0!</v>
      </c>
      <c r="AK822" s="68">
        <v>0</v>
      </c>
      <c r="AL822" s="66">
        <v>0</v>
      </c>
      <c r="AM822" s="35" t="e">
        <f t="shared" si="1784"/>
        <v>#DIV/0!</v>
      </c>
      <c r="AN822" s="6" t="e">
        <f t="shared" si="1785"/>
        <v>#DIV/0!</v>
      </c>
      <c r="AO822" s="68">
        <v>0</v>
      </c>
      <c r="AP822" s="66">
        <v>0</v>
      </c>
      <c r="AQ822" s="35" t="e">
        <f t="shared" si="1786"/>
        <v>#DIV/0!</v>
      </c>
      <c r="AR822" s="6" t="e">
        <f t="shared" si="1787"/>
        <v>#DIV/0!</v>
      </c>
      <c r="AS822" s="68">
        <v>0</v>
      </c>
      <c r="AT822" s="66">
        <v>0</v>
      </c>
      <c r="AU822" s="35" t="e">
        <f t="shared" si="1788"/>
        <v>#DIV/0!</v>
      </c>
      <c r="AV822" s="6" t="e">
        <f t="shared" si="1789"/>
        <v>#DIV/0!</v>
      </c>
      <c r="AW822" s="68">
        <v>0</v>
      </c>
      <c r="AX822" s="66">
        <v>0</v>
      </c>
      <c r="AY822" s="35" t="e">
        <f t="shared" si="1790"/>
        <v>#DIV/0!</v>
      </c>
      <c r="AZ822" s="6" t="e">
        <f t="shared" si="1791"/>
        <v>#DIV/0!</v>
      </c>
      <c r="BA822" s="68">
        <v>0</v>
      </c>
      <c r="BB822" s="66">
        <v>0</v>
      </c>
      <c r="BC822" s="35" t="e">
        <f t="shared" si="1792"/>
        <v>#DIV/0!</v>
      </c>
      <c r="BD822" s="11" t="e">
        <f t="shared" si="1793"/>
        <v>#DIV/0!</v>
      </c>
    </row>
    <row r="823" spans="1:56" x14ac:dyDescent="0.25">
      <c r="A823" s="19" t="s">
        <v>3</v>
      </c>
      <c r="B823" s="8">
        <v>113760</v>
      </c>
      <c r="C823" s="35">
        <f>B823/F817</f>
        <v>82.614379084967325</v>
      </c>
      <c r="D823" s="8">
        <v>2700</v>
      </c>
      <c r="E823" s="68">
        <v>0</v>
      </c>
      <c r="F823" s="70">
        <v>0</v>
      </c>
      <c r="G823" s="35" t="e">
        <f t="shared" si="1768"/>
        <v>#DIV/0!</v>
      </c>
      <c r="H823" s="11" t="e">
        <f t="shared" si="1769"/>
        <v>#DIV/0!</v>
      </c>
      <c r="I823" s="35">
        <v>0</v>
      </c>
      <c r="J823" s="70">
        <v>0</v>
      </c>
      <c r="K823" s="35" t="e">
        <f t="shared" si="1770"/>
        <v>#DIV/0!</v>
      </c>
      <c r="L823" s="6" t="e">
        <f t="shared" si="1771"/>
        <v>#DIV/0!</v>
      </c>
      <c r="M823" s="68">
        <v>0</v>
      </c>
      <c r="N823" s="5">
        <v>0</v>
      </c>
      <c r="O823" s="35" t="e">
        <f t="shared" si="1772"/>
        <v>#DIV/0!</v>
      </c>
      <c r="P823" s="11" t="e">
        <f t="shared" si="1773"/>
        <v>#DIV/0!</v>
      </c>
      <c r="Q823" s="35">
        <v>0</v>
      </c>
      <c r="R823" s="66">
        <v>0</v>
      </c>
      <c r="S823" s="35" t="e">
        <f t="shared" si="1774"/>
        <v>#DIV/0!</v>
      </c>
      <c r="T823" s="6" t="e">
        <f t="shared" si="1775"/>
        <v>#DIV/0!</v>
      </c>
      <c r="U823" s="68">
        <v>39770</v>
      </c>
      <c r="V823" s="66">
        <v>661</v>
      </c>
      <c r="W823" s="35">
        <f t="shared" si="1776"/>
        <v>60.166414523449319</v>
      </c>
      <c r="X823" s="6">
        <f t="shared" si="1777"/>
        <v>0.72828017579808113</v>
      </c>
      <c r="Y823" s="68">
        <v>0</v>
      </c>
      <c r="Z823" s="70">
        <v>0</v>
      </c>
      <c r="AA823" s="35" t="e">
        <f t="shared" si="1778"/>
        <v>#DIV/0!</v>
      </c>
      <c r="AB823" s="11" t="e">
        <f t="shared" si="1779"/>
        <v>#DIV/0!</v>
      </c>
      <c r="AC823" s="35">
        <v>0</v>
      </c>
      <c r="AD823" s="36">
        <v>0</v>
      </c>
      <c r="AE823" s="35" t="e">
        <f t="shared" si="1780"/>
        <v>#DIV/0!</v>
      </c>
      <c r="AF823" s="6" t="e">
        <f t="shared" si="1781"/>
        <v>#DIV/0!</v>
      </c>
      <c r="AG823" s="68">
        <v>0</v>
      </c>
      <c r="AH823" s="66">
        <v>0</v>
      </c>
      <c r="AI823" s="35" t="e">
        <f t="shared" si="1782"/>
        <v>#DIV/0!</v>
      </c>
      <c r="AJ823" s="6" t="e">
        <f t="shared" si="1783"/>
        <v>#DIV/0!</v>
      </c>
      <c r="AK823" s="68">
        <v>0</v>
      </c>
      <c r="AL823" s="66">
        <v>0</v>
      </c>
      <c r="AM823" s="35" t="e">
        <f t="shared" si="1784"/>
        <v>#DIV/0!</v>
      </c>
      <c r="AN823" s="6" t="e">
        <f t="shared" si="1785"/>
        <v>#DIV/0!</v>
      </c>
      <c r="AO823" s="68">
        <v>0</v>
      </c>
      <c r="AP823" s="66">
        <v>0</v>
      </c>
      <c r="AQ823" s="35" t="e">
        <f t="shared" si="1786"/>
        <v>#DIV/0!</v>
      </c>
      <c r="AR823" s="6" t="e">
        <f t="shared" si="1787"/>
        <v>#DIV/0!</v>
      </c>
      <c r="AS823" s="68">
        <v>0</v>
      </c>
      <c r="AT823" s="66">
        <v>0</v>
      </c>
      <c r="AU823" s="35" t="e">
        <f t="shared" si="1788"/>
        <v>#DIV/0!</v>
      </c>
      <c r="AV823" s="6" t="e">
        <f t="shared" si="1789"/>
        <v>#DIV/0!</v>
      </c>
      <c r="AW823" s="68">
        <v>0</v>
      </c>
      <c r="AX823" s="66">
        <v>0</v>
      </c>
      <c r="AY823" s="35" t="e">
        <f t="shared" si="1790"/>
        <v>#DIV/0!</v>
      </c>
      <c r="AZ823" s="6" t="e">
        <f t="shared" si="1791"/>
        <v>#DIV/0!</v>
      </c>
      <c r="BA823" s="68">
        <v>0</v>
      </c>
      <c r="BB823" s="66">
        <v>0</v>
      </c>
      <c r="BC823" s="35" t="e">
        <f t="shared" si="1792"/>
        <v>#DIV/0!</v>
      </c>
      <c r="BD823" s="11" t="e">
        <f t="shared" si="1793"/>
        <v>#DIV/0!</v>
      </c>
    </row>
    <row r="824" spans="1:56" x14ac:dyDescent="0.25">
      <c r="A824" s="19" t="s">
        <v>4</v>
      </c>
      <c r="B824" s="8">
        <v>141480</v>
      </c>
      <c r="C824" s="35">
        <f>B824/F817</f>
        <v>102.74509803921569</v>
      </c>
      <c r="D824" s="8">
        <v>5250</v>
      </c>
      <c r="E824" s="68">
        <v>0</v>
      </c>
      <c r="F824" s="70">
        <v>0</v>
      </c>
      <c r="G824" s="35" t="e">
        <f t="shared" si="1768"/>
        <v>#DIV/0!</v>
      </c>
      <c r="H824" s="11" t="e">
        <f t="shared" si="1769"/>
        <v>#DIV/0!</v>
      </c>
      <c r="I824" s="35">
        <v>0</v>
      </c>
      <c r="J824" s="70">
        <v>0</v>
      </c>
      <c r="K824" s="35" t="e">
        <f t="shared" si="1770"/>
        <v>#DIV/0!</v>
      </c>
      <c r="L824" s="6" t="e">
        <f t="shared" si="1771"/>
        <v>#DIV/0!</v>
      </c>
      <c r="M824" s="68">
        <v>0</v>
      </c>
      <c r="N824" s="5">
        <v>0</v>
      </c>
      <c r="O824" s="35" t="e">
        <f t="shared" si="1772"/>
        <v>#DIV/0!</v>
      </c>
      <c r="P824" s="11" t="e">
        <f t="shared" si="1773"/>
        <v>#DIV/0!</v>
      </c>
      <c r="Q824" s="35">
        <v>0</v>
      </c>
      <c r="R824" s="66">
        <v>0</v>
      </c>
      <c r="S824" s="35" t="e">
        <f t="shared" si="1774"/>
        <v>#DIV/0!</v>
      </c>
      <c r="T824" s="6" t="e">
        <f t="shared" si="1775"/>
        <v>#DIV/0!</v>
      </c>
      <c r="U824" s="68">
        <v>48480</v>
      </c>
      <c r="V824" s="66">
        <v>661</v>
      </c>
      <c r="W824" s="35">
        <f t="shared" si="1776"/>
        <v>73.343419062027237</v>
      </c>
      <c r="X824" s="6">
        <f t="shared" si="1777"/>
        <v>0.71383862064186809</v>
      </c>
      <c r="Y824" s="68">
        <v>0</v>
      </c>
      <c r="Z824" s="70">
        <v>0</v>
      </c>
      <c r="AA824" s="35" t="e">
        <f t="shared" si="1778"/>
        <v>#DIV/0!</v>
      </c>
      <c r="AB824" s="11" t="e">
        <f t="shared" si="1779"/>
        <v>#DIV/0!</v>
      </c>
      <c r="AC824" s="35">
        <v>0</v>
      </c>
      <c r="AD824" s="36">
        <v>0</v>
      </c>
      <c r="AE824" s="35" t="e">
        <f t="shared" si="1780"/>
        <v>#DIV/0!</v>
      </c>
      <c r="AF824" s="6" t="e">
        <f t="shared" si="1781"/>
        <v>#DIV/0!</v>
      </c>
      <c r="AG824" s="68">
        <v>0</v>
      </c>
      <c r="AH824" s="66">
        <v>0</v>
      </c>
      <c r="AI824" s="35" t="e">
        <f t="shared" si="1782"/>
        <v>#DIV/0!</v>
      </c>
      <c r="AJ824" s="6" t="e">
        <f t="shared" si="1783"/>
        <v>#DIV/0!</v>
      </c>
      <c r="AK824" s="68">
        <v>0</v>
      </c>
      <c r="AL824" s="66">
        <v>0</v>
      </c>
      <c r="AM824" s="35" t="e">
        <f t="shared" si="1784"/>
        <v>#DIV/0!</v>
      </c>
      <c r="AN824" s="6" t="e">
        <f t="shared" si="1785"/>
        <v>#DIV/0!</v>
      </c>
      <c r="AO824" s="68">
        <v>0</v>
      </c>
      <c r="AP824" s="66">
        <v>0</v>
      </c>
      <c r="AQ824" s="35" t="e">
        <f t="shared" si="1786"/>
        <v>#DIV/0!</v>
      </c>
      <c r="AR824" s="6" t="e">
        <f t="shared" si="1787"/>
        <v>#DIV/0!</v>
      </c>
      <c r="AS824" s="68">
        <v>0</v>
      </c>
      <c r="AT824" s="66">
        <v>0</v>
      </c>
      <c r="AU824" s="35" t="e">
        <f t="shared" si="1788"/>
        <v>#DIV/0!</v>
      </c>
      <c r="AV824" s="6" t="e">
        <f t="shared" si="1789"/>
        <v>#DIV/0!</v>
      </c>
      <c r="AW824" s="68">
        <v>0</v>
      </c>
      <c r="AX824" s="66">
        <v>0</v>
      </c>
      <c r="AY824" s="35" t="e">
        <f t="shared" si="1790"/>
        <v>#DIV/0!</v>
      </c>
      <c r="AZ824" s="6" t="e">
        <f t="shared" si="1791"/>
        <v>#DIV/0!</v>
      </c>
      <c r="BA824" s="68">
        <v>0</v>
      </c>
      <c r="BB824" s="66">
        <v>0</v>
      </c>
      <c r="BC824" s="35" t="e">
        <f t="shared" si="1792"/>
        <v>#DIV/0!</v>
      </c>
      <c r="BD824" s="11" t="e">
        <f t="shared" si="1793"/>
        <v>#DIV/0!</v>
      </c>
    </row>
    <row r="825" spans="1:56" x14ac:dyDescent="0.25">
      <c r="A825" s="19" t="s">
        <v>5</v>
      </c>
      <c r="B825" s="8">
        <v>186870</v>
      </c>
      <c r="C825" s="35">
        <f>B825/F817</f>
        <v>135.70806100217865</v>
      </c>
      <c r="D825" s="8">
        <v>7050</v>
      </c>
      <c r="E825" s="68">
        <v>0</v>
      </c>
      <c r="F825" s="70">
        <v>0</v>
      </c>
      <c r="G825" s="35" t="e">
        <f t="shared" si="1768"/>
        <v>#DIV/0!</v>
      </c>
      <c r="H825" s="11" t="e">
        <f t="shared" si="1769"/>
        <v>#DIV/0!</v>
      </c>
      <c r="I825" s="35">
        <v>0</v>
      </c>
      <c r="J825" s="70">
        <v>0</v>
      </c>
      <c r="K825" s="35" t="e">
        <f t="shared" si="1770"/>
        <v>#DIV/0!</v>
      </c>
      <c r="L825" s="6" t="e">
        <f t="shared" si="1771"/>
        <v>#DIV/0!</v>
      </c>
      <c r="M825" s="68">
        <v>0</v>
      </c>
      <c r="N825" s="5">
        <v>0</v>
      </c>
      <c r="O825" s="35" t="e">
        <f t="shared" si="1772"/>
        <v>#DIV/0!</v>
      </c>
      <c r="P825" s="11" t="e">
        <f t="shared" si="1773"/>
        <v>#DIV/0!</v>
      </c>
      <c r="Q825" s="35">
        <v>0</v>
      </c>
      <c r="R825" s="66">
        <v>0</v>
      </c>
      <c r="S825" s="35" t="e">
        <f t="shared" si="1774"/>
        <v>#DIV/0!</v>
      </c>
      <c r="T825" s="6" t="e">
        <f t="shared" si="1775"/>
        <v>#DIV/0!</v>
      </c>
      <c r="U825" s="68">
        <v>67010</v>
      </c>
      <c r="V825" s="66">
        <v>661</v>
      </c>
      <c r="W825" s="35">
        <f t="shared" si="1776"/>
        <v>101.37670196671709</v>
      </c>
      <c r="X825" s="6">
        <f t="shared" si="1777"/>
        <v>0.74702048808353094</v>
      </c>
      <c r="Y825" s="68">
        <v>0</v>
      </c>
      <c r="Z825" s="70">
        <v>0</v>
      </c>
      <c r="AA825" s="35" t="e">
        <f t="shared" si="1778"/>
        <v>#DIV/0!</v>
      </c>
      <c r="AB825" s="11" t="e">
        <f t="shared" si="1779"/>
        <v>#DIV/0!</v>
      </c>
      <c r="AC825" s="35">
        <v>0</v>
      </c>
      <c r="AD825" s="36">
        <v>0</v>
      </c>
      <c r="AE825" s="35" t="e">
        <f t="shared" si="1780"/>
        <v>#DIV/0!</v>
      </c>
      <c r="AF825" s="6" t="e">
        <f t="shared" si="1781"/>
        <v>#DIV/0!</v>
      </c>
      <c r="AG825" s="68">
        <v>0</v>
      </c>
      <c r="AH825" s="66">
        <v>0</v>
      </c>
      <c r="AI825" s="35" t="e">
        <f t="shared" si="1782"/>
        <v>#DIV/0!</v>
      </c>
      <c r="AJ825" s="6" t="e">
        <f t="shared" si="1783"/>
        <v>#DIV/0!</v>
      </c>
      <c r="AK825" s="68">
        <v>0</v>
      </c>
      <c r="AL825" s="66">
        <v>0</v>
      </c>
      <c r="AM825" s="35" t="e">
        <f t="shared" si="1784"/>
        <v>#DIV/0!</v>
      </c>
      <c r="AN825" s="6" t="e">
        <f t="shared" si="1785"/>
        <v>#DIV/0!</v>
      </c>
      <c r="AO825" s="68">
        <v>0</v>
      </c>
      <c r="AP825" s="66">
        <v>0</v>
      </c>
      <c r="AQ825" s="35" t="e">
        <f t="shared" si="1786"/>
        <v>#DIV/0!</v>
      </c>
      <c r="AR825" s="6" t="e">
        <f t="shared" si="1787"/>
        <v>#DIV/0!</v>
      </c>
      <c r="AS825" s="68">
        <v>0</v>
      </c>
      <c r="AT825" s="66">
        <v>0</v>
      </c>
      <c r="AU825" s="35" t="e">
        <f t="shared" si="1788"/>
        <v>#DIV/0!</v>
      </c>
      <c r="AV825" s="6" t="e">
        <f t="shared" si="1789"/>
        <v>#DIV/0!</v>
      </c>
      <c r="AW825" s="68">
        <v>0</v>
      </c>
      <c r="AX825" s="66">
        <v>0</v>
      </c>
      <c r="AY825" s="35" t="e">
        <f t="shared" si="1790"/>
        <v>#DIV/0!</v>
      </c>
      <c r="AZ825" s="6" t="e">
        <f t="shared" si="1791"/>
        <v>#DIV/0!</v>
      </c>
      <c r="BA825" s="68">
        <v>0</v>
      </c>
      <c r="BB825" s="66">
        <v>0</v>
      </c>
      <c r="BC825" s="35" t="e">
        <f t="shared" si="1792"/>
        <v>#DIV/0!</v>
      </c>
      <c r="BD825" s="11" t="e">
        <f t="shared" si="1793"/>
        <v>#DIV/0!</v>
      </c>
    </row>
    <row r="826" spans="1:56" x14ac:dyDescent="0.25">
      <c r="A826" s="19" t="s">
        <v>6</v>
      </c>
      <c r="B826" s="8">
        <v>225590</v>
      </c>
      <c r="C826" s="35">
        <f>B826/F817</f>
        <v>163.82716049382717</v>
      </c>
      <c r="D826" s="8">
        <v>10950</v>
      </c>
      <c r="E826" s="68">
        <v>0</v>
      </c>
      <c r="F826" s="70">
        <v>0</v>
      </c>
      <c r="G826" s="35" t="e">
        <f t="shared" si="1768"/>
        <v>#DIV/0!</v>
      </c>
      <c r="H826" s="11" t="e">
        <f t="shared" si="1769"/>
        <v>#DIV/0!</v>
      </c>
      <c r="I826" s="35">
        <v>0</v>
      </c>
      <c r="J826" s="70">
        <v>0</v>
      </c>
      <c r="K826" s="35" t="e">
        <f t="shared" si="1770"/>
        <v>#DIV/0!</v>
      </c>
      <c r="L826" s="6" t="e">
        <f t="shared" si="1771"/>
        <v>#DIV/0!</v>
      </c>
      <c r="M826" s="68">
        <v>0</v>
      </c>
      <c r="N826" s="5">
        <v>0</v>
      </c>
      <c r="O826" s="35" t="e">
        <f t="shared" si="1772"/>
        <v>#DIV/0!</v>
      </c>
      <c r="P826" s="11" t="e">
        <f t="shared" si="1773"/>
        <v>#DIV/0!</v>
      </c>
      <c r="Q826" s="35">
        <v>0</v>
      </c>
      <c r="R826" s="66">
        <v>0</v>
      </c>
      <c r="S826" s="35" t="e">
        <f t="shared" si="1774"/>
        <v>#DIV/0!</v>
      </c>
      <c r="T826" s="6" t="e">
        <f t="shared" si="1775"/>
        <v>#DIV/0!</v>
      </c>
      <c r="U826" s="68">
        <v>83560</v>
      </c>
      <c r="V826" s="66">
        <v>661</v>
      </c>
      <c r="W826" s="35">
        <f t="shared" si="1776"/>
        <v>126.41452344931922</v>
      </c>
      <c r="X826" s="6">
        <f t="shared" si="1777"/>
        <v>0.77163348902749485</v>
      </c>
      <c r="Y826" s="68">
        <v>0</v>
      </c>
      <c r="Z826" s="70">
        <v>0</v>
      </c>
      <c r="AA826" s="35" t="e">
        <f t="shared" si="1778"/>
        <v>#DIV/0!</v>
      </c>
      <c r="AB826" s="11" t="e">
        <f t="shared" si="1779"/>
        <v>#DIV/0!</v>
      </c>
      <c r="AC826" s="35">
        <v>0</v>
      </c>
      <c r="AD826" s="36">
        <v>0</v>
      </c>
      <c r="AE826" s="35" t="e">
        <f t="shared" si="1780"/>
        <v>#DIV/0!</v>
      </c>
      <c r="AF826" s="6" t="e">
        <f t="shared" si="1781"/>
        <v>#DIV/0!</v>
      </c>
      <c r="AG826" s="68">
        <v>0</v>
      </c>
      <c r="AH826" s="66">
        <v>0</v>
      </c>
      <c r="AI826" s="35" t="e">
        <f t="shared" si="1782"/>
        <v>#DIV/0!</v>
      </c>
      <c r="AJ826" s="6" t="e">
        <f t="shared" si="1783"/>
        <v>#DIV/0!</v>
      </c>
      <c r="AK826" s="68">
        <v>0</v>
      </c>
      <c r="AL826" s="66">
        <v>0</v>
      </c>
      <c r="AM826" s="35" t="e">
        <f t="shared" si="1784"/>
        <v>#DIV/0!</v>
      </c>
      <c r="AN826" s="6" t="e">
        <f t="shared" si="1785"/>
        <v>#DIV/0!</v>
      </c>
      <c r="AO826" s="68">
        <v>0</v>
      </c>
      <c r="AP826" s="66">
        <v>0</v>
      </c>
      <c r="AQ826" s="35" t="e">
        <f t="shared" si="1786"/>
        <v>#DIV/0!</v>
      </c>
      <c r="AR826" s="6" t="e">
        <f t="shared" si="1787"/>
        <v>#DIV/0!</v>
      </c>
      <c r="AS826" s="68">
        <v>0</v>
      </c>
      <c r="AT826" s="66">
        <v>0</v>
      </c>
      <c r="AU826" s="35" t="e">
        <f t="shared" si="1788"/>
        <v>#DIV/0!</v>
      </c>
      <c r="AV826" s="6" t="e">
        <f t="shared" si="1789"/>
        <v>#DIV/0!</v>
      </c>
      <c r="AW826" s="68">
        <v>0</v>
      </c>
      <c r="AX826" s="66">
        <v>0</v>
      </c>
      <c r="AY826" s="35" t="e">
        <f t="shared" si="1790"/>
        <v>#DIV/0!</v>
      </c>
      <c r="AZ826" s="6" t="e">
        <f t="shared" si="1791"/>
        <v>#DIV/0!</v>
      </c>
      <c r="BA826" s="68">
        <v>0</v>
      </c>
      <c r="BB826" s="66">
        <v>0</v>
      </c>
      <c r="BC826" s="35" t="e">
        <f t="shared" si="1792"/>
        <v>#DIV/0!</v>
      </c>
      <c r="BD826" s="11" t="e">
        <f t="shared" si="1793"/>
        <v>#DIV/0!</v>
      </c>
    </row>
    <row r="827" spans="1:56" ht="15.75" thickBot="1" x14ac:dyDescent="0.3">
      <c r="A827" s="21"/>
      <c r="B827" s="22"/>
      <c r="C827" s="23">
        <f>AVERAGE(Table11071[MA $/Sq Ft])</f>
        <v>94.474530552961923</v>
      </c>
      <c r="D827" s="22">
        <f>AVERAGE(Table11071[Basic Allowance])</f>
        <v>4442.8571428571431</v>
      </c>
      <c r="E827" s="16"/>
      <c r="F827" s="22"/>
      <c r="G827" s="15"/>
      <c r="H827" s="24" t="e">
        <f>AVERAGE(Table11071[Bsmt % Base])</f>
        <v>#DIV/0!</v>
      </c>
      <c r="I827" s="15"/>
      <c r="J827" s="15"/>
      <c r="K827" s="15"/>
      <c r="L827" s="25" t="e">
        <f>AVERAGE(Table11071[[#Headers],[#Data],[UnfBsmt % Base]])</f>
        <v>#DIV/0!</v>
      </c>
      <c r="M827" s="44"/>
      <c r="N827" s="15"/>
      <c r="O827" s="23" t="e">
        <f>AVERAGE(Table11071[LowerVal/SqFt])</f>
        <v>#DIV/0!</v>
      </c>
      <c r="P827" s="24" t="e">
        <f>AVERAGE(Table11071[Lower % Base])</f>
        <v>#DIV/0!</v>
      </c>
      <c r="Q827" s="13"/>
      <c r="R827" s="13"/>
      <c r="S827" s="13"/>
      <c r="T827" s="25" t="e">
        <f>AVERAGE(Table11071[Unf Lower % Base])</f>
        <v>#DIV/0!</v>
      </c>
      <c r="U827" s="12"/>
      <c r="V827" s="13"/>
      <c r="W827" s="13"/>
      <c r="X827" s="25">
        <f>AVERAGE(Table11071[1/2 Story % Base])</f>
        <v>0.71082460844263906</v>
      </c>
      <c r="Y827" s="12"/>
      <c r="Z827" s="13"/>
      <c r="AA827" s="13"/>
      <c r="AB827" s="24" t="e">
        <f>AVERAGE(Table11071[2nd Story % Base])</f>
        <v>#DIV/0!</v>
      </c>
      <c r="AC827" s="13"/>
      <c r="AD827" s="13"/>
      <c r="AE827" s="23" t="e">
        <f>AVERAGE(Table11071[AttGarVal/SqFt])</f>
        <v>#DIV/0!</v>
      </c>
      <c r="AF827" s="25" t="e">
        <f>AVERAGE(Table11071[Att Gar % Base])</f>
        <v>#DIV/0!</v>
      </c>
      <c r="AG827" s="12"/>
      <c r="AH827" s="13"/>
      <c r="AI827" s="13"/>
      <c r="AJ827" s="25" t="e">
        <f>AVERAGE(Table11071[Porch % Base])</f>
        <v>#DIV/0!</v>
      </c>
      <c r="AK827" s="12"/>
      <c r="AL827" s="13"/>
      <c r="AM827" s="13"/>
      <c r="AN827" s="25" t="e">
        <f>AVERAGE(Table11071[Cov Porch % Base])</f>
        <v>#DIV/0!</v>
      </c>
      <c r="AO827" s="12"/>
      <c r="AP827" s="13"/>
      <c r="AQ827" s="13"/>
      <c r="AR827" s="25" t="e">
        <f>AVERAGE(Table11071[Deck % Base])</f>
        <v>#DIV/0!</v>
      </c>
      <c r="AS827" s="12"/>
      <c r="AT827" s="13"/>
      <c r="AU827" s="23" t="e">
        <f>AVERAGE(Table11071[CovDeckVal/SqFt])</f>
        <v>#DIV/0!</v>
      </c>
      <c r="AV827" s="25" t="e">
        <f>AVERAGE(Table11071[CovDeck % Base])</f>
        <v>#DIV/0!</v>
      </c>
      <c r="AW827" s="12"/>
      <c r="AX827" s="13"/>
      <c r="AY827" s="13"/>
      <c r="AZ827" s="25" t="e">
        <f>AVERAGE(Table11071[CarP % Base])</f>
        <v>#DIV/0!</v>
      </c>
      <c r="BA827" s="12"/>
      <c r="BB827" s="13"/>
      <c r="BC827" s="13"/>
      <c r="BD827" s="24" t="e">
        <f>AVERAGE(Table11071[EFP % Base])</f>
        <v>#DIV/0!</v>
      </c>
    </row>
    <row r="829" spans="1:56" ht="15.75" thickBot="1" x14ac:dyDescent="0.3">
      <c r="A829" s="84"/>
      <c r="B829" s="74" t="s">
        <v>79</v>
      </c>
      <c r="C829" s="86" t="s">
        <v>168</v>
      </c>
      <c r="D829" s="74"/>
      <c r="E829" s="74" t="s">
        <v>33</v>
      </c>
      <c r="F829" s="75">
        <v>1133</v>
      </c>
      <c r="G829" s="74"/>
      <c r="H829" s="74" t="s">
        <v>197</v>
      </c>
      <c r="I829" s="74"/>
      <c r="J829" s="74" t="s">
        <v>83</v>
      </c>
      <c r="K829" s="75">
        <v>1948</v>
      </c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6"/>
    </row>
    <row r="830" spans="1:56" x14ac:dyDescent="0.25">
      <c r="A830" s="112"/>
      <c r="B830" s="113"/>
      <c r="C830" s="113"/>
      <c r="D830" s="114"/>
      <c r="E830" s="115" t="s">
        <v>27</v>
      </c>
      <c r="F830" s="116"/>
      <c r="G830" s="116"/>
      <c r="H830" s="117"/>
      <c r="I830" s="118" t="s">
        <v>28</v>
      </c>
      <c r="J830" s="119"/>
      <c r="K830" s="119"/>
      <c r="L830" s="120"/>
      <c r="M830" s="121" t="s">
        <v>7</v>
      </c>
      <c r="N830" s="122"/>
      <c r="O830" s="122"/>
      <c r="P830" s="122"/>
      <c r="Q830" s="124" t="s">
        <v>29</v>
      </c>
      <c r="R830" s="125"/>
      <c r="S830" s="125"/>
      <c r="T830" s="126"/>
      <c r="U830" s="128" t="s">
        <v>8</v>
      </c>
      <c r="V830" s="128"/>
      <c r="W830" s="128"/>
      <c r="X830" s="129"/>
      <c r="Y830" s="130" t="s">
        <v>0</v>
      </c>
      <c r="Z830" s="131"/>
      <c r="AA830" s="131"/>
      <c r="AB830" s="132"/>
      <c r="AC830" s="133" t="s">
        <v>34</v>
      </c>
      <c r="AD830" s="134"/>
      <c r="AE830" s="134"/>
      <c r="AF830" s="135"/>
      <c r="AG830" s="115" t="s">
        <v>9</v>
      </c>
      <c r="AH830" s="116"/>
      <c r="AI830" s="116"/>
      <c r="AJ830" s="117"/>
      <c r="AK830" s="136" t="s">
        <v>35</v>
      </c>
      <c r="AL830" s="137"/>
      <c r="AM830" s="137"/>
      <c r="AN830" s="138"/>
      <c r="AO830" s="139" t="s">
        <v>10</v>
      </c>
      <c r="AP830" s="140"/>
      <c r="AQ830" s="140"/>
      <c r="AR830" s="141"/>
      <c r="AS830" s="124" t="s">
        <v>36</v>
      </c>
      <c r="AT830" s="125"/>
      <c r="AU830" s="125"/>
      <c r="AV830" s="126"/>
      <c r="AW830" s="142" t="s">
        <v>11</v>
      </c>
      <c r="AX830" s="143"/>
      <c r="AY830" s="143"/>
      <c r="AZ830" s="144"/>
      <c r="BA830" s="148" t="s">
        <v>17</v>
      </c>
      <c r="BB830" s="149"/>
      <c r="BC830" s="149"/>
      <c r="BD830" s="150"/>
    </row>
    <row r="831" spans="1:56" s="1" customFormat="1" ht="15.75" thickBot="1" x14ac:dyDescent="0.3">
      <c r="A831" s="41" t="s">
        <v>13</v>
      </c>
      <c r="B831" s="42" t="s">
        <v>15</v>
      </c>
      <c r="C831" s="42" t="s">
        <v>32</v>
      </c>
      <c r="D831" s="43" t="s">
        <v>18</v>
      </c>
      <c r="E831" s="30" t="s">
        <v>30</v>
      </c>
      <c r="F831" s="31" t="s">
        <v>61</v>
      </c>
      <c r="G831" s="31" t="s">
        <v>38</v>
      </c>
      <c r="H831" s="32" t="s">
        <v>62</v>
      </c>
      <c r="I831" s="37" t="s">
        <v>31</v>
      </c>
      <c r="J831" s="38" t="s">
        <v>39</v>
      </c>
      <c r="K831" s="38" t="s">
        <v>40</v>
      </c>
      <c r="L831" s="39" t="s">
        <v>63</v>
      </c>
      <c r="M831" s="40" t="s">
        <v>19</v>
      </c>
      <c r="N831" s="7" t="s">
        <v>41</v>
      </c>
      <c r="O831" s="7" t="s">
        <v>37</v>
      </c>
      <c r="P831" s="7" t="s">
        <v>64</v>
      </c>
      <c r="Q831" s="27" t="s">
        <v>20</v>
      </c>
      <c r="R831" s="28" t="s">
        <v>60</v>
      </c>
      <c r="S831" s="28" t="s">
        <v>59</v>
      </c>
      <c r="T831" s="29" t="s">
        <v>65</v>
      </c>
      <c r="U831" s="48" t="s">
        <v>21</v>
      </c>
      <c r="V831" s="48" t="s">
        <v>42</v>
      </c>
      <c r="W831" s="48" t="s">
        <v>43</v>
      </c>
      <c r="X831" s="49" t="s">
        <v>66</v>
      </c>
      <c r="Y831" s="50" t="s">
        <v>22</v>
      </c>
      <c r="Z831" s="51" t="s">
        <v>44</v>
      </c>
      <c r="AA831" s="51" t="s">
        <v>45</v>
      </c>
      <c r="AB831" s="52" t="s">
        <v>67</v>
      </c>
      <c r="AC831" s="45" t="s">
        <v>23</v>
      </c>
      <c r="AD831" s="46" t="s">
        <v>46</v>
      </c>
      <c r="AE831" s="46" t="s">
        <v>47</v>
      </c>
      <c r="AF831" s="47" t="s">
        <v>68</v>
      </c>
      <c r="AG831" s="30" t="s">
        <v>24</v>
      </c>
      <c r="AH831" s="31" t="s">
        <v>48</v>
      </c>
      <c r="AI831" s="31" t="s">
        <v>49</v>
      </c>
      <c r="AJ831" s="32" t="s">
        <v>69</v>
      </c>
      <c r="AK831" s="53" t="s">
        <v>25</v>
      </c>
      <c r="AL831" s="54" t="s">
        <v>50</v>
      </c>
      <c r="AM831" s="54" t="s">
        <v>51</v>
      </c>
      <c r="AN831" s="55" t="s">
        <v>70</v>
      </c>
      <c r="AO831" s="56" t="s">
        <v>26</v>
      </c>
      <c r="AP831" s="57" t="s">
        <v>52</v>
      </c>
      <c r="AQ831" s="57" t="s">
        <v>53</v>
      </c>
      <c r="AR831" s="58" t="s">
        <v>71</v>
      </c>
      <c r="AS831" s="59" t="s">
        <v>55</v>
      </c>
      <c r="AT831" s="60" t="s">
        <v>54</v>
      </c>
      <c r="AU831" s="60" t="s">
        <v>56</v>
      </c>
      <c r="AV831" s="61" t="s">
        <v>76</v>
      </c>
      <c r="AW831" s="62" t="s">
        <v>72</v>
      </c>
      <c r="AX831" s="63" t="s">
        <v>73</v>
      </c>
      <c r="AY831" s="63" t="s">
        <v>74</v>
      </c>
      <c r="AZ831" s="64" t="s">
        <v>75</v>
      </c>
      <c r="BA831" s="71" t="s">
        <v>77</v>
      </c>
      <c r="BB831" s="72" t="s">
        <v>57</v>
      </c>
      <c r="BC831" s="72" t="s">
        <v>58</v>
      </c>
      <c r="BD831" s="73" t="s">
        <v>78</v>
      </c>
    </row>
    <row r="832" spans="1:56" x14ac:dyDescent="0.25">
      <c r="A832" s="17" t="s">
        <v>1</v>
      </c>
      <c r="B832" s="14">
        <v>58080</v>
      </c>
      <c r="C832" s="34">
        <f>B832/F829</f>
        <v>51.262135922330096</v>
      </c>
      <c r="D832" s="14">
        <v>1525</v>
      </c>
      <c r="E832" s="67">
        <v>0</v>
      </c>
      <c r="F832" s="69">
        <v>0</v>
      </c>
      <c r="G832" s="34" t="e">
        <f t="shared" ref="G832:G838" si="1794">E832/F832</f>
        <v>#DIV/0!</v>
      </c>
      <c r="H832" s="10" t="e">
        <f t="shared" ref="H832:H838" si="1795">G832/C832</f>
        <v>#DIV/0!</v>
      </c>
      <c r="I832" s="34">
        <v>0</v>
      </c>
      <c r="J832" s="69">
        <v>0</v>
      </c>
      <c r="K832" s="34" t="e">
        <f t="shared" ref="K832:K838" si="1796">I832/J832</f>
        <v>#DIV/0!</v>
      </c>
      <c r="L832" s="9" t="e">
        <f t="shared" ref="L832:L838" si="1797">K832/C832</f>
        <v>#DIV/0!</v>
      </c>
      <c r="M832" s="67">
        <v>0</v>
      </c>
      <c r="N832" s="26">
        <v>0</v>
      </c>
      <c r="O832" s="34" t="e">
        <f t="shared" ref="O832:O838" si="1798">M832/N832</f>
        <v>#DIV/0!</v>
      </c>
      <c r="P832" s="10" t="e">
        <f t="shared" ref="P832:P838" si="1799">O832/C832</f>
        <v>#DIV/0!</v>
      </c>
      <c r="Q832" s="35">
        <v>0</v>
      </c>
      <c r="R832" s="66">
        <v>0</v>
      </c>
      <c r="S832" s="35" t="e">
        <f t="shared" ref="S832:S838" si="1800">Q832/R832</f>
        <v>#DIV/0!</v>
      </c>
      <c r="T832" s="6" t="e">
        <f t="shared" ref="T832:T838" si="1801">S832/C832</f>
        <v>#DIV/0!</v>
      </c>
      <c r="U832" s="67">
        <v>18720</v>
      </c>
      <c r="V832" s="65">
        <v>630</v>
      </c>
      <c r="W832" s="34">
        <f t="shared" ref="W832:W838" si="1802">U832/V832</f>
        <v>29.714285714285715</v>
      </c>
      <c r="X832" s="9">
        <f t="shared" ref="X832:X838" si="1803">W832/C832</f>
        <v>0.57965367965367964</v>
      </c>
      <c r="Y832" s="67">
        <v>0</v>
      </c>
      <c r="Z832" s="69">
        <v>0</v>
      </c>
      <c r="AA832" s="34" t="e">
        <f t="shared" ref="AA832:AA838" si="1804">Y832/Z832</f>
        <v>#DIV/0!</v>
      </c>
      <c r="AB832" s="10" t="e">
        <f t="shared" ref="AB832:AB838" si="1805">AA832/C832</f>
        <v>#DIV/0!</v>
      </c>
      <c r="AC832" s="34">
        <v>0</v>
      </c>
      <c r="AD832" s="33">
        <v>0</v>
      </c>
      <c r="AE832" s="34" t="e">
        <f t="shared" ref="AE832:AE838" si="1806">AC832/AD832</f>
        <v>#DIV/0!</v>
      </c>
      <c r="AF832" s="9" t="e">
        <f t="shared" ref="AF832:AF838" si="1807">AE832/C832</f>
        <v>#DIV/0!</v>
      </c>
      <c r="AG832" s="67">
        <v>0</v>
      </c>
      <c r="AH832" s="65">
        <v>0</v>
      </c>
      <c r="AI832" s="34" t="e">
        <f t="shared" ref="AI832:AI838" si="1808">AG832/AH832</f>
        <v>#DIV/0!</v>
      </c>
      <c r="AJ832" s="9" t="e">
        <f t="shared" ref="AJ832:AJ838" si="1809">AI832/C832</f>
        <v>#DIV/0!</v>
      </c>
      <c r="AK832" s="67">
        <v>170</v>
      </c>
      <c r="AL832" s="65">
        <v>31</v>
      </c>
      <c r="AM832" s="34">
        <f t="shared" ref="AM832:AM838" si="1810">AK832/AL832</f>
        <v>5.4838709677419351</v>
      </c>
      <c r="AN832" s="9">
        <f t="shared" ref="AN832:AN838" si="1811">AM832/C832</f>
        <v>0.10697702834799608</v>
      </c>
      <c r="AO832" s="67">
        <v>0</v>
      </c>
      <c r="AP832" s="65">
        <v>0</v>
      </c>
      <c r="AQ832" s="34" t="e">
        <f t="shared" ref="AQ832:AQ838" si="1812">AO832/AP832</f>
        <v>#DIV/0!</v>
      </c>
      <c r="AR832" s="9" t="e">
        <f t="shared" ref="AR832:AR838" si="1813">AQ832/C832</f>
        <v>#DIV/0!</v>
      </c>
      <c r="AS832" s="67">
        <v>0</v>
      </c>
      <c r="AT832" s="65">
        <v>0</v>
      </c>
      <c r="AU832" s="34" t="e">
        <f t="shared" ref="AU832:AU838" si="1814">AS832/AT832</f>
        <v>#DIV/0!</v>
      </c>
      <c r="AV832" s="9" t="e">
        <f t="shared" ref="AV832:AV838" si="1815">AU832/C832</f>
        <v>#DIV/0!</v>
      </c>
      <c r="AW832" s="67">
        <v>0</v>
      </c>
      <c r="AX832" s="65">
        <v>0</v>
      </c>
      <c r="AY832" s="34" t="e">
        <f t="shared" ref="AY832:AY838" si="1816">AW832/AX832</f>
        <v>#DIV/0!</v>
      </c>
      <c r="AZ832" s="9" t="e">
        <f t="shared" ref="AZ832:AZ838" si="1817">AY832/C832</f>
        <v>#DIV/0!</v>
      </c>
      <c r="BA832" s="67">
        <v>0</v>
      </c>
      <c r="BB832" s="65">
        <v>0</v>
      </c>
      <c r="BC832" s="34" t="e">
        <f t="shared" ref="BC832:BC838" si="1818">BA832/BB832</f>
        <v>#DIV/0!</v>
      </c>
      <c r="BD832" s="10" t="e">
        <f t="shared" ref="BD832:BD838" si="1819">BC832/C832</f>
        <v>#DIV/0!</v>
      </c>
    </row>
    <row r="833" spans="1:56" x14ac:dyDescent="0.25">
      <c r="A833" s="19" t="s">
        <v>16</v>
      </c>
      <c r="B833" s="8">
        <v>68340</v>
      </c>
      <c r="C833" s="35">
        <f>B833/F829</f>
        <v>60.317740511915268</v>
      </c>
      <c r="D833" s="8">
        <v>1525</v>
      </c>
      <c r="E833" s="68">
        <v>0</v>
      </c>
      <c r="F833" s="70">
        <v>0</v>
      </c>
      <c r="G833" s="35" t="e">
        <f t="shared" si="1794"/>
        <v>#DIV/0!</v>
      </c>
      <c r="H833" s="11" t="e">
        <f t="shared" si="1795"/>
        <v>#DIV/0!</v>
      </c>
      <c r="I833" s="35">
        <v>0</v>
      </c>
      <c r="J833" s="70">
        <v>0</v>
      </c>
      <c r="K833" s="35" t="e">
        <f t="shared" si="1796"/>
        <v>#DIV/0!</v>
      </c>
      <c r="L833" s="6" t="e">
        <f t="shared" si="1797"/>
        <v>#DIV/0!</v>
      </c>
      <c r="M833" s="68">
        <v>0</v>
      </c>
      <c r="N833" s="5">
        <v>0</v>
      </c>
      <c r="O833" s="35" t="e">
        <f t="shared" si="1798"/>
        <v>#DIV/0!</v>
      </c>
      <c r="P833" s="11" t="e">
        <f t="shared" si="1799"/>
        <v>#DIV/0!</v>
      </c>
      <c r="Q833" s="35">
        <v>0</v>
      </c>
      <c r="R833" s="66">
        <v>0</v>
      </c>
      <c r="S833" s="35" t="e">
        <f t="shared" si="1800"/>
        <v>#DIV/0!</v>
      </c>
      <c r="T833" s="6" t="e">
        <f t="shared" si="1801"/>
        <v>#DIV/0!</v>
      </c>
      <c r="U833" s="68">
        <v>24270</v>
      </c>
      <c r="V833" s="66">
        <v>630</v>
      </c>
      <c r="W833" s="35">
        <f t="shared" si="1802"/>
        <v>38.523809523809526</v>
      </c>
      <c r="X833" s="6">
        <f t="shared" si="1803"/>
        <v>0.63868124364173529</v>
      </c>
      <c r="Y833" s="68">
        <v>0</v>
      </c>
      <c r="Z833" s="70">
        <v>0</v>
      </c>
      <c r="AA833" s="35" t="e">
        <f t="shared" si="1804"/>
        <v>#DIV/0!</v>
      </c>
      <c r="AB833" s="11" t="e">
        <f t="shared" si="1805"/>
        <v>#DIV/0!</v>
      </c>
      <c r="AC833" s="35">
        <v>0</v>
      </c>
      <c r="AD833" s="36">
        <v>0</v>
      </c>
      <c r="AE833" s="35" t="e">
        <f t="shared" si="1806"/>
        <v>#DIV/0!</v>
      </c>
      <c r="AF833" s="6" t="e">
        <f t="shared" si="1807"/>
        <v>#DIV/0!</v>
      </c>
      <c r="AG833" s="68">
        <v>0</v>
      </c>
      <c r="AH833" s="66">
        <v>0</v>
      </c>
      <c r="AI833" s="35" t="e">
        <f t="shared" si="1808"/>
        <v>#DIV/0!</v>
      </c>
      <c r="AJ833" s="6" t="e">
        <f t="shared" si="1809"/>
        <v>#DIV/0!</v>
      </c>
      <c r="AK833" s="68">
        <v>260</v>
      </c>
      <c r="AL833" s="66">
        <v>31</v>
      </c>
      <c r="AM833" s="35">
        <f t="shared" si="1810"/>
        <v>8.387096774193548</v>
      </c>
      <c r="AN833" s="6">
        <f t="shared" si="1811"/>
        <v>0.13904859006674408</v>
      </c>
      <c r="AO833" s="68">
        <v>0</v>
      </c>
      <c r="AP833" s="66">
        <v>0</v>
      </c>
      <c r="AQ833" s="35" t="e">
        <f t="shared" si="1812"/>
        <v>#DIV/0!</v>
      </c>
      <c r="AR833" s="6" t="e">
        <f t="shared" si="1813"/>
        <v>#DIV/0!</v>
      </c>
      <c r="AS833" s="68">
        <v>0</v>
      </c>
      <c r="AT833" s="66">
        <v>0</v>
      </c>
      <c r="AU833" s="35" t="e">
        <f t="shared" si="1814"/>
        <v>#DIV/0!</v>
      </c>
      <c r="AV833" s="6" t="e">
        <f t="shared" si="1815"/>
        <v>#DIV/0!</v>
      </c>
      <c r="AW833" s="68">
        <v>0</v>
      </c>
      <c r="AX833" s="66">
        <v>0</v>
      </c>
      <c r="AY833" s="35" t="e">
        <f t="shared" si="1816"/>
        <v>#DIV/0!</v>
      </c>
      <c r="AZ833" s="6" t="e">
        <f t="shared" si="1817"/>
        <v>#DIV/0!</v>
      </c>
      <c r="BA833" s="68">
        <v>0</v>
      </c>
      <c r="BB833" s="66">
        <v>0</v>
      </c>
      <c r="BC833" s="35" t="e">
        <f t="shared" si="1818"/>
        <v>#DIV/0!</v>
      </c>
      <c r="BD833" s="11" t="e">
        <f t="shared" si="1819"/>
        <v>#DIV/0!</v>
      </c>
    </row>
    <row r="834" spans="1:56" x14ac:dyDescent="0.25">
      <c r="A834" s="19" t="s">
        <v>2</v>
      </c>
      <c r="B834" s="8">
        <v>79950</v>
      </c>
      <c r="C834" s="35">
        <f>B834/F829</f>
        <v>70.564872021182694</v>
      </c>
      <c r="D834" s="8">
        <v>2100</v>
      </c>
      <c r="E834" s="68">
        <v>0</v>
      </c>
      <c r="F834" s="70">
        <v>0</v>
      </c>
      <c r="G834" s="35" t="e">
        <f t="shared" si="1794"/>
        <v>#DIV/0!</v>
      </c>
      <c r="H834" s="11" t="e">
        <f t="shared" si="1795"/>
        <v>#DIV/0!</v>
      </c>
      <c r="I834" s="35">
        <v>0</v>
      </c>
      <c r="J834" s="70">
        <v>0</v>
      </c>
      <c r="K834" s="35" t="e">
        <f t="shared" si="1796"/>
        <v>#DIV/0!</v>
      </c>
      <c r="L834" s="6" t="e">
        <f t="shared" si="1797"/>
        <v>#DIV/0!</v>
      </c>
      <c r="M834" s="68">
        <v>0</v>
      </c>
      <c r="N834" s="5">
        <v>0</v>
      </c>
      <c r="O834" s="35" t="e">
        <f t="shared" si="1798"/>
        <v>#DIV/0!</v>
      </c>
      <c r="P834" s="11" t="e">
        <f t="shared" si="1799"/>
        <v>#DIV/0!</v>
      </c>
      <c r="Q834" s="35">
        <v>0</v>
      </c>
      <c r="R834" s="66">
        <v>0</v>
      </c>
      <c r="S834" s="35" t="e">
        <f t="shared" si="1800"/>
        <v>#DIV/0!</v>
      </c>
      <c r="T834" s="6" t="e">
        <f t="shared" si="1801"/>
        <v>#DIV/0!</v>
      </c>
      <c r="U834" s="68">
        <v>30270</v>
      </c>
      <c r="V834" s="66">
        <v>630</v>
      </c>
      <c r="W834" s="35">
        <f t="shared" si="1802"/>
        <v>48.047619047619051</v>
      </c>
      <c r="X834" s="6">
        <f t="shared" si="1803"/>
        <v>0.68089996724143076</v>
      </c>
      <c r="Y834" s="68">
        <v>0</v>
      </c>
      <c r="Z834" s="70">
        <v>0</v>
      </c>
      <c r="AA834" s="35" t="e">
        <f t="shared" si="1804"/>
        <v>#DIV/0!</v>
      </c>
      <c r="AB834" s="11" t="e">
        <f t="shared" si="1805"/>
        <v>#DIV/0!</v>
      </c>
      <c r="AC834" s="35">
        <v>0</v>
      </c>
      <c r="AD834" s="36">
        <v>0</v>
      </c>
      <c r="AE834" s="35" t="e">
        <f t="shared" si="1806"/>
        <v>#DIV/0!</v>
      </c>
      <c r="AF834" s="6" t="e">
        <f t="shared" si="1807"/>
        <v>#DIV/0!</v>
      </c>
      <c r="AG834" s="68">
        <v>0</v>
      </c>
      <c r="AH834" s="66">
        <v>0</v>
      </c>
      <c r="AI834" s="35" t="e">
        <f t="shared" si="1808"/>
        <v>#DIV/0!</v>
      </c>
      <c r="AJ834" s="6" t="e">
        <f t="shared" si="1809"/>
        <v>#DIV/0!</v>
      </c>
      <c r="AK834" s="68">
        <v>270</v>
      </c>
      <c r="AL834" s="66">
        <v>31</v>
      </c>
      <c r="AM834" s="35">
        <f t="shared" si="1810"/>
        <v>8.7096774193548381</v>
      </c>
      <c r="AN834" s="6">
        <f t="shared" si="1811"/>
        <v>0.12342794891968771</v>
      </c>
      <c r="AO834" s="68">
        <v>0</v>
      </c>
      <c r="AP834" s="66">
        <v>0</v>
      </c>
      <c r="AQ834" s="35" t="e">
        <f t="shared" si="1812"/>
        <v>#DIV/0!</v>
      </c>
      <c r="AR834" s="6" t="e">
        <f t="shared" si="1813"/>
        <v>#DIV/0!</v>
      </c>
      <c r="AS834" s="68">
        <v>0</v>
      </c>
      <c r="AT834" s="66">
        <v>0</v>
      </c>
      <c r="AU834" s="35" t="e">
        <f t="shared" si="1814"/>
        <v>#DIV/0!</v>
      </c>
      <c r="AV834" s="6" t="e">
        <f t="shared" si="1815"/>
        <v>#DIV/0!</v>
      </c>
      <c r="AW834" s="68">
        <v>0</v>
      </c>
      <c r="AX834" s="66">
        <v>0</v>
      </c>
      <c r="AY834" s="35" t="e">
        <f t="shared" si="1816"/>
        <v>#DIV/0!</v>
      </c>
      <c r="AZ834" s="6" t="e">
        <f t="shared" si="1817"/>
        <v>#DIV/0!</v>
      </c>
      <c r="BA834" s="68">
        <v>0</v>
      </c>
      <c r="BB834" s="66">
        <v>0</v>
      </c>
      <c r="BC834" s="35" t="e">
        <f t="shared" si="1818"/>
        <v>#DIV/0!</v>
      </c>
      <c r="BD834" s="11" t="e">
        <f t="shared" si="1819"/>
        <v>#DIV/0!</v>
      </c>
    </row>
    <row r="835" spans="1:56" x14ac:dyDescent="0.25">
      <c r="A835" s="19" t="s">
        <v>3</v>
      </c>
      <c r="B835" s="8">
        <v>96510</v>
      </c>
      <c r="C835" s="35">
        <f>B835/F829</f>
        <v>85.180935569285083</v>
      </c>
      <c r="D835" s="8">
        <v>2700</v>
      </c>
      <c r="E835" s="68">
        <v>0</v>
      </c>
      <c r="F835" s="70">
        <v>0</v>
      </c>
      <c r="G835" s="35" t="e">
        <f t="shared" si="1794"/>
        <v>#DIV/0!</v>
      </c>
      <c r="H835" s="11" t="e">
        <f t="shared" si="1795"/>
        <v>#DIV/0!</v>
      </c>
      <c r="I835" s="35">
        <v>0</v>
      </c>
      <c r="J835" s="70">
        <v>0</v>
      </c>
      <c r="K835" s="35" t="e">
        <f t="shared" si="1796"/>
        <v>#DIV/0!</v>
      </c>
      <c r="L835" s="6" t="e">
        <f t="shared" si="1797"/>
        <v>#DIV/0!</v>
      </c>
      <c r="M835" s="68">
        <v>0</v>
      </c>
      <c r="N835" s="5">
        <v>0</v>
      </c>
      <c r="O835" s="35" t="e">
        <f t="shared" si="1798"/>
        <v>#DIV/0!</v>
      </c>
      <c r="P835" s="11" t="e">
        <f t="shared" si="1799"/>
        <v>#DIV/0!</v>
      </c>
      <c r="Q835" s="35">
        <v>0</v>
      </c>
      <c r="R835" s="66">
        <v>0</v>
      </c>
      <c r="S835" s="35" t="e">
        <f t="shared" si="1800"/>
        <v>#DIV/0!</v>
      </c>
      <c r="T835" s="6" t="e">
        <f t="shared" si="1801"/>
        <v>#DIV/0!</v>
      </c>
      <c r="U835" s="68">
        <v>36360</v>
      </c>
      <c r="V835" s="66">
        <v>630</v>
      </c>
      <c r="W835" s="35">
        <f t="shared" si="1802"/>
        <v>57.714285714285715</v>
      </c>
      <c r="X835" s="6">
        <f t="shared" si="1803"/>
        <v>0.67754932871501106</v>
      </c>
      <c r="Y835" s="68">
        <v>0</v>
      </c>
      <c r="Z835" s="70">
        <v>0</v>
      </c>
      <c r="AA835" s="35" t="e">
        <f t="shared" si="1804"/>
        <v>#DIV/0!</v>
      </c>
      <c r="AB835" s="11" t="e">
        <f t="shared" si="1805"/>
        <v>#DIV/0!</v>
      </c>
      <c r="AC835" s="35">
        <v>0</v>
      </c>
      <c r="AD835" s="36">
        <v>0</v>
      </c>
      <c r="AE835" s="35" t="e">
        <f t="shared" si="1806"/>
        <v>#DIV/0!</v>
      </c>
      <c r="AF835" s="6" t="e">
        <f t="shared" si="1807"/>
        <v>#DIV/0!</v>
      </c>
      <c r="AG835" s="68">
        <v>0</v>
      </c>
      <c r="AH835" s="66">
        <v>0</v>
      </c>
      <c r="AI835" s="35" t="e">
        <f t="shared" si="1808"/>
        <v>#DIV/0!</v>
      </c>
      <c r="AJ835" s="6" t="e">
        <f t="shared" si="1809"/>
        <v>#DIV/0!</v>
      </c>
      <c r="AK835" s="68">
        <v>290</v>
      </c>
      <c r="AL835" s="66">
        <v>31</v>
      </c>
      <c r="AM835" s="35">
        <f t="shared" si="1810"/>
        <v>9.3548387096774199</v>
      </c>
      <c r="AN835" s="6">
        <f t="shared" si="1811"/>
        <v>0.10982315053429195</v>
      </c>
      <c r="AO835" s="68">
        <v>0</v>
      </c>
      <c r="AP835" s="66">
        <v>0</v>
      </c>
      <c r="AQ835" s="35" t="e">
        <f t="shared" si="1812"/>
        <v>#DIV/0!</v>
      </c>
      <c r="AR835" s="6" t="e">
        <f t="shared" si="1813"/>
        <v>#DIV/0!</v>
      </c>
      <c r="AS835" s="68">
        <v>0</v>
      </c>
      <c r="AT835" s="66">
        <v>0</v>
      </c>
      <c r="AU835" s="35" t="e">
        <f t="shared" si="1814"/>
        <v>#DIV/0!</v>
      </c>
      <c r="AV835" s="6" t="e">
        <f t="shared" si="1815"/>
        <v>#DIV/0!</v>
      </c>
      <c r="AW835" s="68">
        <v>0</v>
      </c>
      <c r="AX835" s="66">
        <v>0</v>
      </c>
      <c r="AY835" s="35" t="e">
        <f t="shared" si="1816"/>
        <v>#DIV/0!</v>
      </c>
      <c r="AZ835" s="6" t="e">
        <f t="shared" si="1817"/>
        <v>#DIV/0!</v>
      </c>
      <c r="BA835" s="68">
        <v>0</v>
      </c>
      <c r="BB835" s="66">
        <v>0</v>
      </c>
      <c r="BC835" s="35" t="e">
        <f t="shared" si="1818"/>
        <v>#DIV/0!</v>
      </c>
      <c r="BD835" s="11" t="e">
        <f t="shared" si="1819"/>
        <v>#DIV/0!</v>
      </c>
    </row>
    <row r="836" spans="1:56" x14ac:dyDescent="0.25">
      <c r="A836" s="19" t="s">
        <v>4</v>
      </c>
      <c r="B836" s="8">
        <v>120410</v>
      </c>
      <c r="C836" s="35">
        <f>B836/F829</f>
        <v>106.27537511032656</v>
      </c>
      <c r="D836" s="8">
        <v>5250</v>
      </c>
      <c r="E836" s="68">
        <v>0</v>
      </c>
      <c r="F836" s="70">
        <v>0</v>
      </c>
      <c r="G836" s="35" t="e">
        <f t="shared" si="1794"/>
        <v>#DIV/0!</v>
      </c>
      <c r="H836" s="11" t="e">
        <f t="shared" si="1795"/>
        <v>#DIV/0!</v>
      </c>
      <c r="I836" s="35">
        <v>0</v>
      </c>
      <c r="J836" s="70">
        <v>0</v>
      </c>
      <c r="K836" s="35" t="e">
        <f t="shared" si="1796"/>
        <v>#DIV/0!</v>
      </c>
      <c r="L836" s="6" t="e">
        <f t="shared" si="1797"/>
        <v>#DIV/0!</v>
      </c>
      <c r="M836" s="68">
        <v>0</v>
      </c>
      <c r="N836" s="5">
        <v>0</v>
      </c>
      <c r="O836" s="35" t="e">
        <f t="shared" si="1798"/>
        <v>#DIV/0!</v>
      </c>
      <c r="P836" s="11" t="e">
        <f t="shared" si="1799"/>
        <v>#DIV/0!</v>
      </c>
      <c r="Q836" s="35">
        <v>0</v>
      </c>
      <c r="R836" s="66">
        <v>0</v>
      </c>
      <c r="S836" s="35" t="e">
        <f t="shared" si="1800"/>
        <v>#DIV/0!</v>
      </c>
      <c r="T836" s="6" t="e">
        <f t="shared" si="1801"/>
        <v>#DIV/0!</v>
      </c>
      <c r="U836" s="68">
        <v>44490</v>
      </c>
      <c r="V836" s="66">
        <v>630</v>
      </c>
      <c r="W836" s="35">
        <f t="shared" si="1802"/>
        <v>70.61904761904762</v>
      </c>
      <c r="X836" s="6">
        <f t="shared" si="1803"/>
        <v>0.66449116312915002</v>
      </c>
      <c r="Y836" s="68">
        <v>0</v>
      </c>
      <c r="Z836" s="70">
        <v>0</v>
      </c>
      <c r="AA836" s="35" t="e">
        <f t="shared" si="1804"/>
        <v>#DIV/0!</v>
      </c>
      <c r="AB836" s="11" t="e">
        <f t="shared" si="1805"/>
        <v>#DIV/0!</v>
      </c>
      <c r="AC836" s="35">
        <v>0</v>
      </c>
      <c r="AD836" s="36">
        <v>0</v>
      </c>
      <c r="AE836" s="35" t="e">
        <f t="shared" si="1806"/>
        <v>#DIV/0!</v>
      </c>
      <c r="AF836" s="6" t="e">
        <f t="shared" si="1807"/>
        <v>#DIV/0!</v>
      </c>
      <c r="AG836" s="68">
        <v>0</v>
      </c>
      <c r="AH836" s="66">
        <v>0</v>
      </c>
      <c r="AI836" s="35" t="e">
        <f t="shared" si="1808"/>
        <v>#DIV/0!</v>
      </c>
      <c r="AJ836" s="6" t="e">
        <f t="shared" si="1809"/>
        <v>#DIV/0!</v>
      </c>
      <c r="AK836" s="68">
        <v>350</v>
      </c>
      <c r="AL836" s="66">
        <v>31</v>
      </c>
      <c r="AM836" s="35">
        <f t="shared" si="1810"/>
        <v>11.290322580645162</v>
      </c>
      <c r="AN836" s="6">
        <f t="shared" si="1811"/>
        <v>0.10623648769928551</v>
      </c>
      <c r="AO836" s="68">
        <v>0</v>
      </c>
      <c r="AP836" s="66">
        <v>0</v>
      </c>
      <c r="AQ836" s="35" t="e">
        <f t="shared" si="1812"/>
        <v>#DIV/0!</v>
      </c>
      <c r="AR836" s="6" t="e">
        <f t="shared" si="1813"/>
        <v>#DIV/0!</v>
      </c>
      <c r="AS836" s="68">
        <v>0</v>
      </c>
      <c r="AT836" s="66">
        <v>0</v>
      </c>
      <c r="AU836" s="35" t="e">
        <f t="shared" si="1814"/>
        <v>#DIV/0!</v>
      </c>
      <c r="AV836" s="6" t="e">
        <f t="shared" si="1815"/>
        <v>#DIV/0!</v>
      </c>
      <c r="AW836" s="68">
        <v>0</v>
      </c>
      <c r="AX836" s="66">
        <v>0</v>
      </c>
      <c r="AY836" s="35" t="e">
        <f t="shared" si="1816"/>
        <v>#DIV/0!</v>
      </c>
      <c r="AZ836" s="6" t="e">
        <f t="shared" si="1817"/>
        <v>#DIV/0!</v>
      </c>
      <c r="BA836" s="68">
        <v>0</v>
      </c>
      <c r="BB836" s="66">
        <v>0</v>
      </c>
      <c r="BC836" s="35" t="e">
        <f t="shared" si="1818"/>
        <v>#DIV/0!</v>
      </c>
      <c r="BD836" s="11" t="e">
        <f t="shared" si="1819"/>
        <v>#DIV/0!</v>
      </c>
    </row>
    <row r="837" spans="1:56" x14ac:dyDescent="0.25">
      <c r="A837" s="19" t="s">
        <v>5</v>
      </c>
      <c r="B837" s="8">
        <v>158400</v>
      </c>
      <c r="C837" s="35">
        <f>B837/F829</f>
        <v>139.80582524271844</v>
      </c>
      <c r="D837" s="8">
        <v>7050</v>
      </c>
      <c r="E837" s="68">
        <v>0</v>
      </c>
      <c r="F837" s="70">
        <v>0</v>
      </c>
      <c r="G837" s="35" t="e">
        <f t="shared" si="1794"/>
        <v>#DIV/0!</v>
      </c>
      <c r="H837" s="11" t="e">
        <f t="shared" si="1795"/>
        <v>#DIV/0!</v>
      </c>
      <c r="I837" s="35">
        <v>0</v>
      </c>
      <c r="J837" s="70">
        <v>0</v>
      </c>
      <c r="K837" s="35" t="e">
        <f t="shared" si="1796"/>
        <v>#DIV/0!</v>
      </c>
      <c r="L837" s="6" t="e">
        <f t="shared" si="1797"/>
        <v>#DIV/0!</v>
      </c>
      <c r="M837" s="68">
        <v>0</v>
      </c>
      <c r="N837" s="5">
        <v>0</v>
      </c>
      <c r="O837" s="35" t="e">
        <f t="shared" si="1798"/>
        <v>#DIV/0!</v>
      </c>
      <c r="P837" s="11" t="e">
        <f t="shared" si="1799"/>
        <v>#DIV/0!</v>
      </c>
      <c r="Q837" s="35">
        <v>0</v>
      </c>
      <c r="R837" s="66">
        <v>0</v>
      </c>
      <c r="S837" s="35" t="e">
        <f t="shared" si="1800"/>
        <v>#DIV/0!</v>
      </c>
      <c r="T837" s="6" t="e">
        <f t="shared" si="1801"/>
        <v>#DIV/0!</v>
      </c>
      <c r="U837" s="68">
        <v>61530</v>
      </c>
      <c r="V837" s="66">
        <v>630</v>
      </c>
      <c r="W837" s="35">
        <f t="shared" si="1802"/>
        <v>97.666666666666671</v>
      </c>
      <c r="X837" s="6">
        <f t="shared" si="1803"/>
        <v>0.69858796296296299</v>
      </c>
      <c r="Y837" s="68">
        <v>0</v>
      </c>
      <c r="Z837" s="70">
        <v>0</v>
      </c>
      <c r="AA837" s="35" t="e">
        <f t="shared" si="1804"/>
        <v>#DIV/0!</v>
      </c>
      <c r="AB837" s="11" t="e">
        <f t="shared" si="1805"/>
        <v>#DIV/0!</v>
      </c>
      <c r="AC837" s="35">
        <v>0</v>
      </c>
      <c r="AD837" s="36">
        <v>0</v>
      </c>
      <c r="AE837" s="35" t="e">
        <f t="shared" si="1806"/>
        <v>#DIV/0!</v>
      </c>
      <c r="AF837" s="6" t="e">
        <f t="shared" si="1807"/>
        <v>#DIV/0!</v>
      </c>
      <c r="AG837" s="68">
        <v>0</v>
      </c>
      <c r="AH837" s="66">
        <v>0</v>
      </c>
      <c r="AI837" s="35" t="e">
        <f t="shared" si="1808"/>
        <v>#DIV/0!</v>
      </c>
      <c r="AJ837" s="6" t="e">
        <f t="shared" si="1809"/>
        <v>#DIV/0!</v>
      </c>
      <c r="AK837" s="68">
        <v>390</v>
      </c>
      <c r="AL837" s="66">
        <v>31</v>
      </c>
      <c r="AM837" s="35">
        <f t="shared" si="1810"/>
        <v>12.580645161290322</v>
      </c>
      <c r="AN837" s="6">
        <f t="shared" si="1811"/>
        <v>8.9986559139784941E-2</v>
      </c>
      <c r="AO837" s="68">
        <v>0</v>
      </c>
      <c r="AP837" s="66">
        <v>0</v>
      </c>
      <c r="AQ837" s="35" t="e">
        <f t="shared" si="1812"/>
        <v>#DIV/0!</v>
      </c>
      <c r="AR837" s="6" t="e">
        <f t="shared" si="1813"/>
        <v>#DIV/0!</v>
      </c>
      <c r="AS837" s="68">
        <v>0</v>
      </c>
      <c r="AT837" s="66">
        <v>0</v>
      </c>
      <c r="AU837" s="35" t="e">
        <f t="shared" si="1814"/>
        <v>#DIV/0!</v>
      </c>
      <c r="AV837" s="6" t="e">
        <f t="shared" si="1815"/>
        <v>#DIV/0!</v>
      </c>
      <c r="AW837" s="68">
        <v>0</v>
      </c>
      <c r="AX837" s="66">
        <v>0</v>
      </c>
      <c r="AY837" s="35" t="e">
        <f t="shared" si="1816"/>
        <v>#DIV/0!</v>
      </c>
      <c r="AZ837" s="6" t="e">
        <f t="shared" si="1817"/>
        <v>#DIV/0!</v>
      </c>
      <c r="BA837" s="68">
        <v>0</v>
      </c>
      <c r="BB837" s="66">
        <v>0</v>
      </c>
      <c r="BC837" s="35" t="e">
        <f t="shared" si="1818"/>
        <v>#DIV/0!</v>
      </c>
      <c r="BD837" s="11" t="e">
        <f t="shared" si="1819"/>
        <v>#DIV/0!</v>
      </c>
    </row>
    <row r="838" spans="1:56" x14ac:dyDescent="0.25">
      <c r="A838" s="19" t="s">
        <v>6</v>
      </c>
      <c r="B838" s="8">
        <v>185620</v>
      </c>
      <c r="C838" s="35">
        <f>B838/F829</f>
        <v>163.83053839364518</v>
      </c>
      <c r="D838" s="8">
        <v>10950</v>
      </c>
      <c r="E838" s="68">
        <v>0</v>
      </c>
      <c r="F838" s="70">
        <v>0</v>
      </c>
      <c r="G838" s="35" t="e">
        <f t="shared" si="1794"/>
        <v>#DIV/0!</v>
      </c>
      <c r="H838" s="11" t="e">
        <f t="shared" si="1795"/>
        <v>#DIV/0!</v>
      </c>
      <c r="I838" s="35">
        <v>0</v>
      </c>
      <c r="J838" s="70">
        <v>0</v>
      </c>
      <c r="K838" s="35" t="e">
        <f t="shared" si="1796"/>
        <v>#DIV/0!</v>
      </c>
      <c r="L838" s="6" t="e">
        <f t="shared" si="1797"/>
        <v>#DIV/0!</v>
      </c>
      <c r="M838" s="68">
        <v>0</v>
      </c>
      <c r="N838" s="5">
        <v>0</v>
      </c>
      <c r="O838" s="35" t="e">
        <f t="shared" si="1798"/>
        <v>#DIV/0!</v>
      </c>
      <c r="P838" s="11" t="e">
        <f t="shared" si="1799"/>
        <v>#DIV/0!</v>
      </c>
      <c r="Q838" s="35">
        <v>0</v>
      </c>
      <c r="R838" s="66">
        <v>0</v>
      </c>
      <c r="S838" s="35" t="e">
        <f t="shared" si="1800"/>
        <v>#DIV/0!</v>
      </c>
      <c r="T838" s="6" t="e">
        <f t="shared" si="1801"/>
        <v>#DIV/0!</v>
      </c>
      <c r="U838" s="68">
        <v>74310</v>
      </c>
      <c r="V838" s="66">
        <v>630</v>
      </c>
      <c r="W838" s="35">
        <f t="shared" si="1802"/>
        <v>117.95238095238095</v>
      </c>
      <c r="X838" s="6">
        <f t="shared" si="1803"/>
        <v>0.71996577749729351</v>
      </c>
      <c r="Y838" s="68">
        <v>0</v>
      </c>
      <c r="Z838" s="70">
        <v>0</v>
      </c>
      <c r="AA838" s="35" t="e">
        <f t="shared" si="1804"/>
        <v>#DIV/0!</v>
      </c>
      <c r="AB838" s="11" t="e">
        <f t="shared" si="1805"/>
        <v>#DIV/0!</v>
      </c>
      <c r="AC838" s="35">
        <v>0</v>
      </c>
      <c r="AD838" s="36">
        <v>0</v>
      </c>
      <c r="AE838" s="35" t="e">
        <f t="shared" si="1806"/>
        <v>#DIV/0!</v>
      </c>
      <c r="AF838" s="6" t="e">
        <f t="shared" si="1807"/>
        <v>#DIV/0!</v>
      </c>
      <c r="AG838" s="68">
        <v>0</v>
      </c>
      <c r="AH838" s="66">
        <v>0</v>
      </c>
      <c r="AI838" s="35" t="e">
        <f t="shared" si="1808"/>
        <v>#DIV/0!</v>
      </c>
      <c r="AJ838" s="6" t="e">
        <f t="shared" si="1809"/>
        <v>#DIV/0!</v>
      </c>
      <c r="AK838" s="68">
        <v>430</v>
      </c>
      <c r="AL838" s="66">
        <v>31</v>
      </c>
      <c r="AM838" s="35">
        <f t="shared" si="1810"/>
        <v>13.870967741935484</v>
      </c>
      <c r="AN838" s="6">
        <f t="shared" si="1811"/>
        <v>8.4666557761086655E-2</v>
      </c>
      <c r="AO838" s="68">
        <v>0</v>
      </c>
      <c r="AP838" s="66">
        <v>0</v>
      </c>
      <c r="AQ838" s="35" t="e">
        <f t="shared" si="1812"/>
        <v>#DIV/0!</v>
      </c>
      <c r="AR838" s="6" t="e">
        <f t="shared" si="1813"/>
        <v>#DIV/0!</v>
      </c>
      <c r="AS838" s="68">
        <v>0</v>
      </c>
      <c r="AT838" s="66">
        <v>0</v>
      </c>
      <c r="AU838" s="35" t="e">
        <f t="shared" si="1814"/>
        <v>#DIV/0!</v>
      </c>
      <c r="AV838" s="6" t="e">
        <f t="shared" si="1815"/>
        <v>#DIV/0!</v>
      </c>
      <c r="AW838" s="68">
        <v>0</v>
      </c>
      <c r="AX838" s="66">
        <v>0</v>
      </c>
      <c r="AY838" s="35" t="e">
        <f t="shared" si="1816"/>
        <v>#DIV/0!</v>
      </c>
      <c r="AZ838" s="6" t="e">
        <f t="shared" si="1817"/>
        <v>#DIV/0!</v>
      </c>
      <c r="BA838" s="68">
        <v>0</v>
      </c>
      <c r="BB838" s="66">
        <v>0</v>
      </c>
      <c r="BC838" s="35" t="e">
        <f t="shared" si="1818"/>
        <v>#DIV/0!</v>
      </c>
      <c r="BD838" s="11" t="e">
        <f t="shared" si="1819"/>
        <v>#DIV/0!</v>
      </c>
    </row>
    <row r="839" spans="1:56" ht="15.75" thickBot="1" x14ac:dyDescent="0.3">
      <c r="A839" s="21"/>
      <c r="B839" s="22"/>
      <c r="C839" s="23">
        <f>AVERAGE(Table11072[MA $/Sq Ft])</f>
        <v>96.748203253057611</v>
      </c>
      <c r="D839" s="22">
        <f>AVERAGE(Table11072[Basic Allowance])</f>
        <v>4442.8571428571431</v>
      </c>
      <c r="E839" s="16"/>
      <c r="F839" s="22"/>
      <c r="G839" s="15"/>
      <c r="H839" s="24" t="e">
        <f>AVERAGE(Table11072[Bsmt % Base])</f>
        <v>#DIV/0!</v>
      </c>
      <c r="I839" s="15"/>
      <c r="J839" s="15"/>
      <c r="K839" s="15"/>
      <c r="L839" s="25" t="e">
        <f>AVERAGE(Table11072[[#Headers],[#Data],[UnfBsmt % Base]])</f>
        <v>#DIV/0!</v>
      </c>
      <c r="M839" s="44"/>
      <c r="N839" s="15"/>
      <c r="O839" s="23" t="e">
        <f>AVERAGE(Table11072[LowerVal/SqFt])</f>
        <v>#DIV/0!</v>
      </c>
      <c r="P839" s="24" t="e">
        <f>AVERAGE(Table11072[Lower % Base])</f>
        <v>#DIV/0!</v>
      </c>
      <c r="Q839" s="13"/>
      <c r="R839" s="13"/>
      <c r="S839" s="13"/>
      <c r="T839" s="25" t="e">
        <f>AVERAGE(Table11072[Unf Lower % Base])</f>
        <v>#DIV/0!</v>
      </c>
      <c r="U839" s="12"/>
      <c r="V839" s="13"/>
      <c r="W839" s="13"/>
      <c r="X839" s="25">
        <f>AVERAGE(Table11072[1/2 Story % Base])</f>
        <v>0.66568987469160912</v>
      </c>
      <c r="Y839" s="12"/>
      <c r="Z839" s="13"/>
      <c r="AA839" s="13"/>
      <c r="AB839" s="24" t="e">
        <f>AVERAGE(Table11072[2nd Story % Base])</f>
        <v>#DIV/0!</v>
      </c>
      <c r="AC839" s="13"/>
      <c r="AD839" s="13"/>
      <c r="AE839" s="23" t="e">
        <f>AVERAGE(Table11072[AttGarVal/SqFt])</f>
        <v>#DIV/0!</v>
      </c>
      <c r="AF839" s="25" t="e">
        <f>AVERAGE(Table11072[Att Gar % Base])</f>
        <v>#DIV/0!</v>
      </c>
      <c r="AG839" s="12"/>
      <c r="AH839" s="13"/>
      <c r="AI839" s="13"/>
      <c r="AJ839" s="25" t="e">
        <f>AVERAGE(Table11072[Porch % Base])</f>
        <v>#DIV/0!</v>
      </c>
      <c r="AK839" s="12"/>
      <c r="AL839" s="13"/>
      <c r="AM839" s="13"/>
      <c r="AN839" s="25">
        <f>AVERAGE(Table11072[Cov Porch % Base])</f>
        <v>0.10859518892412527</v>
      </c>
      <c r="AO839" s="12"/>
      <c r="AP839" s="13"/>
      <c r="AQ839" s="13"/>
      <c r="AR839" s="25" t="e">
        <f>AVERAGE(Table11072[Deck % Base])</f>
        <v>#DIV/0!</v>
      </c>
      <c r="AS839" s="12"/>
      <c r="AT839" s="13"/>
      <c r="AU839" s="23" t="e">
        <f>AVERAGE(Table11072[CovDeckVal/SqFt])</f>
        <v>#DIV/0!</v>
      </c>
      <c r="AV839" s="25" t="e">
        <f>AVERAGE(Table11072[CovDeck % Base])</f>
        <v>#DIV/0!</v>
      </c>
      <c r="AW839" s="12"/>
      <c r="AX839" s="13"/>
      <c r="AY839" s="13"/>
      <c r="AZ839" s="25" t="e">
        <f>AVERAGE(Table11072[CarP % Base])</f>
        <v>#DIV/0!</v>
      </c>
      <c r="BA839" s="12"/>
      <c r="BB839" s="13"/>
      <c r="BC839" s="13"/>
      <c r="BD839" s="24" t="e">
        <f>AVERAGE(Table11072[EFP % Base])</f>
        <v>#DIV/0!</v>
      </c>
    </row>
    <row r="841" spans="1:56" ht="15.75" thickBot="1" x14ac:dyDescent="0.3">
      <c r="A841" s="84"/>
      <c r="B841" s="74" t="s">
        <v>79</v>
      </c>
      <c r="C841" s="86" t="s">
        <v>169</v>
      </c>
      <c r="D841" s="74"/>
      <c r="E841" s="74" t="s">
        <v>33</v>
      </c>
      <c r="F841" s="75">
        <v>720</v>
      </c>
      <c r="G841" s="74"/>
      <c r="H841" s="74" t="s">
        <v>200</v>
      </c>
      <c r="I841" s="74"/>
      <c r="J841" s="74" t="s">
        <v>83</v>
      </c>
      <c r="K841" s="75">
        <v>1947</v>
      </c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6"/>
    </row>
    <row r="842" spans="1:56" x14ac:dyDescent="0.25">
      <c r="A842" s="112"/>
      <c r="B842" s="113"/>
      <c r="C842" s="113"/>
      <c r="D842" s="114"/>
      <c r="E842" s="115" t="s">
        <v>27</v>
      </c>
      <c r="F842" s="116"/>
      <c r="G842" s="116"/>
      <c r="H842" s="117"/>
      <c r="I842" s="118" t="s">
        <v>28</v>
      </c>
      <c r="J842" s="119"/>
      <c r="K842" s="119"/>
      <c r="L842" s="120"/>
      <c r="M842" s="121" t="s">
        <v>7</v>
      </c>
      <c r="N842" s="122"/>
      <c r="O842" s="122"/>
      <c r="P842" s="122"/>
      <c r="Q842" s="124" t="s">
        <v>29</v>
      </c>
      <c r="R842" s="125"/>
      <c r="S842" s="125"/>
      <c r="T842" s="126"/>
      <c r="U842" s="128" t="s">
        <v>8</v>
      </c>
      <c r="V842" s="128"/>
      <c r="W842" s="128"/>
      <c r="X842" s="129"/>
      <c r="Y842" s="130" t="s">
        <v>0</v>
      </c>
      <c r="Z842" s="131"/>
      <c r="AA842" s="131"/>
      <c r="AB842" s="132"/>
      <c r="AC842" s="133" t="s">
        <v>34</v>
      </c>
      <c r="AD842" s="134"/>
      <c r="AE842" s="134"/>
      <c r="AF842" s="135"/>
      <c r="AG842" s="115" t="s">
        <v>9</v>
      </c>
      <c r="AH842" s="116"/>
      <c r="AI842" s="116"/>
      <c r="AJ842" s="117"/>
      <c r="AK842" s="136" t="s">
        <v>35</v>
      </c>
      <c r="AL842" s="137"/>
      <c r="AM842" s="137"/>
      <c r="AN842" s="138"/>
      <c r="AO842" s="139" t="s">
        <v>10</v>
      </c>
      <c r="AP842" s="140"/>
      <c r="AQ842" s="140"/>
      <c r="AR842" s="141"/>
      <c r="AS842" s="124" t="s">
        <v>36</v>
      </c>
      <c r="AT842" s="125"/>
      <c r="AU842" s="125"/>
      <c r="AV842" s="126"/>
      <c r="AW842" s="142" t="s">
        <v>11</v>
      </c>
      <c r="AX842" s="143"/>
      <c r="AY842" s="143"/>
      <c r="AZ842" s="144"/>
      <c r="BA842" s="148" t="s">
        <v>17</v>
      </c>
      <c r="BB842" s="149"/>
      <c r="BC842" s="149"/>
      <c r="BD842" s="150"/>
    </row>
    <row r="843" spans="1:56" ht="15.75" thickBot="1" x14ac:dyDescent="0.3">
      <c r="A843" s="41" t="s">
        <v>13</v>
      </c>
      <c r="B843" s="42" t="s">
        <v>15</v>
      </c>
      <c r="C843" s="42" t="s">
        <v>32</v>
      </c>
      <c r="D843" s="43" t="s">
        <v>18</v>
      </c>
      <c r="E843" s="30" t="s">
        <v>30</v>
      </c>
      <c r="F843" s="31" t="s">
        <v>61</v>
      </c>
      <c r="G843" s="31" t="s">
        <v>38</v>
      </c>
      <c r="H843" s="32" t="s">
        <v>62</v>
      </c>
      <c r="I843" s="37" t="s">
        <v>31</v>
      </c>
      <c r="J843" s="38" t="s">
        <v>39</v>
      </c>
      <c r="K843" s="38" t="s">
        <v>40</v>
      </c>
      <c r="L843" s="39" t="s">
        <v>63</v>
      </c>
      <c r="M843" s="40" t="s">
        <v>19</v>
      </c>
      <c r="N843" s="7" t="s">
        <v>41</v>
      </c>
      <c r="O843" s="7" t="s">
        <v>37</v>
      </c>
      <c r="P843" s="7" t="s">
        <v>64</v>
      </c>
      <c r="Q843" s="27" t="s">
        <v>20</v>
      </c>
      <c r="R843" s="28" t="s">
        <v>60</v>
      </c>
      <c r="S843" s="28" t="s">
        <v>59</v>
      </c>
      <c r="T843" s="29" t="s">
        <v>65</v>
      </c>
      <c r="U843" s="48" t="s">
        <v>21</v>
      </c>
      <c r="V843" s="48" t="s">
        <v>42</v>
      </c>
      <c r="W843" s="48" t="s">
        <v>43</v>
      </c>
      <c r="X843" s="49" t="s">
        <v>66</v>
      </c>
      <c r="Y843" s="50" t="s">
        <v>22</v>
      </c>
      <c r="Z843" s="51" t="s">
        <v>44</v>
      </c>
      <c r="AA843" s="51" t="s">
        <v>45</v>
      </c>
      <c r="AB843" s="52" t="s">
        <v>67</v>
      </c>
      <c r="AC843" s="45" t="s">
        <v>23</v>
      </c>
      <c r="AD843" s="46" t="s">
        <v>46</v>
      </c>
      <c r="AE843" s="46" t="s">
        <v>47</v>
      </c>
      <c r="AF843" s="47" t="s">
        <v>68</v>
      </c>
      <c r="AG843" s="30" t="s">
        <v>24</v>
      </c>
      <c r="AH843" s="31" t="s">
        <v>48</v>
      </c>
      <c r="AI843" s="31" t="s">
        <v>49</v>
      </c>
      <c r="AJ843" s="32" t="s">
        <v>69</v>
      </c>
      <c r="AK843" s="53" t="s">
        <v>25</v>
      </c>
      <c r="AL843" s="54" t="s">
        <v>50</v>
      </c>
      <c r="AM843" s="54" t="s">
        <v>51</v>
      </c>
      <c r="AN843" s="55" t="s">
        <v>70</v>
      </c>
      <c r="AO843" s="56" t="s">
        <v>26</v>
      </c>
      <c r="AP843" s="57" t="s">
        <v>52</v>
      </c>
      <c r="AQ843" s="57" t="s">
        <v>53</v>
      </c>
      <c r="AR843" s="58" t="s">
        <v>71</v>
      </c>
      <c r="AS843" s="59" t="s">
        <v>55</v>
      </c>
      <c r="AT843" s="60" t="s">
        <v>54</v>
      </c>
      <c r="AU843" s="60" t="s">
        <v>56</v>
      </c>
      <c r="AV843" s="61" t="s">
        <v>76</v>
      </c>
      <c r="AW843" s="62" t="s">
        <v>72</v>
      </c>
      <c r="AX843" s="63" t="s">
        <v>73</v>
      </c>
      <c r="AY843" s="63" t="s">
        <v>74</v>
      </c>
      <c r="AZ843" s="64" t="s">
        <v>75</v>
      </c>
      <c r="BA843" s="71" t="s">
        <v>77</v>
      </c>
      <c r="BB843" s="72" t="s">
        <v>57</v>
      </c>
      <c r="BC843" s="72" t="s">
        <v>58</v>
      </c>
      <c r="BD843" s="73" t="s">
        <v>78</v>
      </c>
    </row>
    <row r="844" spans="1:56" x14ac:dyDescent="0.25">
      <c r="A844" s="17" t="s">
        <v>1</v>
      </c>
      <c r="B844" s="14">
        <v>40170</v>
      </c>
      <c r="C844" s="34">
        <f>B844/F841</f>
        <v>55.791666666666664</v>
      </c>
      <c r="D844" s="14">
        <v>1525</v>
      </c>
      <c r="E844" s="67">
        <v>14880</v>
      </c>
      <c r="F844" s="69">
        <v>520</v>
      </c>
      <c r="G844" s="34">
        <f t="shared" ref="G844:G850" si="1820">E844/F844</f>
        <v>28.615384615384617</v>
      </c>
      <c r="H844" s="10">
        <f t="shared" ref="H844:H850" si="1821">G844/C844</f>
        <v>0.51289711035790209</v>
      </c>
      <c r="I844" s="34">
        <v>0</v>
      </c>
      <c r="J844" s="69">
        <v>0</v>
      </c>
      <c r="K844" s="34" t="e">
        <f t="shared" ref="K844:K850" si="1822">I844/J844</f>
        <v>#DIV/0!</v>
      </c>
      <c r="L844" s="9" t="e">
        <f t="shared" ref="L844:L850" si="1823">K844/C844</f>
        <v>#DIV/0!</v>
      </c>
      <c r="M844" s="67">
        <v>0</v>
      </c>
      <c r="N844" s="26">
        <v>0</v>
      </c>
      <c r="O844" s="34" t="e">
        <f t="shared" ref="O844:O850" si="1824">M844/N844</f>
        <v>#DIV/0!</v>
      </c>
      <c r="P844" s="10" t="e">
        <f t="shared" ref="P844:P850" si="1825">O844/C844</f>
        <v>#DIV/0!</v>
      </c>
      <c r="Q844" s="35">
        <v>0</v>
      </c>
      <c r="R844" s="66">
        <v>0</v>
      </c>
      <c r="S844" s="35" t="e">
        <f t="shared" ref="S844:S850" si="1826">Q844/R844</f>
        <v>#DIV/0!</v>
      </c>
      <c r="T844" s="6" t="e">
        <f t="shared" ref="T844:T850" si="1827">S844/C844</f>
        <v>#DIV/0!</v>
      </c>
      <c r="U844" s="67">
        <v>15410</v>
      </c>
      <c r="V844" s="65">
        <v>550</v>
      </c>
      <c r="W844" s="34">
        <f t="shared" ref="W844:W850" si="1828">U844/V844</f>
        <v>28.018181818181819</v>
      </c>
      <c r="X844" s="9">
        <f t="shared" ref="X844:X850" si="1829">W844/C844</f>
        <v>0.50219295267838959</v>
      </c>
      <c r="Y844" s="67">
        <v>0</v>
      </c>
      <c r="Z844" s="69">
        <v>0</v>
      </c>
      <c r="AA844" s="34" t="e">
        <f t="shared" ref="AA844:AA850" si="1830">Y844/Z844</f>
        <v>#DIV/0!</v>
      </c>
      <c r="AB844" s="10" t="e">
        <f t="shared" ref="AB844:AB850" si="1831">AA844/C844</f>
        <v>#DIV/0!</v>
      </c>
      <c r="AC844" s="34">
        <v>0</v>
      </c>
      <c r="AD844" s="33">
        <v>0</v>
      </c>
      <c r="AE844" s="34" t="e">
        <f t="shared" ref="AE844:AE850" si="1832">AC844/AD844</f>
        <v>#DIV/0!</v>
      </c>
      <c r="AF844" s="9" t="e">
        <f t="shared" ref="AF844:AF850" si="1833">AE844/C844</f>
        <v>#DIV/0!</v>
      </c>
      <c r="AG844" s="67">
        <v>0</v>
      </c>
      <c r="AH844" s="65">
        <v>0</v>
      </c>
      <c r="AI844" s="34" t="e">
        <f t="shared" ref="AI844:AI850" si="1834">AG844/AH844</f>
        <v>#DIV/0!</v>
      </c>
      <c r="AJ844" s="9" t="e">
        <f t="shared" ref="AJ844:AJ850" si="1835">AI844/C844</f>
        <v>#DIV/0!</v>
      </c>
      <c r="AK844" s="67">
        <v>0</v>
      </c>
      <c r="AL844" s="65">
        <v>0</v>
      </c>
      <c r="AM844" s="34" t="e">
        <f t="shared" ref="AM844:AM850" si="1836">AK844/AL844</f>
        <v>#DIV/0!</v>
      </c>
      <c r="AN844" s="9" t="e">
        <f t="shared" ref="AN844:AN850" si="1837">AM844/C844</f>
        <v>#DIV/0!</v>
      </c>
      <c r="AO844" s="67">
        <v>0</v>
      </c>
      <c r="AP844" s="65">
        <v>0</v>
      </c>
      <c r="AQ844" s="34" t="e">
        <f t="shared" ref="AQ844:AQ850" si="1838">AO844/AP844</f>
        <v>#DIV/0!</v>
      </c>
      <c r="AR844" s="9" t="e">
        <f t="shared" ref="AR844:AR850" si="1839">AQ844/C844</f>
        <v>#DIV/0!</v>
      </c>
      <c r="AS844" s="67">
        <v>0</v>
      </c>
      <c r="AT844" s="65">
        <v>0</v>
      </c>
      <c r="AU844" s="34" t="e">
        <f t="shared" ref="AU844:AU850" si="1840">AS844/AT844</f>
        <v>#DIV/0!</v>
      </c>
      <c r="AV844" s="9" t="e">
        <f t="shared" ref="AV844:AV850" si="1841">AU844/C844</f>
        <v>#DIV/0!</v>
      </c>
      <c r="AW844" s="67">
        <v>0</v>
      </c>
      <c r="AX844" s="65">
        <v>0</v>
      </c>
      <c r="AY844" s="34" t="e">
        <f t="shared" ref="AY844:AY850" si="1842">AW844/AX844</f>
        <v>#DIV/0!</v>
      </c>
      <c r="AZ844" s="9" t="e">
        <f t="shared" ref="AZ844:AZ850" si="1843">AY844/C844</f>
        <v>#DIV/0!</v>
      </c>
      <c r="BA844" s="67">
        <v>0</v>
      </c>
      <c r="BB844" s="65">
        <v>0</v>
      </c>
      <c r="BC844" s="34" t="e">
        <f t="shared" ref="BC844:BC850" si="1844">BA844/BB844</f>
        <v>#DIV/0!</v>
      </c>
      <c r="BD844" s="10" t="e">
        <f t="shared" ref="BD844:BD850" si="1845">BC844/C844</f>
        <v>#DIV/0!</v>
      </c>
    </row>
    <row r="845" spans="1:56" x14ac:dyDescent="0.25">
      <c r="A845" s="19" t="s">
        <v>16</v>
      </c>
      <c r="B845" s="8">
        <v>47260</v>
      </c>
      <c r="C845" s="35">
        <f>B845/F841</f>
        <v>65.638888888888886</v>
      </c>
      <c r="D845" s="8">
        <v>1525</v>
      </c>
      <c r="E845" s="68">
        <v>19630</v>
      </c>
      <c r="F845" s="70">
        <v>520</v>
      </c>
      <c r="G845" s="35">
        <f t="shared" si="1820"/>
        <v>37.75</v>
      </c>
      <c r="H845" s="11">
        <f t="shared" si="1821"/>
        <v>0.57511637748624633</v>
      </c>
      <c r="I845" s="35">
        <v>0</v>
      </c>
      <c r="J845" s="70">
        <v>0</v>
      </c>
      <c r="K845" s="35" t="e">
        <f t="shared" si="1822"/>
        <v>#DIV/0!</v>
      </c>
      <c r="L845" s="6" t="e">
        <f t="shared" si="1823"/>
        <v>#DIV/0!</v>
      </c>
      <c r="M845" s="68">
        <v>0</v>
      </c>
      <c r="N845" s="5">
        <v>0</v>
      </c>
      <c r="O845" s="35" t="e">
        <f t="shared" si="1824"/>
        <v>#DIV/0!</v>
      </c>
      <c r="P845" s="11" t="e">
        <f t="shared" si="1825"/>
        <v>#DIV/0!</v>
      </c>
      <c r="Q845" s="35">
        <v>0</v>
      </c>
      <c r="R845" s="66">
        <v>0</v>
      </c>
      <c r="S845" s="35" t="e">
        <f t="shared" si="1826"/>
        <v>#DIV/0!</v>
      </c>
      <c r="T845" s="6" t="e">
        <f t="shared" si="1827"/>
        <v>#DIV/0!</v>
      </c>
      <c r="U845" s="68">
        <v>20340</v>
      </c>
      <c r="V845" s="66">
        <v>550</v>
      </c>
      <c r="W845" s="35">
        <f t="shared" si="1828"/>
        <v>36.981818181818184</v>
      </c>
      <c r="X845" s="6">
        <f t="shared" si="1829"/>
        <v>0.56341322663794102</v>
      </c>
      <c r="Y845" s="68">
        <v>0</v>
      </c>
      <c r="Z845" s="70">
        <v>0</v>
      </c>
      <c r="AA845" s="35" t="e">
        <f t="shared" si="1830"/>
        <v>#DIV/0!</v>
      </c>
      <c r="AB845" s="11" t="e">
        <f t="shared" si="1831"/>
        <v>#DIV/0!</v>
      </c>
      <c r="AC845" s="35">
        <v>0</v>
      </c>
      <c r="AD845" s="36">
        <v>0</v>
      </c>
      <c r="AE845" s="35" t="e">
        <f t="shared" si="1832"/>
        <v>#DIV/0!</v>
      </c>
      <c r="AF845" s="6" t="e">
        <f t="shared" si="1833"/>
        <v>#DIV/0!</v>
      </c>
      <c r="AG845" s="68">
        <v>0</v>
      </c>
      <c r="AH845" s="66">
        <v>0</v>
      </c>
      <c r="AI845" s="35" t="e">
        <f t="shared" si="1834"/>
        <v>#DIV/0!</v>
      </c>
      <c r="AJ845" s="6" t="e">
        <f t="shared" si="1835"/>
        <v>#DIV/0!</v>
      </c>
      <c r="AK845" s="68">
        <v>0</v>
      </c>
      <c r="AL845" s="66">
        <v>0</v>
      </c>
      <c r="AM845" s="35" t="e">
        <f t="shared" si="1836"/>
        <v>#DIV/0!</v>
      </c>
      <c r="AN845" s="6" t="e">
        <f t="shared" si="1837"/>
        <v>#DIV/0!</v>
      </c>
      <c r="AO845" s="68">
        <v>0</v>
      </c>
      <c r="AP845" s="66">
        <v>0</v>
      </c>
      <c r="AQ845" s="35" t="e">
        <f t="shared" si="1838"/>
        <v>#DIV/0!</v>
      </c>
      <c r="AR845" s="6" t="e">
        <f t="shared" si="1839"/>
        <v>#DIV/0!</v>
      </c>
      <c r="AS845" s="68">
        <v>0</v>
      </c>
      <c r="AT845" s="66">
        <v>0</v>
      </c>
      <c r="AU845" s="35" t="e">
        <f t="shared" si="1840"/>
        <v>#DIV/0!</v>
      </c>
      <c r="AV845" s="6" t="e">
        <f t="shared" si="1841"/>
        <v>#DIV/0!</v>
      </c>
      <c r="AW845" s="68">
        <v>0</v>
      </c>
      <c r="AX845" s="66">
        <v>0</v>
      </c>
      <c r="AY845" s="35" t="e">
        <f t="shared" si="1842"/>
        <v>#DIV/0!</v>
      </c>
      <c r="AZ845" s="6" t="e">
        <f t="shared" si="1843"/>
        <v>#DIV/0!</v>
      </c>
      <c r="BA845" s="68">
        <v>0</v>
      </c>
      <c r="BB845" s="66">
        <v>0</v>
      </c>
      <c r="BC845" s="35" t="e">
        <f t="shared" si="1844"/>
        <v>#DIV/0!</v>
      </c>
      <c r="BD845" s="11" t="e">
        <f t="shared" si="1845"/>
        <v>#DIV/0!</v>
      </c>
    </row>
    <row r="846" spans="1:56" x14ac:dyDescent="0.25">
      <c r="A846" s="19" t="s">
        <v>2</v>
      </c>
      <c r="B846" s="8">
        <v>55310</v>
      </c>
      <c r="C846" s="35">
        <f>B846/F841</f>
        <v>76.819444444444443</v>
      </c>
      <c r="D846" s="8">
        <v>2100</v>
      </c>
      <c r="E846" s="68">
        <v>22390</v>
      </c>
      <c r="F846" s="70">
        <v>520</v>
      </c>
      <c r="G846" s="35">
        <f t="shared" si="1820"/>
        <v>43.057692307692307</v>
      </c>
      <c r="H846" s="11">
        <f t="shared" si="1821"/>
        <v>0.56050512496001559</v>
      </c>
      <c r="I846" s="35">
        <v>0</v>
      </c>
      <c r="J846" s="70">
        <v>0</v>
      </c>
      <c r="K846" s="35" t="e">
        <f t="shared" si="1822"/>
        <v>#DIV/0!</v>
      </c>
      <c r="L846" s="6" t="e">
        <f t="shared" si="1823"/>
        <v>#DIV/0!</v>
      </c>
      <c r="M846" s="68">
        <v>0</v>
      </c>
      <c r="N846" s="5">
        <v>0</v>
      </c>
      <c r="O846" s="35" t="e">
        <f t="shared" si="1824"/>
        <v>#DIV/0!</v>
      </c>
      <c r="P846" s="11" t="e">
        <f t="shared" si="1825"/>
        <v>#DIV/0!</v>
      </c>
      <c r="Q846" s="35">
        <v>0</v>
      </c>
      <c r="R846" s="66">
        <v>0</v>
      </c>
      <c r="S846" s="35" t="e">
        <f t="shared" si="1826"/>
        <v>#DIV/0!</v>
      </c>
      <c r="T846" s="6" t="e">
        <f t="shared" si="1827"/>
        <v>#DIV/0!</v>
      </c>
      <c r="U846" s="68">
        <v>25080</v>
      </c>
      <c r="V846" s="66">
        <v>550</v>
      </c>
      <c r="W846" s="35">
        <f t="shared" si="1828"/>
        <v>45.6</v>
      </c>
      <c r="X846" s="6">
        <f t="shared" si="1829"/>
        <v>0.59359971072138862</v>
      </c>
      <c r="Y846" s="68">
        <v>0</v>
      </c>
      <c r="Z846" s="70">
        <v>0</v>
      </c>
      <c r="AA846" s="35" t="e">
        <f t="shared" si="1830"/>
        <v>#DIV/0!</v>
      </c>
      <c r="AB846" s="11" t="e">
        <f t="shared" si="1831"/>
        <v>#DIV/0!</v>
      </c>
      <c r="AC846" s="35">
        <v>0</v>
      </c>
      <c r="AD846" s="36">
        <v>0</v>
      </c>
      <c r="AE846" s="35" t="e">
        <f t="shared" si="1832"/>
        <v>#DIV/0!</v>
      </c>
      <c r="AF846" s="6" t="e">
        <f t="shared" si="1833"/>
        <v>#DIV/0!</v>
      </c>
      <c r="AG846" s="68">
        <v>0</v>
      </c>
      <c r="AH846" s="66">
        <v>0</v>
      </c>
      <c r="AI846" s="35" t="e">
        <f t="shared" si="1834"/>
        <v>#DIV/0!</v>
      </c>
      <c r="AJ846" s="6" t="e">
        <f t="shared" si="1835"/>
        <v>#DIV/0!</v>
      </c>
      <c r="AK846" s="68">
        <v>0</v>
      </c>
      <c r="AL846" s="66">
        <v>0</v>
      </c>
      <c r="AM846" s="35" t="e">
        <f t="shared" si="1836"/>
        <v>#DIV/0!</v>
      </c>
      <c r="AN846" s="6" t="e">
        <f t="shared" si="1837"/>
        <v>#DIV/0!</v>
      </c>
      <c r="AO846" s="68">
        <v>0</v>
      </c>
      <c r="AP846" s="66">
        <v>0</v>
      </c>
      <c r="AQ846" s="35" t="e">
        <f t="shared" si="1838"/>
        <v>#DIV/0!</v>
      </c>
      <c r="AR846" s="6" t="e">
        <f t="shared" si="1839"/>
        <v>#DIV/0!</v>
      </c>
      <c r="AS846" s="68">
        <v>0</v>
      </c>
      <c r="AT846" s="66">
        <v>0</v>
      </c>
      <c r="AU846" s="35" t="e">
        <f t="shared" si="1840"/>
        <v>#DIV/0!</v>
      </c>
      <c r="AV846" s="6" t="e">
        <f t="shared" si="1841"/>
        <v>#DIV/0!</v>
      </c>
      <c r="AW846" s="68">
        <v>0</v>
      </c>
      <c r="AX846" s="66">
        <v>0</v>
      </c>
      <c r="AY846" s="35" t="e">
        <f t="shared" si="1842"/>
        <v>#DIV/0!</v>
      </c>
      <c r="AZ846" s="6" t="e">
        <f t="shared" si="1843"/>
        <v>#DIV/0!</v>
      </c>
      <c r="BA846" s="68">
        <v>0</v>
      </c>
      <c r="BB846" s="66">
        <v>0</v>
      </c>
      <c r="BC846" s="35" t="e">
        <f t="shared" si="1844"/>
        <v>#DIV/0!</v>
      </c>
      <c r="BD846" s="11" t="e">
        <f t="shared" si="1845"/>
        <v>#DIV/0!</v>
      </c>
    </row>
    <row r="847" spans="1:56" x14ac:dyDescent="0.25">
      <c r="A847" s="19" t="s">
        <v>3</v>
      </c>
      <c r="B847" s="8">
        <v>65870</v>
      </c>
      <c r="C847" s="35">
        <f>B847/F841</f>
        <v>91.486111111111114</v>
      </c>
      <c r="D847" s="8">
        <v>2700</v>
      </c>
      <c r="E847" s="68">
        <v>24750</v>
      </c>
      <c r="F847" s="70">
        <v>520</v>
      </c>
      <c r="G847" s="35">
        <f t="shared" si="1820"/>
        <v>47.596153846153847</v>
      </c>
      <c r="H847" s="11">
        <f t="shared" si="1821"/>
        <v>0.5202555149420186</v>
      </c>
      <c r="I847" s="35">
        <v>0</v>
      </c>
      <c r="J847" s="70">
        <v>0</v>
      </c>
      <c r="K847" s="35" t="e">
        <f t="shared" si="1822"/>
        <v>#DIV/0!</v>
      </c>
      <c r="L847" s="6" t="e">
        <f t="shared" si="1823"/>
        <v>#DIV/0!</v>
      </c>
      <c r="M847" s="68">
        <v>0</v>
      </c>
      <c r="N847" s="5">
        <v>0</v>
      </c>
      <c r="O847" s="35" t="e">
        <f t="shared" si="1824"/>
        <v>#DIV/0!</v>
      </c>
      <c r="P847" s="11" t="e">
        <f t="shared" si="1825"/>
        <v>#DIV/0!</v>
      </c>
      <c r="Q847" s="35">
        <v>0</v>
      </c>
      <c r="R847" s="66">
        <v>0</v>
      </c>
      <c r="S847" s="35" t="e">
        <f t="shared" si="1826"/>
        <v>#DIV/0!</v>
      </c>
      <c r="T847" s="6" t="e">
        <f t="shared" si="1827"/>
        <v>#DIV/0!</v>
      </c>
      <c r="U847" s="68">
        <v>29500</v>
      </c>
      <c r="V847" s="66">
        <v>550</v>
      </c>
      <c r="W847" s="35">
        <f t="shared" si="1828"/>
        <v>53.636363636363633</v>
      </c>
      <c r="X847" s="6">
        <f t="shared" si="1829"/>
        <v>0.58627875843603783</v>
      </c>
      <c r="Y847" s="68">
        <v>0</v>
      </c>
      <c r="Z847" s="70">
        <v>0</v>
      </c>
      <c r="AA847" s="35" t="e">
        <f t="shared" si="1830"/>
        <v>#DIV/0!</v>
      </c>
      <c r="AB847" s="11" t="e">
        <f t="shared" si="1831"/>
        <v>#DIV/0!</v>
      </c>
      <c r="AC847" s="35">
        <v>0</v>
      </c>
      <c r="AD847" s="36">
        <v>0</v>
      </c>
      <c r="AE847" s="35" t="e">
        <f t="shared" si="1832"/>
        <v>#DIV/0!</v>
      </c>
      <c r="AF847" s="6" t="e">
        <f t="shared" si="1833"/>
        <v>#DIV/0!</v>
      </c>
      <c r="AG847" s="68">
        <v>0</v>
      </c>
      <c r="AH847" s="66">
        <v>0</v>
      </c>
      <c r="AI847" s="35" t="e">
        <f t="shared" si="1834"/>
        <v>#DIV/0!</v>
      </c>
      <c r="AJ847" s="6" t="e">
        <f t="shared" si="1835"/>
        <v>#DIV/0!</v>
      </c>
      <c r="AK847" s="68">
        <v>0</v>
      </c>
      <c r="AL847" s="66">
        <v>0</v>
      </c>
      <c r="AM847" s="35" t="e">
        <f t="shared" si="1836"/>
        <v>#DIV/0!</v>
      </c>
      <c r="AN847" s="6" t="e">
        <f t="shared" si="1837"/>
        <v>#DIV/0!</v>
      </c>
      <c r="AO847" s="68">
        <v>0</v>
      </c>
      <c r="AP847" s="66">
        <v>0</v>
      </c>
      <c r="AQ847" s="35" t="e">
        <f t="shared" si="1838"/>
        <v>#DIV/0!</v>
      </c>
      <c r="AR847" s="6" t="e">
        <f t="shared" si="1839"/>
        <v>#DIV/0!</v>
      </c>
      <c r="AS847" s="68">
        <v>0</v>
      </c>
      <c r="AT847" s="66">
        <v>0</v>
      </c>
      <c r="AU847" s="35" t="e">
        <f t="shared" si="1840"/>
        <v>#DIV/0!</v>
      </c>
      <c r="AV847" s="6" t="e">
        <f t="shared" si="1841"/>
        <v>#DIV/0!</v>
      </c>
      <c r="AW847" s="68">
        <v>0</v>
      </c>
      <c r="AX847" s="66">
        <v>0</v>
      </c>
      <c r="AY847" s="35" t="e">
        <f t="shared" si="1842"/>
        <v>#DIV/0!</v>
      </c>
      <c r="AZ847" s="6" t="e">
        <f t="shared" si="1843"/>
        <v>#DIV/0!</v>
      </c>
      <c r="BA847" s="68">
        <v>0</v>
      </c>
      <c r="BB847" s="66">
        <v>0</v>
      </c>
      <c r="BC847" s="35" t="e">
        <f t="shared" si="1844"/>
        <v>#DIV/0!</v>
      </c>
      <c r="BD847" s="11" t="e">
        <f t="shared" si="1845"/>
        <v>#DIV/0!</v>
      </c>
    </row>
    <row r="848" spans="1:56" x14ac:dyDescent="0.25">
      <c r="A848" s="19" t="s">
        <v>4</v>
      </c>
      <c r="B848" s="8">
        <v>80930</v>
      </c>
      <c r="C848" s="35">
        <f>B848/F841</f>
        <v>112.40277777777777</v>
      </c>
      <c r="D848" s="8">
        <v>5250</v>
      </c>
      <c r="E848" s="68">
        <v>33770</v>
      </c>
      <c r="F848" s="70">
        <v>520</v>
      </c>
      <c r="G848" s="35">
        <f t="shared" si="1820"/>
        <v>64.942307692307693</v>
      </c>
      <c r="H848" s="11">
        <f t="shared" si="1821"/>
        <v>0.57776425971162171</v>
      </c>
      <c r="I848" s="35">
        <v>0</v>
      </c>
      <c r="J848" s="70">
        <v>0</v>
      </c>
      <c r="K848" s="35" t="e">
        <f t="shared" si="1822"/>
        <v>#DIV/0!</v>
      </c>
      <c r="L848" s="6" t="e">
        <f t="shared" si="1823"/>
        <v>#DIV/0!</v>
      </c>
      <c r="M848" s="68">
        <v>0</v>
      </c>
      <c r="N848" s="5">
        <v>0</v>
      </c>
      <c r="O848" s="35" t="e">
        <f t="shared" si="1824"/>
        <v>#DIV/0!</v>
      </c>
      <c r="P848" s="11" t="e">
        <f t="shared" si="1825"/>
        <v>#DIV/0!</v>
      </c>
      <c r="Q848" s="35">
        <v>0</v>
      </c>
      <c r="R848" s="66">
        <v>0</v>
      </c>
      <c r="S848" s="35" t="e">
        <f t="shared" si="1826"/>
        <v>#DIV/0!</v>
      </c>
      <c r="T848" s="6" t="e">
        <f t="shared" si="1827"/>
        <v>#DIV/0!</v>
      </c>
      <c r="U848" s="68">
        <v>35410</v>
      </c>
      <c r="V848" s="66">
        <v>550</v>
      </c>
      <c r="W848" s="35">
        <f t="shared" si="1828"/>
        <v>64.381818181818176</v>
      </c>
      <c r="X848" s="6">
        <f t="shared" si="1829"/>
        <v>0.5727778214618694</v>
      </c>
      <c r="Y848" s="68">
        <v>0</v>
      </c>
      <c r="Z848" s="70">
        <v>0</v>
      </c>
      <c r="AA848" s="35" t="e">
        <f t="shared" si="1830"/>
        <v>#DIV/0!</v>
      </c>
      <c r="AB848" s="11" t="e">
        <f t="shared" si="1831"/>
        <v>#DIV/0!</v>
      </c>
      <c r="AC848" s="35">
        <v>0</v>
      </c>
      <c r="AD848" s="36">
        <v>0</v>
      </c>
      <c r="AE848" s="35" t="e">
        <f t="shared" si="1832"/>
        <v>#DIV/0!</v>
      </c>
      <c r="AF848" s="6" t="e">
        <f t="shared" si="1833"/>
        <v>#DIV/0!</v>
      </c>
      <c r="AG848" s="68">
        <v>0</v>
      </c>
      <c r="AH848" s="66">
        <v>0</v>
      </c>
      <c r="AI848" s="35" t="e">
        <f t="shared" si="1834"/>
        <v>#DIV/0!</v>
      </c>
      <c r="AJ848" s="6" t="e">
        <f t="shared" si="1835"/>
        <v>#DIV/0!</v>
      </c>
      <c r="AK848" s="68">
        <v>0</v>
      </c>
      <c r="AL848" s="66">
        <v>0</v>
      </c>
      <c r="AM848" s="35" t="e">
        <f t="shared" si="1836"/>
        <v>#DIV/0!</v>
      </c>
      <c r="AN848" s="6" t="e">
        <f t="shared" si="1837"/>
        <v>#DIV/0!</v>
      </c>
      <c r="AO848" s="68">
        <v>0</v>
      </c>
      <c r="AP848" s="66">
        <v>0</v>
      </c>
      <c r="AQ848" s="35" t="e">
        <f t="shared" si="1838"/>
        <v>#DIV/0!</v>
      </c>
      <c r="AR848" s="6" t="e">
        <f t="shared" si="1839"/>
        <v>#DIV/0!</v>
      </c>
      <c r="AS848" s="68">
        <v>0</v>
      </c>
      <c r="AT848" s="66">
        <v>0</v>
      </c>
      <c r="AU848" s="35" t="e">
        <f t="shared" si="1840"/>
        <v>#DIV/0!</v>
      </c>
      <c r="AV848" s="6" t="e">
        <f t="shared" si="1841"/>
        <v>#DIV/0!</v>
      </c>
      <c r="AW848" s="68">
        <v>0</v>
      </c>
      <c r="AX848" s="66">
        <v>0</v>
      </c>
      <c r="AY848" s="35" t="e">
        <f t="shared" si="1842"/>
        <v>#DIV/0!</v>
      </c>
      <c r="AZ848" s="6" t="e">
        <f t="shared" si="1843"/>
        <v>#DIV/0!</v>
      </c>
      <c r="BA848" s="68">
        <v>0</v>
      </c>
      <c r="BB848" s="66">
        <v>0</v>
      </c>
      <c r="BC848" s="35" t="e">
        <f t="shared" si="1844"/>
        <v>#DIV/0!</v>
      </c>
      <c r="BD848" s="11" t="e">
        <f t="shared" si="1845"/>
        <v>#DIV/0!</v>
      </c>
    </row>
    <row r="849" spans="1:56" x14ac:dyDescent="0.25">
      <c r="A849" s="19" t="s">
        <v>5</v>
      </c>
      <c r="B849" s="8">
        <v>103000</v>
      </c>
      <c r="C849" s="35">
        <f>B849/F841</f>
        <v>143.05555555555554</v>
      </c>
      <c r="D849" s="8">
        <v>7050</v>
      </c>
      <c r="E849" s="68">
        <v>37480</v>
      </c>
      <c r="F849" s="70">
        <v>520</v>
      </c>
      <c r="G849" s="35">
        <f t="shared" si="1820"/>
        <v>72.07692307692308</v>
      </c>
      <c r="H849" s="11">
        <f t="shared" si="1821"/>
        <v>0.50383868558625844</v>
      </c>
      <c r="I849" s="35">
        <v>0</v>
      </c>
      <c r="J849" s="70">
        <v>0</v>
      </c>
      <c r="K849" s="35" t="e">
        <f t="shared" si="1822"/>
        <v>#DIV/0!</v>
      </c>
      <c r="L849" s="6" t="e">
        <f t="shared" si="1823"/>
        <v>#DIV/0!</v>
      </c>
      <c r="M849" s="68">
        <v>0</v>
      </c>
      <c r="N849" s="5">
        <v>0</v>
      </c>
      <c r="O849" s="35" t="e">
        <f t="shared" si="1824"/>
        <v>#DIV/0!</v>
      </c>
      <c r="P849" s="11" t="e">
        <f t="shared" si="1825"/>
        <v>#DIV/0!</v>
      </c>
      <c r="Q849" s="35">
        <v>0</v>
      </c>
      <c r="R849" s="66">
        <v>0</v>
      </c>
      <c r="S849" s="35" t="e">
        <f t="shared" si="1826"/>
        <v>#DIV/0!</v>
      </c>
      <c r="T849" s="6" t="e">
        <f t="shared" si="1827"/>
        <v>#DIV/0!</v>
      </c>
      <c r="U849" s="68">
        <v>47820</v>
      </c>
      <c r="V849" s="66">
        <v>550</v>
      </c>
      <c r="W849" s="35">
        <f t="shared" si="1828"/>
        <v>86.945454545454552</v>
      </c>
      <c r="X849" s="6">
        <f t="shared" si="1829"/>
        <v>0.60777405119152705</v>
      </c>
      <c r="Y849" s="68">
        <v>0</v>
      </c>
      <c r="Z849" s="70">
        <v>0</v>
      </c>
      <c r="AA849" s="35" t="e">
        <f t="shared" si="1830"/>
        <v>#DIV/0!</v>
      </c>
      <c r="AB849" s="11" t="e">
        <f t="shared" si="1831"/>
        <v>#DIV/0!</v>
      </c>
      <c r="AC849" s="35">
        <v>0</v>
      </c>
      <c r="AD849" s="36">
        <v>0</v>
      </c>
      <c r="AE849" s="35" t="e">
        <f t="shared" si="1832"/>
        <v>#DIV/0!</v>
      </c>
      <c r="AF849" s="6" t="e">
        <f t="shared" si="1833"/>
        <v>#DIV/0!</v>
      </c>
      <c r="AG849" s="68">
        <v>0</v>
      </c>
      <c r="AH849" s="66">
        <v>0</v>
      </c>
      <c r="AI849" s="35" t="e">
        <f t="shared" si="1834"/>
        <v>#DIV/0!</v>
      </c>
      <c r="AJ849" s="6" t="e">
        <f t="shared" si="1835"/>
        <v>#DIV/0!</v>
      </c>
      <c r="AK849" s="68">
        <v>0</v>
      </c>
      <c r="AL849" s="66">
        <v>0</v>
      </c>
      <c r="AM849" s="35" t="e">
        <f t="shared" si="1836"/>
        <v>#DIV/0!</v>
      </c>
      <c r="AN849" s="6" t="e">
        <f t="shared" si="1837"/>
        <v>#DIV/0!</v>
      </c>
      <c r="AO849" s="68">
        <v>0</v>
      </c>
      <c r="AP849" s="66">
        <v>0</v>
      </c>
      <c r="AQ849" s="35" t="e">
        <f t="shared" si="1838"/>
        <v>#DIV/0!</v>
      </c>
      <c r="AR849" s="6" t="e">
        <f t="shared" si="1839"/>
        <v>#DIV/0!</v>
      </c>
      <c r="AS849" s="68">
        <v>0</v>
      </c>
      <c r="AT849" s="66">
        <v>0</v>
      </c>
      <c r="AU849" s="35" t="e">
        <f t="shared" si="1840"/>
        <v>#DIV/0!</v>
      </c>
      <c r="AV849" s="6" t="e">
        <f t="shared" si="1841"/>
        <v>#DIV/0!</v>
      </c>
      <c r="AW849" s="68">
        <v>0</v>
      </c>
      <c r="AX849" s="66">
        <v>0</v>
      </c>
      <c r="AY849" s="35" t="e">
        <f t="shared" si="1842"/>
        <v>#DIV/0!</v>
      </c>
      <c r="AZ849" s="6" t="e">
        <f t="shared" si="1843"/>
        <v>#DIV/0!</v>
      </c>
      <c r="BA849" s="68">
        <v>0</v>
      </c>
      <c r="BB849" s="66">
        <v>0</v>
      </c>
      <c r="BC849" s="35" t="e">
        <f t="shared" si="1844"/>
        <v>#DIV/0!</v>
      </c>
      <c r="BD849" s="11" t="e">
        <f t="shared" si="1845"/>
        <v>#DIV/0!</v>
      </c>
    </row>
    <row r="850" spans="1:56" x14ac:dyDescent="0.25">
      <c r="A850" s="19" t="s">
        <v>6</v>
      </c>
      <c r="B850" s="8">
        <v>117960</v>
      </c>
      <c r="C850" s="35">
        <f>B850/F841</f>
        <v>163.83333333333334</v>
      </c>
      <c r="D850" s="8">
        <v>10950</v>
      </c>
      <c r="E850" s="68">
        <v>44870</v>
      </c>
      <c r="F850" s="70">
        <v>520</v>
      </c>
      <c r="G850" s="35">
        <f t="shared" si="1820"/>
        <v>86.288461538461533</v>
      </c>
      <c r="H850" s="11">
        <f t="shared" si="1821"/>
        <v>0.52668440410047723</v>
      </c>
      <c r="I850" s="35">
        <v>0</v>
      </c>
      <c r="J850" s="70">
        <v>0</v>
      </c>
      <c r="K850" s="35" t="e">
        <f t="shared" si="1822"/>
        <v>#DIV/0!</v>
      </c>
      <c r="L850" s="6" t="e">
        <f t="shared" si="1823"/>
        <v>#DIV/0!</v>
      </c>
      <c r="M850" s="68">
        <v>0</v>
      </c>
      <c r="N850" s="5">
        <v>0</v>
      </c>
      <c r="O850" s="35" t="e">
        <f t="shared" si="1824"/>
        <v>#DIV/0!</v>
      </c>
      <c r="P850" s="11" t="e">
        <f t="shared" si="1825"/>
        <v>#DIV/0!</v>
      </c>
      <c r="Q850" s="35">
        <v>0</v>
      </c>
      <c r="R850" s="66">
        <v>0</v>
      </c>
      <c r="S850" s="35" t="e">
        <f t="shared" si="1826"/>
        <v>#DIV/0!</v>
      </c>
      <c r="T850" s="6" t="e">
        <f t="shared" si="1827"/>
        <v>#DIV/0!</v>
      </c>
      <c r="U850" s="68">
        <v>56880</v>
      </c>
      <c r="V850" s="66">
        <v>550</v>
      </c>
      <c r="W850" s="35">
        <f t="shared" si="1828"/>
        <v>103.41818181818182</v>
      </c>
      <c r="X850" s="6">
        <f t="shared" si="1829"/>
        <v>0.63124017386479236</v>
      </c>
      <c r="Y850" s="68">
        <v>0</v>
      </c>
      <c r="Z850" s="70">
        <v>0</v>
      </c>
      <c r="AA850" s="35" t="e">
        <f t="shared" si="1830"/>
        <v>#DIV/0!</v>
      </c>
      <c r="AB850" s="11" t="e">
        <f t="shared" si="1831"/>
        <v>#DIV/0!</v>
      </c>
      <c r="AC850" s="35">
        <v>0</v>
      </c>
      <c r="AD850" s="36">
        <v>0</v>
      </c>
      <c r="AE850" s="35" t="e">
        <f t="shared" si="1832"/>
        <v>#DIV/0!</v>
      </c>
      <c r="AF850" s="6" t="e">
        <f t="shared" si="1833"/>
        <v>#DIV/0!</v>
      </c>
      <c r="AG850" s="68">
        <v>0</v>
      </c>
      <c r="AH850" s="66">
        <v>0</v>
      </c>
      <c r="AI850" s="35" t="e">
        <f t="shared" si="1834"/>
        <v>#DIV/0!</v>
      </c>
      <c r="AJ850" s="6" t="e">
        <f t="shared" si="1835"/>
        <v>#DIV/0!</v>
      </c>
      <c r="AK850" s="68">
        <v>0</v>
      </c>
      <c r="AL850" s="66">
        <v>0</v>
      </c>
      <c r="AM850" s="35" t="e">
        <f t="shared" si="1836"/>
        <v>#DIV/0!</v>
      </c>
      <c r="AN850" s="6" t="e">
        <f t="shared" si="1837"/>
        <v>#DIV/0!</v>
      </c>
      <c r="AO850" s="68">
        <v>0</v>
      </c>
      <c r="AP850" s="66">
        <v>0</v>
      </c>
      <c r="AQ850" s="35" t="e">
        <f t="shared" si="1838"/>
        <v>#DIV/0!</v>
      </c>
      <c r="AR850" s="6" t="e">
        <f t="shared" si="1839"/>
        <v>#DIV/0!</v>
      </c>
      <c r="AS850" s="68">
        <v>0</v>
      </c>
      <c r="AT850" s="66">
        <v>0</v>
      </c>
      <c r="AU850" s="35" t="e">
        <f t="shared" si="1840"/>
        <v>#DIV/0!</v>
      </c>
      <c r="AV850" s="6" t="e">
        <f t="shared" si="1841"/>
        <v>#DIV/0!</v>
      </c>
      <c r="AW850" s="68">
        <v>0</v>
      </c>
      <c r="AX850" s="66">
        <v>0</v>
      </c>
      <c r="AY850" s="35" t="e">
        <f t="shared" si="1842"/>
        <v>#DIV/0!</v>
      </c>
      <c r="AZ850" s="6" t="e">
        <f t="shared" si="1843"/>
        <v>#DIV/0!</v>
      </c>
      <c r="BA850" s="68">
        <v>0</v>
      </c>
      <c r="BB850" s="66">
        <v>0</v>
      </c>
      <c r="BC850" s="35" t="e">
        <f t="shared" si="1844"/>
        <v>#DIV/0!</v>
      </c>
      <c r="BD850" s="11" t="e">
        <f t="shared" si="1845"/>
        <v>#DIV/0!</v>
      </c>
    </row>
    <row r="851" spans="1:56" ht="15.75" thickBot="1" x14ac:dyDescent="0.3">
      <c r="A851" s="21"/>
      <c r="B851" s="22"/>
      <c r="C851" s="23">
        <f>AVERAGE(Table11073[MA $/Sq Ft])</f>
        <v>101.28968253968253</v>
      </c>
      <c r="D851" s="22">
        <f>AVERAGE(Table11073[Basic Allowance])</f>
        <v>4442.8571428571431</v>
      </c>
      <c r="E851" s="16"/>
      <c r="F851" s="22"/>
      <c r="G851" s="15"/>
      <c r="H851" s="24">
        <f>AVERAGE(Table11073[Bsmt % Base])</f>
        <v>0.53958021102064857</v>
      </c>
      <c r="I851" s="15"/>
      <c r="J851" s="15"/>
      <c r="K851" s="15"/>
      <c r="L851" s="25" t="e">
        <f>AVERAGE(Table11073[[#Headers],[#Data],[UnfBsmt % Base]])</f>
        <v>#DIV/0!</v>
      </c>
      <c r="M851" s="44"/>
      <c r="N851" s="15"/>
      <c r="O851" s="23" t="e">
        <f>AVERAGE(Table11073[LowerVal/SqFt])</f>
        <v>#DIV/0!</v>
      </c>
      <c r="P851" s="24" t="e">
        <f>AVERAGE(Table11073[Lower % Base])</f>
        <v>#DIV/0!</v>
      </c>
      <c r="Q851" s="13"/>
      <c r="R851" s="13"/>
      <c r="S851" s="13"/>
      <c r="T851" s="25" t="e">
        <f>AVERAGE(Table11073[Unf Lower % Base])</f>
        <v>#DIV/0!</v>
      </c>
      <c r="U851" s="12"/>
      <c r="V851" s="13"/>
      <c r="W851" s="13"/>
      <c r="X851" s="25">
        <f>AVERAGE(Table11073[1/2 Story % Base])</f>
        <v>0.57961095642742078</v>
      </c>
      <c r="Y851" s="12"/>
      <c r="Z851" s="13"/>
      <c r="AA851" s="13"/>
      <c r="AB851" s="24" t="e">
        <f>AVERAGE(Table11073[2nd Story % Base])</f>
        <v>#DIV/0!</v>
      </c>
      <c r="AC851" s="13"/>
      <c r="AD851" s="13"/>
      <c r="AE851" s="23" t="e">
        <f>AVERAGE(Table11073[AttGarVal/SqFt])</f>
        <v>#DIV/0!</v>
      </c>
      <c r="AF851" s="25" t="e">
        <f>AVERAGE(Table11073[Att Gar % Base])</f>
        <v>#DIV/0!</v>
      </c>
      <c r="AG851" s="12"/>
      <c r="AH851" s="13"/>
      <c r="AI851" s="13"/>
      <c r="AJ851" s="25" t="e">
        <f>AVERAGE(Table11073[Porch % Base])</f>
        <v>#DIV/0!</v>
      </c>
      <c r="AK851" s="12"/>
      <c r="AL851" s="13"/>
      <c r="AM851" s="13"/>
      <c r="AN851" s="25" t="e">
        <f>AVERAGE(Table11073[Cov Porch % Base])</f>
        <v>#DIV/0!</v>
      </c>
      <c r="AO851" s="12"/>
      <c r="AP851" s="13"/>
      <c r="AQ851" s="13"/>
      <c r="AR851" s="25" t="e">
        <f>AVERAGE(Table11073[Deck % Base])</f>
        <v>#DIV/0!</v>
      </c>
      <c r="AS851" s="12"/>
      <c r="AT851" s="13"/>
      <c r="AU851" s="23" t="e">
        <f>AVERAGE(Table11073[CovDeckVal/SqFt])</f>
        <v>#DIV/0!</v>
      </c>
      <c r="AV851" s="25" t="e">
        <f>AVERAGE(Table11073[CovDeck % Base])</f>
        <v>#DIV/0!</v>
      </c>
      <c r="AW851" s="12"/>
      <c r="AX851" s="13"/>
      <c r="AY851" s="13"/>
      <c r="AZ851" s="25" t="e">
        <f>AVERAGE(Table11073[CarP % Base])</f>
        <v>#DIV/0!</v>
      </c>
      <c r="BA851" s="12"/>
      <c r="BB851" s="13"/>
      <c r="BC851" s="13"/>
      <c r="BD851" s="24" t="e">
        <f>AVERAGE(Table11073[EFP % Base])</f>
        <v>#DIV/0!</v>
      </c>
    </row>
    <row r="853" spans="1:56" ht="15.75" thickBot="1" x14ac:dyDescent="0.3">
      <c r="A853" s="84"/>
      <c r="B853" s="74" t="s">
        <v>79</v>
      </c>
      <c r="C853" s="86" t="s">
        <v>176</v>
      </c>
      <c r="D853" s="74"/>
      <c r="E853" s="74" t="s">
        <v>33</v>
      </c>
      <c r="F853" s="75">
        <v>500</v>
      </c>
      <c r="G853" s="74"/>
      <c r="H853" s="74" t="s">
        <v>197</v>
      </c>
      <c r="I853" s="74"/>
      <c r="J853" s="74" t="s">
        <v>83</v>
      </c>
      <c r="K853" s="75">
        <v>1940</v>
      </c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6"/>
    </row>
    <row r="854" spans="1:56" x14ac:dyDescent="0.25">
      <c r="A854" s="112"/>
      <c r="B854" s="113"/>
      <c r="C854" s="113"/>
      <c r="D854" s="114"/>
      <c r="E854" s="115" t="s">
        <v>27</v>
      </c>
      <c r="F854" s="116"/>
      <c r="G854" s="116"/>
      <c r="H854" s="117"/>
      <c r="I854" s="118" t="s">
        <v>28</v>
      </c>
      <c r="J854" s="119"/>
      <c r="K854" s="119"/>
      <c r="L854" s="120"/>
      <c r="M854" s="121" t="s">
        <v>7</v>
      </c>
      <c r="N854" s="122"/>
      <c r="O854" s="122"/>
      <c r="P854" s="122"/>
      <c r="Q854" s="124" t="s">
        <v>29</v>
      </c>
      <c r="R854" s="125"/>
      <c r="S854" s="125"/>
      <c r="T854" s="126"/>
      <c r="U854" s="128" t="s">
        <v>8</v>
      </c>
      <c r="V854" s="128"/>
      <c r="W854" s="128"/>
      <c r="X854" s="129"/>
      <c r="Y854" s="130" t="s">
        <v>0</v>
      </c>
      <c r="Z854" s="131"/>
      <c r="AA854" s="131"/>
      <c r="AB854" s="132"/>
      <c r="AC854" s="133" t="s">
        <v>34</v>
      </c>
      <c r="AD854" s="134"/>
      <c r="AE854" s="134"/>
      <c r="AF854" s="135"/>
      <c r="AG854" s="115" t="s">
        <v>9</v>
      </c>
      <c r="AH854" s="116"/>
      <c r="AI854" s="116"/>
      <c r="AJ854" s="117"/>
      <c r="AK854" s="136" t="s">
        <v>35</v>
      </c>
      <c r="AL854" s="137"/>
      <c r="AM854" s="137"/>
      <c r="AN854" s="138"/>
      <c r="AO854" s="139" t="s">
        <v>10</v>
      </c>
      <c r="AP854" s="140"/>
      <c r="AQ854" s="140"/>
      <c r="AR854" s="141"/>
      <c r="AS854" s="124" t="s">
        <v>36</v>
      </c>
      <c r="AT854" s="125"/>
      <c r="AU854" s="125"/>
      <c r="AV854" s="126"/>
      <c r="AW854" s="142" t="s">
        <v>11</v>
      </c>
      <c r="AX854" s="143"/>
      <c r="AY854" s="143"/>
      <c r="AZ854" s="144"/>
      <c r="BA854" s="148" t="s">
        <v>17</v>
      </c>
      <c r="BB854" s="149"/>
      <c r="BC854" s="149"/>
      <c r="BD854" s="150"/>
    </row>
    <row r="855" spans="1:56" ht="15.75" thickBot="1" x14ac:dyDescent="0.3">
      <c r="A855" s="41" t="s">
        <v>13</v>
      </c>
      <c r="B855" s="42" t="s">
        <v>15</v>
      </c>
      <c r="C855" s="42" t="s">
        <v>32</v>
      </c>
      <c r="D855" s="43" t="s">
        <v>18</v>
      </c>
      <c r="E855" s="30" t="s">
        <v>30</v>
      </c>
      <c r="F855" s="31" t="s">
        <v>61</v>
      </c>
      <c r="G855" s="31" t="s">
        <v>38</v>
      </c>
      <c r="H855" s="32" t="s">
        <v>62</v>
      </c>
      <c r="I855" s="37" t="s">
        <v>31</v>
      </c>
      <c r="J855" s="38" t="s">
        <v>39</v>
      </c>
      <c r="K855" s="38" t="s">
        <v>40</v>
      </c>
      <c r="L855" s="39" t="s">
        <v>63</v>
      </c>
      <c r="M855" s="40" t="s">
        <v>19</v>
      </c>
      <c r="N855" s="7" t="s">
        <v>41</v>
      </c>
      <c r="O855" s="7" t="s">
        <v>37</v>
      </c>
      <c r="P855" s="7" t="s">
        <v>64</v>
      </c>
      <c r="Q855" s="27" t="s">
        <v>20</v>
      </c>
      <c r="R855" s="28" t="s">
        <v>60</v>
      </c>
      <c r="S855" s="28" t="s">
        <v>59</v>
      </c>
      <c r="T855" s="29" t="s">
        <v>65</v>
      </c>
      <c r="U855" s="48" t="s">
        <v>21</v>
      </c>
      <c r="V855" s="48" t="s">
        <v>42</v>
      </c>
      <c r="W855" s="48" t="s">
        <v>43</v>
      </c>
      <c r="X855" s="49" t="s">
        <v>66</v>
      </c>
      <c r="Y855" s="50" t="s">
        <v>22</v>
      </c>
      <c r="Z855" s="51" t="s">
        <v>44</v>
      </c>
      <c r="AA855" s="51" t="s">
        <v>45</v>
      </c>
      <c r="AB855" s="52" t="s">
        <v>67</v>
      </c>
      <c r="AC855" s="45" t="s">
        <v>23</v>
      </c>
      <c r="AD855" s="46" t="s">
        <v>46</v>
      </c>
      <c r="AE855" s="46" t="s">
        <v>47</v>
      </c>
      <c r="AF855" s="47" t="s">
        <v>68</v>
      </c>
      <c r="AG855" s="30" t="s">
        <v>24</v>
      </c>
      <c r="AH855" s="31" t="s">
        <v>48</v>
      </c>
      <c r="AI855" s="31" t="s">
        <v>49</v>
      </c>
      <c r="AJ855" s="32" t="s">
        <v>69</v>
      </c>
      <c r="AK855" s="53" t="s">
        <v>25</v>
      </c>
      <c r="AL855" s="54" t="s">
        <v>50</v>
      </c>
      <c r="AM855" s="54" t="s">
        <v>51</v>
      </c>
      <c r="AN855" s="55" t="s">
        <v>70</v>
      </c>
      <c r="AO855" s="56" t="s">
        <v>26</v>
      </c>
      <c r="AP855" s="57" t="s">
        <v>52</v>
      </c>
      <c r="AQ855" s="57" t="s">
        <v>53</v>
      </c>
      <c r="AR855" s="58" t="s">
        <v>71</v>
      </c>
      <c r="AS855" s="59" t="s">
        <v>55</v>
      </c>
      <c r="AT855" s="60" t="s">
        <v>54</v>
      </c>
      <c r="AU855" s="60" t="s">
        <v>56</v>
      </c>
      <c r="AV855" s="61" t="s">
        <v>76</v>
      </c>
      <c r="AW855" s="62" t="s">
        <v>72</v>
      </c>
      <c r="AX855" s="63" t="s">
        <v>73</v>
      </c>
      <c r="AY855" s="63" t="s">
        <v>74</v>
      </c>
      <c r="AZ855" s="64" t="s">
        <v>75</v>
      </c>
      <c r="BA855" s="71" t="s">
        <v>77</v>
      </c>
      <c r="BB855" s="72" t="s">
        <v>57</v>
      </c>
      <c r="BC855" s="72" t="s">
        <v>58</v>
      </c>
      <c r="BD855" s="73" t="s">
        <v>78</v>
      </c>
    </row>
    <row r="856" spans="1:56" x14ac:dyDescent="0.25">
      <c r="A856" s="17" t="s">
        <v>1</v>
      </c>
      <c r="B856" s="14">
        <v>30310</v>
      </c>
      <c r="C856" s="34">
        <f>B856/F853</f>
        <v>60.62</v>
      </c>
      <c r="D856" s="14">
        <v>1525</v>
      </c>
      <c r="E856" s="67">
        <v>0</v>
      </c>
      <c r="F856" s="69">
        <v>0</v>
      </c>
      <c r="G856" s="34" t="e">
        <f t="shared" ref="G856:G862" si="1846">E856/F856</f>
        <v>#DIV/0!</v>
      </c>
      <c r="H856" s="10" t="e">
        <f t="shared" ref="H856:H862" si="1847">G856/C856</f>
        <v>#DIV/0!</v>
      </c>
      <c r="I856" s="34">
        <v>0</v>
      </c>
      <c r="J856" s="69">
        <v>0</v>
      </c>
      <c r="K856" s="34" t="e">
        <f t="shared" ref="K856:K862" si="1848">I856/J856</f>
        <v>#DIV/0!</v>
      </c>
      <c r="L856" s="9" t="e">
        <f t="shared" ref="L856:L862" si="1849">K856/C856</f>
        <v>#DIV/0!</v>
      </c>
      <c r="M856" s="67">
        <v>0</v>
      </c>
      <c r="N856" s="26">
        <v>0</v>
      </c>
      <c r="O856" s="34" t="e">
        <f t="shared" ref="O856:O862" si="1850">M856/N856</f>
        <v>#DIV/0!</v>
      </c>
      <c r="P856" s="10" t="e">
        <f t="shared" ref="P856:P862" si="1851">O856/C856</f>
        <v>#DIV/0!</v>
      </c>
      <c r="Q856" s="35">
        <v>0</v>
      </c>
      <c r="R856" s="66">
        <v>0</v>
      </c>
      <c r="S856" s="35" t="e">
        <f t="shared" ref="S856:S862" si="1852">Q856/R856</f>
        <v>#DIV/0!</v>
      </c>
      <c r="T856" s="6" t="e">
        <f t="shared" ref="T856:T862" si="1853">S856/C856</f>
        <v>#DIV/0!</v>
      </c>
      <c r="U856" s="67">
        <v>10520</v>
      </c>
      <c r="V856" s="65">
        <v>350</v>
      </c>
      <c r="W856" s="34">
        <f t="shared" ref="W856:W862" si="1854">U856/V856</f>
        <v>30.057142857142857</v>
      </c>
      <c r="X856" s="9">
        <f t="shared" ref="X856:X862" si="1855">W856/C856</f>
        <v>0.49582881651505872</v>
      </c>
      <c r="Y856" s="67">
        <v>0</v>
      </c>
      <c r="Z856" s="69">
        <v>0</v>
      </c>
      <c r="AA856" s="34" t="e">
        <f t="shared" ref="AA856:AA862" si="1856">Y856/Z856</f>
        <v>#DIV/0!</v>
      </c>
      <c r="AB856" s="10" t="e">
        <f t="shared" ref="AB856:AB862" si="1857">AA856/C856</f>
        <v>#DIV/0!</v>
      </c>
      <c r="AC856" s="34">
        <v>0</v>
      </c>
      <c r="AD856" s="33">
        <v>0</v>
      </c>
      <c r="AE856" s="34" t="e">
        <f t="shared" ref="AE856:AE862" si="1858">AC856/AD856</f>
        <v>#DIV/0!</v>
      </c>
      <c r="AF856" s="9" t="e">
        <f t="shared" ref="AF856:AF862" si="1859">AE856/C856</f>
        <v>#DIV/0!</v>
      </c>
      <c r="AG856" s="67">
        <v>0</v>
      </c>
      <c r="AH856" s="65">
        <v>0</v>
      </c>
      <c r="AI856" s="34" t="e">
        <f t="shared" ref="AI856:AI862" si="1860">AG856/AH856</f>
        <v>#DIV/0!</v>
      </c>
      <c r="AJ856" s="9" t="e">
        <f t="shared" ref="AJ856:AJ862" si="1861">AI856/C856</f>
        <v>#DIV/0!</v>
      </c>
      <c r="AK856" s="67">
        <v>0</v>
      </c>
      <c r="AL856" s="65">
        <v>0</v>
      </c>
      <c r="AM856" s="34" t="e">
        <f t="shared" ref="AM856:AM862" si="1862">AK856/AL856</f>
        <v>#DIV/0!</v>
      </c>
      <c r="AN856" s="9" t="e">
        <f t="shared" ref="AN856:AN862" si="1863">AM856/C856</f>
        <v>#DIV/0!</v>
      </c>
      <c r="AO856" s="67">
        <v>0</v>
      </c>
      <c r="AP856" s="65">
        <v>0</v>
      </c>
      <c r="AQ856" s="34" t="e">
        <f t="shared" ref="AQ856:AQ862" si="1864">AO856/AP856</f>
        <v>#DIV/0!</v>
      </c>
      <c r="AR856" s="9" t="e">
        <f t="shared" ref="AR856:AR862" si="1865">AQ856/C856</f>
        <v>#DIV/0!</v>
      </c>
      <c r="AS856" s="67">
        <v>0</v>
      </c>
      <c r="AT856" s="65">
        <v>0</v>
      </c>
      <c r="AU856" s="34" t="e">
        <f t="shared" ref="AU856:AU862" si="1866">AS856/AT856</f>
        <v>#DIV/0!</v>
      </c>
      <c r="AV856" s="9" t="e">
        <f t="shared" ref="AV856:AV862" si="1867">AU856/C856</f>
        <v>#DIV/0!</v>
      </c>
      <c r="AW856" s="67">
        <v>0</v>
      </c>
      <c r="AX856" s="65">
        <v>0</v>
      </c>
      <c r="AY856" s="34" t="e">
        <f t="shared" ref="AY856:AY862" si="1868">AW856/AX856</f>
        <v>#DIV/0!</v>
      </c>
      <c r="AZ856" s="9" t="e">
        <f t="shared" ref="AZ856:AZ862" si="1869">AY856/C856</f>
        <v>#DIV/0!</v>
      </c>
      <c r="BA856" s="67">
        <v>0</v>
      </c>
      <c r="BB856" s="65">
        <v>0</v>
      </c>
      <c r="BC856" s="34" t="e">
        <f t="shared" ref="BC856:BC862" si="1870">BA856/BB856</f>
        <v>#DIV/0!</v>
      </c>
      <c r="BD856" s="10" t="e">
        <f t="shared" ref="BD856:BD862" si="1871">BC856/C856</f>
        <v>#DIV/0!</v>
      </c>
    </row>
    <row r="857" spans="1:56" x14ac:dyDescent="0.25">
      <c r="A857" s="19" t="s">
        <v>16</v>
      </c>
      <c r="B857" s="8">
        <v>35660</v>
      </c>
      <c r="C857" s="35">
        <f>B857/F853</f>
        <v>71.319999999999993</v>
      </c>
      <c r="D857" s="8">
        <v>1525</v>
      </c>
      <c r="E857" s="68">
        <v>0</v>
      </c>
      <c r="F857" s="70">
        <v>0</v>
      </c>
      <c r="G857" s="35" t="e">
        <f t="shared" si="1846"/>
        <v>#DIV/0!</v>
      </c>
      <c r="H857" s="11" t="e">
        <f t="shared" si="1847"/>
        <v>#DIV/0!</v>
      </c>
      <c r="I857" s="35">
        <v>0</v>
      </c>
      <c r="J857" s="70">
        <v>0</v>
      </c>
      <c r="K857" s="35" t="e">
        <f t="shared" si="1848"/>
        <v>#DIV/0!</v>
      </c>
      <c r="L857" s="6" t="e">
        <f t="shared" si="1849"/>
        <v>#DIV/0!</v>
      </c>
      <c r="M857" s="68">
        <v>0</v>
      </c>
      <c r="N857" s="5">
        <v>0</v>
      </c>
      <c r="O857" s="35" t="e">
        <f t="shared" si="1850"/>
        <v>#DIV/0!</v>
      </c>
      <c r="P857" s="11" t="e">
        <f t="shared" si="1851"/>
        <v>#DIV/0!</v>
      </c>
      <c r="Q857" s="35">
        <v>0</v>
      </c>
      <c r="R857" s="66">
        <v>0</v>
      </c>
      <c r="S857" s="35" t="e">
        <f t="shared" si="1852"/>
        <v>#DIV/0!</v>
      </c>
      <c r="T857" s="6" t="e">
        <f t="shared" si="1853"/>
        <v>#DIV/0!</v>
      </c>
      <c r="U857" s="68">
        <v>14040</v>
      </c>
      <c r="V857" s="66">
        <v>350</v>
      </c>
      <c r="W857" s="35">
        <f t="shared" si="1854"/>
        <v>40.114285714285714</v>
      </c>
      <c r="X857" s="6">
        <f t="shared" si="1855"/>
        <v>0.56245493149587378</v>
      </c>
      <c r="Y857" s="68">
        <v>0</v>
      </c>
      <c r="Z857" s="70">
        <v>0</v>
      </c>
      <c r="AA857" s="35" t="e">
        <f t="shared" si="1856"/>
        <v>#DIV/0!</v>
      </c>
      <c r="AB857" s="11" t="e">
        <f t="shared" si="1857"/>
        <v>#DIV/0!</v>
      </c>
      <c r="AC857" s="35">
        <v>0</v>
      </c>
      <c r="AD857" s="36">
        <v>0</v>
      </c>
      <c r="AE857" s="35" t="e">
        <f t="shared" si="1858"/>
        <v>#DIV/0!</v>
      </c>
      <c r="AF857" s="6" t="e">
        <f t="shared" si="1859"/>
        <v>#DIV/0!</v>
      </c>
      <c r="AG857" s="68">
        <v>0</v>
      </c>
      <c r="AH857" s="66">
        <v>0</v>
      </c>
      <c r="AI857" s="35" t="e">
        <f t="shared" si="1860"/>
        <v>#DIV/0!</v>
      </c>
      <c r="AJ857" s="6" t="e">
        <f t="shared" si="1861"/>
        <v>#DIV/0!</v>
      </c>
      <c r="AK857" s="68">
        <v>0</v>
      </c>
      <c r="AL857" s="66">
        <v>0</v>
      </c>
      <c r="AM857" s="35" t="e">
        <f t="shared" si="1862"/>
        <v>#DIV/0!</v>
      </c>
      <c r="AN857" s="6" t="e">
        <f t="shared" si="1863"/>
        <v>#DIV/0!</v>
      </c>
      <c r="AO857" s="68">
        <v>0</v>
      </c>
      <c r="AP857" s="66">
        <v>0</v>
      </c>
      <c r="AQ857" s="35" t="e">
        <f t="shared" si="1864"/>
        <v>#DIV/0!</v>
      </c>
      <c r="AR857" s="6" t="e">
        <f t="shared" si="1865"/>
        <v>#DIV/0!</v>
      </c>
      <c r="AS857" s="68">
        <v>0</v>
      </c>
      <c r="AT857" s="66">
        <v>0</v>
      </c>
      <c r="AU857" s="35" t="e">
        <f t="shared" si="1866"/>
        <v>#DIV/0!</v>
      </c>
      <c r="AV857" s="6" t="e">
        <f t="shared" si="1867"/>
        <v>#DIV/0!</v>
      </c>
      <c r="AW857" s="68">
        <v>0</v>
      </c>
      <c r="AX857" s="66">
        <v>0</v>
      </c>
      <c r="AY857" s="35" t="e">
        <f t="shared" si="1868"/>
        <v>#DIV/0!</v>
      </c>
      <c r="AZ857" s="6" t="e">
        <f t="shared" si="1869"/>
        <v>#DIV/0!</v>
      </c>
      <c r="BA857" s="68">
        <v>0</v>
      </c>
      <c r="BB857" s="66">
        <v>0</v>
      </c>
      <c r="BC857" s="35" t="e">
        <f t="shared" si="1870"/>
        <v>#DIV/0!</v>
      </c>
      <c r="BD857" s="11" t="e">
        <f t="shared" si="1871"/>
        <v>#DIV/0!</v>
      </c>
    </row>
    <row r="858" spans="1:56" x14ac:dyDescent="0.25">
      <c r="A858" s="19" t="s">
        <v>2</v>
      </c>
      <c r="B858" s="8">
        <v>41830</v>
      </c>
      <c r="C858" s="35">
        <f>B858/F853</f>
        <v>83.66</v>
      </c>
      <c r="D858" s="8">
        <v>2100</v>
      </c>
      <c r="E858" s="68">
        <v>0</v>
      </c>
      <c r="F858" s="70">
        <v>0</v>
      </c>
      <c r="G858" s="35" t="e">
        <f t="shared" si="1846"/>
        <v>#DIV/0!</v>
      </c>
      <c r="H858" s="11" t="e">
        <f t="shared" si="1847"/>
        <v>#DIV/0!</v>
      </c>
      <c r="I858" s="35">
        <v>0</v>
      </c>
      <c r="J858" s="70">
        <v>0</v>
      </c>
      <c r="K858" s="35" t="e">
        <f t="shared" si="1848"/>
        <v>#DIV/0!</v>
      </c>
      <c r="L858" s="6" t="e">
        <f t="shared" si="1849"/>
        <v>#DIV/0!</v>
      </c>
      <c r="M858" s="68">
        <v>0</v>
      </c>
      <c r="N858" s="5">
        <v>0</v>
      </c>
      <c r="O858" s="35" t="e">
        <f t="shared" si="1850"/>
        <v>#DIV/0!</v>
      </c>
      <c r="P858" s="11" t="e">
        <f t="shared" si="1851"/>
        <v>#DIV/0!</v>
      </c>
      <c r="Q858" s="35">
        <v>0</v>
      </c>
      <c r="R858" s="66">
        <v>0</v>
      </c>
      <c r="S858" s="35" t="e">
        <f t="shared" si="1852"/>
        <v>#DIV/0!</v>
      </c>
      <c r="T858" s="6" t="e">
        <f t="shared" si="1853"/>
        <v>#DIV/0!</v>
      </c>
      <c r="U858" s="68">
        <v>17610</v>
      </c>
      <c r="V858" s="66">
        <v>350</v>
      </c>
      <c r="W858" s="35">
        <f t="shared" si="1854"/>
        <v>50.314285714285717</v>
      </c>
      <c r="X858" s="6">
        <f t="shared" si="1855"/>
        <v>0.60141388613776858</v>
      </c>
      <c r="Y858" s="68">
        <v>0</v>
      </c>
      <c r="Z858" s="70">
        <v>0</v>
      </c>
      <c r="AA858" s="35" t="e">
        <f t="shared" si="1856"/>
        <v>#DIV/0!</v>
      </c>
      <c r="AB858" s="11" t="e">
        <f t="shared" si="1857"/>
        <v>#DIV/0!</v>
      </c>
      <c r="AC858" s="35">
        <v>0</v>
      </c>
      <c r="AD858" s="36">
        <v>0</v>
      </c>
      <c r="AE858" s="35" t="e">
        <f t="shared" si="1858"/>
        <v>#DIV/0!</v>
      </c>
      <c r="AF858" s="6" t="e">
        <f t="shared" si="1859"/>
        <v>#DIV/0!</v>
      </c>
      <c r="AG858" s="68">
        <v>0</v>
      </c>
      <c r="AH858" s="66">
        <v>0</v>
      </c>
      <c r="AI858" s="35" t="e">
        <f t="shared" si="1860"/>
        <v>#DIV/0!</v>
      </c>
      <c r="AJ858" s="6" t="e">
        <f t="shared" si="1861"/>
        <v>#DIV/0!</v>
      </c>
      <c r="AK858" s="68">
        <v>0</v>
      </c>
      <c r="AL858" s="66">
        <v>0</v>
      </c>
      <c r="AM858" s="35" t="e">
        <f t="shared" si="1862"/>
        <v>#DIV/0!</v>
      </c>
      <c r="AN858" s="6" t="e">
        <f t="shared" si="1863"/>
        <v>#DIV/0!</v>
      </c>
      <c r="AO858" s="68">
        <v>0</v>
      </c>
      <c r="AP858" s="66">
        <v>0</v>
      </c>
      <c r="AQ858" s="35" t="e">
        <f t="shared" si="1864"/>
        <v>#DIV/0!</v>
      </c>
      <c r="AR858" s="6" t="e">
        <f t="shared" si="1865"/>
        <v>#DIV/0!</v>
      </c>
      <c r="AS858" s="68">
        <v>0</v>
      </c>
      <c r="AT858" s="66">
        <v>0</v>
      </c>
      <c r="AU858" s="35" t="e">
        <f t="shared" si="1866"/>
        <v>#DIV/0!</v>
      </c>
      <c r="AV858" s="6" t="e">
        <f t="shared" si="1867"/>
        <v>#DIV/0!</v>
      </c>
      <c r="AW858" s="68">
        <v>0</v>
      </c>
      <c r="AX858" s="66">
        <v>0</v>
      </c>
      <c r="AY858" s="35" t="e">
        <f t="shared" si="1868"/>
        <v>#DIV/0!</v>
      </c>
      <c r="AZ858" s="6" t="e">
        <f t="shared" si="1869"/>
        <v>#DIV/0!</v>
      </c>
      <c r="BA858" s="68">
        <v>0</v>
      </c>
      <c r="BB858" s="66">
        <v>0</v>
      </c>
      <c r="BC858" s="35" t="e">
        <f t="shared" si="1870"/>
        <v>#DIV/0!</v>
      </c>
      <c r="BD858" s="11" t="e">
        <f t="shared" si="1871"/>
        <v>#DIV/0!</v>
      </c>
    </row>
    <row r="859" spans="1:56" x14ac:dyDescent="0.25">
      <c r="A859" s="19" t="s">
        <v>3</v>
      </c>
      <c r="B859" s="8">
        <v>47070</v>
      </c>
      <c r="C859" s="35">
        <f>B859/F853</f>
        <v>94.14</v>
      </c>
      <c r="D859" s="8">
        <v>2700</v>
      </c>
      <c r="E859" s="68">
        <v>0</v>
      </c>
      <c r="F859" s="70">
        <v>0</v>
      </c>
      <c r="G859" s="35" t="e">
        <f t="shared" si="1846"/>
        <v>#DIV/0!</v>
      </c>
      <c r="H859" s="11" t="e">
        <f t="shared" si="1847"/>
        <v>#DIV/0!</v>
      </c>
      <c r="I859" s="35">
        <v>0</v>
      </c>
      <c r="J859" s="70">
        <v>0</v>
      </c>
      <c r="K859" s="35" t="e">
        <f t="shared" si="1848"/>
        <v>#DIV/0!</v>
      </c>
      <c r="L859" s="6" t="e">
        <f t="shared" si="1849"/>
        <v>#DIV/0!</v>
      </c>
      <c r="M859" s="68">
        <v>0</v>
      </c>
      <c r="N859" s="5">
        <v>0</v>
      </c>
      <c r="O859" s="35" t="e">
        <f t="shared" si="1850"/>
        <v>#DIV/0!</v>
      </c>
      <c r="P859" s="11" t="e">
        <f t="shared" si="1851"/>
        <v>#DIV/0!</v>
      </c>
      <c r="Q859" s="35">
        <v>0</v>
      </c>
      <c r="R859" s="66">
        <v>0</v>
      </c>
      <c r="S859" s="35" t="e">
        <f t="shared" si="1852"/>
        <v>#DIV/0!</v>
      </c>
      <c r="T859" s="6" t="e">
        <f t="shared" si="1853"/>
        <v>#DIV/0!</v>
      </c>
      <c r="U859" s="68">
        <v>19830</v>
      </c>
      <c r="V859" s="66">
        <v>350</v>
      </c>
      <c r="W859" s="35">
        <f t="shared" si="1854"/>
        <v>56.657142857142858</v>
      </c>
      <c r="X859" s="6">
        <f t="shared" si="1855"/>
        <v>0.60183920604570706</v>
      </c>
      <c r="Y859" s="68">
        <v>0</v>
      </c>
      <c r="Z859" s="70">
        <v>0</v>
      </c>
      <c r="AA859" s="35" t="e">
        <f t="shared" si="1856"/>
        <v>#DIV/0!</v>
      </c>
      <c r="AB859" s="11" t="e">
        <f t="shared" si="1857"/>
        <v>#DIV/0!</v>
      </c>
      <c r="AC859" s="35">
        <v>0</v>
      </c>
      <c r="AD859" s="36">
        <v>0</v>
      </c>
      <c r="AE859" s="35" t="e">
        <f t="shared" si="1858"/>
        <v>#DIV/0!</v>
      </c>
      <c r="AF859" s="6" t="e">
        <f t="shared" si="1859"/>
        <v>#DIV/0!</v>
      </c>
      <c r="AG859" s="68">
        <v>0</v>
      </c>
      <c r="AH859" s="66">
        <v>0</v>
      </c>
      <c r="AI859" s="35" t="e">
        <f t="shared" si="1860"/>
        <v>#DIV/0!</v>
      </c>
      <c r="AJ859" s="6" t="e">
        <f t="shared" si="1861"/>
        <v>#DIV/0!</v>
      </c>
      <c r="AK859" s="68">
        <v>0</v>
      </c>
      <c r="AL859" s="66">
        <v>0</v>
      </c>
      <c r="AM859" s="35" t="e">
        <f t="shared" si="1862"/>
        <v>#DIV/0!</v>
      </c>
      <c r="AN859" s="6" t="e">
        <f t="shared" si="1863"/>
        <v>#DIV/0!</v>
      </c>
      <c r="AO859" s="68">
        <v>0</v>
      </c>
      <c r="AP859" s="66">
        <v>0</v>
      </c>
      <c r="AQ859" s="35" t="e">
        <f t="shared" si="1864"/>
        <v>#DIV/0!</v>
      </c>
      <c r="AR859" s="6" t="e">
        <f t="shared" si="1865"/>
        <v>#DIV/0!</v>
      </c>
      <c r="AS859" s="68">
        <v>0</v>
      </c>
      <c r="AT859" s="66">
        <v>0</v>
      </c>
      <c r="AU859" s="35" t="e">
        <f t="shared" si="1866"/>
        <v>#DIV/0!</v>
      </c>
      <c r="AV859" s="6" t="e">
        <f t="shared" si="1867"/>
        <v>#DIV/0!</v>
      </c>
      <c r="AW859" s="68">
        <v>0</v>
      </c>
      <c r="AX859" s="66">
        <v>0</v>
      </c>
      <c r="AY859" s="35" t="e">
        <f t="shared" si="1868"/>
        <v>#DIV/0!</v>
      </c>
      <c r="AZ859" s="6" t="e">
        <f t="shared" si="1869"/>
        <v>#DIV/0!</v>
      </c>
      <c r="BA859" s="68">
        <v>0</v>
      </c>
      <c r="BB859" s="66">
        <v>0</v>
      </c>
      <c r="BC859" s="35" t="e">
        <f t="shared" si="1870"/>
        <v>#DIV/0!</v>
      </c>
      <c r="BD859" s="11" t="e">
        <f t="shared" si="1871"/>
        <v>#DIV/0!</v>
      </c>
    </row>
    <row r="860" spans="1:56" x14ac:dyDescent="0.25">
      <c r="A860" s="19" t="s">
        <v>4</v>
      </c>
      <c r="B860" s="8">
        <v>56200</v>
      </c>
      <c r="C860" s="35">
        <f>B860/F853</f>
        <v>112.4</v>
      </c>
      <c r="D860" s="8">
        <v>5250</v>
      </c>
      <c r="E860" s="68">
        <v>0</v>
      </c>
      <c r="F860" s="70">
        <v>0</v>
      </c>
      <c r="G860" s="35" t="e">
        <f t="shared" si="1846"/>
        <v>#DIV/0!</v>
      </c>
      <c r="H860" s="11" t="e">
        <f t="shared" si="1847"/>
        <v>#DIV/0!</v>
      </c>
      <c r="I860" s="35">
        <v>0</v>
      </c>
      <c r="J860" s="70">
        <v>0</v>
      </c>
      <c r="K860" s="35" t="e">
        <f t="shared" si="1848"/>
        <v>#DIV/0!</v>
      </c>
      <c r="L860" s="6" t="e">
        <f t="shared" si="1849"/>
        <v>#DIV/0!</v>
      </c>
      <c r="M860" s="68">
        <v>0</v>
      </c>
      <c r="N860" s="5">
        <v>0</v>
      </c>
      <c r="O860" s="35" t="e">
        <f t="shared" si="1850"/>
        <v>#DIV/0!</v>
      </c>
      <c r="P860" s="11" t="e">
        <f t="shared" si="1851"/>
        <v>#DIV/0!</v>
      </c>
      <c r="Q860" s="35">
        <v>0</v>
      </c>
      <c r="R860" s="66">
        <v>0</v>
      </c>
      <c r="S860" s="35" t="e">
        <f t="shared" si="1852"/>
        <v>#DIV/0!</v>
      </c>
      <c r="T860" s="6" t="e">
        <f t="shared" si="1853"/>
        <v>#DIV/0!</v>
      </c>
      <c r="U860" s="68">
        <v>23360</v>
      </c>
      <c r="V860" s="66">
        <v>350</v>
      </c>
      <c r="W860" s="35">
        <f t="shared" si="1854"/>
        <v>66.742857142857147</v>
      </c>
      <c r="X860" s="6">
        <f t="shared" si="1855"/>
        <v>0.5937976614133198</v>
      </c>
      <c r="Y860" s="68">
        <v>0</v>
      </c>
      <c r="Z860" s="70">
        <v>0</v>
      </c>
      <c r="AA860" s="35" t="e">
        <f t="shared" si="1856"/>
        <v>#DIV/0!</v>
      </c>
      <c r="AB860" s="11" t="e">
        <f t="shared" si="1857"/>
        <v>#DIV/0!</v>
      </c>
      <c r="AC860" s="35">
        <v>0</v>
      </c>
      <c r="AD860" s="36">
        <v>0</v>
      </c>
      <c r="AE860" s="35" t="e">
        <f t="shared" si="1858"/>
        <v>#DIV/0!</v>
      </c>
      <c r="AF860" s="6" t="e">
        <f t="shared" si="1859"/>
        <v>#DIV/0!</v>
      </c>
      <c r="AG860" s="68">
        <v>0</v>
      </c>
      <c r="AH860" s="66">
        <v>0</v>
      </c>
      <c r="AI860" s="35" t="e">
        <f t="shared" si="1860"/>
        <v>#DIV/0!</v>
      </c>
      <c r="AJ860" s="6" t="e">
        <f t="shared" si="1861"/>
        <v>#DIV/0!</v>
      </c>
      <c r="AK860" s="68">
        <v>0</v>
      </c>
      <c r="AL860" s="66">
        <v>0</v>
      </c>
      <c r="AM860" s="35" t="e">
        <f t="shared" si="1862"/>
        <v>#DIV/0!</v>
      </c>
      <c r="AN860" s="6" t="e">
        <f t="shared" si="1863"/>
        <v>#DIV/0!</v>
      </c>
      <c r="AO860" s="68">
        <v>0</v>
      </c>
      <c r="AP860" s="66">
        <v>0</v>
      </c>
      <c r="AQ860" s="35" t="e">
        <f t="shared" si="1864"/>
        <v>#DIV/0!</v>
      </c>
      <c r="AR860" s="6" t="e">
        <f t="shared" si="1865"/>
        <v>#DIV/0!</v>
      </c>
      <c r="AS860" s="68">
        <v>0</v>
      </c>
      <c r="AT860" s="66">
        <v>0</v>
      </c>
      <c r="AU860" s="35" t="e">
        <f t="shared" si="1866"/>
        <v>#DIV/0!</v>
      </c>
      <c r="AV860" s="6" t="e">
        <f t="shared" si="1867"/>
        <v>#DIV/0!</v>
      </c>
      <c r="AW860" s="68">
        <v>0</v>
      </c>
      <c r="AX860" s="66">
        <v>0</v>
      </c>
      <c r="AY860" s="35" t="e">
        <f t="shared" si="1868"/>
        <v>#DIV/0!</v>
      </c>
      <c r="AZ860" s="6" t="e">
        <f t="shared" si="1869"/>
        <v>#DIV/0!</v>
      </c>
      <c r="BA860" s="68">
        <v>0</v>
      </c>
      <c r="BB860" s="66">
        <v>0</v>
      </c>
      <c r="BC860" s="35" t="e">
        <f t="shared" si="1870"/>
        <v>#DIV/0!</v>
      </c>
      <c r="BD860" s="11" t="e">
        <f t="shared" si="1871"/>
        <v>#DIV/0!</v>
      </c>
    </row>
    <row r="861" spans="1:56" x14ac:dyDescent="0.25">
      <c r="A861" s="19" t="s">
        <v>5</v>
      </c>
      <c r="B861" s="8">
        <v>71530</v>
      </c>
      <c r="C861" s="35">
        <f>B861/F853</f>
        <v>143.06</v>
      </c>
      <c r="D861" s="8">
        <v>7050</v>
      </c>
      <c r="E861" s="68">
        <v>0</v>
      </c>
      <c r="F861" s="70">
        <v>0</v>
      </c>
      <c r="G861" s="35" t="e">
        <f t="shared" si="1846"/>
        <v>#DIV/0!</v>
      </c>
      <c r="H861" s="11" t="e">
        <f t="shared" si="1847"/>
        <v>#DIV/0!</v>
      </c>
      <c r="I861" s="35">
        <v>0</v>
      </c>
      <c r="J861" s="70">
        <v>0</v>
      </c>
      <c r="K861" s="35" t="e">
        <f t="shared" si="1848"/>
        <v>#DIV/0!</v>
      </c>
      <c r="L861" s="6" t="e">
        <f t="shared" si="1849"/>
        <v>#DIV/0!</v>
      </c>
      <c r="M861" s="68">
        <v>0</v>
      </c>
      <c r="N861" s="5">
        <v>0</v>
      </c>
      <c r="O861" s="35" t="e">
        <f t="shared" si="1850"/>
        <v>#DIV/0!</v>
      </c>
      <c r="P861" s="11" t="e">
        <f t="shared" si="1851"/>
        <v>#DIV/0!</v>
      </c>
      <c r="Q861" s="35">
        <v>0</v>
      </c>
      <c r="R861" s="66">
        <v>0</v>
      </c>
      <c r="S861" s="35" t="e">
        <f t="shared" si="1852"/>
        <v>#DIV/0!</v>
      </c>
      <c r="T861" s="6" t="e">
        <f t="shared" si="1853"/>
        <v>#DIV/0!</v>
      </c>
      <c r="U861" s="68">
        <v>31440</v>
      </c>
      <c r="V861" s="66">
        <v>350</v>
      </c>
      <c r="W861" s="35">
        <f t="shared" si="1854"/>
        <v>89.828571428571422</v>
      </c>
      <c r="X861" s="6">
        <f t="shared" si="1855"/>
        <v>0.62790837011443745</v>
      </c>
      <c r="Y861" s="68">
        <v>0</v>
      </c>
      <c r="Z861" s="70">
        <v>0</v>
      </c>
      <c r="AA861" s="35" t="e">
        <f t="shared" si="1856"/>
        <v>#DIV/0!</v>
      </c>
      <c r="AB861" s="11" t="e">
        <f t="shared" si="1857"/>
        <v>#DIV/0!</v>
      </c>
      <c r="AC861" s="35">
        <v>0</v>
      </c>
      <c r="AD861" s="36">
        <v>0</v>
      </c>
      <c r="AE861" s="35" t="e">
        <f t="shared" si="1858"/>
        <v>#DIV/0!</v>
      </c>
      <c r="AF861" s="6" t="e">
        <f t="shared" si="1859"/>
        <v>#DIV/0!</v>
      </c>
      <c r="AG861" s="68">
        <v>0</v>
      </c>
      <c r="AH861" s="66">
        <v>0</v>
      </c>
      <c r="AI861" s="35" t="e">
        <f t="shared" si="1860"/>
        <v>#DIV/0!</v>
      </c>
      <c r="AJ861" s="6" t="e">
        <f t="shared" si="1861"/>
        <v>#DIV/0!</v>
      </c>
      <c r="AK861" s="68">
        <v>0</v>
      </c>
      <c r="AL861" s="66">
        <v>0</v>
      </c>
      <c r="AM861" s="35" t="e">
        <f t="shared" si="1862"/>
        <v>#DIV/0!</v>
      </c>
      <c r="AN861" s="6" t="e">
        <f t="shared" si="1863"/>
        <v>#DIV/0!</v>
      </c>
      <c r="AO861" s="68">
        <v>0</v>
      </c>
      <c r="AP861" s="66">
        <v>0</v>
      </c>
      <c r="AQ861" s="35" t="e">
        <f t="shared" si="1864"/>
        <v>#DIV/0!</v>
      </c>
      <c r="AR861" s="6" t="e">
        <f t="shared" si="1865"/>
        <v>#DIV/0!</v>
      </c>
      <c r="AS861" s="68">
        <v>0</v>
      </c>
      <c r="AT861" s="66">
        <v>0</v>
      </c>
      <c r="AU861" s="35" t="e">
        <f t="shared" si="1866"/>
        <v>#DIV/0!</v>
      </c>
      <c r="AV861" s="6" t="e">
        <f t="shared" si="1867"/>
        <v>#DIV/0!</v>
      </c>
      <c r="AW861" s="68">
        <v>0</v>
      </c>
      <c r="AX861" s="66">
        <v>0</v>
      </c>
      <c r="AY861" s="35" t="e">
        <f t="shared" si="1868"/>
        <v>#DIV/0!</v>
      </c>
      <c r="AZ861" s="6" t="e">
        <f t="shared" si="1869"/>
        <v>#DIV/0!</v>
      </c>
      <c r="BA861" s="68">
        <v>0</v>
      </c>
      <c r="BB861" s="66">
        <v>0</v>
      </c>
      <c r="BC861" s="35" t="e">
        <f t="shared" si="1870"/>
        <v>#DIV/0!</v>
      </c>
      <c r="BD861" s="11" t="e">
        <f t="shared" si="1871"/>
        <v>#DIV/0!</v>
      </c>
    </row>
    <row r="862" spans="1:56" x14ac:dyDescent="0.25">
      <c r="A862" s="19" t="s">
        <v>6</v>
      </c>
      <c r="B862" s="8">
        <v>81920</v>
      </c>
      <c r="C862" s="35">
        <f>B862/F853</f>
        <v>163.84</v>
      </c>
      <c r="D862" s="8">
        <v>10950</v>
      </c>
      <c r="E862" s="68">
        <v>0</v>
      </c>
      <c r="F862" s="70">
        <v>0</v>
      </c>
      <c r="G862" s="35" t="e">
        <f t="shared" si="1846"/>
        <v>#DIV/0!</v>
      </c>
      <c r="H862" s="11" t="e">
        <f t="shared" si="1847"/>
        <v>#DIV/0!</v>
      </c>
      <c r="I862" s="35">
        <v>0</v>
      </c>
      <c r="J862" s="70">
        <v>0</v>
      </c>
      <c r="K862" s="35" t="e">
        <f t="shared" si="1848"/>
        <v>#DIV/0!</v>
      </c>
      <c r="L862" s="6" t="e">
        <f t="shared" si="1849"/>
        <v>#DIV/0!</v>
      </c>
      <c r="M862" s="68">
        <v>0</v>
      </c>
      <c r="N862" s="5">
        <v>0</v>
      </c>
      <c r="O862" s="35" t="e">
        <f t="shared" si="1850"/>
        <v>#DIV/0!</v>
      </c>
      <c r="P862" s="11" t="e">
        <f t="shared" si="1851"/>
        <v>#DIV/0!</v>
      </c>
      <c r="Q862" s="35">
        <v>0</v>
      </c>
      <c r="R862" s="66">
        <v>0</v>
      </c>
      <c r="S862" s="35" t="e">
        <f t="shared" si="1852"/>
        <v>#DIV/0!</v>
      </c>
      <c r="T862" s="6" t="e">
        <f t="shared" si="1853"/>
        <v>#DIV/0!</v>
      </c>
      <c r="U862" s="68">
        <v>37440</v>
      </c>
      <c r="V862" s="66">
        <v>350</v>
      </c>
      <c r="W862" s="35">
        <f t="shared" si="1854"/>
        <v>106.97142857142858</v>
      </c>
      <c r="X862" s="6">
        <f t="shared" si="1855"/>
        <v>0.6529017857142857</v>
      </c>
      <c r="Y862" s="68">
        <v>0</v>
      </c>
      <c r="Z862" s="70">
        <v>0</v>
      </c>
      <c r="AA862" s="35" t="e">
        <f t="shared" si="1856"/>
        <v>#DIV/0!</v>
      </c>
      <c r="AB862" s="11" t="e">
        <f t="shared" si="1857"/>
        <v>#DIV/0!</v>
      </c>
      <c r="AC862" s="35">
        <v>0</v>
      </c>
      <c r="AD862" s="36">
        <v>0</v>
      </c>
      <c r="AE862" s="35" t="e">
        <f t="shared" si="1858"/>
        <v>#DIV/0!</v>
      </c>
      <c r="AF862" s="6" t="e">
        <f t="shared" si="1859"/>
        <v>#DIV/0!</v>
      </c>
      <c r="AG862" s="68">
        <v>0</v>
      </c>
      <c r="AH862" s="66">
        <v>0</v>
      </c>
      <c r="AI862" s="35" t="e">
        <f t="shared" si="1860"/>
        <v>#DIV/0!</v>
      </c>
      <c r="AJ862" s="6" t="e">
        <f t="shared" si="1861"/>
        <v>#DIV/0!</v>
      </c>
      <c r="AK862" s="68">
        <v>0</v>
      </c>
      <c r="AL862" s="66">
        <v>0</v>
      </c>
      <c r="AM862" s="35" t="e">
        <f t="shared" si="1862"/>
        <v>#DIV/0!</v>
      </c>
      <c r="AN862" s="6" t="e">
        <f t="shared" si="1863"/>
        <v>#DIV/0!</v>
      </c>
      <c r="AO862" s="68">
        <v>0</v>
      </c>
      <c r="AP862" s="66">
        <v>0</v>
      </c>
      <c r="AQ862" s="35" t="e">
        <f t="shared" si="1864"/>
        <v>#DIV/0!</v>
      </c>
      <c r="AR862" s="6" t="e">
        <f t="shared" si="1865"/>
        <v>#DIV/0!</v>
      </c>
      <c r="AS862" s="68">
        <v>0</v>
      </c>
      <c r="AT862" s="66">
        <v>0</v>
      </c>
      <c r="AU862" s="35" t="e">
        <f t="shared" si="1866"/>
        <v>#DIV/0!</v>
      </c>
      <c r="AV862" s="6" t="e">
        <f t="shared" si="1867"/>
        <v>#DIV/0!</v>
      </c>
      <c r="AW862" s="68">
        <v>0</v>
      </c>
      <c r="AX862" s="66">
        <v>0</v>
      </c>
      <c r="AY862" s="35" t="e">
        <f t="shared" si="1868"/>
        <v>#DIV/0!</v>
      </c>
      <c r="AZ862" s="6" t="e">
        <f t="shared" si="1869"/>
        <v>#DIV/0!</v>
      </c>
      <c r="BA862" s="68">
        <v>0</v>
      </c>
      <c r="BB862" s="66">
        <v>0</v>
      </c>
      <c r="BC862" s="35" t="e">
        <f t="shared" si="1870"/>
        <v>#DIV/0!</v>
      </c>
      <c r="BD862" s="11" t="e">
        <f t="shared" si="1871"/>
        <v>#DIV/0!</v>
      </c>
    </row>
    <row r="863" spans="1:56" ht="15.75" thickBot="1" x14ac:dyDescent="0.3">
      <c r="A863" s="21"/>
      <c r="B863" s="22"/>
      <c r="C863" s="23">
        <f>AVERAGE(Table11074[MA $/Sq Ft])</f>
        <v>104.14857142857144</v>
      </c>
      <c r="D863" s="22">
        <f>AVERAGE(Table11074[Basic Allowance])</f>
        <v>4442.8571428571431</v>
      </c>
      <c r="E863" s="16"/>
      <c r="F863" s="22"/>
      <c r="G863" s="15"/>
      <c r="H863" s="24" t="e">
        <f>AVERAGE(Table11074[Bsmt % Base])</f>
        <v>#DIV/0!</v>
      </c>
      <c r="I863" s="15"/>
      <c r="J863" s="15"/>
      <c r="K863" s="15"/>
      <c r="L863" s="25" t="e">
        <f>AVERAGE(Table11074[[#Headers],[#Data],[UnfBsmt % Base]])</f>
        <v>#DIV/0!</v>
      </c>
      <c r="M863" s="44"/>
      <c r="N863" s="15"/>
      <c r="O863" s="23" t="e">
        <f>AVERAGE(Table11074[LowerVal/SqFt])</f>
        <v>#DIV/0!</v>
      </c>
      <c r="P863" s="24" t="e">
        <f>AVERAGE(Table11074[Lower % Base])</f>
        <v>#DIV/0!</v>
      </c>
      <c r="Q863" s="13"/>
      <c r="R863" s="13"/>
      <c r="S863" s="13"/>
      <c r="T863" s="25" t="e">
        <f>AVERAGE(Table11074[Unf Lower % Base])</f>
        <v>#DIV/0!</v>
      </c>
      <c r="U863" s="12"/>
      <c r="V863" s="13"/>
      <c r="W863" s="13"/>
      <c r="X863" s="25">
        <f>AVERAGE(Table11074[1/2 Story % Base])</f>
        <v>0.5908778082052073</v>
      </c>
      <c r="Y863" s="12"/>
      <c r="Z863" s="13"/>
      <c r="AA863" s="13"/>
      <c r="AB863" s="24" t="e">
        <f>AVERAGE(Table11074[2nd Story % Base])</f>
        <v>#DIV/0!</v>
      </c>
      <c r="AC863" s="13"/>
      <c r="AD863" s="13"/>
      <c r="AE863" s="23" t="e">
        <f>AVERAGE(Table11074[AttGarVal/SqFt])</f>
        <v>#DIV/0!</v>
      </c>
      <c r="AF863" s="25" t="e">
        <f>AVERAGE(Table11074[Att Gar % Base])</f>
        <v>#DIV/0!</v>
      </c>
      <c r="AG863" s="12"/>
      <c r="AH863" s="13"/>
      <c r="AI863" s="13"/>
      <c r="AJ863" s="25" t="e">
        <f>AVERAGE(Table11074[Porch % Base])</f>
        <v>#DIV/0!</v>
      </c>
      <c r="AK863" s="12"/>
      <c r="AL863" s="13"/>
      <c r="AM863" s="13"/>
      <c r="AN863" s="25" t="e">
        <f>AVERAGE(Table11074[Cov Porch % Base])</f>
        <v>#DIV/0!</v>
      </c>
      <c r="AO863" s="12"/>
      <c r="AP863" s="13"/>
      <c r="AQ863" s="13"/>
      <c r="AR863" s="25" t="e">
        <f>AVERAGE(Table11074[Deck % Base])</f>
        <v>#DIV/0!</v>
      </c>
      <c r="AS863" s="12"/>
      <c r="AT863" s="13"/>
      <c r="AU863" s="23" t="e">
        <f>AVERAGE(Table11074[CovDeckVal/SqFt])</f>
        <v>#DIV/0!</v>
      </c>
      <c r="AV863" s="25" t="e">
        <f>AVERAGE(Table11074[CovDeck % Base])</f>
        <v>#DIV/0!</v>
      </c>
      <c r="AW863" s="12"/>
      <c r="AX863" s="13"/>
      <c r="AY863" s="13"/>
      <c r="AZ863" s="25" t="e">
        <f>AVERAGE(Table11074[CarP % Base])</f>
        <v>#DIV/0!</v>
      </c>
      <c r="BA863" s="12"/>
      <c r="BB863" s="13"/>
      <c r="BC863" s="13"/>
      <c r="BD863" s="24" t="e">
        <f>AVERAGE(Table11074[EFP % Base])</f>
        <v>#DIV/0!</v>
      </c>
    </row>
    <row r="865" spans="1:56" ht="15.75" thickBot="1" x14ac:dyDescent="0.3">
      <c r="A865" s="82"/>
      <c r="B865" t="s">
        <v>79</v>
      </c>
      <c r="C865" s="78" t="s">
        <v>170</v>
      </c>
      <c r="E865" t="s">
        <v>33</v>
      </c>
      <c r="F865" s="79">
        <v>981</v>
      </c>
      <c r="H865" t="s">
        <v>80</v>
      </c>
      <c r="I865" t="s">
        <v>110</v>
      </c>
    </row>
    <row r="866" spans="1:56" x14ac:dyDescent="0.25">
      <c r="A866" s="89"/>
      <c r="B866" s="90"/>
      <c r="C866" s="90"/>
      <c r="D866" s="91"/>
      <c r="E866" s="115" t="s">
        <v>27</v>
      </c>
      <c r="F866" s="116"/>
      <c r="G866" s="116"/>
      <c r="H866" s="117"/>
      <c r="I866" s="118" t="s">
        <v>28</v>
      </c>
      <c r="J866" s="119"/>
      <c r="K866" s="119"/>
      <c r="L866" s="120"/>
      <c r="M866" s="121" t="s">
        <v>7</v>
      </c>
      <c r="N866" s="122"/>
      <c r="O866" s="122"/>
      <c r="P866" s="123"/>
      <c r="Q866" s="124" t="s">
        <v>29</v>
      </c>
      <c r="R866" s="125"/>
      <c r="S866" s="125"/>
      <c r="T866" s="126"/>
      <c r="U866" s="127" t="s">
        <v>8</v>
      </c>
      <c r="V866" s="128"/>
      <c r="W866" s="128"/>
      <c r="X866" s="129"/>
      <c r="Y866" s="130" t="s">
        <v>0</v>
      </c>
      <c r="Z866" s="131"/>
      <c r="AA866" s="131"/>
      <c r="AB866" s="132"/>
      <c r="AC866" s="133" t="s">
        <v>34</v>
      </c>
      <c r="AD866" s="134"/>
      <c r="AE866" s="134"/>
      <c r="AF866" s="135"/>
      <c r="AG866" s="115" t="s">
        <v>9</v>
      </c>
      <c r="AH866" s="116"/>
      <c r="AI866" s="116"/>
      <c r="AJ866" s="117"/>
      <c r="AK866" s="136" t="s">
        <v>35</v>
      </c>
      <c r="AL866" s="137"/>
      <c r="AM866" s="137"/>
      <c r="AN866" s="138"/>
      <c r="AO866" s="139" t="s">
        <v>10</v>
      </c>
      <c r="AP866" s="140"/>
      <c r="AQ866" s="140"/>
      <c r="AR866" s="141"/>
      <c r="AS866" s="124" t="s">
        <v>36</v>
      </c>
      <c r="AT866" s="125"/>
      <c r="AU866" s="125"/>
      <c r="AV866" s="126"/>
      <c r="AW866" s="142" t="s">
        <v>11</v>
      </c>
      <c r="AX866" s="143"/>
      <c r="AY866" s="143"/>
      <c r="AZ866" s="144"/>
      <c r="BA866" s="148" t="s">
        <v>17</v>
      </c>
      <c r="BB866" s="149"/>
      <c r="BC866" s="149"/>
      <c r="BD866" s="150"/>
    </row>
    <row r="867" spans="1:56" s="1" customFormat="1" ht="15.75" thickBot="1" x14ac:dyDescent="0.3">
      <c r="A867" s="41" t="s">
        <v>13</v>
      </c>
      <c r="B867" s="42" t="s">
        <v>15</v>
      </c>
      <c r="C867" s="42" t="s">
        <v>32</v>
      </c>
      <c r="D867" s="43" t="s">
        <v>18</v>
      </c>
      <c r="E867" s="30" t="s">
        <v>30</v>
      </c>
      <c r="F867" s="31" t="s">
        <v>61</v>
      </c>
      <c r="G867" s="31" t="s">
        <v>38</v>
      </c>
      <c r="H867" s="32" t="s">
        <v>62</v>
      </c>
      <c r="I867" s="37" t="s">
        <v>31</v>
      </c>
      <c r="J867" s="38" t="s">
        <v>39</v>
      </c>
      <c r="K867" s="38" t="s">
        <v>40</v>
      </c>
      <c r="L867" s="39" t="s">
        <v>63</v>
      </c>
      <c r="M867" s="40" t="s">
        <v>19</v>
      </c>
      <c r="N867" s="7" t="s">
        <v>41</v>
      </c>
      <c r="O867" s="7" t="s">
        <v>37</v>
      </c>
      <c r="P867" s="7" t="s">
        <v>64</v>
      </c>
      <c r="Q867" s="27" t="s">
        <v>20</v>
      </c>
      <c r="R867" s="28" t="s">
        <v>60</v>
      </c>
      <c r="S867" s="28" t="s">
        <v>59</v>
      </c>
      <c r="T867" s="29" t="s">
        <v>65</v>
      </c>
      <c r="U867" s="48" t="s">
        <v>21</v>
      </c>
      <c r="V867" s="48" t="s">
        <v>42</v>
      </c>
      <c r="W867" s="48" t="s">
        <v>43</v>
      </c>
      <c r="X867" s="49" t="s">
        <v>66</v>
      </c>
      <c r="Y867" s="50" t="s">
        <v>22</v>
      </c>
      <c r="Z867" s="51" t="s">
        <v>44</v>
      </c>
      <c r="AA867" s="51" t="s">
        <v>45</v>
      </c>
      <c r="AB867" s="52" t="s">
        <v>67</v>
      </c>
      <c r="AC867" s="45" t="s">
        <v>23</v>
      </c>
      <c r="AD867" s="46" t="s">
        <v>46</v>
      </c>
      <c r="AE867" s="46" t="s">
        <v>47</v>
      </c>
      <c r="AF867" s="47" t="s">
        <v>68</v>
      </c>
      <c r="AG867" s="30" t="s">
        <v>24</v>
      </c>
      <c r="AH867" s="31" t="s">
        <v>48</v>
      </c>
      <c r="AI867" s="31" t="s">
        <v>49</v>
      </c>
      <c r="AJ867" s="32" t="s">
        <v>69</v>
      </c>
      <c r="AK867" s="53" t="s">
        <v>25</v>
      </c>
      <c r="AL867" s="54" t="s">
        <v>50</v>
      </c>
      <c r="AM867" s="54" t="s">
        <v>51</v>
      </c>
      <c r="AN867" s="55" t="s">
        <v>70</v>
      </c>
      <c r="AO867" s="56" t="s">
        <v>26</v>
      </c>
      <c r="AP867" s="57" t="s">
        <v>52</v>
      </c>
      <c r="AQ867" s="57" t="s">
        <v>53</v>
      </c>
      <c r="AR867" s="58" t="s">
        <v>71</v>
      </c>
      <c r="AS867" s="59" t="s">
        <v>55</v>
      </c>
      <c r="AT867" s="60" t="s">
        <v>54</v>
      </c>
      <c r="AU867" s="60" t="s">
        <v>56</v>
      </c>
      <c r="AV867" s="61" t="s">
        <v>76</v>
      </c>
      <c r="AW867" s="62" t="s">
        <v>72</v>
      </c>
      <c r="AX867" s="63" t="s">
        <v>73</v>
      </c>
      <c r="AY867" s="63" t="s">
        <v>74</v>
      </c>
      <c r="AZ867" s="64" t="s">
        <v>75</v>
      </c>
      <c r="BA867" s="71" t="s">
        <v>77</v>
      </c>
      <c r="BB867" s="72" t="s">
        <v>57</v>
      </c>
      <c r="BC867" s="72" t="s">
        <v>58</v>
      </c>
      <c r="BD867" s="73" t="s">
        <v>78</v>
      </c>
    </row>
    <row r="868" spans="1:56" ht="15.75" thickBot="1" x14ac:dyDescent="0.3">
      <c r="A868" s="17" t="s">
        <v>1</v>
      </c>
      <c r="B868" s="14">
        <v>51510</v>
      </c>
      <c r="C868" s="34">
        <f>B868/F865</f>
        <v>52.50764525993884</v>
      </c>
      <c r="D868" s="14">
        <v>1525</v>
      </c>
      <c r="E868" s="67">
        <v>0</v>
      </c>
      <c r="F868" s="69">
        <v>0</v>
      </c>
      <c r="G868" s="34" t="e">
        <f t="shared" ref="G868:G874" si="1872">E868/F868</f>
        <v>#DIV/0!</v>
      </c>
      <c r="H868" s="10" t="e">
        <f t="shared" ref="H868:H874" si="1873">G868/C868</f>
        <v>#DIV/0!</v>
      </c>
      <c r="I868" s="34">
        <v>0</v>
      </c>
      <c r="J868" s="69">
        <v>0</v>
      </c>
      <c r="K868" s="34" t="e">
        <f t="shared" ref="K868:K874" si="1874">I868/J868</f>
        <v>#DIV/0!</v>
      </c>
      <c r="L868" s="9" t="e">
        <f t="shared" ref="L868:L874" si="1875">K868/C868</f>
        <v>#DIV/0!</v>
      </c>
      <c r="M868" s="67">
        <v>27000</v>
      </c>
      <c r="N868" s="26">
        <v>915</v>
      </c>
      <c r="O868" s="34">
        <f t="shared" ref="O868:O874" si="1876">M868/N868</f>
        <v>29.508196721311474</v>
      </c>
      <c r="P868" s="10">
        <f t="shared" ref="P868:P874" si="1877">O868/C868</f>
        <v>0.56197905229288592</v>
      </c>
      <c r="Q868" s="35">
        <v>0</v>
      </c>
      <c r="R868" s="66">
        <v>0</v>
      </c>
      <c r="S868" s="35" t="e">
        <f t="shared" ref="S868:S874" si="1878">Q868/R868</f>
        <v>#DIV/0!</v>
      </c>
      <c r="T868" s="6" t="e">
        <f t="shared" ref="T868:T874" si="1879">S868/C868</f>
        <v>#DIV/0!</v>
      </c>
      <c r="U868" s="67">
        <v>0</v>
      </c>
      <c r="V868" s="65">
        <v>0</v>
      </c>
      <c r="W868" s="18" t="e">
        <f t="shared" ref="W868:W874" si="1880">U868/V868</f>
        <v>#DIV/0!</v>
      </c>
      <c r="X868" s="9" t="e">
        <f t="shared" ref="X868:X874" si="1881">W868/C868</f>
        <v>#DIV/0!</v>
      </c>
      <c r="Y868" s="67">
        <v>10220</v>
      </c>
      <c r="Z868" s="69">
        <v>231</v>
      </c>
      <c r="AA868" s="34">
        <f t="shared" ref="AA868:AA874" si="1882">Y868/Z868</f>
        <v>44.242424242424242</v>
      </c>
      <c r="AB868" s="10">
        <f t="shared" ref="AB868:AB874" si="1883">AA868/C868</f>
        <v>0.84259014136707788</v>
      </c>
      <c r="AC868" s="18">
        <v>6730</v>
      </c>
      <c r="AD868" s="33">
        <v>441</v>
      </c>
      <c r="AE868" s="34">
        <f t="shared" ref="AE868:AE874" si="1884">AC868/AD868</f>
        <v>15.260770975056689</v>
      </c>
      <c r="AF868" s="9">
        <f t="shared" ref="AF868:AF874" si="1885">AE868/C868</f>
        <v>0.29063902788838303</v>
      </c>
      <c r="AG868" s="67">
        <v>0</v>
      </c>
      <c r="AH868" s="65">
        <v>0</v>
      </c>
      <c r="AI868" s="34" t="e">
        <f t="shared" ref="AI868:AI874" si="1886">AG868/AH868</f>
        <v>#DIV/0!</v>
      </c>
      <c r="AJ868" s="9" t="e">
        <f t="shared" ref="AJ868:AJ874" si="1887">AI868/C868</f>
        <v>#DIV/0!</v>
      </c>
      <c r="AK868" s="67">
        <v>0</v>
      </c>
      <c r="AL868" s="65">
        <v>0</v>
      </c>
      <c r="AM868" s="34" t="e">
        <f t="shared" ref="AM868:AM874" si="1888">AK868/AL868</f>
        <v>#DIV/0!</v>
      </c>
      <c r="AN868" s="9" t="e">
        <f t="shared" ref="AN868:AN874" si="1889">AM868/C868</f>
        <v>#DIV/0!</v>
      </c>
      <c r="AO868" s="67">
        <v>0</v>
      </c>
      <c r="AP868" s="65">
        <v>0</v>
      </c>
      <c r="AQ868" s="34" t="e">
        <f t="shared" ref="AQ868:AQ874" si="1890">AO868/AP868</f>
        <v>#DIV/0!</v>
      </c>
      <c r="AR868" s="9" t="e">
        <f t="shared" ref="AR868:AR874" si="1891">AQ868/C868</f>
        <v>#DIV/0!</v>
      </c>
      <c r="AS868" s="67">
        <v>1170</v>
      </c>
      <c r="AT868" s="65">
        <v>80</v>
      </c>
      <c r="AU868" s="34">
        <f t="shared" ref="AU868:AU874" si="1892">AS868/AT868</f>
        <v>14.625</v>
      </c>
      <c r="AV868" s="9">
        <f t="shared" ref="AV868:AV874" si="1893">AU868/C868</f>
        <v>0.27853086779266162</v>
      </c>
      <c r="AW868" s="67">
        <v>0</v>
      </c>
      <c r="AX868" s="65">
        <v>0</v>
      </c>
      <c r="AY868" s="34" t="e">
        <f t="shared" ref="AY868:AY874" si="1894">AW868/AX868</f>
        <v>#DIV/0!</v>
      </c>
      <c r="AZ868" s="9" t="e">
        <f t="shared" ref="AZ868:AZ874" si="1895">AY868/C868</f>
        <v>#DIV/0!</v>
      </c>
      <c r="BA868" s="67">
        <v>0</v>
      </c>
      <c r="BB868" s="65">
        <v>0</v>
      </c>
      <c r="BC868" s="34" t="e">
        <f t="shared" ref="BC868:BC874" si="1896">BA868/BB868</f>
        <v>#DIV/0!</v>
      </c>
      <c r="BD868" s="10" t="e">
        <f t="shared" ref="BD868:BD874" si="1897">BC868/C868</f>
        <v>#DIV/0!</v>
      </c>
    </row>
    <row r="869" spans="1:56" ht="15.75" thickBot="1" x14ac:dyDescent="0.3">
      <c r="A869" s="19" t="s">
        <v>16</v>
      </c>
      <c r="B869" s="8">
        <v>60600</v>
      </c>
      <c r="C869" s="35">
        <f>B869/F865</f>
        <v>61.773700305810401</v>
      </c>
      <c r="D869" s="8">
        <v>1525</v>
      </c>
      <c r="E869" s="68">
        <v>0</v>
      </c>
      <c r="F869" s="70">
        <v>0</v>
      </c>
      <c r="G869" s="35" t="e">
        <f t="shared" si="1872"/>
        <v>#DIV/0!</v>
      </c>
      <c r="H869" s="11" t="e">
        <f t="shared" si="1873"/>
        <v>#DIV/0!</v>
      </c>
      <c r="I869" s="35">
        <v>0</v>
      </c>
      <c r="J869" s="70">
        <v>0</v>
      </c>
      <c r="K869" s="35" t="e">
        <f t="shared" si="1874"/>
        <v>#DIV/0!</v>
      </c>
      <c r="L869" s="6" t="e">
        <f t="shared" si="1875"/>
        <v>#DIV/0!</v>
      </c>
      <c r="M869" s="68">
        <v>33560</v>
      </c>
      <c r="N869" s="26">
        <v>915</v>
      </c>
      <c r="O869" s="35">
        <f t="shared" si="1876"/>
        <v>36.677595628415304</v>
      </c>
      <c r="P869" s="11">
        <f t="shared" si="1877"/>
        <v>0.59374127576692093</v>
      </c>
      <c r="Q869" s="35">
        <v>0</v>
      </c>
      <c r="R869" s="66">
        <v>0</v>
      </c>
      <c r="S869" s="35" t="e">
        <f t="shared" si="1878"/>
        <v>#DIV/0!</v>
      </c>
      <c r="T869" s="6" t="e">
        <f t="shared" si="1879"/>
        <v>#DIV/0!</v>
      </c>
      <c r="U869" s="68">
        <v>0</v>
      </c>
      <c r="V869" s="66">
        <v>0</v>
      </c>
      <c r="W869" s="20" t="e">
        <f t="shared" si="1880"/>
        <v>#DIV/0!</v>
      </c>
      <c r="X869" s="6" t="e">
        <f t="shared" si="1881"/>
        <v>#DIV/0!</v>
      </c>
      <c r="Y869" s="68">
        <v>14400</v>
      </c>
      <c r="Z869" s="69">
        <v>231</v>
      </c>
      <c r="AA869" s="35">
        <f t="shared" si="1882"/>
        <v>62.337662337662337</v>
      </c>
      <c r="AB869" s="11">
        <f t="shared" si="1883"/>
        <v>1.0091294843770091</v>
      </c>
      <c r="AC869" s="20">
        <v>9350</v>
      </c>
      <c r="AD869" s="33">
        <v>441</v>
      </c>
      <c r="AE869" s="35">
        <f t="shared" si="1884"/>
        <v>21.201814058956916</v>
      </c>
      <c r="AF869" s="6">
        <f t="shared" si="1885"/>
        <v>0.3432174850138075</v>
      </c>
      <c r="AG869" s="68">
        <v>0</v>
      </c>
      <c r="AH869" s="66">
        <v>0</v>
      </c>
      <c r="AI869" s="35" t="e">
        <f t="shared" si="1886"/>
        <v>#DIV/0!</v>
      </c>
      <c r="AJ869" s="6" t="e">
        <f t="shared" si="1887"/>
        <v>#DIV/0!</v>
      </c>
      <c r="AK869" s="68">
        <v>0</v>
      </c>
      <c r="AL869" s="66">
        <v>0</v>
      </c>
      <c r="AM869" s="35" t="e">
        <f t="shared" si="1888"/>
        <v>#DIV/0!</v>
      </c>
      <c r="AN869" s="6" t="e">
        <f t="shared" si="1889"/>
        <v>#DIV/0!</v>
      </c>
      <c r="AO869" s="68">
        <v>0</v>
      </c>
      <c r="AP869" s="66">
        <v>0</v>
      </c>
      <c r="AQ869" s="35" t="e">
        <f t="shared" si="1890"/>
        <v>#DIV/0!</v>
      </c>
      <c r="AR869" s="6" t="e">
        <f t="shared" si="1891"/>
        <v>#DIV/0!</v>
      </c>
      <c r="AS869" s="68">
        <v>1730</v>
      </c>
      <c r="AT869" s="65">
        <v>80</v>
      </c>
      <c r="AU869" s="35">
        <f t="shared" si="1892"/>
        <v>21.625</v>
      </c>
      <c r="AV869" s="6">
        <f t="shared" si="1893"/>
        <v>0.35006806930693068</v>
      </c>
      <c r="AW869" s="68">
        <v>0</v>
      </c>
      <c r="AX869" s="66">
        <v>0</v>
      </c>
      <c r="AY869" s="35" t="e">
        <f t="shared" si="1894"/>
        <v>#DIV/0!</v>
      </c>
      <c r="AZ869" s="6" t="e">
        <f t="shared" si="1895"/>
        <v>#DIV/0!</v>
      </c>
      <c r="BA869" s="68">
        <v>0</v>
      </c>
      <c r="BB869" s="66">
        <v>0</v>
      </c>
      <c r="BC869" s="35" t="e">
        <f t="shared" si="1896"/>
        <v>#DIV/0!</v>
      </c>
      <c r="BD869" s="11" t="e">
        <f t="shared" si="1897"/>
        <v>#DIV/0!</v>
      </c>
    </row>
    <row r="870" spans="1:56" ht="15.75" thickBot="1" x14ac:dyDescent="0.3">
      <c r="A870" s="19" t="s">
        <v>2</v>
      </c>
      <c r="B870" s="8">
        <v>70960</v>
      </c>
      <c r="C870" s="35">
        <f>B870/F865</f>
        <v>72.334352701325173</v>
      </c>
      <c r="D870" s="8">
        <v>2100</v>
      </c>
      <c r="E870" s="68">
        <v>0</v>
      </c>
      <c r="F870" s="70">
        <v>0</v>
      </c>
      <c r="G870" s="35" t="e">
        <f t="shared" si="1872"/>
        <v>#DIV/0!</v>
      </c>
      <c r="H870" s="11" t="e">
        <f t="shared" si="1873"/>
        <v>#DIV/0!</v>
      </c>
      <c r="I870" s="35">
        <v>0</v>
      </c>
      <c r="J870" s="70">
        <v>0</v>
      </c>
      <c r="K870" s="35" t="e">
        <f t="shared" si="1874"/>
        <v>#DIV/0!</v>
      </c>
      <c r="L870" s="6" t="e">
        <f t="shared" si="1875"/>
        <v>#DIV/0!</v>
      </c>
      <c r="M870" s="68">
        <v>38410</v>
      </c>
      <c r="N870" s="26">
        <v>915</v>
      </c>
      <c r="O870" s="35">
        <f t="shared" si="1876"/>
        <v>41.978142076502735</v>
      </c>
      <c r="P870" s="11">
        <f t="shared" si="1877"/>
        <v>0.58033479956382727</v>
      </c>
      <c r="Q870" s="35">
        <v>0</v>
      </c>
      <c r="R870" s="66">
        <v>0</v>
      </c>
      <c r="S870" s="35" t="e">
        <f t="shared" si="1878"/>
        <v>#DIV/0!</v>
      </c>
      <c r="T870" s="6" t="e">
        <f t="shared" si="1879"/>
        <v>#DIV/0!</v>
      </c>
      <c r="U870" s="68">
        <v>0</v>
      </c>
      <c r="V870" s="66">
        <v>0</v>
      </c>
      <c r="W870" s="20" t="e">
        <f t="shared" si="1880"/>
        <v>#DIV/0!</v>
      </c>
      <c r="X870" s="6" t="e">
        <f t="shared" si="1881"/>
        <v>#DIV/0!</v>
      </c>
      <c r="Y870" s="68">
        <v>16590</v>
      </c>
      <c r="Z870" s="69">
        <v>231</v>
      </c>
      <c r="AA870" s="35">
        <f t="shared" si="1882"/>
        <v>71.818181818181813</v>
      </c>
      <c r="AB870" s="11">
        <f t="shared" si="1883"/>
        <v>0.99286409757097471</v>
      </c>
      <c r="AC870" s="20">
        <v>11330</v>
      </c>
      <c r="AD870" s="33">
        <v>441</v>
      </c>
      <c r="AE870" s="35">
        <f t="shared" si="1884"/>
        <v>25.691609977324262</v>
      </c>
      <c r="AF870" s="6">
        <f t="shared" si="1885"/>
        <v>0.35517854266847665</v>
      </c>
      <c r="AG870" s="68">
        <v>0</v>
      </c>
      <c r="AH870" s="66">
        <v>0</v>
      </c>
      <c r="AI870" s="35" t="e">
        <f t="shared" si="1886"/>
        <v>#DIV/0!</v>
      </c>
      <c r="AJ870" s="6" t="e">
        <f t="shared" si="1887"/>
        <v>#DIV/0!</v>
      </c>
      <c r="AK870" s="68">
        <v>0</v>
      </c>
      <c r="AL870" s="66">
        <v>0</v>
      </c>
      <c r="AM870" s="35" t="e">
        <f t="shared" si="1888"/>
        <v>#DIV/0!</v>
      </c>
      <c r="AN870" s="6" t="e">
        <f t="shared" si="1889"/>
        <v>#DIV/0!</v>
      </c>
      <c r="AO870" s="68">
        <v>0</v>
      </c>
      <c r="AP870" s="66">
        <v>0</v>
      </c>
      <c r="AQ870" s="35" t="e">
        <f t="shared" si="1890"/>
        <v>#DIV/0!</v>
      </c>
      <c r="AR870" s="6" t="e">
        <f t="shared" si="1891"/>
        <v>#DIV/0!</v>
      </c>
      <c r="AS870" s="68">
        <v>1820</v>
      </c>
      <c r="AT870" s="65">
        <v>80</v>
      </c>
      <c r="AU870" s="35">
        <f t="shared" si="1892"/>
        <v>22.75</v>
      </c>
      <c r="AV870" s="6">
        <f t="shared" si="1893"/>
        <v>0.31451169673055246</v>
      </c>
      <c r="AW870" s="68">
        <v>0</v>
      </c>
      <c r="AX870" s="66">
        <v>0</v>
      </c>
      <c r="AY870" s="35" t="e">
        <f t="shared" si="1894"/>
        <v>#DIV/0!</v>
      </c>
      <c r="AZ870" s="6" t="e">
        <f t="shared" si="1895"/>
        <v>#DIV/0!</v>
      </c>
      <c r="BA870" s="68">
        <v>0</v>
      </c>
      <c r="BB870" s="66">
        <v>0</v>
      </c>
      <c r="BC870" s="35" t="e">
        <f t="shared" si="1896"/>
        <v>#DIV/0!</v>
      </c>
      <c r="BD870" s="11" t="e">
        <f t="shared" si="1897"/>
        <v>#DIV/0!</v>
      </c>
    </row>
    <row r="871" spans="1:56" ht="15.75" thickBot="1" x14ac:dyDescent="0.3">
      <c r="A871" s="19" t="s">
        <v>3</v>
      </c>
      <c r="B871" s="8">
        <v>85560</v>
      </c>
      <c r="C871" s="35">
        <f>B871/F865</f>
        <v>87.217125382262992</v>
      </c>
      <c r="D871" s="8">
        <v>2700</v>
      </c>
      <c r="E871" s="68">
        <v>0</v>
      </c>
      <c r="F871" s="70">
        <v>0</v>
      </c>
      <c r="G871" s="35" t="e">
        <f t="shared" si="1872"/>
        <v>#DIV/0!</v>
      </c>
      <c r="H871" s="11" t="e">
        <f t="shared" si="1873"/>
        <v>#DIV/0!</v>
      </c>
      <c r="I871" s="35">
        <v>0</v>
      </c>
      <c r="J871" s="70">
        <v>0</v>
      </c>
      <c r="K871" s="35" t="e">
        <f t="shared" si="1874"/>
        <v>#DIV/0!</v>
      </c>
      <c r="L871" s="6" t="e">
        <f t="shared" si="1875"/>
        <v>#DIV/0!</v>
      </c>
      <c r="M871" s="68">
        <v>44300</v>
      </c>
      <c r="N871" s="26">
        <v>915</v>
      </c>
      <c r="O871" s="35">
        <f t="shared" si="1876"/>
        <v>48.415300546448087</v>
      </c>
      <c r="P871" s="11">
        <f t="shared" si="1877"/>
        <v>0.55511231692456264</v>
      </c>
      <c r="Q871" s="35">
        <v>0</v>
      </c>
      <c r="R871" s="66">
        <v>0</v>
      </c>
      <c r="S871" s="35" t="e">
        <f t="shared" si="1878"/>
        <v>#DIV/0!</v>
      </c>
      <c r="T871" s="6" t="e">
        <f t="shared" si="1879"/>
        <v>#DIV/0!</v>
      </c>
      <c r="U871" s="68">
        <v>0</v>
      </c>
      <c r="V871" s="66">
        <v>0</v>
      </c>
      <c r="W871" s="20" t="e">
        <f t="shared" si="1880"/>
        <v>#DIV/0!</v>
      </c>
      <c r="X871" s="6" t="e">
        <f t="shared" si="1881"/>
        <v>#DIV/0!</v>
      </c>
      <c r="Y871" s="68">
        <v>16540</v>
      </c>
      <c r="Z871" s="69">
        <v>231</v>
      </c>
      <c r="AA871" s="35">
        <f t="shared" si="1882"/>
        <v>71.601731601731601</v>
      </c>
      <c r="AB871" s="11">
        <f t="shared" si="1883"/>
        <v>0.82095954536347249</v>
      </c>
      <c r="AC871" s="20">
        <v>11970</v>
      </c>
      <c r="AD871" s="33">
        <v>441</v>
      </c>
      <c r="AE871" s="35">
        <f t="shared" si="1884"/>
        <v>27.142857142857142</v>
      </c>
      <c r="AF871" s="6">
        <f t="shared" si="1885"/>
        <v>0.31121017832097775</v>
      </c>
      <c r="AG871" s="68">
        <v>0</v>
      </c>
      <c r="AH871" s="66">
        <v>0</v>
      </c>
      <c r="AI871" s="35" t="e">
        <f t="shared" si="1886"/>
        <v>#DIV/0!</v>
      </c>
      <c r="AJ871" s="6" t="e">
        <f t="shared" si="1887"/>
        <v>#DIV/0!</v>
      </c>
      <c r="AK871" s="68">
        <v>0</v>
      </c>
      <c r="AL871" s="66">
        <v>0</v>
      </c>
      <c r="AM871" s="35" t="e">
        <f t="shared" si="1888"/>
        <v>#DIV/0!</v>
      </c>
      <c r="AN871" s="6" t="e">
        <f t="shared" si="1889"/>
        <v>#DIV/0!</v>
      </c>
      <c r="AO871" s="68">
        <v>0</v>
      </c>
      <c r="AP871" s="66">
        <v>0</v>
      </c>
      <c r="AQ871" s="35" t="e">
        <f t="shared" si="1890"/>
        <v>#DIV/0!</v>
      </c>
      <c r="AR871" s="6" t="e">
        <f t="shared" si="1891"/>
        <v>#DIV/0!</v>
      </c>
      <c r="AS871" s="68">
        <v>1920</v>
      </c>
      <c r="AT871" s="65">
        <v>80</v>
      </c>
      <c r="AU871" s="35">
        <f t="shared" si="1892"/>
        <v>24</v>
      </c>
      <c r="AV871" s="6">
        <f t="shared" si="1893"/>
        <v>0.27517531556802244</v>
      </c>
      <c r="AW871" s="68">
        <v>0</v>
      </c>
      <c r="AX871" s="66">
        <v>0</v>
      </c>
      <c r="AY871" s="35" t="e">
        <f t="shared" si="1894"/>
        <v>#DIV/0!</v>
      </c>
      <c r="AZ871" s="6" t="e">
        <f t="shared" si="1895"/>
        <v>#DIV/0!</v>
      </c>
      <c r="BA871" s="68">
        <v>0</v>
      </c>
      <c r="BB871" s="66">
        <v>0</v>
      </c>
      <c r="BC871" s="35" t="e">
        <f t="shared" si="1896"/>
        <v>#DIV/0!</v>
      </c>
      <c r="BD871" s="11" t="e">
        <f t="shared" si="1897"/>
        <v>#DIV/0!</v>
      </c>
    </row>
    <row r="872" spans="1:56" ht="15.75" thickBot="1" x14ac:dyDescent="0.3">
      <c r="A872" s="19" t="s">
        <v>4</v>
      </c>
      <c r="B872" s="8">
        <v>106730</v>
      </c>
      <c r="C872" s="35">
        <f>B872/F865</f>
        <v>108.79714576962283</v>
      </c>
      <c r="D872" s="8">
        <v>5250</v>
      </c>
      <c r="E872" s="68">
        <v>0</v>
      </c>
      <c r="F872" s="70">
        <v>0</v>
      </c>
      <c r="G872" s="35" t="e">
        <f t="shared" si="1872"/>
        <v>#DIV/0!</v>
      </c>
      <c r="H872" s="11" t="e">
        <f t="shared" si="1873"/>
        <v>#DIV/0!</v>
      </c>
      <c r="I872" s="35">
        <v>0</v>
      </c>
      <c r="J872" s="70">
        <v>0</v>
      </c>
      <c r="K872" s="35" t="e">
        <f t="shared" si="1874"/>
        <v>#DIV/0!</v>
      </c>
      <c r="L872" s="6" t="e">
        <f t="shared" si="1875"/>
        <v>#DIV/0!</v>
      </c>
      <c r="M872" s="68">
        <v>62920</v>
      </c>
      <c r="N872" s="26">
        <v>915</v>
      </c>
      <c r="O872" s="35">
        <f t="shared" si="1876"/>
        <v>68.765027322404379</v>
      </c>
      <c r="P872" s="11">
        <f t="shared" si="1877"/>
        <v>0.63204808210698682</v>
      </c>
      <c r="Q872" s="35">
        <v>0</v>
      </c>
      <c r="R872" s="66">
        <v>0</v>
      </c>
      <c r="S872" s="35" t="e">
        <f t="shared" si="1878"/>
        <v>#DIV/0!</v>
      </c>
      <c r="T872" s="6" t="e">
        <f t="shared" si="1879"/>
        <v>#DIV/0!</v>
      </c>
      <c r="U872" s="68">
        <v>0</v>
      </c>
      <c r="V872" s="66">
        <v>0</v>
      </c>
      <c r="W872" s="20" t="e">
        <f t="shared" si="1880"/>
        <v>#DIV/0!</v>
      </c>
      <c r="X872" s="6" t="e">
        <f t="shared" si="1881"/>
        <v>#DIV/0!</v>
      </c>
      <c r="Y872" s="68">
        <v>20270</v>
      </c>
      <c r="Z872" s="69">
        <v>231</v>
      </c>
      <c r="AA872" s="35">
        <f t="shared" si="1882"/>
        <v>87.748917748917748</v>
      </c>
      <c r="AB872" s="11">
        <f t="shared" si="1883"/>
        <v>0.80653694661002828</v>
      </c>
      <c r="AC872" s="20">
        <v>13660</v>
      </c>
      <c r="AD872" s="33">
        <v>441</v>
      </c>
      <c r="AE872" s="35">
        <f t="shared" si="1884"/>
        <v>30.975056689342402</v>
      </c>
      <c r="AF872" s="6">
        <f t="shared" si="1885"/>
        <v>0.28470468108540148</v>
      </c>
      <c r="AG872" s="68">
        <v>0</v>
      </c>
      <c r="AH872" s="66">
        <v>0</v>
      </c>
      <c r="AI872" s="35" t="e">
        <f t="shared" si="1886"/>
        <v>#DIV/0!</v>
      </c>
      <c r="AJ872" s="6" t="e">
        <f t="shared" si="1887"/>
        <v>#DIV/0!</v>
      </c>
      <c r="AK872" s="68">
        <v>0</v>
      </c>
      <c r="AL872" s="66">
        <v>0</v>
      </c>
      <c r="AM872" s="35" t="e">
        <f t="shared" si="1888"/>
        <v>#DIV/0!</v>
      </c>
      <c r="AN872" s="6" t="e">
        <f t="shared" si="1889"/>
        <v>#DIV/0!</v>
      </c>
      <c r="AO872" s="68">
        <v>0</v>
      </c>
      <c r="AP872" s="66">
        <v>0</v>
      </c>
      <c r="AQ872" s="35" t="e">
        <f t="shared" si="1890"/>
        <v>#DIV/0!</v>
      </c>
      <c r="AR872" s="6" t="e">
        <f t="shared" si="1891"/>
        <v>#DIV/0!</v>
      </c>
      <c r="AS872" s="68">
        <v>2370</v>
      </c>
      <c r="AT872" s="65">
        <v>80</v>
      </c>
      <c r="AU872" s="35">
        <f t="shared" si="1892"/>
        <v>29.625</v>
      </c>
      <c r="AV872" s="6">
        <f t="shared" si="1893"/>
        <v>0.27229574627564884</v>
      </c>
      <c r="AW872" s="68">
        <v>0</v>
      </c>
      <c r="AX872" s="66">
        <v>0</v>
      </c>
      <c r="AY872" s="35" t="e">
        <f t="shared" si="1894"/>
        <v>#DIV/0!</v>
      </c>
      <c r="AZ872" s="6" t="e">
        <f t="shared" si="1895"/>
        <v>#DIV/0!</v>
      </c>
      <c r="BA872" s="68">
        <v>0</v>
      </c>
      <c r="BB872" s="66">
        <v>0</v>
      </c>
      <c r="BC872" s="35" t="e">
        <f t="shared" si="1896"/>
        <v>#DIV/0!</v>
      </c>
      <c r="BD872" s="11" t="e">
        <f t="shared" si="1897"/>
        <v>#DIV/0!</v>
      </c>
    </row>
    <row r="873" spans="1:56" ht="15.75" thickBot="1" x14ac:dyDescent="0.3">
      <c r="A873" s="19" t="s">
        <v>5</v>
      </c>
      <c r="B873" s="8">
        <v>140330</v>
      </c>
      <c r="C873" s="35">
        <f>B873/F865</f>
        <v>143.04791029561673</v>
      </c>
      <c r="D873" s="8">
        <v>7050</v>
      </c>
      <c r="E873" s="68">
        <v>0</v>
      </c>
      <c r="F873" s="70">
        <v>0</v>
      </c>
      <c r="G873" s="35" t="e">
        <f t="shared" si="1872"/>
        <v>#DIV/0!</v>
      </c>
      <c r="H873" s="11" t="e">
        <f t="shared" si="1873"/>
        <v>#DIV/0!</v>
      </c>
      <c r="I873" s="35">
        <v>0</v>
      </c>
      <c r="J873" s="70">
        <v>0</v>
      </c>
      <c r="K873" s="35" t="e">
        <f t="shared" si="1874"/>
        <v>#DIV/0!</v>
      </c>
      <c r="L873" s="6" t="e">
        <f t="shared" si="1875"/>
        <v>#DIV/0!</v>
      </c>
      <c r="M873" s="68">
        <v>70650</v>
      </c>
      <c r="N873" s="26">
        <v>915</v>
      </c>
      <c r="O873" s="35">
        <f t="shared" si="1876"/>
        <v>77.213114754098356</v>
      </c>
      <c r="P873" s="11">
        <f t="shared" si="1877"/>
        <v>0.5397710081505771</v>
      </c>
      <c r="Q873" s="35">
        <v>0</v>
      </c>
      <c r="R873" s="66">
        <v>0</v>
      </c>
      <c r="S873" s="35" t="e">
        <f t="shared" si="1878"/>
        <v>#DIV/0!</v>
      </c>
      <c r="T873" s="6" t="e">
        <f t="shared" si="1879"/>
        <v>#DIV/0!</v>
      </c>
      <c r="U873" s="68">
        <v>0</v>
      </c>
      <c r="V873" s="66">
        <v>0</v>
      </c>
      <c r="W873" s="20" t="e">
        <f t="shared" si="1880"/>
        <v>#DIV/0!</v>
      </c>
      <c r="X873" s="6" t="e">
        <f t="shared" si="1881"/>
        <v>#DIV/0!</v>
      </c>
      <c r="Y873" s="68">
        <v>26480</v>
      </c>
      <c r="Z873" s="69">
        <v>231</v>
      </c>
      <c r="AA873" s="35">
        <f t="shared" si="1882"/>
        <v>114.63203463203463</v>
      </c>
      <c r="AB873" s="11">
        <f t="shared" si="1883"/>
        <v>0.80135413649273823</v>
      </c>
      <c r="AC873" s="20">
        <v>15630</v>
      </c>
      <c r="AD873" s="33">
        <v>441</v>
      </c>
      <c r="AE873" s="35">
        <f t="shared" si="1884"/>
        <v>35.442176870748298</v>
      </c>
      <c r="AF873" s="6">
        <f t="shared" si="1885"/>
        <v>0.24776438046179775</v>
      </c>
      <c r="AG873" s="68">
        <v>0</v>
      </c>
      <c r="AH873" s="66">
        <v>0</v>
      </c>
      <c r="AI873" s="35" t="e">
        <f t="shared" si="1886"/>
        <v>#DIV/0!</v>
      </c>
      <c r="AJ873" s="6" t="e">
        <f t="shared" si="1887"/>
        <v>#DIV/0!</v>
      </c>
      <c r="AK873" s="68">
        <v>0</v>
      </c>
      <c r="AL873" s="66">
        <v>0</v>
      </c>
      <c r="AM873" s="35" t="e">
        <f t="shared" si="1888"/>
        <v>#DIV/0!</v>
      </c>
      <c r="AN873" s="6" t="e">
        <f t="shared" si="1889"/>
        <v>#DIV/0!</v>
      </c>
      <c r="AO873" s="68">
        <v>0</v>
      </c>
      <c r="AP873" s="66">
        <v>0</v>
      </c>
      <c r="AQ873" s="35" t="e">
        <f t="shared" si="1890"/>
        <v>#DIV/0!</v>
      </c>
      <c r="AR873" s="6" t="e">
        <f t="shared" si="1891"/>
        <v>#DIV/0!</v>
      </c>
      <c r="AS873" s="68">
        <v>2610</v>
      </c>
      <c r="AT873" s="65">
        <v>80</v>
      </c>
      <c r="AU873" s="35">
        <f t="shared" si="1892"/>
        <v>32.625</v>
      </c>
      <c r="AV873" s="6">
        <f t="shared" si="1893"/>
        <v>0.22807044110311406</v>
      </c>
      <c r="AW873" s="68">
        <v>0</v>
      </c>
      <c r="AX873" s="66">
        <v>0</v>
      </c>
      <c r="AY873" s="35" t="e">
        <f t="shared" si="1894"/>
        <v>#DIV/0!</v>
      </c>
      <c r="AZ873" s="6" t="e">
        <f t="shared" si="1895"/>
        <v>#DIV/0!</v>
      </c>
      <c r="BA873" s="68">
        <v>0</v>
      </c>
      <c r="BB873" s="66">
        <v>0</v>
      </c>
      <c r="BC873" s="35" t="e">
        <f t="shared" si="1896"/>
        <v>#DIV/0!</v>
      </c>
      <c r="BD873" s="11" t="e">
        <f t="shared" si="1897"/>
        <v>#DIV/0!</v>
      </c>
    </row>
    <row r="874" spans="1:56" x14ac:dyDescent="0.25">
      <c r="A874" s="19" t="s">
        <v>6</v>
      </c>
      <c r="B874" s="8">
        <v>160720</v>
      </c>
      <c r="C874" s="35">
        <f>B874/F865</f>
        <v>163.8328236493374</v>
      </c>
      <c r="D874" s="8">
        <v>10950</v>
      </c>
      <c r="E874" s="68">
        <v>0</v>
      </c>
      <c r="F874" s="70">
        <v>0</v>
      </c>
      <c r="G874" s="35" t="e">
        <f t="shared" si="1872"/>
        <v>#DIV/0!</v>
      </c>
      <c r="H874" s="11" t="e">
        <f t="shared" si="1873"/>
        <v>#DIV/0!</v>
      </c>
      <c r="I874" s="35">
        <v>0</v>
      </c>
      <c r="J874" s="70">
        <v>0</v>
      </c>
      <c r="K874" s="35" t="e">
        <f t="shared" si="1874"/>
        <v>#DIV/0!</v>
      </c>
      <c r="L874" s="6" t="e">
        <f t="shared" si="1875"/>
        <v>#DIV/0!</v>
      </c>
      <c r="M874" s="68">
        <v>85890</v>
      </c>
      <c r="N874" s="26">
        <v>915</v>
      </c>
      <c r="O874" s="35">
        <f t="shared" si="1876"/>
        <v>93.868852459016395</v>
      </c>
      <c r="P874" s="11">
        <f t="shared" si="1877"/>
        <v>0.57295510367281666</v>
      </c>
      <c r="Q874" s="35">
        <v>0</v>
      </c>
      <c r="R874" s="66">
        <v>0</v>
      </c>
      <c r="S874" s="35" t="e">
        <f t="shared" si="1878"/>
        <v>#DIV/0!</v>
      </c>
      <c r="T874" s="6" t="e">
        <f t="shared" si="1879"/>
        <v>#DIV/0!</v>
      </c>
      <c r="U874" s="68">
        <v>0</v>
      </c>
      <c r="V874" s="66">
        <v>0</v>
      </c>
      <c r="W874" s="20" t="e">
        <f t="shared" si="1880"/>
        <v>#DIV/0!</v>
      </c>
      <c r="X874" s="6" t="e">
        <f t="shared" si="1881"/>
        <v>#DIV/0!</v>
      </c>
      <c r="Y874" s="68">
        <v>29000</v>
      </c>
      <c r="Z874" s="69">
        <v>231</v>
      </c>
      <c r="AA874" s="35">
        <f t="shared" si="1882"/>
        <v>125.54112554112554</v>
      </c>
      <c r="AB874" s="11">
        <f t="shared" si="1883"/>
        <v>0.76627578494178794</v>
      </c>
      <c r="AC874" s="20">
        <v>22300</v>
      </c>
      <c r="AD874" s="33">
        <v>441</v>
      </c>
      <c r="AE874" s="35">
        <f t="shared" si="1884"/>
        <v>50.56689342403628</v>
      </c>
      <c r="AF874" s="6">
        <f t="shared" si="1885"/>
        <v>0.30864934326144594</v>
      </c>
      <c r="AG874" s="68">
        <v>0</v>
      </c>
      <c r="AH874" s="66">
        <v>0</v>
      </c>
      <c r="AI874" s="35" t="e">
        <f t="shared" si="1886"/>
        <v>#DIV/0!</v>
      </c>
      <c r="AJ874" s="6" t="e">
        <f t="shared" si="1887"/>
        <v>#DIV/0!</v>
      </c>
      <c r="AK874" s="68">
        <v>0</v>
      </c>
      <c r="AL874" s="66">
        <v>0</v>
      </c>
      <c r="AM874" s="35" t="e">
        <f t="shared" si="1888"/>
        <v>#DIV/0!</v>
      </c>
      <c r="AN874" s="6" t="e">
        <f t="shared" si="1889"/>
        <v>#DIV/0!</v>
      </c>
      <c r="AO874" s="68">
        <v>0</v>
      </c>
      <c r="AP874" s="66">
        <v>0</v>
      </c>
      <c r="AQ874" s="35" t="e">
        <f t="shared" si="1890"/>
        <v>#DIV/0!</v>
      </c>
      <c r="AR874" s="6" t="e">
        <f t="shared" si="1891"/>
        <v>#DIV/0!</v>
      </c>
      <c r="AS874" s="68">
        <v>2800</v>
      </c>
      <c r="AT874" s="65">
        <v>80</v>
      </c>
      <c r="AU874" s="35">
        <f t="shared" si="1892"/>
        <v>35</v>
      </c>
      <c r="AV874" s="6">
        <f t="shared" si="1893"/>
        <v>0.21363240418118468</v>
      </c>
      <c r="AW874" s="68">
        <v>0</v>
      </c>
      <c r="AX874" s="66">
        <v>0</v>
      </c>
      <c r="AY874" s="35" t="e">
        <f t="shared" si="1894"/>
        <v>#DIV/0!</v>
      </c>
      <c r="AZ874" s="6" t="e">
        <f t="shared" si="1895"/>
        <v>#DIV/0!</v>
      </c>
      <c r="BA874" s="68">
        <v>0</v>
      </c>
      <c r="BB874" s="66">
        <v>0</v>
      </c>
      <c r="BC874" s="35" t="e">
        <f t="shared" si="1896"/>
        <v>#DIV/0!</v>
      </c>
      <c r="BD874" s="11" t="e">
        <f t="shared" si="1897"/>
        <v>#DIV/0!</v>
      </c>
    </row>
    <row r="875" spans="1:56" ht="15.75" thickBot="1" x14ac:dyDescent="0.3">
      <c r="A875" s="21"/>
      <c r="B875" s="22"/>
      <c r="C875" s="23">
        <f>AVERAGE(Table11062[MA $/Sq Ft])</f>
        <v>98.501529051987774</v>
      </c>
      <c r="D875" s="22">
        <f>AVERAGE(Table11062[Basic Allowance])</f>
        <v>4442.8571428571431</v>
      </c>
      <c r="E875" s="16"/>
      <c r="F875" s="22"/>
      <c r="G875" s="15"/>
      <c r="H875" s="24" t="e">
        <f>AVERAGE(Table11062[Bsmt % Base])</f>
        <v>#DIV/0!</v>
      </c>
      <c r="I875" s="15"/>
      <c r="J875" s="15"/>
      <c r="K875" s="15"/>
      <c r="L875" s="25" t="e">
        <f>AVERAGE(Table11062[[#Headers],[#Data],[UnfBsmt % Base]])</f>
        <v>#DIV/0!</v>
      </c>
      <c r="M875" s="44"/>
      <c r="N875" s="15"/>
      <c r="O875" s="23">
        <f>AVERAGE(Table11062[LowerVal/SqFt])</f>
        <v>56.632318501170964</v>
      </c>
      <c r="P875" s="24">
        <f>AVERAGE(Table11062[Lower % Base])</f>
        <v>0.5765630912112254</v>
      </c>
      <c r="Q875" s="13"/>
      <c r="R875" s="13"/>
      <c r="S875" s="13"/>
      <c r="T875" s="25" t="e">
        <f>AVERAGE(Table11062[Unf Lower % Base])</f>
        <v>#DIV/0!</v>
      </c>
      <c r="U875" s="12"/>
      <c r="V875" s="13"/>
      <c r="W875" s="13"/>
      <c r="X875" s="25" t="e">
        <f>AVERAGE(Table11062[1/2 Story % Base])</f>
        <v>#DIV/0!</v>
      </c>
      <c r="Y875" s="12"/>
      <c r="Z875" s="13"/>
      <c r="AA875" s="13"/>
      <c r="AB875" s="24">
        <f>AVERAGE(Table11062[2nd Story % Base])</f>
        <v>0.86281573381758403</v>
      </c>
      <c r="AC875" s="13"/>
      <c r="AD875" s="13"/>
      <c r="AE875" s="23">
        <f>AVERAGE(Table11062[AttGarVal/SqFt])</f>
        <v>29.46873987690314</v>
      </c>
      <c r="AF875" s="25">
        <f>AVERAGE(Table11062[Att Gar % Base])</f>
        <v>0.30590909124289861</v>
      </c>
      <c r="AG875" s="12"/>
      <c r="AH875" s="13"/>
      <c r="AI875" s="13"/>
      <c r="AJ875" s="25" t="e">
        <f>AVERAGE(Table11062[Porch % Base])</f>
        <v>#DIV/0!</v>
      </c>
      <c r="AK875" s="12"/>
      <c r="AL875" s="13"/>
      <c r="AM875" s="13"/>
      <c r="AN875" s="25" t="e">
        <f>AVERAGE(Table11062[Cov Porch % Base])</f>
        <v>#DIV/0!</v>
      </c>
      <c r="AO875" s="12"/>
      <c r="AP875" s="13"/>
      <c r="AQ875" s="13"/>
      <c r="AR875" s="25" t="e">
        <f>AVERAGE(Table11062[Deck % Base])</f>
        <v>#DIV/0!</v>
      </c>
      <c r="AS875" s="12"/>
      <c r="AT875" s="13"/>
      <c r="AU875" s="23">
        <f>AVERAGE(Table11062[CovDeckVal/SqFt])</f>
        <v>25.75</v>
      </c>
      <c r="AV875" s="25">
        <f>AVERAGE(Table11062[CovDeck % Base])</f>
        <v>0.27604064870830214</v>
      </c>
      <c r="AW875" s="12"/>
      <c r="AX875" s="13"/>
      <c r="AY875" s="13"/>
      <c r="AZ875" s="25" t="e">
        <f>AVERAGE(Table11062[CarP % Base])</f>
        <v>#DIV/0!</v>
      </c>
      <c r="BA875" s="12"/>
      <c r="BB875" s="13"/>
      <c r="BC875" s="13"/>
      <c r="BD875" s="24" t="e">
        <f>AVERAGE(Table11062[EFP % Base])</f>
        <v>#DIV/0!</v>
      </c>
    </row>
    <row r="877" spans="1:56" ht="15.75" thickBot="1" x14ac:dyDescent="0.3">
      <c r="A877" s="82"/>
      <c r="B877" t="s">
        <v>79</v>
      </c>
      <c r="C877" s="78" t="s">
        <v>171</v>
      </c>
      <c r="E877" t="s">
        <v>33</v>
      </c>
      <c r="F877" s="79">
        <v>784</v>
      </c>
      <c r="H877" t="s">
        <v>80</v>
      </c>
      <c r="I877" t="s">
        <v>95</v>
      </c>
    </row>
    <row r="878" spans="1:56" x14ac:dyDescent="0.25">
      <c r="A878" s="89"/>
      <c r="B878" s="90"/>
      <c r="C878" s="90"/>
      <c r="D878" s="91"/>
      <c r="E878" s="115" t="s">
        <v>27</v>
      </c>
      <c r="F878" s="116"/>
      <c r="G878" s="116"/>
      <c r="H878" s="117"/>
      <c r="I878" s="118" t="s">
        <v>28</v>
      </c>
      <c r="J878" s="119"/>
      <c r="K878" s="119"/>
      <c r="L878" s="120"/>
      <c r="M878" s="121" t="s">
        <v>7</v>
      </c>
      <c r="N878" s="122"/>
      <c r="O878" s="122"/>
      <c r="P878" s="123"/>
      <c r="Q878" s="124" t="s">
        <v>29</v>
      </c>
      <c r="R878" s="125"/>
      <c r="S878" s="125"/>
      <c r="T878" s="126"/>
      <c r="U878" s="127" t="s">
        <v>8</v>
      </c>
      <c r="V878" s="128"/>
      <c r="W878" s="128"/>
      <c r="X878" s="129"/>
      <c r="Y878" s="130" t="s">
        <v>0</v>
      </c>
      <c r="Z878" s="131"/>
      <c r="AA878" s="131"/>
      <c r="AB878" s="132"/>
      <c r="AC878" s="133" t="s">
        <v>34</v>
      </c>
      <c r="AD878" s="134"/>
      <c r="AE878" s="134"/>
      <c r="AF878" s="135"/>
      <c r="AG878" s="115" t="s">
        <v>9</v>
      </c>
      <c r="AH878" s="116"/>
      <c r="AI878" s="116"/>
      <c r="AJ878" s="117"/>
      <c r="AK878" s="136" t="s">
        <v>35</v>
      </c>
      <c r="AL878" s="137"/>
      <c r="AM878" s="137"/>
      <c r="AN878" s="138"/>
      <c r="AO878" s="139" t="s">
        <v>10</v>
      </c>
      <c r="AP878" s="140"/>
      <c r="AQ878" s="140"/>
      <c r="AR878" s="141"/>
      <c r="AS878" s="124" t="s">
        <v>36</v>
      </c>
      <c r="AT878" s="125"/>
      <c r="AU878" s="125"/>
      <c r="AV878" s="126"/>
      <c r="AW878" s="142" t="s">
        <v>11</v>
      </c>
      <c r="AX878" s="143"/>
      <c r="AY878" s="143"/>
      <c r="AZ878" s="144"/>
      <c r="BA878" s="148" t="s">
        <v>17</v>
      </c>
      <c r="BB878" s="149"/>
      <c r="BC878" s="149"/>
      <c r="BD878" s="150"/>
    </row>
    <row r="879" spans="1:56" s="1" customFormat="1" ht="15.75" thickBot="1" x14ac:dyDescent="0.3">
      <c r="A879" s="41" t="s">
        <v>13</v>
      </c>
      <c r="B879" s="42" t="s">
        <v>15</v>
      </c>
      <c r="C879" s="42" t="s">
        <v>32</v>
      </c>
      <c r="D879" s="43" t="s">
        <v>18</v>
      </c>
      <c r="E879" s="30" t="s">
        <v>30</v>
      </c>
      <c r="F879" s="31" t="s">
        <v>61</v>
      </c>
      <c r="G879" s="31" t="s">
        <v>38</v>
      </c>
      <c r="H879" s="32" t="s">
        <v>62</v>
      </c>
      <c r="I879" s="37" t="s">
        <v>31</v>
      </c>
      <c r="J879" s="38" t="s">
        <v>39</v>
      </c>
      <c r="K879" s="38" t="s">
        <v>40</v>
      </c>
      <c r="L879" s="39" t="s">
        <v>63</v>
      </c>
      <c r="M879" s="40" t="s">
        <v>19</v>
      </c>
      <c r="N879" s="7" t="s">
        <v>41</v>
      </c>
      <c r="O879" s="7" t="s">
        <v>37</v>
      </c>
      <c r="P879" s="7" t="s">
        <v>64</v>
      </c>
      <c r="Q879" s="27" t="s">
        <v>20</v>
      </c>
      <c r="R879" s="28" t="s">
        <v>60</v>
      </c>
      <c r="S879" s="28" t="s">
        <v>59</v>
      </c>
      <c r="T879" s="29" t="s">
        <v>65</v>
      </c>
      <c r="U879" s="48" t="s">
        <v>21</v>
      </c>
      <c r="V879" s="48" t="s">
        <v>42</v>
      </c>
      <c r="W879" s="48" t="s">
        <v>43</v>
      </c>
      <c r="X879" s="49" t="s">
        <v>66</v>
      </c>
      <c r="Y879" s="50" t="s">
        <v>22</v>
      </c>
      <c r="Z879" s="51" t="s">
        <v>44</v>
      </c>
      <c r="AA879" s="51" t="s">
        <v>45</v>
      </c>
      <c r="AB879" s="52" t="s">
        <v>67</v>
      </c>
      <c r="AC879" s="45" t="s">
        <v>23</v>
      </c>
      <c r="AD879" s="46" t="s">
        <v>46</v>
      </c>
      <c r="AE879" s="46" t="s">
        <v>47</v>
      </c>
      <c r="AF879" s="47" t="s">
        <v>68</v>
      </c>
      <c r="AG879" s="30" t="s">
        <v>24</v>
      </c>
      <c r="AH879" s="31" t="s">
        <v>48</v>
      </c>
      <c r="AI879" s="31" t="s">
        <v>49</v>
      </c>
      <c r="AJ879" s="32" t="s">
        <v>69</v>
      </c>
      <c r="AK879" s="53" t="s">
        <v>25</v>
      </c>
      <c r="AL879" s="54" t="s">
        <v>50</v>
      </c>
      <c r="AM879" s="54" t="s">
        <v>51</v>
      </c>
      <c r="AN879" s="55" t="s">
        <v>70</v>
      </c>
      <c r="AO879" s="56" t="s">
        <v>26</v>
      </c>
      <c r="AP879" s="57" t="s">
        <v>52</v>
      </c>
      <c r="AQ879" s="57" t="s">
        <v>53</v>
      </c>
      <c r="AR879" s="58" t="s">
        <v>71</v>
      </c>
      <c r="AS879" s="59" t="s">
        <v>55</v>
      </c>
      <c r="AT879" s="60" t="s">
        <v>54</v>
      </c>
      <c r="AU879" s="60" t="s">
        <v>56</v>
      </c>
      <c r="AV879" s="61" t="s">
        <v>76</v>
      </c>
      <c r="AW879" s="62" t="s">
        <v>72</v>
      </c>
      <c r="AX879" s="63" t="s">
        <v>73</v>
      </c>
      <c r="AY879" s="63" t="s">
        <v>74</v>
      </c>
      <c r="AZ879" s="64" t="s">
        <v>75</v>
      </c>
      <c r="BA879" s="71" t="s">
        <v>77</v>
      </c>
      <c r="BB879" s="72" t="s">
        <v>57</v>
      </c>
      <c r="BC879" s="72" t="s">
        <v>58</v>
      </c>
      <c r="BD879" s="73" t="s">
        <v>78</v>
      </c>
    </row>
    <row r="880" spans="1:56" ht="15.75" thickBot="1" x14ac:dyDescent="0.3">
      <c r="A880" s="17" t="s">
        <v>1</v>
      </c>
      <c r="B880" s="14">
        <v>42920</v>
      </c>
      <c r="C880" s="34">
        <f>B880/F877</f>
        <v>54.744897959183675</v>
      </c>
      <c r="D880" s="14">
        <v>1525</v>
      </c>
      <c r="E880" s="67">
        <v>20240</v>
      </c>
      <c r="F880" s="69">
        <v>784</v>
      </c>
      <c r="G880" s="34">
        <f t="shared" ref="G880:G886" si="1898">E880/F880</f>
        <v>25.816326530612244</v>
      </c>
      <c r="H880" s="10">
        <f t="shared" ref="H880:H886" si="1899">G880/C880</f>
        <v>0.47157502329916118</v>
      </c>
      <c r="I880" s="34">
        <v>9650</v>
      </c>
      <c r="J880" s="69">
        <v>784</v>
      </c>
      <c r="K880" s="34">
        <f t="shared" ref="K880:K886" si="1900">I880/J880</f>
        <v>12.308673469387756</v>
      </c>
      <c r="L880" s="9">
        <f t="shared" ref="L880:L886" si="1901">K880/C880</f>
        <v>0.22483690587138863</v>
      </c>
      <c r="M880" s="67">
        <v>0</v>
      </c>
      <c r="N880" s="26">
        <v>0</v>
      </c>
      <c r="O880" s="34" t="e">
        <f t="shared" ref="O880:O886" si="1902">M880/N880</f>
        <v>#DIV/0!</v>
      </c>
      <c r="P880" s="10" t="e">
        <f t="shared" ref="P880:P886" si="1903">O880/C880</f>
        <v>#DIV/0!</v>
      </c>
      <c r="Q880" s="35">
        <v>0</v>
      </c>
      <c r="R880" s="66">
        <v>0</v>
      </c>
      <c r="S880" s="35" t="e">
        <f t="shared" ref="S880:S886" si="1904">Q880/R880</f>
        <v>#DIV/0!</v>
      </c>
      <c r="T880" s="6" t="e">
        <f t="shared" ref="T880:T886" si="1905">S880/C880</f>
        <v>#DIV/0!</v>
      </c>
      <c r="U880" s="67">
        <v>0</v>
      </c>
      <c r="V880" s="65">
        <v>0</v>
      </c>
      <c r="W880" s="18" t="e">
        <f t="shared" ref="W880:W886" si="1906">U880/V880</f>
        <v>#DIV/0!</v>
      </c>
      <c r="X880" s="9" t="e">
        <f t="shared" ref="X880:X886" si="1907">W880/C880</f>
        <v>#DIV/0!</v>
      </c>
      <c r="Y880" s="67">
        <v>0</v>
      </c>
      <c r="Z880" s="69">
        <v>0</v>
      </c>
      <c r="AA880" s="34" t="e">
        <f t="shared" ref="AA880:AA886" si="1908">Y880/Z880</f>
        <v>#DIV/0!</v>
      </c>
      <c r="AB880" s="10" t="e">
        <f t="shared" ref="AB880:AB886" si="1909">AA880/C880</f>
        <v>#DIV/0!</v>
      </c>
      <c r="AC880" s="18">
        <v>0</v>
      </c>
      <c r="AD880" s="33">
        <v>0</v>
      </c>
      <c r="AE880" s="34" t="e">
        <f t="shared" ref="AE880:AE886" si="1910">AC880/AD880</f>
        <v>#DIV/0!</v>
      </c>
      <c r="AF880" s="9" t="e">
        <f t="shared" ref="AF880:AF886" si="1911">AE880/C880</f>
        <v>#DIV/0!</v>
      </c>
      <c r="AG880" s="67">
        <v>0</v>
      </c>
      <c r="AH880" s="65">
        <v>0</v>
      </c>
      <c r="AI880" s="34" t="e">
        <f t="shared" ref="AI880:AI886" si="1912">AG880/AH880</f>
        <v>#DIV/0!</v>
      </c>
      <c r="AJ880" s="9" t="e">
        <f t="shared" ref="AJ880:AJ886" si="1913">AI880/C880</f>
        <v>#DIV/0!</v>
      </c>
      <c r="AK880" s="67">
        <v>620</v>
      </c>
      <c r="AL880" s="65">
        <v>112</v>
      </c>
      <c r="AM880" s="34">
        <f t="shared" ref="AM880:AM886" si="1914">AK880/AL880</f>
        <v>5.5357142857142856</v>
      </c>
      <c r="AN880" s="9">
        <f t="shared" ref="AN880:AN886" si="1915">AM880/C880</f>
        <v>0.1011183597390494</v>
      </c>
      <c r="AO880" s="67">
        <v>0</v>
      </c>
      <c r="AP880" s="65">
        <v>0</v>
      </c>
      <c r="AQ880" s="34" t="e">
        <f t="shared" ref="AQ880:AQ886" si="1916">AO880/AP880</f>
        <v>#DIV/0!</v>
      </c>
      <c r="AR880" s="9" t="e">
        <f t="shared" ref="AR880:AR886" si="1917">AQ880/C880</f>
        <v>#DIV/0!</v>
      </c>
      <c r="AS880" s="67">
        <v>0</v>
      </c>
      <c r="AT880" s="65">
        <v>0</v>
      </c>
      <c r="AU880" s="34" t="e">
        <f t="shared" ref="AU880:AU886" si="1918">AS880/AT880</f>
        <v>#DIV/0!</v>
      </c>
      <c r="AV880" s="9" t="e">
        <f t="shared" ref="AV880:AV886" si="1919">AU880/C880</f>
        <v>#DIV/0!</v>
      </c>
      <c r="AW880" s="67">
        <v>0</v>
      </c>
      <c r="AX880" s="65">
        <v>0</v>
      </c>
      <c r="AY880" s="34" t="e">
        <f t="shared" ref="AY880:AY886" si="1920">AW880/AX880</f>
        <v>#DIV/0!</v>
      </c>
      <c r="AZ880" s="9" t="e">
        <f t="shared" ref="AZ880:AZ886" si="1921">AY880/C880</f>
        <v>#DIV/0!</v>
      </c>
      <c r="BA880" s="67">
        <v>2440</v>
      </c>
      <c r="BB880" s="65">
        <v>88</v>
      </c>
      <c r="BC880" s="34">
        <f t="shared" ref="BC880:BC886" si="1922">BA880/BB880</f>
        <v>27.727272727272727</v>
      </c>
      <c r="BD880" s="10">
        <f t="shared" ref="BD880:BD886" si="1923">BC880/C880</f>
        <v>0.50648140303312716</v>
      </c>
    </row>
    <row r="881" spans="1:56" ht="15.75" thickBot="1" x14ac:dyDescent="0.3">
      <c r="A881" s="19" t="s">
        <v>16</v>
      </c>
      <c r="B881" s="8">
        <v>50500</v>
      </c>
      <c r="C881" s="35">
        <f>B881/F877</f>
        <v>64.413265306122454</v>
      </c>
      <c r="D881" s="8">
        <v>1525</v>
      </c>
      <c r="E881" s="68">
        <v>26810</v>
      </c>
      <c r="F881" s="69">
        <v>784</v>
      </c>
      <c r="G881" s="35">
        <f t="shared" si="1898"/>
        <v>34.196428571428569</v>
      </c>
      <c r="H881" s="11">
        <f t="shared" si="1899"/>
        <v>0.53089108910891081</v>
      </c>
      <c r="I881" s="35">
        <v>12890</v>
      </c>
      <c r="J881" s="69">
        <v>784</v>
      </c>
      <c r="K881" s="35">
        <f t="shared" si="1900"/>
        <v>16.441326530612244</v>
      </c>
      <c r="L881" s="6">
        <f t="shared" si="1901"/>
        <v>0.2552475247524752</v>
      </c>
      <c r="M881" s="68">
        <v>0</v>
      </c>
      <c r="N881" s="5">
        <v>0</v>
      </c>
      <c r="O881" s="35" t="e">
        <f t="shared" si="1902"/>
        <v>#DIV/0!</v>
      </c>
      <c r="P881" s="11" t="e">
        <f t="shared" si="1903"/>
        <v>#DIV/0!</v>
      </c>
      <c r="Q881" s="35">
        <v>0</v>
      </c>
      <c r="R881" s="66">
        <v>0</v>
      </c>
      <c r="S881" s="35" t="e">
        <f t="shared" si="1904"/>
        <v>#DIV/0!</v>
      </c>
      <c r="T881" s="6" t="e">
        <f t="shared" si="1905"/>
        <v>#DIV/0!</v>
      </c>
      <c r="U881" s="68">
        <v>0</v>
      </c>
      <c r="V881" s="66">
        <v>0</v>
      </c>
      <c r="W881" s="20" t="e">
        <f t="shared" si="1906"/>
        <v>#DIV/0!</v>
      </c>
      <c r="X881" s="6" t="e">
        <f t="shared" si="1907"/>
        <v>#DIV/0!</v>
      </c>
      <c r="Y881" s="68">
        <v>0</v>
      </c>
      <c r="Z881" s="70">
        <v>0</v>
      </c>
      <c r="AA881" s="35" t="e">
        <f t="shared" si="1908"/>
        <v>#DIV/0!</v>
      </c>
      <c r="AB881" s="11" t="e">
        <f t="shared" si="1909"/>
        <v>#DIV/0!</v>
      </c>
      <c r="AC881" s="20">
        <v>0</v>
      </c>
      <c r="AD881" s="36">
        <v>0</v>
      </c>
      <c r="AE881" s="35" t="e">
        <f t="shared" si="1910"/>
        <v>#DIV/0!</v>
      </c>
      <c r="AF881" s="6" t="e">
        <f t="shared" si="1911"/>
        <v>#DIV/0!</v>
      </c>
      <c r="AG881" s="68">
        <v>0</v>
      </c>
      <c r="AH881" s="66">
        <v>0</v>
      </c>
      <c r="AI881" s="35" t="e">
        <f t="shared" si="1912"/>
        <v>#DIV/0!</v>
      </c>
      <c r="AJ881" s="6" t="e">
        <f t="shared" si="1913"/>
        <v>#DIV/0!</v>
      </c>
      <c r="AK881" s="68">
        <v>910</v>
      </c>
      <c r="AL881" s="65">
        <v>112</v>
      </c>
      <c r="AM881" s="35">
        <f t="shared" si="1914"/>
        <v>8.125</v>
      </c>
      <c r="AN881" s="6">
        <f t="shared" si="1915"/>
        <v>0.12613861386138614</v>
      </c>
      <c r="AO881" s="68">
        <v>0</v>
      </c>
      <c r="AP881" s="66">
        <v>0</v>
      </c>
      <c r="AQ881" s="35" t="e">
        <f t="shared" si="1916"/>
        <v>#DIV/0!</v>
      </c>
      <c r="AR881" s="6" t="e">
        <f t="shared" si="1917"/>
        <v>#DIV/0!</v>
      </c>
      <c r="AS881" s="68">
        <v>0</v>
      </c>
      <c r="AT881" s="66">
        <v>0</v>
      </c>
      <c r="AU881" s="35" t="e">
        <f t="shared" si="1918"/>
        <v>#DIV/0!</v>
      </c>
      <c r="AV881" s="6" t="e">
        <f t="shared" si="1919"/>
        <v>#DIV/0!</v>
      </c>
      <c r="AW881" s="68">
        <v>0</v>
      </c>
      <c r="AX881" s="66">
        <v>0</v>
      </c>
      <c r="AY881" s="35" t="e">
        <f t="shared" si="1920"/>
        <v>#DIV/0!</v>
      </c>
      <c r="AZ881" s="6" t="e">
        <f t="shared" si="1921"/>
        <v>#DIV/0!</v>
      </c>
      <c r="BA881" s="68">
        <v>3610</v>
      </c>
      <c r="BB881" s="65">
        <v>88</v>
      </c>
      <c r="BC881" s="35">
        <f t="shared" si="1922"/>
        <v>41.022727272727273</v>
      </c>
      <c r="BD881" s="11">
        <f t="shared" si="1923"/>
        <v>0.63686768676867678</v>
      </c>
    </row>
    <row r="882" spans="1:56" ht="15.75" thickBot="1" x14ac:dyDescent="0.3">
      <c r="A882" s="19" t="s">
        <v>2</v>
      </c>
      <c r="B882" s="8">
        <v>59160</v>
      </c>
      <c r="C882" s="35">
        <f>B882/F877</f>
        <v>75.459183673469383</v>
      </c>
      <c r="D882" s="8">
        <v>2100</v>
      </c>
      <c r="E882" s="68">
        <v>30510</v>
      </c>
      <c r="F882" s="69">
        <v>784</v>
      </c>
      <c r="G882" s="35">
        <f t="shared" si="1898"/>
        <v>38.91581632653061</v>
      </c>
      <c r="H882" s="11">
        <f t="shared" si="1899"/>
        <v>0.51572008113590262</v>
      </c>
      <c r="I882" s="35">
        <v>14670</v>
      </c>
      <c r="J882" s="69">
        <v>784</v>
      </c>
      <c r="K882" s="35">
        <f t="shared" si="1900"/>
        <v>18.711734693877553</v>
      </c>
      <c r="L882" s="6">
        <f t="shared" si="1901"/>
        <v>0.24797160243407712</v>
      </c>
      <c r="M882" s="68">
        <v>0</v>
      </c>
      <c r="N882" s="5">
        <v>0</v>
      </c>
      <c r="O882" s="35" t="e">
        <f t="shared" si="1902"/>
        <v>#DIV/0!</v>
      </c>
      <c r="P882" s="11" t="e">
        <f t="shared" si="1903"/>
        <v>#DIV/0!</v>
      </c>
      <c r="Q882" s="35">
        <v>0</v>
      </c>
      <c r="R882" s="66">
        <v>0</v>
      </c>
      <c r="S882" s="35" t="e">
        <f t="shared" si="1904"/>
        <v>#DIV/0!</v>
      </c>
      <c r="T882" s="6" t="e">
        <f t="shared" si="1905"/>
        <v>#DIV/0!</v>
      </c>
      <c r="U882" s="68">
        <v>0</v>
      </c>
      <c r="V882" s="66">
        <v>0</v>
      </c>
      <c r="W882" s="20" t="e">
        <f t="shared" si="1906"/>
        <v>#DIV/0!</v>
      </c>
      <c r="X882" s="6" t="e">
        <f t="shared" si="1907"/>
        <v>#DIV/0!</v>
      </c>
      <c r="Y882" s="68">
        <v>0</v>
      </c>
      <c r="Z882" s="70">
        <v>0</v>
      </c>
      <c r="AA882" s="35" t="e">
        <f t="shared" si="1908"/>
        <v>#DIV/0!</v>
      </c>
      <c r="AB882" s="11" t="e">
        <f t="shared" si="1909"/>
        <v>#DIV/0!</v>
      </c>
      <c r="AC882" s="20">
        <v>0</v>
      </c>
      <c r="AD882" s="36">
        <v>0</v>
      </c>
      <c r="AE882" s="35" t="e">
        <f t="shared" si="1910"/>
        <v>#DIV/0!</v>
      </c>
      <c r="AF882" s="6" t="e">
        <f t="shared" si="1911"/>
        <v>#DIV/0!</v>
      </c>
      <c r="AG882" s="68">
        <v>0</v>
      </c>
      <c r="AH882" s="66">
        <v>0</v>
      </c>
      <c r="AI882" s="35" t="e">
        <f t="shared" si="1912"/>
        <v>#DIV/0!</v>
      </c>
      <c r="AJ882" s="6" t="e">
        <f t="shared" si="1913"/>
        <v>#DIV/0!</v>
      </c>
      <c r="AK882" s="68">
        <v>990</v>
      </c>
      <c r="AL882" s="65">
        <v>112</v>
      </c>
      <c r="AM882" s="35">
        <f t="shared" si="1914"/>
        <v>8.8392857142857135</v>
      </c>
      <c r="AN882" s="6">
        <f t="shared" si="1915"/>
        <v>0.11713995943204868</v>
      </c>
      <c r="AO882" s="68">
        <v>0</v>
      </c>
      <c r="AP882" s="66">
        <v>0</v>
      </c>
      <c r="AQ882" s="35" t="e">
        <f t="shared" si="1916"/>
        <v>#DIV/0!</v>
      </c>
      <c r="AR882" s="6" t="e">
        <f t="shared" si="1917"/>
        <v>#DIV/0!</v>
      </c>
      <c r="AS882" s="68">
        <v>0</v>
      </c>
      <c r="AT882" s="66">
        <v>0</v>
      </c>
      <c r="AU882" s="35" t="e">
        <f t="shared" si="1918"/>
        <v>#DIV/0!</v>
      </c>
      <c r="AV882" s="6" t="e">
        <f t="shared" si="1919"/>
        <v>#DIV/0!</v>
      </c>
      <c r="AW882" s="68">
        <v>0</v>
      </c>
      <c r="AX882" s="66">
        <v>0</v>
      </c>
      <c r="AY882" s="35" t="e">
        <f t="shared" si="1920"/>
        <v>#DIV/0!</v>
      </c>
      <c r="AZ882" s="6" t="e">
        <f t="shared" si="1921"/>
        <v>#DIV/0!</v>
      </c>
      <c r="BA882" s="68">
        <v>4040</v>
      </c>
      <c r="BB882" s="65">
        <v>88</v>
      </c>
      <c r="BC882" s="35">
        <f t="shared" si="1922"/>
        <v>45.909090909090907</v>
      </c>
      <c r="BD882" s="11">
        <f t="shared" si="1923"/>
        <v>0.60839633659106274</v>
      </c>
    </row>
    <row r="883" spans="1:56" ht="15.75" thickBot="1" x14ac:dyDescent="0.3">
      <c r="A883" s="19" t="s">
        <v>3</v>
      </c>
      <c r="B883" s="8">
        <v>70620</v>
      </c>
      <c r="C883" s="35">
        <f>B883/F877</f>
        <v>90.076530612244895</v>
      </c>
      <c r="D883" s="8">
        <v>2700</v>
      </c>
      <c r="E883" s="68">
        <v>34750</v>
      </c>
      <c r="F883" s="69">
        <v>784</v>
      </c>
      <c r="G883" s="35">
        <f t="shared" si="1898"/>
        <v>44.323979591836732</v>
      </c>
      <c r="H883" s="11">
        <f t="shared" si="1899"/>
        <v>0.49207023506088926</v>
      </c>
      <c r="I883" s="35">
        <v>16580</v>
      </c>
      <c r="J883" s="69">
        <v>784</v>
      </c>
      <c r="K883" s="35">
        <f t="shared" si="1900"/>
        <v>21.147959183673468</v>
      </c>
      <c r="L883" s="6">
        <f t="shared" si="1901"/>
        <v>0.2347776833758142</v>
      </c>
      <c r="M883" s="68">
        <v>0</v>
      </c>
      <c r="N883" s="5">
        <v>0</v>
      </c>
      <c r="O883" s="35" t="e">
        <f t="shared" si="1902"/>
        <v>#DIV/0!</v>
      </c>
      <c r="P883" s="11" t="e">
        <f t="shared" si="1903"/>
        <v>#DIV/0!</v>
      </c>
      <c r="Q883" s="35">
        <v>0</v>
      </c>
      <c r="R883" s="66">
        <v>0</v>
      </c>
      <c r="S883" s="35" t="e">
        <f t="shared" si="1904"/>
        <v>#DIV/0!</v>
      </c>
      <c r="T883" s="6" t="e">
        <f t="shared" si="1905"/>
        <v>#DIV/0!</v>
      </c>
      <c r="U883" s="68">
        <v>0</v>
      </c>
      <c r="V883" s="66">
        <v>0</v>
      </c>
      <c r="W883" s="20" t="e">
        <f t="shared" si="1906"/>
        <v>#DIV/0!</v>
      </c>
      <c r="X883" s="6" t="e">
        <f t="shared" si="1907"/>
        <v>#DIV/0!</v>
      </c>
      <c r="Y883" s="68">
        <v>0</v>
      </c>
      <c r="Z883" s="70">
        <v>0</v>
      </c>
      <c r="AA883" s="35" t="e">
        <f t="shared" si="1908"/>
        <v>#DIV/0!</v>
      </c>
      <c r="AB883" s="11" t="e">
        <f t="shared" si="1909"/>
        <v>#DIV/0!</v>
      </c>
      <c r="AC883" s="20">
        <v>0</v>
      </c>
      <c r="AD883" s="36">
        <v>0</v>
      </c>
      <c r="AE883" s="35" t="e">
        <f t="shared" si="1910"/>
        <v>#DIV/0!</v>
      </c>
      <c r="AF883" s="6" t="e">
        <f t="shared" si="1911"/>
        <v>#DIV/0!</v>
      </c>
      <c r="AG883" s="68">
        <v>0</v>
      </c>
      <c r="AH883" s="66">
        <v>0</v>
      </c>
      <c r="AI883" s="35" t="e">
        <f t="shared" si="1912"/>
        <v>#DIV/0!</v>
      </c>
      <c r="AJ883" s="6" t="e">
        <f t="shared" si="1913"/>
        <v>#DIV/0!</v>
      </c>
      <c r="AK883" s="68">
        <v>1070</v>
      </c>
      <c r="AL883" s="65">
        <v>112</v>
      </c>
      <c r="AM883" s="35">
        <f t="shared" si="1914"/>
        <v>9.5535714285714288</v>
      </c>
      <c r="AN883" s="6">
        <f t="shared" si="1915"/>
        <v>0.10606060606060606</v>
      </c>
      <c r="AO883" s="68">
        <v>0</v>
      </c>
      <c r="AP883" s="66">
        <v>0</v>
      </c>
      <c r="AQ883" s="35" t="e">
        <f t="shared" si="1916"/>
        <v>#DIV/0!</v>
      </c>
      <c r="AR883" s="6" t="e">
        <f t="shared" si="1917"/>
        <v>#DIV/0!</v>
      </c>
      <c r="AS883" s="68">
        <v>0</v>
      </c>
      <c r="AT883" s="66">
        <v>0</v>
      </c>
      <c r="AU883" s="35" t="e">
        <f t="shared" si="1918"/>
        <v>#DIV/0!</v>
      </c>
      <c r="AV883" s="6" t="e">
        <f t="shared" si="1919"/>
        <v>#DIV/0!</v>
      </c>
      <c r="AW883" s="68">
        <v>0</v>
      </c>
      <c r="AX883" s="66">
        <v>0</v>
      </c>
      <c r="AY883" s="35" t="e">
        <f t="shared" si="1920"/>
        <v>#DIV/0!</v>
      </c>
      <c r="AZ883" s="6" t="e">
        <f t="shared" si="1921"/>
        <v>#DIV/0!</v>
      </c>
      <c r="BA883" s="68">
        <v>4710</v>
      </c>
      <c r="BB883" s="65">
        <v>88</v>
      </c>
      <c r="BC883" s="35">
        <f t="shared" si="1922"/>
        <v>53.522727272727273</v>
      </c>
      <c r="BD883" s="11">
        <f t="shared" si="1923"/>
        <v>0.59419170464200199</v>
      </c>
    </row>
    <row r="884" spans="1:56" ht="15.75" thickBot="1" x14ac:dyDescent="0.3">
      <c r="A884" s="19" t="s">
        <v>4</v>
      </c>
      <c r="B884" s="8">
        <v>88120</v>
      </c>
      <c r="C884" s="35">
        <f>B884/F877</f>
        <v>112.39795918367346</v>
      </c>
      <c r="D884" s="8">
        <v>5250</v>
      </c>
      <c r="E884" s="68">
        <v>49630</v>
      </c>
      <c r="F884" s="69">
        <v>784</v>
      </c>
      <c r="G884" s="35">
        <f t="shared" si="1898"/>
        <v>63.303571428571431</v>
      </c>
      <c r="H884" s="11">
        <f t="shared" si="1899"/>
        <v>0.56320926009986383</v>
      </c>
      <c r="I884" s="35">
        <v>22020</v>
      </c>
      <c r="J884" s="69">
        <v>784</v>
      </c>
      <c r="K884" s="35">
        <f t="shared" si="1900"/>
        <v>28.086734693877553</v>
      </c>
      <c r="L884" s="6">
        <f t="shared" si="1901"/>
        <v>0.24988651838402182</v>
      </c>
      <c r="M884" s="68">
        <v>0</v>
      </c>
      <c r="N884" s="5">
        <v>0</v>
      </c>
      <c r="O884" s="35" t="e">
        <f t="shared" si="1902"/>
        <v>#DIV/0!</v>
      </c>
      <c r="P884" s="11" t="e">
        <f t="shared" si="1903"/>
        <v>#DIV/0!</v>
      </c>
      <c r="Q884" s="35">
        <v>0</v>
      </c>
      <c r="R884" s="66">
        <v>0</v>
      </c>
      <c r="S884" s="35" t="e">
        <f t="shared" si="1904"/>
        <v>#DIV/0!</v>
      </c>
      <c r="T884" s="6" t="e">
        <f t="shared" si="1905"/>
        <v>#DIV/0!</v>
      </c>
      <c r="U884" s="68">
        <v>0</v>
      </c>
      <c r="V884" s="66">
        <v>0</v>
      </c>
      <c r="W884" s="20" t="e">
        <f t="shared" si="1906"/>
        <v>#DIV/0!</v>
      </c>
      <c r="X884" s="6" t="e">
        <f t="shared" si="1907"/>
        <v>#DIV/0!</v>
      </c>
      <c r="Y884" s="68">
        <v>0</v>
      </c>
      <c r="Z884" s="70">
        <v>0</v>
      </c>
      <c r="AA884" s="35" t="e">
        <f t="shared" si="1908"/>
        <v>#DIV/0!</v>
      </c>
      <c r="AB884" s="11" t="e">
        <f t="shared" si="1909"/>
        <v>#DIV/0!</v>
      </c>
      <c r="AC884" s="20">
        <v>0</v>
      </c>
      <c r="AD884" s="36">
        <v>0</v>
      </c>
      <c r="AE884" s="35" t="e">
        <f t="shared" si="1910"/>
        <v>#DIV/0!</v>
      </c>
      <c r="AF884" s="6" t="e">
        <f t="shared" si="1911"/>
        <v>#DIV/0!</v>
      </c>
      <c r="AG884" s="68">
        <v>0</v>
      </c>
      <c r="AH884" s="66">
        <v>0</v>
      </c>
      <c r="AI884" s="35" t="e">
        <f t="shared" si="1912"/>
        <v>#DIV/0!</v>
      </c>
      <c r="AJ884" s="6" t="e">
        <f t="shared" si="1913"/>
        <v>#DIV/0!</v>
      </c>
      <c r="AK884" s="68">
        <v>1260</v>
      </c>
      <c r="AL884" s="65">
        <v>112</v>
      </c>
      <c r="AM884" s="35">
        <f t="shared" si="1914"/>
        <v>11.25</v>
      </c>
      <c r="AN884" s="6">
        <f t="shared" si="1915"/>
        <v>0.10009078529278258</v>
      </c>
      <c r="AO884" s="68">
        <v>0</v>
      </c>
      <c r="AP884" s="66">
        <v>0</v>
      </c>
      <c r="AQ884" s="35" t="e">
        <f t="shared" si="1916"/>
        <v>#DIV/0!</v>
      </c>
      <c r="AR884" s="6" t="e">
        <f t="shared" si="1917"/>
        <v>#DIV/0!</v>
      </c>
      <c r="AS884" s="68">
        <v>0</v>
      </c>
      <c r="AT884" s="66">
        <v>0</v>
      </c>
      <c r="AU884" s="35" t="e">
        <f t="shared" si="1918"/>
        <v>#DIV/0!</v>
      </c>
      <c r="AV884" s="6" t="e">
        <f t="shared" si="1919"/>
        <v>#DIV/0!</v>
      </c>
      <c r="AW884" s="68">
        <v>0</v>
      </c>
      <c r="AX884" s="66">
        <v>0</v>
      </c>
      <c r="AY884" s="35" t="e">
        <f t="shared" si="1920"/>
        <v>#DIV/0!</v>
      </c>
      <c r="AZ884" s="6" t="e">
        <f t="shared" si="1921"/>
        <v>#DIV/0!</v>
      </c>
      <c r="BA884" s="68">
        <v>5870</v>
      </c>
      <c r="BB884" s="65">
        <v>88</v>
      </c>
      <c r="BC884" s="35">
        <f t="shared" si="1922"/>
        <v>66.704545454545453</v>
      </c>
      <c r="BD884" s="11">
        <f t="shared" si="1923"/>
        <v>0.59346758552387247</v>
      </c>
    </row>
    <row r="885" spans="1:56" ht="15.75" thickBot="1" x14ac:dyDescent="0.3">
      <c r="A885" s="19" t="s">
        <v>5</v>
      </c>
      <c r="B885" s="8">
        <v>112150</v>
      </c>
      <c r="C885" s="35">
        <f>B885/F877</f>
        <v>143.04846938775509</v>
      </c>
      <c r="D885" s="8">
        <v>7050</v>
      </c>
      <c r="E885" s="68">
        <v>55070</v>
      </c>
      <c r="F885" s="69">
        <v>784</v>
      </c>
      <c r="G885" s="35">
        <f t="shared" si="1898"/>
        <v>70.242346938775512</v>
      </c>
      <c r="H885" s="11">
        <f t="shared" si="1899"/>
        <v>0.49103878733838613</v>
      </c>
      <c r="I885" s="35">
        <v>24600</v>
      </c>
      <c r="J885" s="69">
        <v>784</v>
      </c>
      <c r="K885" s="35">
        <f t="shared" si="1900"/>
        <v>31.377551020408163</v>
      </c>
      <c r="L885" s="6">
        <f t="shared" si="1901"/>
        <v>0.21934908604547482</v>
      </c>
      <c r="M885" s="68">
        <v>0</v>
      </c>
      <c r="N885" s="5">
        <v>0</v>
      </c>
      <c r="O885" s="35" t="e">
        <f t="shared" si="1902"/>
        <v>#DIV/0!</v>
      </c>
      <c r="P885" s="11" t="e">
        <f t="shared" si="1903"/>
        <v>#DIV/0!</v>
      </c>
      <c r="Q885" s="35">
        <v>0</v>
      </c>
      <c r="R885" s="66">
        <v>0</v>
      </c>
      <c r="S885" s="35" t="e">
        <f t="shared" si="1904"/>
        <v>#DIV/0!</v>
      </c>
      <c r="T885" s="6" t="e">
        <f t="shared" si="1905"/>
        <v>#DIV/0!</v>
      </c>
      <c r="U885" s="68">
        <v>0</v>
      </c>
      <c r="V885" s="66">
        <v>0</v>
      </c>
      <c r="W885" s="20" t="e">
        <f t="shared" si="1906"/>
        <v>#DIV/0!</v>
      </c>
      <c r="X885" s="6" t="e">
        <f t="shared" si="1907"/>
        <v>#DIV/0!</v>
      </c>
      <c r="Y885" s="68">
        <v>0</v>
      </c>
      <c r="Z885" s="70">
        <v>0</v>
      </c>
      <c r="AA885" s="35" t="e">
        <f t="shared" si="1908"/>
        <v>#DIV/0!</v>
      </c>
      <c r="AB885" s="11" t="e">
        <f t="shared" si="1909"/>
        <v>#DIV/0!</v>
      </c>
      <c r="AC885" s="20">
        <v>0</v>
      </c>
      <c r="AD885" s="36">
        <v>0</v>
      </c>
      <c r="AE885" s="35" t="e">
        <f t="shared" si="1910"/>
        <v>#DIV/0!</v>
      </c>
      <c r="AF885" s="6" t="e">
        <f t="shared" si="1911"/>
        <v>#DIV/0!</v>
      </c>
      <c r="AG885" s="68">
        <v>0</v>
      </c>
      <c r="AH885" s="66">
        <v>0</v>
      </c>
      <c r="AI885" s="35" t="e">
        <f t="shared" si="1912"/>
        <v>#DIV/0!</v>
      </c>
      <c r="AJ885" s="6" t="e">
        <f t="shared" si="1913"/>
        <v>#DIV/0!</v>
      </c>
      <c r="AK885" s="68">
        <v>1400</v>
      </c>
      <c r="AL885" s="65">
        <v>112</v>
      </c>
      <c r="AM885" s="35">
        <f t="shared" si="1914"/>
        <v>12.5</v>
      </c>
      <c r="AN885" s="6">
        <f t="shared" si="1915"/>
        <v>8.7382969237628186E-2</v>
      </c>
      <c r="AO885" s="68">
        <v>0</v>
      </c>
      <c r="AP885" s="66">
        <v>0</v>
      </c>
      <c r="AQ885" s="35" t="e">
        <f t="shared" si="1916"/>
        <v>#DIV/0!</v>
      </c>
      <c r="AR885" s="6" t="e">
        <f t="shared" si="1917"/>
        <v>#DIV/0!</v>
      </c>
      <c r="AS885" s="68">
        <v>0</v>
      </c>
      <c r="AT885" s="66">
        <v>0</v>
      </c>
      <c r="AU885" s="35" t="e">
        <f t="shared" si="1918"/>
        <v>#DIV/0!</v>
      </c>
      <c r="AV885" s="6" t="e">
        <f t="shared" si="1919"/>
        <v>#DIV/0!</v>
      </c>
      <c r="AW885" s="68">
        <v>0</v>
      </c>
      <c r="AX885" s="66">
        <v>0</v>
      </c>
      <c r="AY885" s="35" t="e">
        <f t="shared" si="1920"/>
        <v>#DIV/0!</v>
      </c>
      <c r="AZ885" s="6" t="e">
        <f t="shared" si="1921"/>
        <v>#DIV/0!</v>
      </c>
      <c r="BA885" s="68">
        <v>6830</v>
      </c>
      <c r="BB885" s="65">
        <v>88</v>
      </c>
      <c r="BC885" s="35">
        <f t="shared" si="1922"/>
        <v>77.61363636363636</v>
      </c>
      <c r="BD885" s="11">
        <f t="shared" si="1923"/>
        <v>0.54256879990272766</v>
      </c>
    </row>
    <row r="886" spans="1:56" x14ac:dyDescent="0.25">
      <c r="A886" s="19" t="s">
        <v>6</v>
      </c>
      <c r="B886" s="8">
        <v>128440</v>
      </c>
      <c r="C886" s="35">
        <f>B886/F877</f>
        <v>163.82653061224491</v>
      </c>
      <c r="D886" s="8">
        <v>10950</v>
      </c>
      <c r="E886" s="68">
        <v>66720</v>
      </c>
      <c r="F886" s="69">
        <v>784</v>
      </c>
      <c r="G886" s="35">
        <f t="shared" si="1898"/>
        <v>85.102040816326536</v>
      </c>
      <c r="H886" s="11">
        <f t="shared" si="1899"/>
        <v>0.5194643413266895</v>
      </c>
      <c r="I886" s="35">
        <v>30680</v>
      </c>
      <c r="J886" s="69">
        <v>784</v>
      </c>
      <c r="K886" s="35">
        <f t="shared" si="1900"/>
        <v>39.132653061224488</v>
      </c>
      <c r="L886" s="6">
        <f t="shared" si="1901"/>
        <v>0.23886639676113358</v>
      </c>
      <c r="M886" s="68">
        <v>0</v>
      </c>
      <c r="N886" s="5">
        <v>0</v>
      </c>
      <c r="O886" s="35" t="e">
        <f t="shared" si="1902"/>
        <v>#DIV/0!</v>
      </c>
      <c r="P886" s="11" t="e">
        <f t="shared" si="1903"/>
        <v>#DIV/0!</v>
      </c>
      <c r="Q886" s="35">
        <v>0</v>
      </c>
      <c r="R886" s="66">
        <v>0</v>
      </c>
      <c r="S886" s="35" t="e">
        <f t="shared" si="1904"/>
        <v>#DIV/0!</v>
      </c>
      <c r="T886" s="6" t="e">
        <f t="shared" si="1905"/>
        <v>#DIV/0!</v>
      </c>
      <c r="U886" s="68">
        <v>0</v>
      </c>
      <c r="V886" s="66">
        <v>0</v>
      </c>
      <c r="W886" s="20" t="e">
        <f t="shared" si="1906"/>
        <v>#DIV/0!</v>
      </c>
      <c r="X886" s="6" t="e">
        <f t="shared" si="1907"/>
        <v>#DIV/0!</v>
      </c>
      <c r="Y886" s="68">
        <v>0</v>
      </c>
      <c r="Z886" s="70">
        <v>0</v>
      </c>
      <c r="AA886" s="35" t="e">
        <f t="shared" si="1908"/>
        <v>#DIV/0!</v>
      </c>
      <c r="AB886" s="11" t="e">
        <f t="shared" si="1909"/>
        <v>#DIV/0!</v>
      </c>
      <c r="AC886" s="20">
        <v>0</v>
      </c>
      <c r="AD886" s="36">
        <v>0</v>
      </c>
      <c r="AE886" s="35" t="e">
        <f t="shared" si="1910"/>
        <v>#DIV/0!</v>
      </c>
      <c r="AF886" s="6" t="e">
        <f t="shared" si="1911"/>
        <v>#DIV/0!</v>
      </c>
      <c r="AG886" s="68">
        <v>0</v>
      </c>
      <c r="AH886" s="66">
        <v>0</v>
      </c>
      <c r="AI886" s="35" t="e">
        <f t="shared" si="1912"/>
        <v>#DIV/0!</v>
      </c>
      <c r="AJ886" s="6" t="e">
        <f t="shared" si="1913"/>
        <v>#DIV/0!</v>
      </c>
      <c r="AK886" s="68">
        <v>1550</v>
      </c>
      <c r="AL886" s="65">
        <v>112</v>
      </c>
      <c r="AM886" s="35">
        <f t="shared" si="1914"/>
        <v>13.839285714285714</v>
      </c>
      <c r="AN886" s="6">
        <f t="shared" si="1915"/>
        <v>8.4475241357832437E-2</v>
      </c>
      <c r="AO886" s="68">
        <v>0</v>
      </c>
      <c r="AP886" s="66">
        <v>0</v>
      </c>
      <c r="AQ886" s="35" t="e">
        <f t="shared" si="1916"/>
        <v>#DIV/0!</v>
      </c>
      <c r="AR886" s="6" t="e">
        <f t="shared" si="1917"/>
        <v>#DIV/0!</v>
      </c>
      <c r="AS886" s="68">
        <v>0</v>
      </c>
      <c r="AT886" s="66">
        <v>0</v>
      </c>
      <c r="AU886" s="35" t="e">
        <f t="shared" si="1918"/>
        <v>#DIV/0!</v>
      </c>
      <c r="AV886" s="6" t="e">
        <f t="shared" si="1919"/>
        <v>#DIV/0!</v>
      </c>
      <c r="AW886" s="68">
        <v>0</v>
      </c>
      <c r="AX886" s="66">
        <v>0</v>
      </c>
      <c r="AY886" s="35" t="e">
        <f t="shared" si="1920"/>
        <v>#DIV/0!</v>
      </c>
      <c r="AZ886" s="6" t="e">
        <f t="shared" si="1921"/>
        <v>#DIV/0!</v>
      </c>
      <c r="BA886" s="68">
        <v>7910</v>
      </c>
      <c r="BB886" s="65">
        <v>88</v>
      </c>
      <c r="BC886" s="35">
        <f t="shared" si="1922"/>
        <v>89.88636363636364</v>
      </c>
      <c r="BD886" s="11">
        <f t="shared" si="1923"/>
        <v>0.54866793125902436</v>
      </c>
    </row>
    <row r="887" spans="1:56" ht="15.75" thickBot="1" x14ac:dyDescent="0.3">
      <c r="A887" s="21"/>
      <c r="B887" s="22"/>
      <c r="C887" s="23">
        <f>AVERAGE(Table11063[MA $/Sq Ft])</f>
        <v>100.56669096209912</v>
      </c>
      <c r="D887" s="22">
        <f>AVERAGE(Table11063[Basic Allowance])</f>
        <v>4442.8571428571431</v>
      </c>
      <c r="E887" s="16"/>
      <c r="F887" s="22"/>
      <c r="G887" s="15"/>
      <c r="H887" s="24">
        <f>AVERAGE(Table11063[Bsmt % Base])</f>
        <v>0.5119955453385433</v>
      </c>
      <c r="I887" s="15"/>
      <c r="J887" s="15"/>
      <c r="K887" s="15"/>
      <c r="L887" s="25">
        <f>AVERAGE(Table11063[[#Headers],[#Data],[UnfBsmt % Base]])</f>
        <v>0.23870510251776933</v>
      </c>
      <c r="M887" s="44"/>
      <c r="N887" s="15"/>
      <c r="O887" s="23" t="e">
        <f>AVERAGE(Table11063[LowerVal/SqFt])</f>
        <v>#DIV/0!</v>
      </c>
      <c r="P887" s="24" t="e">
        <f>AVERAGE(Table11063[Lower % Base])</f>
        <v>#DIV/0!</v>
      </c>
      <c r="Q887" s="13"/>
      <c r="R887" s="13"/>
      <c r="S887" s="13"/>
      <c r="T887" s="25" t="e">
        <f>AVERAGE(Table11063[Unf Lower % Base])</f>
        <v>#DIV/0!</v>
      </c>
      <c r="U887" s="12"/>
      <c r="V887" s="13"/>
      <c r="W887" s="13"/>
      <c r="X887" s="25" t="e">
        <f>AVERAGE(Table11063[1/2 Story % Base])</f>
        <v>#DIV/0!</v>
      </c>
      <c r="Y887" s="12"/>
      <c r="Z887" s="13"/>
      <c r="AA887" s="13"/>
      <c r="AB887" s="24" t="e">
        <f>AVERAGE(Table11063[2nd Story % Base])</f>
        <v>#DIV/0!</v>
      </c>
      <c r="AC887" s="13"/>
      <c r="AD887" s="13"/>
      <c r="AE887" s="23" t="e">
        <f>AVERAGE(Table11063[AttGarVal/SqFt])</f>
        <v>#DIV/0!</v>
      </c>
      <c r="AF887" s="25" t="e">
        <f>AVERAGE(Table11063[Att Gar % Base])</f>
        <v>#DIV/0!</v>
      </c>
      <c r="AG887" s="12"/>
      <c r="AH887" s="13"/>
      <c r="AI887" s="13"/>
      <c r="AJ887" s="25" t="e">
        <f>AVERAGE(Table11063[Porch % Base])</f>
        <v>#DIV/0!</v>
      </c>
      <c r="AK887" s="12"/>
      <c r="AL887" s="13"/>
      <c r="AM887" s="13"/>
      <c r="AN887" s="25">
        <f>AVERAGE(Table11063[Cov Porch % Base])</f>
        <v>0.10320093356876194</v>
      </c>
      <c r="AO887" s="12"/>
      <c r="AP887" s="13"/>
      <c r="AQ887" s="13"/>
      <c r="AR887" s="25" t="e">
        <f>AVERAGE(Table11063[Deck % Base])</f>
        <v>#DIV/0!</v>
      </c>
      <c r="AS887" s="12"/>
      <c r="AT887" s="13"/>
      <c r="AU887" s="23" t="e">
        <f>AVERAGE(Table11063[CovDeckVal/SqFt])</f>
        <v>#DIV/0!</v>
      </c>
      <c r="AV887" s="25" t="e">
        <f>AVERAGE(Table11063[CovDeck % Base])</f>
        <v>#DIV/0!</v>
      </c>
      <c r="AW887" s="12"/>
      <c r="AX887" s="13"/>
      <c r="AY887" s="13"/>
      <c r="AZ887" s="25" t="e">
        <f>AVERAGE(Table11063[CarP % Base])</f>
        <v>#DIV/0!</v>
      </c>
      <c r="BA887" s="12"/>
      <c r="BB887" s="13"/>
      <c r="BC887" s="13"/>
      <c r="BD887" s="24">
        <f>AVERAGE(Table11063[EFP % Base])</f>
        <v>0.5758059211029275</v>
      </c>
    </row>
    <row r="889" spans="1:56" ht="15.75" thickBot="1" x14ac:dyDescent="0.3">
      <c r="A889" s="82"/>
      <c r="B889" t="s">
        <v>79</v>
      </c>
      <c r="C889" s="78" t="s">
        <v>172</v>
      </c>
      <c r="E889" t="s">
        <v>33</v>
      </c>
      <c r="F889" s="79">
        <v>1448</v>
      </c>
      <c r="H889" t="s">
        <v>80</v>
      </c>
      <c r="I889" t="s">
        <v>95</v>
      </c>
    </row>
    <row r="890" spans="1:56" x14ac:dyDescent="0.25">
      <c r="A890" s="89"/>
      <c r="B890" s="90"/>
      <c r="C890" s="90"/>
      <c r="D890" s="91"/>
      <c r="E890" s="115" t="s">
        <v>27</v>
      </c>
      <c r="F890" s="116"/>
      <c r="G890" s="116"/>
      <c r="H890" s="117"/>
      <c r="I890" s="118" t="s">
        <v>28</v>
      </c>
      <c r="J890" s="119"/>
      <c r="K890" s="119"/>
      <c r="L890" s="120"/>
      <c r="M890" s="121" t="s">
        <v>7</v>
      </c>
      <c r="N890" s="122"/>
      <c r="O890" s="122"/>
      <c r="P890" s="123"/>
      <c r="Q890" s="124" t="s">
        <v>29</v>
      </c>
      <c r="R890" s="125"/>
      <c r="S890" s="125"/>
      <c r="T890" s="126"/>
      <c r="U890" s="127" t="s">
        <v>8</v>
      </c>
      <c r="V890" s="128"/>
      <c r="W890" s="128"/>
      <c r="X890" s="129"/>
      <c r="Y890" s="130" t="s">
        <v>0</v>
      </c>
      <c r="Z890" s="131"/>
      <c r="AA890" s="131"/>
      <c r="AB890" s="132"/>
      <c r="AC890" s="133" t="s">
        <v>34</v>
      </c>
      <c r="AD890" s="134"/>
      <c r="AE890" s="134"/>
      <c r="AF890" s="135"/>
      <c r="AG890" s="115" t="s">
        <v>9</v>
      </c>
      <c r="AH890" s="116"/>
      <c r="AI890" s="116"/>
      <c r="AJ890" s="117"/>
      <c r="AK890" s="136" t="s">
        <v>35</v>
      </c>
      <c r="AL890" s="137"/>
      <c r="AM890" s="137"/>
      <c r="AN890" s="138"/>
      <c r="AO890" s="139" t="s">
        <v>10</v>
      </c>
      <c r="AP890" s="140"/>
      <c r="AQ890" s="140"/>
      <c r="AR890" s="141"/>
      <c r="AS890" s="124" t="s">
        <v>36</v>
      </c>
      <c r="AT890" s="125"/>
      <c r="AU890" s="125"/>
      <c r="AV890" s="126"/>
      <c r="AW890" s="142" t="s">
        <v>11</v>
      </c>
      <c r="AX890" s="143"/>
      <c r="AY890" s="143"/>
      <c r="AZ890" s="144"/>
      <c r="BA890" s="148" t="s">
        <v>17</v>
      </c>
      <c r="BB890" s="149"/>
      <c r="BC890" s="149"/>
      <c r="BD890" s="150"/>
    </row>
    <row r="891" spans="1:56" s="1" customFormat="1" ht="15.75" thickBot="1" x14ac:dyDescent="0.3">
      <c r="A891" s="41" t="s">
        <v>13</v>
      </c>
      <c r="B891" s="42" t="s">
        <v>15</v>
      </c>
      <c r="C891" s="42" t="s">
        <v>32</v>
      </c>
      <c r="D891" s="43" t="s">
        <v>18</v>
      </c>
      <c r="E891" s="30" t="s">
        <v>30</v>
      </c>
      <c r="F891" s="31" t="s">
        <v>61</v>
      </c>
      <c r="G891" s="31" t="s">
        <v>38</v>
      </c>
      <c r="H891" s="32" t="s">
        <v>62</v>
      </c>
      <c r="I891" s="37" t="s">
        <v>31</v>
      </c>
      <c r="J891" s="38" t="s">
        <v>39</v>
      </c>
      <c r="K891" s="38" t="s">
        <v>40</v>
      </c>
      <c r="L891" s="39" t="s">
        <v>63</v>
      </c>
      <c r="M891" s="40" t="s">
        <v>19</v>
      </c>
      <c r="N891" s="7" t="s">
        <v>41</v>
      </c>
      <c r="O891" s="7" t="s">
        <v>37</v>
      </c>
      <c r="P891" s="7" t="s">
        <v>64</v>
      </c>
      <c r="Q891" s="27" t="s">
        <v>20</v>
      </c>
      <c r="R891" s="28" t="s">
        <v>60</v>
      </c>
      <c r="S891" s="28" t="s">
        <v>59</v>
      </c>
      <c r="T891" s="29" t="s">
        <v>65</v>
      </c>
      <c r="U891" s="48" t="s">
        <v>21</v>
      </c>
      <c r="V891" s="48" t="s">
        <v>42</v>
      </c>
      <c r="W891" s="48" t="s">
        <v>43</v>
      </c>
      <c r="X891" s="49" t="s">
        <v>66</v>
      </c>
      <c r="Y891" s="50" t="s">
        <v>22</v>
      </c>
      <c r="Z891" s="51" t="s">
        <v>44</v>
      </c>
      <c r="AA891" s="51" t="s">
        <v>45</v>
      </c>
      <c r="AB891" s="52" t="s">
        <v>67</v>
      </c>
      <c r="AC891" s="45" t="s">
        <v>23</v>
      </c>
      <c r="AD891" s="46" t="s">
        <v>46</v>
      </c>
      <c r="AE891" s="46" t="s">
        <v>47</v>
      </c>
      <c r="AF891" s="47" t="s">
        <v>68</v>
      </c>
      <c r="AG891" s="30" t="s">
        <v>24</v>
      </c>
      <c r="AH891" s="31" t="s">
        <v>48</v>
      </c>
      <c r="AI891" s="31" t="s">
        <v>49</v>
      </c>
      <c r="AJ891" s="32" t="s">
        <v>69</v>
      </c>
      <c r="AK891" s="53" t="s">
        <v>25</v>
      </c>
      <c r="AL891" s="54" t="s">
        <v>50</v>
      </c>
      <c r="AM891" s="54" t="s">
        <v>51</v>
      </c>
      <c r="AN891" s="55" t="s">
        <v>70</v>
      </c>
      <c r="AO891" s="56" t="s">
        <v>26</v>
      </c>
      <c r="AP891" s="57" t="s">
        <v>52</v>
      </c>
      <c r="AQ891" s="57" t="s">
        <v>53</v>
      </c>
      <c r="AR891" s="58" t="s">
        <v>71</v>
      </c>
      <c r="AS891" s="59" t="s">
        <v>55</v>
      </c>
      <c r="AT891" s="60" t="s">
        <v>54</v>
      </c>
      <c r="AU891" s="60" t="s">
        <v>56</v>
      </c>
      <c r="AV891" s="61" t="s">
        <v>76</v>
      </c>
      <c r="AW891" s="62" t="s">
        <v>72</v>
      </c>
      <c r="AX891" s="63" t="s">
        <v>73</v>
      </c>
      <c r="AY891" s="63" t="s">
        <v>74</v>
      </c>
      <c r="AZ891" s="64" t="s">
        <v>75</v>
      </c>
      <c r="BA891" s="71" t="s">
        <v>77</v>
      </c>
      <c r="BB891" s="72" t="s">
        <v>57</v>
      </c>
      <c r="BC891" s="72" t="s">
        <v>58</v>
      </c>
      <c r="BD891" s="73" t="s">
        <v>78</v>
      </c>
    </row>
    <row r="892" spans="1:56" ht="15.75" thickBot="1" x14ac:dyDescent="0.3">
      <c r="A892" s="17" t="s">
        <v>1</v>
      </c>
      <c r="B892" s="14">
        <v>71410</v>
      </c>
      <c r="C892" s="34">
        <f>B892/F889</f>
        <v>49.316298342541437</v>
      </c>
      <c r="D892" s="14">
        <v>1525</v>
      </c>
      <c r="E892" s="67">
        <v>33160</v>
      </c>
      <c r="F892" s="69">
        <v>1448</v>
      </c>
      <c r="G892" s="34">
        <f t="shared" ref="G892:G898" si="1924">E892/F892</f>
        <v>22.900552486187845</v>
      </c>
      <c r="H892" s="10">
        <f t="shared" ref="H892:H898" si="1925">G892/C892</f>
        <v>0.46436073379078557</v>
      </c>
      <c r="I892" s="34">
        <v>15260</v>
      </c>
      <c r="J892" s="69">
        <v>1448</v>
      </c>
      <c r="K892" s="34">
        <f t="shared" ref="K892:K898" si="1926">I892/J892</f>
        <v>10.538674033149171</v>
      </c>
      <c r="L892" s="9">
        <f t="shared" ref="L892:L898" si="1927">K892/C892</f>
        <v>0.21369556084581989</v>
      </c>
      <c r="M892" s="67">
        <v>0</v>
      </c>
      <c r="N892" s="26">
        <v>0</v>
      </c>
      <c r="O892" s="34" t="e">
        <f t="shared" ref="O892:O898" si="1928">M892/N892</f>
        <v>#DIV/0!</v>
      </c>
      <c r="P892" s="10" t="e">
        <f t="shared" ref="P892:P898" si="1929">O892/C892</f>
        <v>#DIV/0!</v>
      </c>
      <c r="Q892" s="35">
        <v>0</v>
      </c>
      <c r="R892" s="66">
        <v>0</v>
      </c>
      <c r="S892" s="35" t="e">
        <f t="shared" ref="S892:S898" si="1930">Q892/R892</f>
        <v>#DIV/0!</v>
      </c>
      <c r="T892" s="6" t="e">
        <f t="shared" ref="T892:T898" si="1931">S892/C892</f>
        <v>#DIV/0!</v>
      </c>
      <c r="U892" s="67">
        <v>0</v>
      </c>
      <c r="V892" s="65">
        <v>0</v>
      </c>
      <c r="W892" s="18" t="e">
        <f t="shared" ref="W892:W898" si="1932">U892/V892</f>
        <v>#DIV/0!</v>
      </c>
      <c r="X892" s="9" t="e">
        <f t="shared" ref="X892:X898" si="1933">W892/C892</f>
        <v>#DIV/0!</v>
      </c>
      <c r="Y892" s="67">
        <v>0</v>
      </c>
      <c r="Z892" s="69">
        <v>0</v>
      </c>
      <c r="AA892" s="34" t="e">
        <f t="shared" ref="AA892:AA898" si="1934">Y892/Z892</f>
        <v>#DIV/0!</v>
      </c>
      <c r="AB892" s="10" t="e">
        <f t="shared" ref="AB892:AB898" si="1935">AA892/C892</f>
        <v>#DIV/0!</v>
      </c>
      <c r="AC892" s="18">
        <v>6140</v>
      </c>
      <c r="AD892" s="33">
        <v>396</v>
      </c>
      <c r="AE892" s="34">
        <f t="shared" ref="AE892:AE898" si="1936">AC892/AD892</f>
        <v>15.505050505050505</v>
      </c>
      <c r="AF892" s="9">
        <f t="shared" ref="AF892:AF898" si="1937">AE892/C892</f>
        <v>0.31440012787163046</v>
      </c>
      <c r="AG892" s="67">
        <v>0</v>
      </c>
      <c r="AH892" s="65">
        <v>0</v>
      </c>
      <c r="AI892" s="34" t="e">
        <f t="shared" ref="AI892:AI898" si="1938">AG892/AH892</f>
        <v>#DIV/0!</v>
      </c>
      <c r="AJ892" s="9" t="e">
        <f t="shared" ref="AJ892:AJ898" si="1939">AI892/C892</f>
        <v>#DIV/0!</v>
      </c>
      <c r="AK892" s="67">
        <v>0</v>
      </c>
      <c r="AL892" s="65">
        <v>0</v>
      </c>
      <c r="AM892" s="34" t="e">
        <f t="shared" ref="AM892:AM898" si="1940">AK892/AL892</f>
        <v>#DIV/0!</v>
      </c>
      <c r="AN892" s="9" t="e">
        <f t="shared" ref="AN892:AN898" si="1941">AM892/C892</f>
        <v>#DIV/0!</v>
      </c>
      <c r="AO892" s="67">
        <v>0</v>
      </c>
      <c r="AP892" s="65">
        <v>0</v>
      </c>
      <c r="AQ892" s="34" t="e">
        <f t="shared" ref="AQ892:AQ898" si="1942">AO892/AP892</f>
        <v>#DIV/0!</v>
      </c>
      <c r="AR892" s="9" t="e">
        <f t="shared" ref="AR892:AR898" si="1943">AQ892/C892</f>
        <v>#DIV/0!</v>
      </c>
      <c r="AS892" s="67">
        <v>0</v>
      </c>
      <c r="AT892" s="65">
        <v>0</v>
      </c>
      <c r="AU892" s="34" t="e">
        <f t="shared" ref="AU892:AU898" si="1944">AS892/AT892</f>
        <v>#DIV/0!</v>
      </c>
      <c r="AV892" s="9" t="e">
        <f t="shared" ref="AV892:AV898" si="1945">AU892/C892</f>
        <v>#DIV/0!</v>
      </c>
      <c r="AW892" s="67">
        <v>0</v>
      </c>
      <c r="AX892" s="65">
        <v>0</v>
      </c>
      <c r="AY892" s="34" t="e">
        <f t="shared" ref="AY892:AY898" si="1946">AW892/AX892</f>
        <v>#DIV/0!</v>
      </c>
      <c r="AZ892" s="9" t="e">
        <f t="shared" ref="AZ892:AZ898" si="1947">AY892/C892</f>
        <v>#DIV/0!</v>
      </c>
      <c r="BA892" s="67">
        <v>3790</v>
      </c>
      <c r="BB892" s="65">
        <v>162</v>
      </c>
      <c r="BC892" s="34">
        <f t="shared" ref="BC892:BC898" si="1948">BA892/BB892</f>
        <v>23.395061728395063</v>
      </c>
      <c r="BD892" s="10">
        <f t="shared" ref="BD892:BD898" si="1949">BC892/C892</f>
        <v>0.4743880322464088</v>
      </c>
    </row>
    <row r="893" spans="1:56" ht="15.75" thickBot="1" x14ac:dyDescent="0.3">
      <c r="A893" s="19" t="s">
        <v>16</v>
      </c>
      <c r="B893" s="8">
        <v>84010</v>
      </c>
      <c r="C893" s="35">
        <f>B893/F889</f>
        <v>58.017955801104975</v>
      </c>
      <c r="D893" s="8">
        <v>1525</v>
      </c>
      <c r="E893" s="68">
        <v>45030</v>
      </c>
      <c r="F893" s="69">
        <v>1448</v>
      </c>
      <c r="G893" s="35">
        <f t="shared" si="1924"/>
        <v>31.098066298342541</v>
      </c>
      <c r="H893" s="11">
        <f t="shared" si="1925"/>
        <v>0.53600761814069753</v>
      </c>
      <c r="I893" s="35">
        <v>20510</v>
      </c>
      <c r="J893" s="69">
        <v>1448</v>
      </c>
      <c r="K893" s="35">
        <f t="shared" si="1926"/>
        <v>14.164364640883978</v>
      </c>
      <c r="L893" s="6">
        <f t="shared" si="1927"/>
        <v>0.24413760266634923</v>
      </c>
      <c r="M893" s="68">
        <v>0</v>
      </c>
      <c r="N893" s="5">
        <v>0</v>
      </c>
      <c r="O893" s="35" t="e">
        <f t="shared" si="1928"/>
        <v>#DIV/0!</v>
      </c>
      <c r="P893" s="11" t="e">
        <f t="shared" si="1929"/>
        <v>#DIV/0!</v>
      </c>
      <c r="Q893" s="35">
        <v>0</v>
      </c>
      <c r="R893" s="66">
        <v>0</v>
      </c>
      <c r="S893" s="35" t="e">
        <f t="shared" si="1930"/>
        <v>#DIV/0!</v>
      </c>
      <c r="T893" s="6" t="e">
        <f t="shared" si="1931"/>
        <v>#DIV/0!</v>
      </c>
      <c r="U893" s="68">
        <v>0</v>
      </c>
      <c r="V893" s="66">
        <v>0</v>
      </c>
      <c r="W893" s="20" t="e">
        <f t="shared" si="1932"/>
        <v>#DIV/0!</v>
      </c>
      <c r="X893" s="6" t="e">
        <f t="shared" si="1933"/>
        <v>#DIV/0!</v>
      </c>
      <c r="Y893" s="68">
        <v>0</v>
      </c>
      <c r="Z893" s="70">
        <v>0</v>
      </c>
      <c r="AA893" s="35" t="e">
        <f t="shared" si="1934"/>
        <v>#DIV/0!</v>
      </c>
      <c r="AB893" s="11" t="e">
        <f t="shared" si="1935"/>
        <v>#DIV/0!</v>
      </c>
      <c r="AC893" s="20">
        <v>8590</v>
      </c>
      <c r="AD893" s="33">
        <v>396</v>
      </c>
      <c r="AE893" s="35">
        <f t="shared" si="1936"/>
        <v>21.69191919191919</v>
      </c>
      <c r="AF893" s="6">
        <f t="shared" si="1937"/>
        <v>0.37388285906319468</v>
      </c>
      <c r="AG893" s="68">
        <v>0</v>
      </c>
      <c r="AH893" s="66">
        <v>0</v>
      </c>
      <c r="AI893" s="35" t="e">
        <f t="shared" si="1938"/>
        <v>#DIV/0!</v>
      </c>
      <c r="AJ893" s="6" t="e">
        <f t="shared" si="1939"/>
        <v>#DIV/0!</v>
      </c>
      <c r="AK893" s="68">
        <v>0</v>
      </c>
      <c r="AL893" s="66">
        <v>0</v>
      </c>
      <c r="AM893" s="35" t="e">
        <f t="shared" si="1940"/>
        <v>#DIV/0!</v>
      </c>
      <c r="AN893" s="6" t="e">
        <f t="shared" si="1941"/>
        <v>#DIV/0!</v>
      </c>
      <c r="AO893" s="68">
        <v>0</v>
      </c>
      <c r="AP893" s="66">
        <v>0</v>
      </c>
      <c r="AQ893" s="35" t="e">
        <f t="shared" si="1942"/>
        <v>#DIV/0!</v>
      </c>
      <c r="AR893" s="6" t="e">
        <f t="shared" si="1943"/>
        <v>#DIV/0!</v>
      </c>
      <c r="AS893" s="68">
        <v>0</v>
      </c>
      <c r="AT893" s="66">
        <v>0</v>
      </c>
      <c r="AU893" s="35" t="e">
        <f t="shared" si="1944"/>
        <v>#DIV/0!</v>
      </c>
      <c r="AV893" s="6" t="e">
        <f t="shared" si="1945"/>
        <v>#DIV/0!</v>
      </c>
      <c r="AW893" s="68">
        <v>0</v>
      </c>
      <c r="AX893" s="66">
        <v>0</v>
      </c>
      <c r="AY893" s="35" t="e">
        <f t="shared" si="1946"/>
        <v>#DIV/0!</v>
      </c>
      <c r="AZ893" s="6" t="e">
        <f t="shared" si="1947"/>
        <v>#DIV/0!</v>
      </c>
      <c r="BA893" s="68">
        <v>5550</v>
      </c>
      <c r="BB893" s="65">
        <v>162</v>
      </c>
      <c r="BC893" s="35">
        <f t="shared" si="1948"/>
        <v>34.25925925925926</v>
      </c>
      <c r="BD893" s="11">
        <f t="shared" si="1949"/>
        <v>0.59049407698378054</v>
      </c>
    </row>
    <row r="894" spans="1:56" ht="15.75" thickBot="1" x14ac:dyDescent="0.3">
      <c r="A894" s="19" t="s">
        <v>2</v>
      </c>
      <c r="B894" s="8">
        <v>98180</v>
      </c>
      <c r="C894" s="35">
        <f>B894/F889</f>
        <v>67.803867403314911</v>
      </c>
      <c r="D894" s="8">
        <v>2100</v>
      </c>
      <c r="E894" s="68">
        <v>51910</v>
      </c>
      <c r="F894" s="69">
        <v>1448</v>
      </c>
      <c r="G894" s="35">
        <f t="shared" si="1924"/>
        <v>35.849447513812152</v>
      </c>
      <c r="H894" s="11">
        <f t="shared" si="1925"/>
        <v>0.52872275412507641</v>
      </c>
      <c r="I894" s="35">
        <v>23250</v>
      </c>
      <c r="J894" s="69">
        <v>1448</v>
      </c>
      <c r="K894" s="35">
        <f t="shared" si="1926"/>
        <v>16.056629834254142</v>
      </c>
      <c r="L894" s="6">
        <f t="shared" si="1927"/>
        <v>0.23680994092483193</v>
      </c>
      <c r="M894" s="68">
        <v>0</v>
      </c>
      <c r="N894" s="5">
        <v>0</v>
      </c>
      <c r="O894" s="35" t="e">
        <f t="shared" si="1928"/>
        <v>#DIV/0!</v>
      </c>
      <c r="P894" s="11" t="e">
        <f t="shared" si="1929"/>
        <v>#DIV/0!</v>
      </c>
      <c r="Q894" s="35">
        <v>0</v>
      </c>
      <c r="R894" s="66">
        <v>0</v>
      </c>
      <c r="S894" s="35" t="e">
        <f t="shared" si="1930"/>
        <v>#DIV/0!</v>
      </c>
      <c r="T894" s="6" t="e">
        <f t="shared" si="1931"/>
        <v>#DIV/0!</v>
      </c>
      <c r="U894" s="68">
        <v>0</v>
      </c>
      <c r="V894" s="66">
        <v>0</v>
      </c>
      <c r="W894" s="20" t="e">
        <f t="shared" si="1932"/>
        <v>#DIV/0!</v>
      </c>
      <c r="X894" s="6" t="e">
        <f t="shared" si="1933"/>
        <v>#DIV/0!</v>
      </c>
      <c r="Y894" s="68">
        <v>0</v>
      </c>
      <c r="Z894" s="70">
        <v>0</v>
      </c>
      <c r="AA894" s="35" t="e">
        <f t="shared" si="1934"/>
        <v>#DIV/0!</v>
      </c>
      <c r="AB894" s="11" t="e">
        <f t="shared" si="1935"/>
        <v>#DIV/0!</v>
      </c>
      <c r="AC894" s="20">
        <v>10300</v>
      </c>
      <c r="AD894" s="33">
        <v>396</v>
      </c>
      <c r="AE894" s="35">
        <f t="shared" si="1936"/>
        <v>26.01010101010101</v>
      </c>
      <c r="AF894" s="6">
        <f t="shared" si="1937"/>
        <v>0.38360792689576562</v>
      </c>
      <c r="AG894" s="68">
        <v>0</v>
      </c>
      <c r="AH894" s="66">
        <v>0</v>
      </c>
      <c r="AI894" s="35" t="e">
        <f t="shared" si="1938"/>
        <v>#DIV/0!</v>
      </c>
      <c r="AJ894" s="6" t="e">
        <f t="shared" si="1939"/>
        <v>#DIV/0!</v>
      </c>
      <c r="AK894" s="68">
        <v>0</v>
      </c>
      <c r="AL894" s="66">
        <v>0</v>
      </c>
      <c r="AM894" s="35" t="e">
        <f t="shared" si="1940"/>
        <v>#DIV/0!</v>
      </c>
      <c r="AN894" s="6" t="e">
        <f t="shared" si="1941"/>
        <v>#DIV/0!</v>
      </c>
      <c r="AO894" s="68">
        <v>0</v>
      </c>
      <c r="AP894" s="66">
        <v>0</v>
      </c>
      <c r="AQ894" s="35" t="e">
        <f t="shared" si="1942"/>
        <v>#DIV/0!</v>
      </c>
      <c r="AR894" s="6" t="e">
        <f t="shared" si="1943"/>
        <v>#DIV/0!</v>
      </c>
      <c r="AS894" s="68">
        <v>0</v>
      </c>
      <c r="AT894" s="66">
        <v>0</v>
      </c>
      <c r="AU894" s="35" t="e">
        <f t="shared" si="1944"/>
        <v>#DIV/0!</v>
      </c>
      <c r="AV894" s="6" t="e">
        <f t="shared" si="1945"/>
        <v>#DIV/0!</v>
      </c>
      <c r="AW894" s="68">
        <v>0</v>
      </c>
      <c r="AX894" s="66">
        <v>0</v>
      </c>
      <c r="AY894" s="35" t="e">
        <f t="shared" si="1946"/>
        <v>#DIV/0!</v>
      </c>
      <c r="AZ894" s="6" t="e">
        <f t="shared" si="1947"/>
        <v>#DIV/0!</v>
      </c>
      <c r="BA894" s="68">
        <v>6250</v>
      </c>
      <c r="BB894" s="65">
        <v>162</v>
      </c>
      <c r="BC894" s="35">
        <f t="shared" si="1948"/>
        <v>38.580246913580247</v>
      </c>
      <c r="BD894" s="11">
        <f t="shared" si="1949"/>
        <v>0.56899773406869225</v>
      </c>
    </row>
    <row r="895" spans="1:56" ht="15.75" thickBot="1" x14ac:dyDescent="0.3">
      <c r="A895" s="19" t="s">
        <v>3</v>
      </c>
      <c r="B895" s="8">
        <v>118780</v>
      </c>
      <c r="C895" s="35">
        <f>B895/F889</f>
        <v>82.030386740331494</v>
      </c>
      <c r="D895" s="8">
        <v>2700</v>
      </c>
      <c r="E895" s="68">
        <v>59850</v>
      </c>
      <c r="F895" s="69">
        <v>1448</v>
      </c>
      <c r="G895" s="35">
        <f t="shared" si="1924"/>
        <v>41.332872928176798</v>
      </c>
      <c r="H895" s="11">
        <f t="shared" si="1925"/>
        <v>0.50387270584273447</v>
      </c>
      <c r="I895" s="35">
        <v>27000</v>
      </c>
      <c r="J895" s="69">
        <v>1448</v>
      </c>
      <c r="K895" s="35">
        <f t="shared" si="1926"/>
        <v>18.646408839779006</v>
      </c>
      <c r="L895" s="6">
        <f t="shared" si="1927"/>
        <v>0.22731099511702307</v>
      </c>
      <c r="M895" s="68">
        <v>0</v>
      </c>
      <c r="N895" s="5">
        <v>0</v>
      </c>
      <c r="O895" s="35" t="e">
        <f t="shared" si="1928"/>
        <v>#DIV/0!</v>
      </c>
      <c r="P895" s="11" t="e">
        <f t="shared" si="1929"/>
        <v>#DIV/0!</v>
      </c>
      <c r="Q895" s="35">
        <v>0</v>
      </c>
      <c r="R895" s="66">
        <v>0</v>
      </c>
      <c r="S895" s="35" t="e">
        <f t="shared" si="1930"/>
        <v>#DIV/0!</v>
      </c>
      <c r="T895" s="6" t="e">
        <f t="shared" si="1931"/>
        <v>#DIV/0!</v>
      </c>
      <c r="U895" s="68">
        <v>0</v>
      </c>
      <c r="V895" s="66">
        <v>0</v>
      </c>
      <c r="W895" s="20" t="e">
        <f t="shared" si="1932"/>
        <v>#DIV/0!</v>
      </c>
      <c r="X895" s="6" t="e">
        <f t="shared" si="1933"/>
        <v>#DIV/0!</v>
      </c>
      <c r="Y895" s="68">
        <v>0</v>
      </c>
      <c r="Z895" s="70">
        <v>0</v>
      </c>
      <c r="AA895" s="35" t="e">
        <f t="shared" si="1934"/>
        <v>#DIV/0!</v>
      </c>
      <c r="AB895" s="11" t="e">
        <f t="shared" si="1935"/>
        <v>#DIV/0!</v>
      </c>
      <c r="AC895" s="20">
        <v>10860</v>
      </c>
      <c r="AD895" s="33">
        <v>396</v>
      </c>
      <c r="AE895" s="35">
        <f t="shared" si="1936"/>
        <v>27.424242424242426</v>
      </c>
      <c r="AF895" s="6">
        <f t="shared" si="1937"/>
        <v>0.33431809252654515</v>
      </c>
      <c r="AG895" s="68">
        <v>0</v>
      </c>
      <c r="AH895" s="66">
        <v>0</v>
      </c>
      <c r="AI895" s="35" t="e">
        <f t="shared" si="1938"/>
        <v>#DIV/0!</v>
      </c>
      <c r="AJ895" s="6" t="e">
        <f t="shared" si="1939"/>
        <v>#DIV/0!</v>
      </c>
      <c r="AK895" s="68">
        <v>0</v>
      </c>
      <c r="AL895" s="66">
        <v>0</v>
      </c>
      <c r="AM895" s="35" t="e">
        <f t="shared" si="1940"/>
        <v>#DIV/0!</v>
      </c>
      <c r="AN895" s="6" t="e">
        <f t="shared" si="1941"/>
        <v>#DIV/0!</v>
      </c>
      <c r="AO895" s="68">
        <v>0</v>
      </c>
      <c r="AP895" s="66">
        <v>0</v>
      </c>
      <c r="AQ895" s="35" t="e">
        <f t="shared" si="1942"/>
        <v>#DIV/0!</v>
      </c>
      <c r="AR895" s="6" t="e">
        <f t="shared" si="1943"/>
        <v>#DIV/0!</v>
      </c>
      <c r="AS895" s="68">
        <v>0</v>
      </c>
      <c r="AT895" s="66">
        <v>0</v>
      </c>
      <c r="AU895" s="35" t="e">
        <f t="shared" si="1944"/>
        <v>#DIV/0!</v>
      </c>
      <c r="AV895" s="6" t="e">
        <f t="shared" si="1945"/>
        <v>#DIV/0!</v>
      </c>
      <c r="AW895" s="68">
        <v>0</v>
      </c>
      <c r="AX895" s="66">
        <v>0</v>
      </c>
      <c r="AY895" s="35" t="e">
        <f t="shared" si="1946"/>
        <v>#DIV/0!</v>
      </c>
      <c r="AZ895" s="6" t="e">
        <f t="shared" si="1947"/>
        <v>#DIV/0!</v>
      </c>
      <c r="BA895" s="68">
        <v>7350</v>
      </c>
      <c r="BB895" s="65">
        <v>162</v>
      </c>
      <c r="BC895" s="35">
        <f t="shared" si="1948"/>
        <v>45.370370370370374</v>
      </c>
      <c r="BD895" s="11">
        <f t="shared" si="1949"/>
        <v>0.55309224024495962</v>
      </c>
    </row>
    <row r="896" spans="1:56" ht="15.75" thickBot="1" x14ac:dyDescent="0.3">
      <c r="A896" s="19" t="s">
        <v>4</v>
      </c>
      <c r="B896" s="8">
        <v>147590</v>
      </c>
      <c r="C896" s="35">
        <f>B896/F889</f>
        <v>101.92679558011049</v>
      </c>
      <c r="D896" s="8">
        <v>5250</v>
      </c>
      <c r="E896" s="68">
        <v>84820</v>
      </c>
      <c r="F896" s="69">
        <v>1448</v>
      </c>
      <c r="G896" s="35">
        <f t="shared" si="1924"/>
        <v>58.577348066298342</v>
      </c>
      <c r="H896" s="11">
        <f t="shared" si="1925"/>
        <v>0.57470018293922354</v>
      </c>
      <c r="I896" s="35">
        <v>35900</v>
      </c>
      <c r="J896" s="69">
        <v>1448</v>
      </c>
      <c r="K896" s="35">
        <f t="shared" si="1926"/>
        <v>24.792817679558009</v>
      </c>
      <c r="L896" s="6">
        <f t="shared" si="1927"/>
        <v>0.24324141201978453</v>
      </c>
      <c r="M896" s="68">
        <v>0</v>
      </c>
      <c r="N896" s="5">
        <v>0</v>
      </c>
      <c r="O896" s="35" t="e">
        <f t="shared" si="1928"/>
        <v>#DIV/0!</v>
      </c>
      <c r="P896" s="11" t="e">
        <f t="shared" si="1929"/>
        <v>#DIV/0!</v>
      </c>
      <c r="Q896" s="35">
        <v>0</v>
      </c>
      <c r="R896" s="66">
        <v>0</v>
      </c>
      <c r="S896" s="35" t="e">
        <f t="shared" si="1930"/>
        <v>#DIV/0!</v>
      </c>
      <c r="T896" s="6" t="e">
        <f t="shared" si="1931"/>
        <v>#DIV/0!</v>
      </c>
      <c r="U896" s="68">
        <v>0</v>
      </c>
      <c r="V896" s="66">
        <v>0</v>
      </c>
      <c r="W896" s="20" t="e">
        <f t="shared" si="1932"/>
        <v>#DIV/0!</v>
      </c>
      <c r="X896" s="6" t="e">
        <f t="shared" si="1933"/>
        <v>#DIV/0!</v>
      </c>
      <c r="Y896" s="68">
        <v>0</v>
      </c>
      <c r="Z896" s="70">
        <v>0</v>
      </c>
      <c r="AA896" s="35" t="e">
        <f t="shared" si="1934"/>
        <v>#DIV/0!</v>
      </c>
      <c r="AB896" s="11" t="e">
        <f t="shared" si="1935"/>
        <v>#DIV/0!</v>
      </c>
      <c r="AC896" s="20">
        <v>12400</v>
      </c>
      <c r="AD896" s="33">
        <v>396</v>
      </c>
      <c r="AE896" s="35">
        <f t="shared" si="1936"/>
        <v>31.313131313131311</v>
      </c>
      <c r="AF896" s="6">
        <f t="shared" si="1937"/>
        <v>0.30721196653847915</v>
      </c>
      <c r="AG896" s="68">
        <v>0</v>
      </c>
      <c r="AH896" s="66">
        <v>0</v>
      </c>
      <c r="AI896" s="35" t="e">
        <f t="shared" si="1938"/>
        <v>#DIV/0!</v>
      </c>
      <c r="AJ896" s="6" t="e">
        <f t="shared" si="1939"/>
        <v>#DIV/0!</v>
      </c>
      <c r="AK896" s="68">
        <v>0</v>
      </c>
      <c r="AL896" s="66">
        <v>0</v>
      </c>
      <c r="AM896" s="35" t="e">
        <f t="shared" si="1940"/>
        <v>#DIV/0!</v>
      </c>
      <c r="AN896" s="6" t="e">
        <f t="shared" si="1941"/>
        <v>#DIV/0!</v>
      </c>
      <c r="AO896" s="68">
        <v>0</v>
      </c>
      <c r="AP896" s="66">
        <v>0</v>
      </c>
      <c r="AQ896" s="35" t="e">
        <f t="shared" si="1942"/>
        <v>#DIV/0!</v>
      </c>
      <c r="AR896" s="6" t="e">
        <f t="shared" si="1943"/>
        <v>#DIV/0!</v>
      </c>
      <c r="AS896" s="68">
        <v>0</v>
      </c>
      <c r="AT896" s="66">
        <v>0</v>
      </c>
      <c r="AU896" s="35" t="e">
        <f t="shared" si="1944"/>
        <v>#DIV/0!</v>
      </c>
      <c r="AV896" s="6" t="e">
        <f t="shared" si="1945"/>
        <v>#DIV/0!</v>
      </c>
      <c r="AW896" s="68">
        <v>0</v>
      </c>
      <c r="AX896" s="66">
        <v>0</v>
      </c>
      <c r="AY896" s="35" t="e">
        <f t="shared" si="1946"/>
        <v>#DIV/0!</v>
      </c>
      <c r="AZ896" s="6" t="e">
        <f t="shared" si="1947"/>
        <v>#DIV/0!</v>
      </c>
      <c r="BA896" s="68">
        <v>9150</v>
      </c>
      <c r="BB896" s="65">
        <v>162</v>
      </c>
      <c r="BC896" s="35">
        <f t="shared" si="1948"/>
        <v>56.481481481481481</v>
      </c>
      <c r="BD896" s="11">
        <f t="shared" si="1949"/>
        <v>0.55413771383688049</v>
      </c>
    </row>
    <row r="897" spans="1:56" ht="15.75" thickBot="1" x14ac:dyDescent="0.3">
      <c r="A897" s="19" t="s">
        <v>5</v>
      </c>
      <c r="B897" s="8">
        <v>194970</v>
      </c>
      <c r="C897" s="35">
        <f>B897/F889</f>
        <v>134.64779005524861</v>
      </c>
      <c r="D897" s="8">
        <v>7050</v>
      </c>
      <c r="E897" s="68">
        <v>95360</v>
      </c>
      <c r="F897" s="69">
        <v>1448</v>
      </c>
      <c r="G897" s="35">
        <f t="shared" si="1924"/>
        <v>65.856353591160214</v>
      </c>
      <c r="H897" s="11">
        <f t="shared" si="1925"/>
        <v>0.48910088731599732</v>
      </c>
      <c r="I897" s="35">
        <v>41510</v>
      </c>
      <c r="J897" s="69">
        <v>1448</v>
      </c>
      <c r="K897" s="35">
        <f t="shared" si="1926"/>
        <v>28.667127071823206</v>
      </c>
      <c r="L897" s="6">
        <f t="shared" si="1927"/>
        <v>0.21290454941785919</v>
      </c>
      <c r="M897" s="68">
        <v>0</v>
      </c>
      <c r="N897" s="5">
        <v>0</v>
      </c>
      <c r="O897" s="35" t="e">
        <f t="shared" si="1928"/>
        <v>#DIV/0!</v>
      </c>
      <c r="P897" s="11" t="e">
        <f t="shared" si="1929"/>
        <v>#DIV/0!</v>
      </c>
      <c r="Q897" s="35">
        <v>0</v>
      </c>
      <c r="R897" s="66">
        <v>0</v>
      </c>
      <c r="S897" s="35" t="e">
        <f t="shared" si="1930"/>
        <v>#DIV/0!</v>
      </c>
      <c r="T897" s="6" t="e">
        <f t="shared" si="1931"/>
        <v>#DIV/0!</v>
      </c>
      <c r="U897" s="68">
        <v>0</v>
      </c>
      <c r="V897" s="66">
        <v>0</v>
      </c>
      <c r="W897" s="20" t="e">
        <f t="shared" si="1932"/>
        <v>#DIV/0!</v>
      </c>
      <c r="X897" s="6" t="e">
        <f t="shared" si="1933"/>
        <v>#DIV/0!</v>
      </c>
      <c r="Y897" s="68">
        <v>0</v>
      </c>
      <c r="Z897" s="70">
        <v>0</v>
      </c>
      <c r="AA897" s="35" t="e">
        <f t="shared" si="1934"/>
        <v>#DIV/0!</v>
      </c>
      <c r="AB897" s="11" t="e">
        <f t="shared" si="1935"/>
        <v>#DIV/0!</v>
      </c>
      <c r="AC897" s="20">
        <v>14290</v>
      </c>
      <c r="AD897" s="33">
        <v>396</v>
      </c>
      <c r="AE897" s="35">
        <f t="shared" si="1936"/>
        <v>36.085858585858588</v>
      </c>
      <c r="AF897" s="6">
        <f t="shared" si="1937"/>
        <v>0.26800186301648071</v>
      </c>
      <c r="AG897" s="68">
        <v>0</v>
      </c>
      <c r="AH897" s="66">
        <v>0</v>
      </c>
      <c r="AI897" s="35" t="e">
        <f t="shared" si="1938"/>
        <v>#DIV/0!</v>
      </c>
      <c r="AJ897" s="6" t="e">
        <f t="shared" si="1939"/>
        <v>#DIV/0!</v>
      </c>
      <c r="AK897" s="68">
        <v>0</v>
      </c>
      <c r="AL897" s="66">
        <v>0</v>
      </c>
      <c r="AM897" s="35" t="e">
        <f t="shared" si="1940"/>
        <v>#DIV/0!</v>
      </c>
      <c r="AN897" s="6" t="e">
        <f t="shared" si="1941"/>
        <v>#DIV/0!</v>
      </c>
      <c r="AO897" s="68">
        <v>0</v>
      </c>
      <c r="AP897" s="66">
        <v>0</v>
      </c>
      <c r="AQ897" s="35" t="e">
        <f t="shared" si="1942"/>
        <v>#DIV/0!</v>
      </c>
      <c r="AR897" s="6" t="e">
        <f t="shared" si="1943"/>
        <v>#DIV/0!</v>
      </c>
      <c r="AS897" s="68">
        <v>0</v>
      </c>
      <c r="AT897" s="66">
        <v>0</v>
      </c>
      <c r="AU897" s="35" t="e">
        <f t="shared" si="1944"/>
        <v>#DIV/0!</v>
      </c>
      <c r="AV897" s="6" t="e">
        <f t="shared" si="1945"/>
        <v>#DIV/0!</v>
      </c>
      <c r="AW897" s="68">
        <v>0</v>
      </c>
      <c r="AX897" s="66">
        <v>0</v>
      </c>
      <c r="AY897" s="35" t="e">
        <f t="shared" si="1946"/>
        <v>#DIV/0!</v>
      </c>
      <c r="AZ897" s="6" t="e">
        <f t="shared" si="1947"/>
        <v>#DIV/0!</v>
      </c>
      <c r="BA897" s="68">
        <v>10670</v>
      </c>
      <c r="BB897" s="65">
        <v>162</v>
      </c>
      <c r="BC897" s="35">
        <f t="shared" si="1948"/>
        <v>65.864197530864203</v>
      </c>
      <c r="BD897" s="11">
        <f t="shared" si="1949"/>
        <v>0.48915914255881099</v>
      </c>
    </row>
    <row r="898" spans="1:56" x14ac:dyDescent="0.25">
      <c r="A898" s="19" t="s">
        <v>6</v>
      </c>
      <c r="B898" s="8">
        <v>236500</v>
      </c>
      <c r="C898" s="35">
        <f>B898/F889</f>
        <v>163.32872928176795</v>
      </c>
      <c r="D898" s="8">
        <v>10950</v>
      </c>
      <c r="E898" s="68">
        <v>121950</v>
      </c>
      <c r="F898" s="69">
        <v>1448</v>
      </c>
      <c r="G898" s="35">
        <f t="shared" si="1924"/>
        <v>84.219613259668506</v>
      </c>
      <c r="H898" s="11">
        <f t="shared" si="1925"/>
        <v>0.51564482029598313</v>
      </c>
      <c r="I898" s="35">
        <v>56440</v>
      </c>
      <c r="J898" s="69">
        <v>1448</v>
      </c>
      <c r="K898" s="35">
        <f t="shared" si="1926"/>
        <v>38.97790055248619</v>
      </c>
      <c r="L898" s="6">
        <f t="shared" si="1927"/>
        <v>0.23864693446088797</v>
      </c>
      <c r="M898" s="68">
        <v>0</v>
      </c>
      <c r="N898" s="5">
        <v>0</v>
      </c>
      <c r="O898" s="35" t="e">
        <f t="shared" si="1928"/>
        <v>#DIV/0!</v>
      </c>
      <c r="P898" s="11" t="e">
        <f t="shared" si="1929"/>
        <v>#DIV/0!</v>
      </c>
      <c r="Q898" s="35">
        <v>0</v>
      </c>
      <c r="R898" s="66">
        <v>0</v>
      </c>
      <c r="S898" s="35" t="e">
        <f t="shared" si="1930"/>
        <v>#DIV/0!</v>
      </c>
      <c r="T898" s="6" t="e">
        <f t="shared" si="1931"/>
        <v>#DIV/0!</v>
      </c>
      <c r="U898" s="68">
        <v>0</v>
      </c>
      <c r="V898" s="66">
        <v>0</v>
      </c>
      <c r="W898" s="20" t="e">
        <f t="shared" si="1932"/>
        <v>#DIV/0!</v>
      </c>
      <c r="X898" s="6" t="e">
        <f t="shared" si="1933"/>
        <v>#DIV/0!</v>
      </c>
      <c r="Y898" s="68">
        <v>0</v>
      </c>
      <c r="Z898" s="70">
        <v>0</v>
      </c>
      <c r="AA898" s="35" t="e">
        <f t="shared" si="1934"/>
        <v>#DIV/0!</v>
      </c>
      <c r="AB898" s="11" t="e">
        <f t="shared" si="1935"/>
        <v>#DIV/0!</v>
      </c>
      <c r="AC898" s="20">
        <v>20360</v>
      </c>
      <c r="AD898" s="33">
        <v>396</v>
      </c>
      <c r="AE898" s="35">
        <f t="shared" si="1936"/>
        <v>51.414141414141412</v>
      </c>
      <c r="AF898" s="6">
        <f t="shared" si="1937"/>
        <v>0.31478933094155082</v>
      </c>
      <c r="AG898" s="68">
        <v>0</v>
      </c>
      <c r="AH898" s="66">
        <v>0</v>
      </c>
      <c r="AI898" s="35" t="e">
        <f t="shared" si="1938"/>
        <v>#DIV/0!</v>
      </c>
      <c r="AJ898" s="6" t="e">
        <f t="shared" si="1939"/>
        <v>#DIV/0!</v>
      </c>
      <c r="AK898" s="68">
        <v>0</v>
      </c>
      <c r="AL898" s="66">
        <v>0</v>
      </c>
      <c r="AM898" s="35" t="e">
        <f t="shared" si="1940"/>
        <v>#DIV/0!</v>
      </c>
      <c r="AN898" s="6" t="e">
        <f t="shared" si="1941"/>
        <v>#DIV/0!</v>
      </c>
      <c r="AO898" s="68">
        <v>0</v>
      </c>
      <c r="AP898" s="66">
        <v>0</v>
      </c>
      <c r="AQ898" s="35" t="e">
        <f t="shared" si="1942"/>
        <v>#DIV/0!</v>
      </c>
      <c r="AR898" s="6" t="e">
        <f t="shared" si="1943"/>
        <v>#DIV/0!</v>
      </c>
      <c r="AS898" s="68">
        <v>0</v>
      </c>
      <c r="AT898" s="66">
        <v>0</v>
      </c>
      <c r="AU898" s="35" t="e">
        <f t="shared" si="1944"/>
        <v>#DIV/0!</v>
      </c>
      <c r="AV898" s="6" t="e">
        <f t="shared" si="1945"/>
        <v>#DIV/0!</v>
      </c>
      <c r="AW898" s="68">
        <v>0</v>
      </c>
      <c r="AX898" s="66">
        <v>0</v>
      </c>
      <c r="AY898" s="35" t="e">
        <f t="shared" si="1946"/>
        <v>#DIV/0!</v>
      </c>
      <c r="AZ898" s="6" t="e">
        <f t="shared" si="1947"/>
        <v>#DIV/0!</v>
      </c>
      <c r="BA898" s="68">
        <v>12350</v>
      </c>
      <c r="BB898" s="65">
        <v>162</v>
      </c>
      <c r="BC898" s="35">
        <f t="shared" si="1948"/>
        <v>76.23456790123457</v>
      </c>
      <c r="BD898" s="11">
        <f t="shared" si="1949"/>
        <v>0.46675540939106835</v>
      </c>
    </row>
    <row r="899" spans="1:56" ht="15.75" thickBot="1" x14ac:dyDescent="0.3">
      <c r="A899" s="21"/>
      <c r="B899" s="22"/>
      <c r="C899" s="23">
        <f>AVERAGE(Table11064[MA $/Sq Ft])</f>
        <v>93.867403314917127</v>
      </c>
      <c r="D899" s="22">
        <f>AVERAGE(Table11064[Basic Allowance])</f>
        <v>4442.8571428571431</v>
      </c>
      <c r="E899" s="16"/>
      <c r="F899" s="22"/>
      <c r="G899" s="15"/>
      <c r="H899" s="24">
        <f>AVERAGE(Table11064[Bsmt % Base])</f>
        <v>0.51605852892149962</v>
      </c>
      <c r="I899" s="15"/>
      <c r="J899" s="15"/>
      <c r="K899" s="15"/>
      <c r="L899" s="25">
        <f>AVERAGE(Table11064[[#Headers],[#Data],[UnfBsmt % Base]])</f>
        <v>0.23096385649322224</v>
      </c>
      <c r="M899" s="44"/>
      <c r="N899" s="15"/>
      <c r="O899" s="23" t="e">
        <f>AVERAGE(Table11064[LowerVal/SqFt])</f>
        <v>#DIV/0!</v>
      </c>
      <c r="P899" s="24" t="e">
        <f>AVERAGE(Table11064[Lower % Base])</f>
        <v>#DIV/0!</v>
      </c>
      <c r="Q899" s="13"/>
      <c r="R899" s="13"/>
      <c r="S899" s="13"/>
      <c r="T899" s="25" t="e">
        <f>AVERAGE(Table11064[Unf Lower % Base])</f>
        <v>#DIV/0!</v>
      </c>
      <c r="U899" s="12"/>
      <c r="V899" s="13"/>
      <c r="W899" s="13"/>
      <c r="X899" s="25" t="e">
        <f>AVERAGE(Table11064[1/2 Story % Base])</f>
        <v>#DIV/0!</v>
      </c>
      <c r="Y899" s="12"/>
      <c r="Z899" s="13"/>
      <c r="AA899" s="13"/>
      <c r="AB899" s="24" t="e">
        <f>AVERAGE(Table11064[2nd Story % Base])</f>
        <v>#DIV/0!</v>
      </c>
      <c r="AC899" s="13"/>
      <c r="AD899" s="13"/>
      <c r="AE899" s="23">
        <f>AVERAGE(Table11064[AttGarVal/SqFt])</f>
        <v>29.920634920634921</v>
      </c>
      <c r="AF899" s="25">
        <f>AVERAGE(Table11064[Att Gar % Base])</f>
        <v>0.32803030955052093</v>
      </c>
      <c r="AG899" s="12"/>
      <c r="AH899" s="13"/>
      <c r="AI899" s="13"/>
      <c r="AJ899" s="25" t="e">
        <f>AVERAGE(Table11064[Porch % Base])</f>
        <v>#DIV/0!</v>
      </c>
      <c r="AK899" s="12"/>
      <c r="AL899" s="13"/>
      <c r="AM899" s="13"/>
      <c r="AN899" s="25" t="e">
        <f>AVERAGE(Table11064[Cov Porch % Base])</f>
        <v>#DIV/0!</v>
      </c>
      <c r="AO899" s="12"/>
      <c r="AP899" s="13"/>
      <c r="AQ899" s="13"/>
      <c r="AR899" s="25" t="e">
        <f>AVERAGE(Table11064[Deck % Base])</f>
        <v>#DIV/0!</v>
      </c>
      <c r="AS899" s="12"/>
      <c r="AT899" s="13"/>
      <c r="AU899" s="23" t="e">
        <f>AVERAGE(Table11064[CovDeckVal/SqFt])</f>
        <v>#DIV/0!</v>
      </c>
      <c r="AV899" s="25" t="e">
        <f>AVERAGE(Table11064[CovDeck % Base])</f>
        <v>#DIV/0!</v>
      </c>
      <c r="AW899" s="12"/>
      <c r="AX899" s="13"/>
      <c r="AY899" s="13"/>
      <c r="AZ899" s="25" t="e">
        <f>AVERAGE(Table11064[CarP % Base])</f>
        <v>#DIV/0!</v>
      </c>
      <c r="BA899" s="12"/>
      <c r="BB899" s="13"/>
      <c r="BC899" s="13"/>
      <c r="BD899" s="24">
        <f>AVERAGE(Table11064[EFP % Base])</f>
        <v>0.5281463356186572</v>
      </c>
    </row>
    <row r="901" spans="1:56" ht="15.75" thickBot="1" x14ac:dyDescent="0.3">
      <c r="A901" s="82"/>
      <c r="B901" t="s">
        <v>79</v>
      </c>
      <c r="C901" s="78" t="s">
        <v>173</v>
      </c>
      <c r="E901" t="s">
        <v>33</v>
      </c>
      <c r="F901" s="79">
        <v>1406</v>
      </c>
      <c r="H901" t="s">
        <v>80</v>
      </c>
      <c r="I901" t="s">
        <v>174</v>
      </c>
    </row>
    <row r="902" spans="1:56" x14ac:dyDescent="0.25">
      <c r="A902" s="89"/>
      <c r="B902" s="90"/>
      <c r="C902" s="90"/>
      <c r="D902" s="91"/>
      <c r="E902" s="115" t="s">
        <v>27</v>
      </c>
      <c r="F902" s="116"/>
      <c r="G902" s="116"/>
      <c r="H902" s="117"/>
      <c r="I902" s="118" t="s">
        <v>28</v>
      </c>
      <c r="J902" s="119"/>
      <c r="K902" s="119"/>
      <c r="L902" s="120"/>
      <c r="M902" s="121" t="s">
        <v>7</v>
      </c>
      <c r="N902" s="122"/>
      <c r="O902" s="122"/>
      <c r="P902" s="123"/>
      <c r="Q902" s="124" t="s">
        <v>29</v>
      </c>
      <c r="R902" s="125"/>
      <c r="S902" s="125"/>
      <c r="T902" s="126"/>
      <c r="U902" s="127" t="s">
        <v>8</v>
      </c>
      <c r="V902" s="128"/>
      <c r="W902" s="128"/>
      <c r="X902" s="129"/>
      <c r="Y902" s="130" t="s">
        <v>0</v>
      </c>
      <c r="Z902" s="131"/>
      <c r="AA902" s="131"/>
      <c r="AB902" s="132"/>
      <c r="AC902" s="133" t="s">
        <v>34</v>
      </c>
      <c r="AD902" s="134"/>
      <c r="AE902" s="134"/>
      <c r="AF902" s="135"/>
      <c r="AG902" s="115" t="s">
        <v>9</v>
      </c>
      <c r="AH902" s="116"/>
      <c r="AI902" s="116"/>
      <c r="AJ902" s="117"/>
      <c r="AK902" s="136" t="s">
        <v>35</v>
      </c>
      <c r="AL902" s="137"/>
      <c r="AM902" s="137"/>
      <c r="AN902" s="138"/>
      <c r="AO902" s="139" t="s">
        <v>10</v>
      </c>
      <c r="AP902" s="140"/>
      <c r="AQ902" s="140"/>
      <c r="AR902" s="141"/>
      <c r="AS902" s="124" t="s">
        <v>36</v>
      </c>
      <c r="AT902" s="125"/>
      <c r="AU902" s="125"/>
      <c r="AV902" s="126"/>
      <c r="AW902" s="142" t="s">
        <v>11</v>
      </c>
      <c r="AX902" s="143"/>
      <c r="AY902" s="143"/>
      <c r="AZ902" s="144"/>
      <c r="BA902" s="148" t="s">
        <v>17</v>
      </c>
      <c r="BB902" s="149"/>
      <c r="BC902" s="149"/>
      <c r="BD902" s="150"/>
    </row>
    <row r="903" spans="1:56" s="1" customFormat="1" ht="15.75" thickBot="1" x14ac:dyDescent="0.3">
      <c r="A903" s="41" t="s">
        <v>13</v>
      </c>
      <c r="B903" s="42" t="s">
        <v>15</v>
      </c>
      <c r="C903" s="42" t="s">
        <v>32</v>
      </c>
      <c r="D903" s="43" t="s">
        <v>18</v>
      </c>
      <c r="E903" s="30" t="s">
        <v>30</v>
      </c>
      <c r="F903" s="31" t="s">
        <v>61</v>
      </c>
      <c r="G903" s="31" t="s">
        <v>38</v>
      </c>
      <c r="H903" s="32" t="s">
        <v>62</v>
      </c>
      <c r="I903" s="37" t="s">
        <v>31</v>
      </c>
      <c r="J903" s="38" t="s">
        <v>39</v>
      </c>
      <c r="K903" s="38" t="s">
        <v>40</v>
      </c>
      <c r="L903" s="39" t="s">
        <v>63</v>
      </c>
      <c r="M903" s="40" t="s">
        <v>19</v>
      </c>
      <c r="N903" s="7" t="s">
        <v>41</v>
      </c>
      <c r="O903" s="7" t="s">
        <v>37</v>
      </c>
      <c r="P903" s="7" t="s">
        <v>64</v>
      </c>
      <c r="Q903" s="27" t="s">
        <v>20</v>
      </c>
      <c r="R903" s="28" t="s">
        <v>60</v>
      </c>
      <c r="S903" s="28" t="s">
        <v>59</v>
      </c>
      <c r="T903" s="29" t="s">
        <v>65</v>
      </c>
      <c r="U903" s="48" t="s">
        <v>21</v>
      </c>
      <c r="V903" s="48" t="s">
        <v>42</v>
      </c>
      <c r="W903" s="48" t="s">
        <v>43</v>
      </c>
      <c r="X903" s="49" t="s">
        <v>66</v>
      </c>
      <c r="Y903" s="50" t="s">
        <v>22</v>
      </c>
      <c r="Z903" s="51" t="s">
        <v>44</v>
      </c>
      <c r="AA903" s="51" t="s">
        <v>45</v>
      </c>
      <c r="AB903" s="52" t="s">
        <v>67</v>
      </c>
      <c r="AC903" s="45" t="s">
        <v>23</v>
      </c>
      <c r="AD903" s="46" t="s">
        <v>46</v>
      </c>
      <c r="AE903" s="46" t="s">
        <v>47</v>
      </c>
      <c r="AF903" s="47" t="s">
        <v>68</v>
      </c>
      <c r="AG903" s="30" t="s">
        <v>24</v>
      </c>
      <c r="AH903" s="31" t="s">
        <v>48</v>
      </c>
      <c r="AI903" s="31" t="s">
        <v>49</v>
      </c>
      <c r="AJ903" s="32" t="s">
        <v>69</v>
      </c>
      <c r="AK903" s="53" t="s">
        <v>25</v>
      </c>
      <c r="AL903" s="54" t="s">
        <v>50</v>
      </c>
      <c r="AM903" s="54" t="s">
        <v>51</v>
      </c>
      <c r="AN903" s="55" t="s">
        <v>70</v>
      </c>
      <c r="AO903" s="56" t="s">
        <v>26</v>
      </c>
      <c r="AP903" s="57" t="s">
        <v>52</v>
      </c>
      <c r="AQ903" s="57" t="s">
        <v>53</v>
      </c>
      <c r="AR903" s="58" t="s">
        <v>71</v>
      </c>
      <c r="AS903" s="59" t="s">
        <v>55</v>
      </c>
      <c r="AT903" s="60" t="s">
        <v>54</v>
      </c>
      <c r="AU903" s="60" t="s">
        <v>56</v>
      </c>
      <c r="AV903" s="61" t="s">
        <v>76</v>
      </c>
      <c r="AW903" s="62" t="s">
        <v>72</v>
      </c>
      <c r="AX903" s="63" t="s">
        <v>73</v>
      </c>
      <c r="AY903" s="63" t="s">
        <v>74</v>
      </c>
      <c r="AZ903" s="64" t="s">
        <v>75</v>
      </c>
      <c r="BA903" s="71" t="s">
        <v>77</v>
      </c>
      <c r="BB903" s="72" t="s">
        <v>57</v>
      </c>
      <c r="BC903" s="72" t="s">
        <v>58</v>
      </c>
      <c r="BD903" s="73" t="s">
        <v>78</v>
      </c>
    </row>
    <row r="904" spans="1:56" ht="15.75" thickBot="1" x14ac:dyDescent="0.3">
      <c r="A904" s="17" t="s">
        <v>1</v>
      </c>
      <c r="B904" s="14">
        <v>69600</v>
      </c>
      <c r="C904" s="34">
        <f>B904/F901</f>
        <v>49.502133712660026</v>
      </c>
      <c r="D904" s="14">
        <v>1525</v>
      </c>
      <c r="E904" s="67">
        <v>0</v>
      </c>
      <c r="F904" s="69">
        <v>0</v>
      </c>
      <c r="G904" s="34" t="e">
        <f t="shared" ref="G904:G910" si="1950">E904/F904</f>
        <v>#DIV/0!</v>
      </c>
      <c r="H904" s="10" t="e">
        <f t="shared" ref="H904:H910" si="1951">G904/C904</f>
        <v>#DIV/0!</v>
      </c>
      <c r="I904" s="34">
        <v>0</v>
      </c>
      <c r="J904" s="69">
        <v>0</v>
      </c>
      <c r="K904" s="34" t="e">
        <f t="shared" ref="K904:K910" si="1952">I904/J904</f>
        <v>#DIV/0!</v>
      </c>
      <c r="L904" s="9" t="e">
        <f t="shared" ref="L904:L910" si="1953">K904/C904</f>
        <v>#DIV/0!</v>
      </c>
      <c r="M904" s="67">
        <v>0</v>
      </c>
      <c r="N904" s="26">
        <v>0</v>
      </c>
      <c r="O904" s="34" t="e">
        <f t="shared" ref="O904:O910" si="1954">M904/N904</f>
        <v>#DIV/0!</v>
      </c>
      <c r="P904" s="10" t="e">
        <f t="shared" ref="P904:P910" si="1955">O904/C904</f>
        <v>#DIV/0!</v>
      </c>
      <c r="Q904" s="35">
        <v>0</v>
      </c>
      <c r="R904" s="66">
        <v>0</v>
      </c>
      <c r="S904" s="35" t="e">
        <f t="shared" ref="S904:S910" si="1956">Q904/R904</f>
        <v>#DIV/0!</v>
      </c>
      <c r="T904" s="6" t="e">
        <f t="shared" ref="T904:T910" si="1957">S904/C904</f>
        <v>#DIV/0!</v>
      </c>
      <c r="U904" s="67">
        <v>0</v>
      </c>
      <c r="V904" s="65">
        <v>0</v>
      </c>
      <c r="W904" s="18" t="e">
        <f t="shared" ref="W904:W910" si="1958">U904/V904</f>
        <v>#DIV/0!</v>
      </c>
      <c r="X904" s="9" t="e">
        <f t="shared" ref="X904:X910" si="1959">W904/C904</f>
        <v>#DIV/0!</v>
      </c>
      <c r="Y904" s="67">
        <v>0</v>
      </c>
      <c r="Z904" s="69">
        <v>0</v>
      </c>
      <c r="AA904" s="34" t="e">
        <f t="shared" ref="AA904:AA910" si="1960">Y904/Z904</f>
        <v>#DIV/0!</v>
      </c>
      <c r="AB904" s="10" t="e">
        <f t="shared" ref="AB904:AB910" si="1961">AA904/C904</f>
        <v>#DIV/0!</v>
      </c>
      <c r="AC904" s="18">
        <v>0</v>
      </c>
      <c r="AD904" s="33">
        <v>0</v>
      </c>
      <c r="AE904" s="34" t="e">
        <f t="shared" ref="AE904:AE910" si="1962">AC904/AD904</f>
        <v>#DIV/0!</v>
      </c>
      <c r="AF904" s="9" t="e">
        <f t="shared" ref="AF904:AF910" si="1963">AE904/C904</f>
        <v>#DIV/0!</v>
      </c>
      <c r="AG904" s="67">
        <v>0</v>
      </c>
      <c r="AH904" s="65">
        <v>0</v>
      </c>
      <c r="AI904" s="34" t="e">
        <f t="shared" ref="AI904:AI910" si="1964">AG904/AH904</f>
        <v>#DIV/0!</v>
      </c>
      <c r="AJ904" s="9" t="e">
        <f t="shared" ref="AJ904:AJ910" si="1965">AI904/C904</f>
        <v>#DIV/0!</v>
      </c>
      <c r="AK904" s="67">
        <v>1100</v>
      </c>
      <c r="AL904" s="65">
        <v>200</v>
      </c>
      <c r="AM904" s="34">
        <f t="shared" ref="AM904:AM910" si="1966">AK904/AL904</f>
        <v>5.5</v>
      </c>
      <c r="AN904" s="9">
        <f t="shared" ref="AN904:AN910" si="1967">AM904/C904</f>
        <v>0.11110632183908047</v>
      </c>
      <c r="AO904" s="67">
        <v>0</v>
      </c>
      <c r="AP904" s="65">
        <v>0</v>
      </c>
      <c r="AQ904" s="34" t="e">
        <f t="shared" ref="AQ904:AQ910" si="1968">AO904/AP904</f>
        <v>#DIV/0!</v>
      </c>
      <c r="AR904" s="9" t="e">
        <f t="shared" ref="AR904:AR910" si="1969">AQ904/C904</f>
        <v>#DIV/0!</v>
      </c>
      <c r="AS904" s="67">
        <v>0</v>
      </c>
      <c r="AT904" s="65">
        <v>0</v>
      </c>
      <c r="AU904" s="34" t="e">
        <f t="shared" ref="AU904:AU910" si="1970">AS904/AT904</f>
        <v>#DIV/0!</v>
      </c>
      <c r="AV904" s="9" t="e">
        <f t="shared" ref="AV904:AV910" si="1971">AU904/C904</f>
        <v>#DIV/0!</v>
      </c>
      <c r="AW904" s="67">
        <v>0</v>
      </c>
      <c r="AX904" s="65">
        <v>0</v>
      </c>
      <c r="AY904" s="34" t="e">
        <f t="shared" ref="AY904:AY910" si="1972">AW904/AX904</f>
        <v>#DIV/0!</v>
      </c>
      <c r="AZ904" s="9" t="e">
        <f t="shared" ref="AZ904:AZ910" si="1973">AY904/C904</f>
        <v>#DIV/0!</v>
      </c>
      <c r="BA904" s="67">
        <v>4350</v>
      </c>
      <c r="BB904" s="65">
        <v>200</v>
      </c>
      <c r="BC904" s="34">
        <f t="shared" ref="BC904:BC910" si="1974">BA904/BB904</f>
        <v>21.75</v>
      </c>
      <c r="BD904" s="10">
        <f t="shared" ref="BD904:BD910" si="1975">BC904/C904</f>
        <v>0.43937500000000002</v>
      </c>
    </row>
    <row r="905" spans="1:56" ht="15.75" thickBot="1" x14ac:dyDescent="0.3">
      <c r="A905" s="19" t="s">
        <v>16</v>
      </c>
      <c r="B905" s="8">
        <v>81880</v>
      </c>
      <c r="C905" s="35">
        <f>B905/F901</f>
        <v>58.236130867709818</v>
      </c>
      <c r="D905" s="8">
        <v>1525</v>
      </c>
      <c r="E905" s="68">
        <v>0</v>
      </c>
      <c r="F905" s="70">
        <v>0</v>
      </c>
      <c r="G905" s="35" t="e">
        <f t="shared" si="1950"/>
        <v>#DIV/0!</v>
      </c>
      <c r="H905" s="11" t="e">
        <f t="shared" si="1951"/>
        <v>#DIV/0!</v>
      </c>
      <c r="I905" s="35">
        <v>0</v>
      </c>
      <c r="J905" s="70">
        <v>0</v>
      </c>
      <c r="K905" s="35" t="e">
        <f t="shared" si="1952"/>
        <v>#DIV/0!</v>
      </c>
      <c r="L905" s="6" t="e">
        <f t="shared" si="1953"/>
        <v>#DIV/0!</v>
      </c>
      <c r="M905" s="68">
        <v>0</v>
      </c>
      <c r="N905" s="5">
        <v>0</v>
      </c>
      <c r="O905" s="35" t="e">
        <f t="shared" si="1954"/>
        <v>#DIV/0!</v>
      </c>
      <c r="P905" s="11" t="e">
        <f t="shared" si="1955"/>
        <v>#DIV/0!</v>
      </c>
      <c r="Q905" s="35">
        <v>0</v>
      </c>
      <c r="R905" s="66">
        <v>0</v>
      </c>
      <c r="S905" s="35" t="e">
        <f t="shared" si="1956"/>
        <v>#DIV/0!</v>
      </c>
      <c r="T905" s="6" t="e">
        <f t="shared" si="1957"/>
        <v>#DIV/0!</v>
      </c>
      <c r="U905" s="68">
        <v>0</v>
      </c>
      <c r="V905" s="66">
        <v>0</v>
      </c>
      <c r="W905" s="20" t="e">
        <f t="shared" si="1958"/>
        <v>#DIV/0!</v>
      </c>
      <c r="X905" s="6" t="e">
        <f t="shared" si="1959"/>
        <v>#DIV/0!</v>
      </c>
      <c r="Y905" s="68">
        <v>0</v>
      </c>
      <c r="Z905" s="70">
        <v>0</v>
      </c>
      <c r="AA905" s="35" t="e">
        <f t="shared" si="1960"/>
        <v>#DIV/0!</v>
      </c>
      <c r="AB905" s="11" t="e">
        <f t="shared" si="1961"/>
        <v>#DIV/0!</v>
      </c>
      <c r="AC905" s="20">
        <v>0</v>
      </c>
      <c r="AD905" s="36">
        <v>0</v>
      </c>
      <c r="AE905" s="35" t="e">
        <f t="shared" si="1962"/>
        <v>#DIV/0!</v>
      </c>
      <c r="AF905" s="6" t="e">
        <f t="shared" si="1963"/>
        <v>#DIV/0!</v>
      </c>
      <c r="AG905" s="68">
        <v>0</v>
      </c>
      <c r="AH905" s="66">
        <v>0</v>
      </c>
      <c r="AI905" s="35" t="e">
        <f t="shared" si="1964"/>
        <v>#DIV/0!</v>
      </c>
      <c r="AJ905" s="6" t="e">
        <f t="shared" si="1965"/>
        <v>#DIV/0!</v>
      </c>
      <c r="AK905" s="68">
        <v>1620</v>
      </c>
      <c r="AL905" s="65">
        <v>200</v>
      </c>
      <c r="AM905" s="35">
        <f t="shared" si="1966"/>
        <v>8.1</v>
      </c>
      <c r="AN905" s="6">
        <f t="shared" si="1967"/>
        <v>0.13908891060087933</v>
      </c>
      <c r="AO905" s="68">
        <v>0</v>
      </c>
      <c r="AP905" s="66">
        <v>0</v>
      </c>
      <c r="AQ905" s="35" t="e">
        <f t="shared" si="1968"/>
        <v>#DIV/0!</v>
      </c>
      <c r="AR905" s="6" t="e">
        <f t="shared" si="1969"/>
        <v>#DIV/0!</v>
      </c>
      <c r="AS905" s="68">
        <v>0</v>
      </c>
      <c r="AT905" s="66">
        <v>0</v>
      </c>
      <c r="AU905" s="35" t="e">
        <f t="shared" si="1970"/>
        <v>#DIV/0!</v>
      </c>
      <c r="AV905" s="6" t="e">
        <f t="shared" si="1971"/>
        <v>#DIV/0!</v>
      </c>
      <c r="AW905" s="68">
        <v>0</v>
      </c>
      <c r="AX905" s="66">
        <v>0</v>
      </c>
      <c r="AY905" s="35" t="e">
        <f t="shared" si="1972"/>
        <v>#DIV/0!</v>
      </c>
      <c r="AZ905" s="6" t="e">
        <f t="shared" si="1973"/>
        <v>#DIV/0!</v>
      </c>
      <c r="BA905" s="68">
        <v>6360</v>
      </c>
      <c r="BB905" s="65">
        <v>200</v>
      </c>
      <c r="BC905" s="35">
        <f t="shared" si="1974"/>
        <v>31.8</v>
      </c>
      <c r="BD905" s="11">
        <f t="shared" si="1975"/>
        <v>0.5460527601367855</v>
      </c>
    </row>
    <row r="906" spans="1:56" ht="15.75" thickBot="1" x14ac:dyDescent="0.3">
      <c r="A906" s="19" t="s">
        <v>2</v>
      </c>
      <c r="B906" s="8">
        <v>95710</v>
      </c>
      <c r="C906" s="35">
        <f>B906/F901</f>
        <v>68.072546230440963</v>
      </c>
      <c r="D906" s="8">
        <v>2100</v>
      </c>
      <c r="E906" s="68">
        <v>0</v>
      </c>
      <c r="F906" s="70">
        <v>0</v>
      </c>
      <c r="G906" s="35" t="e">
        <f t="shared" si="1950"/>
        <v>#DIV/0!</v>
      </c>
      <c r="H906" s="11" t="e">
        <f t="shared" si="1951"/>
        <v>#DIV/0!</v>
      </c>
      <c r="I906" s="35">
        <v>0</v>
      </c>
      <c r="J906" s="70">
        <v>0</v>
      </c>
      <c r="K906" s="35" t="e">
        <f t="shared" si="1952"/>
        <v>#DIV/0!</v>
      </c>
      <c r="L906" s="6" t="e">
        <f t="shared" si="1953"/>
        <v>#DIV/0!</v>
      </c>
      <c r="M906" s="68">
        <v>0</v>
      </c>
      <c r="N906" s="5">
        <v>0</v>
      </c>
      <c r="O906" s="35" t="e">
        <f t="shared" si="1954"/>
        <v>#DIV/0!</v>
      </c>
      <c r="P906" s="11" t="e">
        <f t="shared" si="1955"/>
        <v>#DIV/0!</v>
      </c>
      <c r="Q906" s="35">
        <v>0</v>
      </c>
      <c r="R906" s="66">
        <v>0</v>
      </c>
      <c r="S906" s="35" t="e">
        <f t="shared" si="1956"/>
        <v>#DIV/0!</v>
      </c>
      <c r="T906" s="6" t="e">
        <f t="shared" si="1957"/>
        <v>#DIV/0!</v>
      </c>
      <c r="U906" s="68">
        <v>0</v>
      </c>
      <c r="V906" s="66">
        <v>0</v>
      </c>
      <c r="W906" s="20" t="e">
        <f t="shared" si="1958"/>
        <v>#DIV/0!</v>
      </c>
      <c r="X906" s="6" t="e">
        <f t="shared" si="1959"/>
        <v>#DIV/0!</v>
      </c>
      <c r="Y906" s="68">
        <v>0</v>
      </c>
      <c r="Z906" s="70">
        <v>0</v>
      </c>
      <c r="AA906" s="35" t="e">
        <f t="shared" si="1960"/>
        <v>#DIV/0!</v>
      </c>
      <c r="AB906" s="11" t="e">
        <f t="shared" si="1961"/>
        <v>#DIV/0!</v>
      </c>
      <c r="AC906" s="20">
        <v>0</v>
      </c>
      <c r="AD906" s="36">
        <v>0</v>
      </c>
      <c r="AE906" s="35" t="e">
        <f t="shared" si="1962"/>
        <v>#DIV/0!</v>
      </c>
      <c r="AF906" s="6" t="e">
        <f t="shared" si="1963"/>
        <v>#DIV/0!</v>
      </c>
      <c r="AG906" s="68">
        <v>0</v>
      </c>
      <c r="AH906" s="66">
        <v>0</v>
      </c>
      <c r="AI906" s="35" t="e">
        <f t="shared" si="1964"/>
        <v>#DIV/0!</v>
      </c>
      <c r="AJ906" s="6" t="e">
        <f t="shared" si="1965"/>
        <v>#DIV/0!</v>
      </c>
      <c r="AK906" s="68">
        <v>1750</v>
      </c>
      <c r="AL906" s="65">
        <v>200</v>
      </c>
      <c r="AM906" s="35">
        <f t="shared" si="1966"/>
        <v>8.75</v>
      </c>
      <c r="AN906" s="6">
        <f t="shared" si="1967"/>
        <v>0.12853933758227981</v>
      </c>
      <c r="AO906" s="68">
        <v>0</v>
      </c>
      <c r="AP906" s="66">
        <v>0</v>
      </c>
      <c r="AQ906" s="35" t="e">
        <f t="shared" si="1968"/>
        <v>#DIV/0!</v>
      </c>
      <c r="AR906" s="6" t="e">
        <f t="shared" si="1969"/>
        <v>#DIV/0!</v>
      </c>
      <c r="AS906" s="68">
        <v>0</v>
      </c>
      <c r="AT906" s="66">
        <v>0</v>
      </c>
      <c r="AU906" s="35" t="e">
        <f t="shared" si="1970"/>
        <v>#DIV/0!</v>
      </c>
      <c r="AV906" s="6" t="e">
        <f t="shared" si="1971"/>
        <v>#DIV/0!</v>
      </c>
      <c r="AW906" s="68">
        <v>0</v>
      </c>
      <c r="AX906" s="66">
        <v>0</v>
      </c>
      <c r="AY906" s="35" t="e">
        <f t="shared" si="1972"/>
        <v>#DIV/0!</v>
      </c>
      <c r="AZ906" s="6" t="e">
        <f t="shared" si="1973"/>
        <v>#DIV/0!</v>
      </c>
      <c r="BA906" s="68">
        <v>7170</v>
      </c>
      <c r="BB906" s="65">
        <v>200</v>
      </c>
      <c r="BC906" s="35">
        <f t="shared" si="1974"/>
        <v>35.85</v>
      </c>
      <c r="BD906" s="11">
        <f t="shared" si="1975"/>
        <v>0.52664402883711214</v>
      </c>
    </row>
    <row r="907" spans="1:56" ht="15.75" thickBot="1" x14ac:dyDescent="0.3">
      <c r="A907" s="19" t="s">
        <v>3</v>
      </c>
      <c r="B907" s="8">
        <v>115790</v>
      </c>
      <c r="C907" s="35">
        <f>B907/F901</f>
        <v>82.354196301564727</v>
      </c>
      <c r="D907" s="8">
        <v>2700</v>
      </c>
      <c r="E907" s="68">
        <v>0</v>
      </c>
      <c r="F907" s="70">
        <v>0</v>
      </c>
      <c r="G907" s="35" t="e">
        <f t="shared" si="1950"/>
        <v>#DIV/0!</v>
      </c>
      <c r="H907" s="11" t="e">
        <f t="shared" si="1951"/>
        <v>#DIV/0!</v>
      </c>
      <c r="I907" s="35">
        <v>0</v>
      </c>
      <c r="J907" s="70">
        <v>0</v>
      </c>
      <c r="K907" s="35" t="e">
        <f t="shared" si="1952"/>
        <v>#DIV/0!</v>
      </c>
      <c r="L907" s="6" t="e">
        <f t="shared" si="1953"/>
        <v>#DIV/0!</v>
      </c>
      <c r="M907" s="68">
        <v>0</v>
      </c>
      <c r="N907" s="5">
        <v>0</v>
      </c>
      <c r="O907" s="35" t="e">
        <f t="shared" si="1954"/>
        <v>#DIV/0!</v>
      </c>
      <c r="P907" s="11" t="e">
        <f t="shared" si="1955"/>
        <v>#DIV/0!</v>
      </c>
      <c r="Q907" s="35">
        <v>0</v>
      </c>
      <c r="R907" s="66">
        <v>0</v>
      </c>
      <c r="S907" s="35" t="e">
        <f t="shared" si="1956"/>
        <v>#DIV/0!</v>
      </c>
      <c r="T907" s="6" t="e">
        <f t="shared" si="1957"/>
        <v>#DIV/0!</v>
      </c>
      <c r="U907" s="68">
        <v>0</v>
      </c>
      <c r="V907" s="66">
        <v>0</v>
      </c>
      <c r="W907" s="20" t="e">
        <f t="shared" si="1958"/>
        <v>#DIV/0!</v>
      </c>
      <c r="X907" s="6" t="e">
        <f t="shared" si="1959"/>
        <v>#DIV/0!</v>
      </c>
      <c r="Y907" s="68">
        <v>0</v>
      </c>
      <c r="Z907" s="70">
        <v>0</v>
      </c>
      <c r="AA907" s="35" t="e">
        <f t="shared" si="1960"/>
        <v>#DIV/0!</v>
      </c>
      <c r="AB907" s="11" t="e">
        <f t="shared" si="1961"/>
        <v>#DIV/0!</v>
      </c>
      <c r="AC907" s="20">
        <v>0</v>
      </c>
      <c r="AD907" s="36">
        <v>0</v>
      </c>
      <c r="AE907" s="35" t="e">
        <f t="shared" si="1962"/>
        <v>#DIV/0!</v>
      </c>
      <c r="AF907" s="6" t="e">
        <f t="shared" si="1963"/>
        <v>#DIV/0!</v>
      </c>
      <c r="AG907" s="68">
        <v>0</v>
      </c>
      <c r="AH907" s="66">
        <v>0</v>
      </c>
      <c r="AI907" s="35" t="e">
        <f t="shared" si="1964"/>
        <v>#DIV/0!</v>
      </c>
      <c r="AJ907" s="6" t="e">
        <f t="shared" si="1965"/>
        <v>#DIV/0!</v>
      </c>
      <c r="AK907" s="68">
        <v>1900</v>
      </c>
      <c r="AL907" s="65">
        <v>200</v>
      </c>
      <c r="AM907" s="35">
        <f t="shared" si="1966"/>
        <v>9.5</v>
      </c>
      <c r="AN907" s="6">
        <f t="shared" si="1967"/>
        <v>0.11535538474825113</v>
      </c>
      <c r="AO907" s="68">
        <v>0</v>
      </c>
      <c r="AP907" s="66">
        <v>0</v>
      </c>
      <c r="AQ907" s="35" t="e">
        <f t="shared" si="1968"/>
        <v>#DIV/0!</v>
      </c>
      <c r="AR907" s="6" t="e">
        <f t="shared" si="1969"/>
        <v>#DIV/0!</v>
      </c>
      <c r="AS907" s="68">
        <v>0</v>
      </c>
      <c r="AT907" s="66">
        <v>0</v>
      </c>
      <c r="AU907" s="35" t="e">
        <f t="shared" si="1970"/>
        <v>#DIV/0!</v>
      </c>
      <c r="AV907" s="6" t="e">
        <f t="shared" si="1971"/>
        <v>#DIV/0!</v>
      </c>
      <c r="AW907" s="68">
        <v>0</v>
      </c>
      <c r="AX907" s="66">
        <v>0</v>
      </c>
      <c r="AY907" s="35" t="e">
        <f t="shared" si="1972"/>
        <v>#DIV/0!</v>
      </c>
      <c r="AZ907" s="6" t="e">
        <f t="shared" si="1973"/>
        <v>#DIV/0!</v>
      </c>
      <c r="BA907" s="68">
        <v>8480</v>
      </c>
      <c r="BB907" s="65">
        <v>200</v>
      </c>
      <c r="BC907" s="35">
        <f t="shared" si="1974"/>
        <v>42.4</v>
      </c>
      <c r="BD907" s="11">
        <f t="shared" si="1975"/>
        <v>0.51484929613956298</v>
      </c>
    </row>
    <row r="908" spans="1:56" ht="15.75" thickBot="1" x14ac:dyDescent="0.3">
      <c r="A908" s="19" t="s">
        <v>4</v>
      </c>
      <c r="B908" s="8">
        <v>143930</v>
      </c>
      <c r="C908" s="35">
        <f>B908/F901</f>
        <v>102.36842105263158</v>
      </c>
      <c r="D908" s="8">
        <v>5250</v>
      </c>
      <c r="E908" s="68">
        <v>0</v>
      </c>
      <c r="F908" s="70">
        <v>0</v>
      </c>
      <c r="G908" s="35" t="e">
        <f t="shared" si="1950"/>
        <v>#DIV/0!</v>
      </c>
      <c r="H908" s="11" t="e">
        <f t="shared" si="1951"/>
        <v>#DIV/0!</v>
      </c>
      <c r="I908" s="35">
        <v>0</v>
      </c>
      <c r="J908" s="70">
        <v>0</v>
      </c>
      <c r="K908" s="35" t="e">
        <f t="shared" si="1952"/>
        <v>#DIV/0!</v>
      </c>
      <c r="L908" s="6" t="e">
        <f t="shared" si="1953"/>
        <v>#DIV/0!</v>
      </c>
      <c r="M908" s="68">
        <v>0</v>
      </c>
      <c r="N908" s="5">
        <v>0</v>
      </c>
      <c r="O908" s="35" t="e">
        <f t="shared" si="1954"/>
        <v>#DIV/0!</v>
      </c>
      <c r="P908" s="11" t="e">
        <f t="shared" si="1955"/>
        <v>#DIV/0!</v>
      </c>
      <c r="Q908" s="35">
        <v>0</v>
      </c>
      <c r="R908" s="66">
        <v>0</v>
      </c>
      <c r="S908" s="35" t="e">
        <f t="shared" si="1956"/>
        <v>#DIV/0!</v>
      </c>
      <c r="T908" s="6" t="e">
        <f t="shared" si="1957"/>
        <v>#DIV/0!</v>
      </c>
      <c r="U908" s="68">
        <v>0</v>
      </c>
      <c r="V908" s="66">
        <v>0</v>
      </c>
      <c r="W908" s="20" t="e">
        <f t="shared" si="1958"/>
        <v>#DIV/0!</v>
      </c>
      <c r="X908" s="6" t="e">
        <f t="shared" si="1959"/>
        <v>#DIV/0!</v>
      </c>
      <c r="Y908" s="68">
        <v>0</v>
      </c>
      <c r="Z908" s="70">
        <v>0</v>
      </c>
      <c r="AA908" s="35" t="e">
        <f t="shared" si="1960"/>
        <v>#DIV/0!</v>
      </c>
      <c r="AB908" s="11" t="e">
        <f t="shared" si="1961"/>
        <v>#DIV/0!</v>
      </c>
      <c r="AC908" s="20">
        <v>0</v>
      </c>
      <c r="AD908" s="36">
        <v>0</v>
      </c>
      <c r="AE908" s="35" t="e">
        <f t="shared" si="1962"/>
        <v>#DIV/0!</v>
      </c>
      <c r="AF908" s="6" t="e">
        <f t="shared" si="1963"/>
        <v>#DIV/0!</v>
      </c>
      <c r="AG908" s="68">
        <v>0</v>
      </c>
      <c r="AH908" s="66">
        <v>0</v>
      </c>
      <c r="AI908" s="35" t="e">
        <f t="shared" si="1964"/>
        <v>#DIV/0!</v>
      </c>
      <c r="AJ908" s="6" t="e">
        <f t="shared" si="1965"/>
        <v>#DIV/0!</v>
      </c>
      <c r="AK908" s="68">
        <v>2260</v>
      </c>
      <c r="AL908" s="65">
        <v>200</v>
      </c>
      <c r="AM908" s="35">
        <f t="shared" si="1966"/>
        <v>11.3</v>
      </c>
      <c r="AN908" s="6">
        <f t="shared" si="1967"/>
        <v>0.11038560411311055</v>
      </c>
      <c r="AO908" s="68">
        <v>0</v>
      </c>
      <c r="AP908" s="66">
        <v>0</v>
      </c>
      <c r="AQ908" s="35" t="e">
        <f t="shared" si="1968"/>
        <v>#DIV/0!</v>
      </c>
      <c r="AR908" s="6" t="e">
        <f t="shared" si="1969"/>
        <v>#DIV/0!</v>
      </c>
      <c r="AS908" s="68">
        <v>0</v>
      </c>
      <c r="AT908" s="66">
        <v>0</v>
      </c>
      <c r="AU908" s="35" t="e">
        <f t="shared" si="1970"/>
        <v>#DIV/0!</v>
      </c>
      <c r="AV908" s="6" t="e">
        <f t="shared" si="1971"/>
        <v>#DIV/0!</v>
      </c>
      <c r="AW908" s="68">
        <v>0</v>
      </c>
      <c r="AX908" s="66">
        <v>0</v>
      </c>
      <c r="AY908" s="35" t="e">
        <f t="shared" si="1972"/>
        <v>#DIV/0!</v>
      </c>
      <c r="AZ908" s="6" t="e">
        <f t="shared" si="1973"/>
        <v>#DIV/0!</v>
      </c>
      <c r="BA908" s="68">
        <v>10530</v>
      </c>
      <c r="BB908" s="65">
        <v>200</v>
      </c>
      <c r="BC908" s="35">
        <f t="shared" si="1974"/>
        <v>52.65</v>
      </c>
      <c r="BD908" s="11">
        <f t="shared" si="1975"/>
        <v>0.51431876606683802</v>
      </c>
    </row>
    <row r="909" spans="1:56" ht="15.75" thickBot="1" x14ac:dyDescent="0.3">
      <c r="A909" s="19" t="s">
        <v>5</v>
      </c>
      <c r="B909" s="8">
        <v>190230</v>
      </c>
      <c r="C909" s="35">
        <f>B909/F901</f>
        <v>135.29871977240398</v>
      </c>
      <c r="D909" s="8">
        <v>7050</v>
      </c>
      <c r="E909" s="68">
        <v>0</v>
      </c>
      <c r="F909" s="70">
        <v>0</v>
      </c>
      <c r="G909" s="35" t="e">
        <f t="shared" si="1950"/>
        <v>#DIV/0!</v>
      </c>
      <c r="H909" s="11" t="e">
        <f t="shared" si="1951"/>
        <v>#DIV/0!</v>
      </c>
      <c r="I909" s="35">
        <v>0</v>
      </c>
      <c r="J909" s="70">
        <v>0</v>
      </c>
      <c r="K909" s="35" t="e">
        <f t="shared" si="1952"/>
        <v>#DIV/0!</v>
      </c>
      <c r="L909" s="6" t="e">
        <f t="shared" si="1953"/>
        <v>#DIV/0!</v>
      </c>
      <c r="M909" s="68">
        <v>0</v>
      </c>
      <c r="N909" s="5">
        <v>0</v>
      </c>
      <c r="O909" s="35" t="e">
        <f t="shared" si="1954"/>
        <v>#DIV/0!</v>
      </c>
      <c r="P909" s="11" t="e">
        <f t="shared" si="1955"/>
        <v>#DIV/0!</v>
      </c>
      <c r="Q909" s="35">
        <v>0</v>
      </c>
      <c r="R909" s="66">
        <v>0</v>
      </c>
      <c r="S909" s="35" t="e">
        <f t="shared" si="1956"/>
        <v>#DIV/0!</v>
      </c>
      <c r="T909" s="6" t="e">
        <f t="shared" si="1957"/>
        <v>#DIV/0!</v>
      </c>
      <c r="U909" s="68">
        <v>0</v>
      </c>
      <c r="V909" s="66">
        <v>0</v>
      </c>
      <c r="W909" s="20" t="e">
        <f t="shared" si="1958"/>
        <v>#DIV/0!</v>
      </c>
      <c r="X909" s="6" t="e">
        <f t="shared" si="1959"/>
        <v>#DIV/0!</v>
      </c>
      <c r="Y909" s="68">
        <v>0</v>
      </c>
      <c r="Z909" s="70">
        <v>0</v>
      </c>
      <c r="AA909" s="35" t="e">
        <f t="shared" si="1960"/>
        <v>#DIV/0!</v>
      </c>
      <c r="AB909" s="11" t="e">
        <f t="shared" si="1961"/>
        <v>#DIV/0!</v>
      </c>
      <c r="AC909" s="20">
        <v>0</v>
      </c>
      <c r="AD909" s="36">
        <v>0</v>
      </c>
      <c r="AE909" s="35" t="e">
        <f t="shared" si="1962"/>
        <v>#DIV/0!</v>
      </c>
      <c r="AF909" s="6" t="e">
        <f t="shared" si="1963"/>
        <v>#DIV/0!</v>
      </c>
      <c r="AG909" s="68">
        <v>0</v>
      </c>
      <c r="AH909" s="66">
        <v>0</v>
      </c>
      <c r="AI909" s="35" t="e">
        <f t="shared" si="1964"/>
        <v>#DIV/0!</v>
      </c>
      <c r="AJ909" s="6" t="e">
        <f t="shared" si="1965"/>
        <v>#DIV/0!</v>
      </c>
      <c r="AK909" s="68">
        <v>2490</v>
      </c>
      <c r="AL909" s="65">
        <v>200</v>
      </c>
      <c r="AM909" s="35">
        <f t="shared" si="1966"/>
        <v>12.45</v>
      </c>
      <c r="AN909" s="6">
        <f t="shared" si="1967"/>
        <v>9.2018609052199968E-2</v>
      </c>
      <c r="AO909" s="68">
        <v>0</v>
      </c>
      <c r="AP909" s="66">
        <v>0</v>
      </c>
      <c r="AQ909" s="35" t="e">
        <f t="shared" si="1968"/>
        <v>#DIV/0!</v>
      </c>
      <c r="AR909" s="6" t="e">
        <f t="shared" si="1969"/>
        <v>#DIV/0!</v>
      </c>
      <c r="AS909" s="68">
        <v>0</v>
      </c>
      <c r="AT909" s="66">
        <v>0</v>
      </c>
      <c r="AU909" s="35" t="e">
        <f t="shared" si="1970"/>
        <v>#DIV/0!</v>
      </c>
      <c r="AV909" s="6" t="e">
        <f t="shared" si="1971"/>
        <v>#DIV/0!</v>
      </c>
      <c r="AW909" s="68">
        <v>0</v>
      </c>
      <c r="AX909" s="66">
        <v>0</v>
      </c>
      <c r="AY909" s="35" t="e">
        <f t="shared" si="1972"/>
        <v>#DIV/0!</v>
      </c>
      <c r="AZ909" s="6" t="e">
        <f t="shared" si="1973"/>
        <v>#DIV/0!</v>
      </c>
      <c r="BA909" s="68">
        <v>12300</v>
      </c>
      <c r="BB909" s="65">
        <v>200</v>
      </c>
      <c r="BC909" s="35">
        <f t="shared" si="1974"/>
        <v>61.5</v>
      </c>
      <c r="BD909" s="11">
        <f t="shared" si="1975"/>
        <v>0.45454975555906008</v>
      </c>
    </row>
    <row r="910" spans="1:56" x14ac:dyDescent="0.25">
      <c r="A910" s="19" t="s">
        <v>6</v>
      </c>
      <c r="B910" s="8">
        <v>230260</v>
      </c>
      <c r="C910" s="35">
        <f>B910/F901</f>
        <v>163.76955903271693</v>
      </c>
      <c r="D910" s="8">
        <v>10950</v>
      </c>
      <c r="E910" s="68">
        <v>0</v>
      </c>
      <c r="F910" s="70">
        <v>0</v>
      </c>
      <c r="G910" s="35" t="e">
        <f t="shared" si="1950"/>
        <v>#DIV/0!</v>
      </c>
      <c r="H910" s="11" t="e">
        <f t="shared" si="1951"/>
        <v>#DIV/0!</v>
      </c>
      <c r="I910" s="35">
        <v>0</v>
      </c>
      <c r="J910" s="70">
        <v>0</v>
      </c>
      <c r="K910" s="35" t="e">
        <f t="shared" si="1952"/>
        <v>#DIV/0!</v>
      </c>
      <c r="L910" s="6" t="e">
        <f t="shared" si="1953"/>
        <v>#DIV/0!</v>
      </c>
      <c r="M910" s="68">
        <v>0</v>
      </c>
      <c r="N910" s="5">
        <v>0</v>
      </c>
      <c r="O910" s="35" t="e">
        <f t="shared" si="1954"/>
        <v>#DIV/0!</v>
      </c>
      <c r="P910" s="11" t="e">
        <f t="shared" si="1955"/>
        <v>#DIV/0!</v>
      </c>
      <c r="Q910" s="35">
        <v>0</v>
      </c>
      <c r="R910" s="66">
        <v>0</v>
      </c>
      <c r="S910" s="35" t="e">
        <f t="shared" si="1956"/>
        <v>#DIV/0!</v>
      </c>
      <c r="T910" s="6" t="e">
        <f t="shared" si="1957"/>
        <v>#DIV/0!</v>
      </c>
      <c r="U910" s="68">
        <v>0</v>
      </c>
      <c r="V910" s="66">
        <v>0</v>
      </c>
      <c r="W910" s="20" t="e">
        <f t="shared" si="1958"/>
        <v>#DIV/0!</v>
      </c>
      <c r="X910" s="6" t="e">
        <f t="shared" si="1959"/>
        <v>#DIV/0!</v>
      </c>
      <c r="Y910" s="68">
        <v>0</v>
      </c>
      <c r="Z910" s="70">
        <v>0</v>
      </c>
      <c r="AA910" s="35" t="e">
        <f t="shared" si="1960"/>
        <v>#DIV/0!</v>
      </c>
      <c r="AB910" s="11" t="e">
        <f t="shared" si="1961"/>
        <v>#DIV/0!</v>
      </c>
      <c r="AC910" s="20">
        <v>0</v>
      </c>
      <c r="AD910" s="36">
        <v>0</v>
      </c>
      <c r="AE910" s="35" t="e">
        <f t="shared" si="1962"/>
        <v>#DIV/0!</v>
      </c>
      <c r="AF910" s="6" t="e">
        <f t="shared" si="1963"/>
        <v>#DIV/0!</v>
      </c>
      <c r="AG910" s="68">
        <v>0</v>
      </c>
      <c r="AH910" s="66">
        <v>0</v>
      </c>
      <c r="AI910" s="35" t="e">
        <f t="shared" si="1964"/>
        <v>#DIV/0!</v>
      </c>
      <c r="AJ910" s="6" t="e">
        <f t="shared" si="1965"/>
        <v>#DIV/0!</v>
      </c>
      <c r="AK910" s="68">
        <v>2780</v>
      </c>
      <c r="AL910" s="65">
        <v>200</v>
      </c>
      <c r="AM910" s="35">
        <f t="shared" si="1966"/>
        <v>13.9</v>
      </c>
      <c r="AN910" s="6">
        <f t="shared" si="1967"/>
        <v>8.4875358290627992E-2</v>
      </c>
      <c r="AO910" s="68">
        <v>0</v>
      </c>
      <c r="AP910" s="66">
        <v>0</v>
      </c>
      <c r="AQ910" s="35" t="e">
        <f t="shared" si="1968"/>
        <v>#DIV/0!</v>
      </c>
      <c r="AR910" s="6" t="e">
        <f t="shared" si="1969"/>
        <v>#DIV/0!</v>
      </c>
      <c r="AS910" s="68">
        <v>0</v>
      </c>
      <c r="AT910" s="66">
        <v>0</v>
      </c>
      <c r="AU910" s="35" t="e">
        <f t="shared" si="1970"/>
        <v>#DIV/0!</v>
      </c>
      <c r="AV910" s="6" t="e">
        <f t="shared" si="1971"/>
        <v>#DIV/0!</v>
      </c>
      <c r="AW910" s="68">
        <v>0</v>
      </c>
      <c r="AX910" s="66">
        <v>0</v>
      </c>
      <c r="AY910" s="35" t="e">
        <f t="shared" si="1972"/>
        <v>#DIV/0!</v>
      </c>
      <c r="AZ910" s="6" t="e">
        <f t="shared" si="1973"/>
        <v>#DIV/0!</v>
      </c>
      <c r="BA910" s="68">
        <v>14240</v>
      </c>
      <c r="BB910" s="65">
        <v>200</v>
      </c>
      <c r="BC910" s="35">
        <f t="shared" si="1974"/>
        <v>71.2</v>
      </c>
      <c r="BD910" s="11">
        <f t="shared" si="1975"/>
        <v>0.4347572309563103</v>
      </c>
    </row>
    <row r="911" spans="1:56" ht="15.75" thickBot="1" x14ac:dyDescent="0.3">
      <c r="A911" s="21"/>
      <c r="B911" s="22"/>
      <c r="C911" s="23">
        <f>AVERAGE(Table11065[MA $/Sq Ft])</f>
        <v>94.228815281446842</v>
      </c>
      <c r="D911" s="22">
        <f>AVERAGE(Table11065[Basic Allowance])</f>
        <v>4442.8571428571431</v>
      </c>
      <c r="E911" s="16"/>
      <c r="F911" s="22"/>
      <c r="G911" s="15"/>
      <c r="H911" s="24" t="e">
        <f>AVERAGE(Table11065[Bsmt % Base])</f>
        <v>#DIV/0!</v>
      </c>
      <c r="I911" s="15"/>
      <c r="J911" s="15"/>
      <c r="K911" s="15"/>
      <c r="L911" s="25" t="e">
        <f>AVERAGE(Table11065[[#Headers],[#Data],[UnfBsmt % Base]])</f>
        <v>#DIV/0!</v>
      </c>
      <c r="M911" s="44"/>
      <c r="N911" s="15"/>
      <c r="O911" s="23" t="e">
        <f>AVERAGE(Table11065[LowerVal/SqFt])</f>
        <v>#DIV/0!</v>
      </c>
      <c r="P911" s="24" t="e">
        <f>AVERAGE(Table11065[Lower % Base])</f>
        <v>#DIV/0!</v>
      </c>
      <c r="Q911" s="13"/>
      <c r="R911" s="13"/>
      <c r="S911" s="13"/>
      <c r="T911" s="25" t="e">
        <f>AVERAGE(Table11065[Unf Lower % Base])</f>
        <v>#DIV/0!</v>
      </c>
      <c r="U911" s="12"/>
      <c r="V911" s="13"/>
      <c r="W911" s="13"/>
      <c r="X911" s="25" t="e">
        <f>AVERAGE(Table11065[1/2 Story % Base])</f>
        <v>#DIV/0!</v>
      </c>
      <c r="Y911" s="12"/>
      <c r="Z911" s="13"/>
      <c r="AA911" s="13"/>
      <c r="AB911" s="24" t="e">
        <f>AVERAGE(Table11065[2nd Story % Base])</f>
        <v>#DIV/0!</v>
      </c>
      <c r="AC911" s="13"/>
      <c r="AD911" s="13"/>
      <c r="AE911" s="23" t="e">
        <f>AVERAGE(Table11065[AttGarVal/SqFt])</f>
        <v>#DIV/0!</v>
      </c>
      <c r="AF911" s="25" t="e">
        <f>AVERAGE(Table11065[Att Gar % Base])</f>
        <v>#DIV/0!</v>
      </c>
      <c r="AG911" s="12"/>
      <c r="AH911" s="13"/>
      <c r="AI911" s="13"/>
      <c r="AJ911" s="25" t="e">
        <f>AVERAGE(Table11065[Porch % Base])</f>
        <v>#DIV/0!</v>
      </c>
      <c r="AK911" s="12"/>
      <c r="AL911" s="13"/>
      <c r="AM911" s="13"/>
      <c r="AN911" s="25">
        <f>AVERAGE(Table11065[Cov Porch % Base])</f>
        <v>0.11162421803234703</v>
      </c>
      <c r="AO911" s="12"/>
      <c r="AP911" s="13"/>
      <c r="AQ911" s="13"/>
      <c r="AR911" s="25" t="e">
        <f>AVERAGE(Table11065[Deck % Base])</f>
        <v>#DIV/0!</v>
      </c>
      <c r="AS911" s="12"/>
      <c r="AT911" s="13"/>
      <c r="AU911" s="23" t="e">
        <f>AVERAGE(Table11065[CovDeckVal/SqFt])</f>
        <v>#DIV/0!</v>
      </c>
      <c r="AV911" s="25" t="e">
        <f>AVERAGE(Table11065[CovDeck % Base])</f>
        <v>#DIV/0!</v>
      </c>
      <c r="AW911" s="12"/>
      <c r="AX911" s="13"/>
      <c r="AY911" s="13"/>
      <c r="AZ911" s="25" t="e">
        <f>AVERAGE(Table11065[CarP % Base])</f>
        <v>#DIV/0!</v>
      </c>
      <c r="BA911" s="12"/>
      <c r="BB911" s="13"/>
      <c r="BC911" s="13"/>
      <c r="BD911" s="24">
        <f>AVERAGE(Table11065[EFP % Base])</f>
        <v>0.49007811967080983</v>
      </c>
    </row>
    <row r="913" spans="1:56" ht="15.75" thickBot="1" x14ac:dyDescent="0.3">
      <c r="A913" s="82"/>
      <c r="B913" t="s">
        <v>79</v>
      </c>
      <c r="C913" s="78" t="s">
        <v>175</v>
      </c>
      <c r="E913" t="s">
        <v>33</v>
      </c>
      <c r="F913" s="79">
        <v>768</v>
      </c>
      <c r="H913" t="s">
        <v>80</v>
      </c>
      <c r="I913" t="s">
        <v>105</v>
      </c>
    </row>
    <row r="914" spans="1:56" x14ac:dyDescent="0.25">
      <c r="A914" s="89"/>
      <c r="B914" s="90"/>
      <c r="C914" s="90"/>
      <c r="D914" s="91"/>
      <c r="E914" s="115" t="s">
        <v>27</v>
      </c>
      <c r="F914" s="116"/>
      <c r="G914" s="116"/>
      <c r="H914" s="117"/>
      <c r="I914" s="118" t="s">
        <v>28</v>
      </c>
      <c r="J914" s="119"/>
      <c r="K914" s="119"/>
      <c r="L914" s="120"/>
      <c r="M914" s="121" t="s">
        <v>7</v>
      </c>
      <c r="N914" s="122"/>
      <c r="O914" s="122"/>
      <c r="P914" s="123"/>
      <c r="Q914" s="124" t="s">
        <v>29</v>
      </c>
      <c r="R914" s="125"/>
      <c r="S914" s="125"/>
      <c r="T914" s="126"/>
      <c r="U914" s="127" t="s">
        <v>8</v>
      </c>
      <c r="V914" s="128"/>
      <c r="W914" s="128"/>
      <c r="X914" s="129"/>
      <c r="Y914" s="130" t="s">
        <v>0</v>
      </c>
      <c r="Z914" s="131"/>
      <c r="AA914" s="131"/>
      <c r="AB914" s="132"/>
      <c r="AC914" s="133" t="s">
        <v>34</v>
      </c>
      <c r="AD914" s="134"/>
      <c r="AE914" s="134"/>
      <c r="AF914" s="135"/>
      <c r="AG914" s="115" t="s">
        <v>9</v>
      </c>
      <c r="AH914" s="116"/>
      <c r="AI914" s="116"/>
      <c r="AJ914" s="117"/>
      <c r="AK914" s="136" t="s">
        <v>35</v>
      </c>
      <c r="AL914" s="137"/>
      <c r="AM914" s="137"/>
      <c r="AN914" s="138"/>
      <c r="AO914" s="139" t="s">
        <v>10</v>
      </c>
      <c r="AP914" s="140"/>
      <c r="AQ914" s="140"/>
      <c r="AR914" s="141"/>
      <c r="AS914" s="124" t="s">
        <v>36</v>
      </c>
      <c r="AT914" s="125"/>
      <c r="AU914" s="125"/>
      <c r="AV914" s="126"/>
      <c r="AW914" s="142" t="s">
        <v>11</v>
      </c>
      <c r="AX914" s="143"/>
      <c r="AY914" s="143"/>
      <c r="AZ914" s="144"/>
      <c r="BA914" s="148" t="s">
        <v>17</v>
      </c>
      <c r="BB914" s="149"/>
      <c r="BC914" s="149"/>
      <c r="BD914" s="150"/>
    </row>
    <row r="915" spans="1:56" s="1" customFormat="1" ht="15.75" thickBot="1" x14ac:dyDescent="0.3">
      <c r="A915" s="41" t="s">
        <v>13</v>
      </c>
      <c r="B915" s="42" t="s">
        <v>15</v>
      </c>
      <c r="C915" s="42" t="s">
        <v>32</v>
      </c>
      <c r="D915" s="43" t="s">
        <v>18</v>
      </c>
      <c r="E915" s="30" t="s">
        <v>30</v>
      </c>
      <c r="F915" s="31" t="s">
        <v>61</v>
      </c>
      <c r="G915" s="31" t="s">
        <v>38</v>
      </c>
      <c r="H915" s="32" t="s">
        <v>62</v>
      </c>
      <c r="I915" s="37" t="s">
        <v>31</v>
      </c>
      <c r="J915" s="38" t="s">
        <v>39</v>
      </c>
      <c r="K915" s="38" t="s">
        <v>40</v>
      </c>
      <c r="L915" s="39" t="s">
        <v>63</v>
      </c>
      <c r="M915" s="40" t="s">
        <v>19</v>
      </c>
      <c r="N915" s="7" t="s">
        <v>41</v>
      </c>
      <c r="O915" s="7" t="s">
        <v>37</v>
      </c>
      <c r="P915" s="7" t="s">
        <v>64</v>
      </c>
      <c r="Q915" s="27" t="s">
        <v>20</v>
      </c>
      <c r="R915" s="28" t="s">
        <v>60</v>
      </c>
      <c r="S915" s="28" t="s">
        <v>59</v>
      </c>
      <c r="T915" s="29" t="s">
        <v>65</v>
      </c>
      <c r="U915" s="48" t="s">
        <v>21</v>
      </c>
      <c r="V915" s="48" t="s">
        <v>42</v>
      </c>
      <c r="W915" s="48" t="s">
        <v>43</v>
      </c>
      <c r="X915" s="49" t="s">
        <v>66</v>
      </c>
      <c r="Y915" s="50" t="s">
        <v>22</v>
      </c>
      <c r="Z915" s="51" t="s">
        <v>44</v>
      </c>
      <c r="AA915" s="51" t="s">
        <v>45</v>
      </c>
      <c r="AB915" s="52" t="s">
        <v>67</v>
      </c>
      <c r="AC915" s="45" t="s">
        <v>23</v>
      </c>
      <c r="AD915" s="46" t="s">
        <v>46</v>
      </c>
      <c r="AE915" s="46" t="s">
        <v>47</v>
      </c>
      <c r="AF915" s="47" t="s">
        <v>68</v>
      </c>
      <c r="AG915" s="30" t="s">
        <v>24</v>
      </c>
      <c r="AH915" s="31" t="s">
        <v>48</v>
      </c>
      <c r="AI915" s="31" t="s">
        <v>49</v>
      </c>
      <c r="AJ915" s="32" t="s">
        <v>69</v>
      </c>
      <c r="AK915" s="53" t="s">
        <v>25</v>
      </c>
      <c r="AL915" s="54" t="s">
        <v>50</v>
      </c>
      <c r="AM915" s="54" t="s">
        <v>51</v>
      </c>
      <c r="AN915" s="55" t="s">
        <v>70</v>
      </c>
      <c r="AO915" s="56" t="s">
        <v>26</v>
      </c>
      <c r="AP915" s="57" t="s">
        <v>52</v>
      </c>
      <c r="AQ915" s="57" t="s">
        <v>53</v>
      </c>
      <c r="AR915" s="58" t="s">
        <v>71</v>
      </c>
      <c r="AS915" s="59" t="s">
        <v>55</v>
      </c>
      <c r="AT915" s="60" t="s">
        <v>54</v>
      </c>
      <c r="AU915" s="60" t="s">
        <v>56</v>
      </c>
      <c r="AV915" s="61" t="s">
        <v>76</v>
      </c>
      <c r="AW915" s="62" t="s">
        <v>72</v>
      </c>
      <c r="AX915" s="63" t="s">
        <v>73</v>
      </c>
      <c r="AY915" s="63" t="s">
        <v>74</v>
      </c>
      <c r="AZ915" s="64" t="s">
        <v>75</v>
      </c>
      <c r="BA915" s="71" t="s">
        <v>77</v>
      </c>
      <c r="BB915" s="72" t="s">
        <v>57</v>
      </c>
      <c r="BC915" s="72" t="s">
        <v>58</v>
      </c>
      <c r="BD915" s="73" t="s">
        <v>78</v>
      </c>
    </row>
    <row r="916" spans="1:56" ht="15.75" thickBot="1" x14ac:dyDescent="0.3">
      <c r="A916" s="17" t="s">
        <v>1</v>
      </c>
      <c r="B916" s="14">
        <v>42240</v>
      </c>
      <c r="C916" s="34">
        <f>B916/F913</f>
        <v>55</v>
      </c>
      <c r="D916" s="14">
        <v>1525</v>
      </c>
      <c r="E916" s="67">
        <v>0</v>
      </c>
      <c r="F916" s="69">
        <v>0</v>
      </c>
      <c r="G916" s="34" t="e">
        <f t="shared" ref="G916:G922" si="1976">E916/F916</f>
        <v>#DIV/0!</v>
      </c>
      <c r="H916" s="10" t="e">
        <f t="shared" ref="H916:H922" si="1977">G916/C916</f>
        <v>#DIV/0!</v>
      </c>
      <c r="I916" s="34">
        <v>0</v>
      </c>
      <c r="J916" s="69">
        <v>0</v>
      </c>
      <c r="K916" s="34" t="e">
        <f t="shared" ref="K916:K922" si="1978">I916/J916</f>
        <v>#DIV/0!</v>
      </c>
      <c r="L916" s="9" t="e">
        <f t="shared" ref="L916:L922" si="1979">K916/C916</f>
        <v>#DIV/0!</v>
      </c>
      <c r="M916" s="67">
        <v>10560</v>
      </c>
      <c r="N916" s="26">
        <v>288</v>
      </c>
      <c r="O916" s="34">
        <f t="shared" ref="O916:O922" si="1980">M916/N916</f>
        <v>36.666666666666664</v>
      </c>
      <c r="P916" s="10">
        <f t="shared" ref="P916:P922" si="1981">O916/C916</f>
        <v>0.66666666666666663</v>
      </c>
      <c r="Q916" s="35">
        <v>5610</v>
      </c>
      <c r="R916" s="66">
        <v>288</v>
      </c>
      <c r="S916" s="35">
        <f t="shared" ref="S916:S922" si="1982">Q916/R916</f>
        <v>19.479166666666668</v>
      </c>
      <c r="T916" s="6">
        <f t="shared" ref="T916:T922" si="1983">S916/C916</f>
        <v>0.35416666666666669</v>
      </c>
      <c r="U916" s="67">
        <v>0</v>
      </c>
      <c r="V916" s="65">
        <v>0</v>
      </c>
      <c r="W916" s="18" t="e">
        <f t="shared" ref="W916:W922" si="1984">U916/V916</f>
        <v>#DIV/0!</v>
      </c>
      <c r="X916" s="9" t="e">
        <f t="shared" ref="X916:X922" si="1985">W916/C916</f>
        <v>#DIV/0!</v>
      </c>
      <c r="Y916" s="67">
        <v>0</v>
      </c>
      <c r="Z916" s="69">
        <v>0</v>
      </c>
      <c r="AA916" s="34" t="e">
        <f t="shared" ref="AA916:AA922" si="1986">Y916/Z916</f>
        <v>#DIV/0!</v>
      </c>
      <c r="AB916" s="10" t="e">
        <f t="shared" ref="AB916:AB922" si="1987">AA916/C916</f>
        <v>#DIV/0!</v>
      </c>
      <c r="AC916" s="18">
        <v>0</v>
      </c>
      <c r="AD916" s="33">
        <v>0</v>
      </c>
      <c r="AE916" s="34" t="e">
        <f t="shared" ref="AE916:AE922" si="1988">AC916/AD916</f>
        <v>#DIV/0!</v>
      </c>
      <c r="AF916" s="9" t="e">
        <f t="shared" ref="AF916:AF922" si="1989">AE916/C916</f>
        <v>#DIV/0!</v>
      </c>
      <c r="AG916" s="67">
        <v>0</v>
      </c>
      <c r="AH916" s="65">
        <v>0</v>
      </c>
      <c r="AI916" s="34" t="e">
        <f t="shared" ref="AI916:AI922" si="1990">AG916/AH916</f>
        <v>#DIV/0!</v>
      </c>
      <c r="AJ916" s="9" t="e">
        <f t="shared" ref="AJ916:AJ922" si="1991">AI916/C916</f>
        <v>#DIV/0!</v>
      </c>
      <c r="AK916" s="67">
        <v>0</v>
      </c>
      <c r="AL916" s="65">
        <v>0</v>
      </c>
      <c r="AM916" s="34" t="e">
        <f t="shared" ref="AM916:AM922" si="1992">AK916/AL916</f>
        <v>#DIV/0!</v>
      </c>
      <c r="AN916" s="9" t="e">
        <f t="shared" ref="AN916:AN922" si="1993">AM916/C916</f>
        <v>#DIV/0!</v>
      </c>
      <c r="AO916" s="67">
        <v>3840</v>
      </c>
      <c r="AP916" s="65">
        <v>480</v>
      </c>
      <c r="AQ916" s="34">
        <f t="shared" ref="AQ916:AQ922" si="1994">AO916/AP916</f>
        <v>8</v>
      </c>
      <c r="AR916" s="9">
        <f t="shared" ref="AR916:AR922" si="1995">AQ916/C916</f>
        <v>0.14545454545454545</v>
      </c>
      <c r="AS916" s="67">
        <v>0</v>
      </c>
      <c r="AT916" s="65">
        <v>0</v>
      </c>
      <c r="AU916" s="34" t="e">
        <f t="shared" ref="AU916:AU922" si="1996">AS916/AT916</f>
        <v>#DIV/0!</v>
      </c>
      <c r="AV916" s="9" t="e">
        <f t="shared" ref="AV916:AV922" si="1997">AU916/C916</f>
        <v>#DIV/0!</v>
      </c>
      <c r="AW916" s="67">
        <v>0</v>
      </c>
      <c r="AX916" s="65">
        <v>0</v>
      </c>
      <c r="AY916" s="34" t="e">
        <f t="shared" ref="AY916:AY922" si="1998">AW916/AX916</f>
        <v>#DIV/0!</v>
      </c>
      <c r="AZ916" s="9" t="e">
        <f t="shared" ref="AZ916:AZ922" si="1999">AY916/C916</f>
        <v>#DIV/0!</v>
      </c>
      <c r="BA916" s="67">
        <v>0</v>
      </c>
      <c r="BB916" s="65">
        <v>0</v>
      </c>
      <c r="BC916" s="34" t="e">
        <f t="shared" ref="BC916:BC922" si="2000">BA916/BB916</f>
        <v>#DIV/0!</v>
      </c>
      <c r="BD916" s="10" t="e">
        <f t="shared" ref="BD916:BD922" si="2001">BC916/C916</f>
        <v>#DIV/0!</v>
      </c>
    </row>
    <row r="917" spans="1:56" ht="15.75" thickBot="1" x14ac:dyDescent="0.3">
      <c r="A917" s="19" t="s">
        <v>16</v>
      </c>
      <c r="B917" s="8">
        <v>49700</v>
      </c>
      <c r="C917" s="35">
        <f>B917/F913</f>
        <v>64.713541666666671</v>
      </c>
      <c r="D917" s="8">
        <v>1525</v>
      </c>
      <c r="E917" s="68">
        <v>0</v>
      </c>
      <c r="F917" s="70">
        <v>0</v>
      </c>
      <c r="G917" s="35" t="e">
        <f t="shared" si="1976"/>
        <v>#DIV/0!</v>
      </c>
      <c r="H917" s="11" t="e">
        <f t="shared" si="1977"/>
        <v>#DIV/0!</v>
      </c>
      <c r="I917" s="35">
        <v>0</v>
      </c>
      <c r="J917" s="70">
        <v>0</v>
      </c>
      <c r="K917" s="35" t="e">
        <f t="shared" si="1978"/>
        <v>#DIV/0!</v>
      </c>
      <c r="L917" s="6" t="e">
        <f t="shared" si="1979"/>
        <v>#DIV/0!</v>
      </c>
      <c r="M917" s="68">
        <v>13450</v>
      </c>
      <c r="N917" s="26">
        <v>288</v>
      </c>
      <c r="O917" s="35">
        <f t="shared" si="1980"/>
        <v>46.701388888888886</v>
      </c>
      <c r="P917" s="11">
        <f t="shared" si="1981"/>
        <v>0.7216633132126089</v>
      </c>
      <c r="Q917" s="35">
        <v>7330</v>
      </c>
      <c r="R917" s="66">
        <v>288</v>
      </c>
      <c r="S917" s="35">
        <f t="shared" si="1982"/>
        <v>25.451388888888889</v>
      </c>
      <c r="T917" s="6">
        <f t="shared" si="1983"/>
        <v>0.39329309188464118</v>
      </c>
      <c r="U917" s="68">
        <v>0</v>
      </c>
      <c r="V917" s="66">
        <v>0</v>
      </c>
      <c r="W917" s="20" t="e">
        <f t="shared" si="1984"/>
        <v>#DIV/0!</v>
      </c>
      <c r="X917" s="6" t="e">
        <f t="shared" si="1985"/>
        <v>#DIV/0!</v>
      </c>
      <c r="Y917" s="68">
        <v>0</v>
      </c>
      <c r="Z917" s="70">
        <v>0</v>
      </c>
      <c r="AA917" s="35" t="e">
        <f t="shared" si="1986"/>
        <v>#DIV/0!</v>
      </c>
      <c r="AB917" s="11" t="e">
        <f t="shared" si="1987"/>
        <v>#DIV/0!</v>
      </c>
      <c r="AC917" s="20">
        <v>0</v>
      </c>
      <c r="AD917" s="36">
        <v>0</v>
      </c>
      <c r="AE917" s="35" t="e">
        <f t="shared" si="1988"/>
        <v>#DIV/0!</v>
      </c>
      <c r="AF917" s="6" t="e">
        <f t="shared" si="1989"/>
        <v>#DIV/0!</v>
      </c>
      <c r="AG917" s="68">
        <v>0</v>
      </c>
      <c r="AH917" s="66">
        <v>0</v>
      </c>
      <c r="AI917" s="35" t="e">
        <f t="shared" si="1990"/>
        <v>#DIV/0!</v>
      </c>
      <c r="AJ917" s="6" t="e">
        <f t="shared" si="1991"/>
        <v>#DIV/0!</v>
      </c>
      <c r="AK917" s="68">
        <v>0</v>
      </c>
      <c r="AL917" s="66">
        <v>0</v>
      </c>
      <c r="AM917" s="35" t="e">
        <f t="shared" si="1992"/>
        <v>#DIV/0!</v>
      </c>
      <c r="AN917" s="6" t="e">
        <f t="shared" si="1993"/>
        <v>#DIV/0!</v>
      </c>
      <c r="AO917" s="68">
        <v>5300</v>
      </c>
      <c r="AP917" s="65">
        <v>480</v>
      </c>
      <c r="AQ917" s="35">
        <f t="shared" si="1994"/>
        <v>11.041666666666666</v>
      </c>
      <c r="AR917" s="6">
        <f t="shared" si="1995"/>
        <v>0.17062374245472836</v>
      </c>
      <c r="AS917" s="68">
        <v>0</v>
      </c>
      <c r="AT917" s="66">
        <v>0</v>
      </c>
      <c r="AU917" s="35" t="e">
        <f t="shared" si="1996"/>
        <v>#DIV/0!</v>
      </c>
      <c r="AV917" s="6" t="e">
        <f t="shared" si="1997"/>
        <v>#DIV/0!</v>
      </c>
      <c r="AW917" s="68">
        <v>0</v>
      </c>
      <c r="AX917" s="66">
        <v>0</v>
      </c>
      <c r="AY917" s="35" t="e">
        <f t="shared" si="1998"/>
        <v>#DIV/0!</v>
      </c>
      <c r="AZ917" s="6" t="e">
        <f t="shared" si="1999"/>
        <v>#DIV/0!</v>
      </c>
      <c r="BA917" s="68">
        <v>0</v>
      </c>
      <c r="BB917" s="66">
        <v>0</v>
      </c>
      <c r="BC917" s="35" t="e">
        <f t="shared" si="2000"/>
        <v>#DIV/0!</v>
      </c>
      <c r="BD917" s="11" t="e">
        <f t="shared" si="2001"/>
        <v>#DIV/0!</v>
      </c>
    </row>
    <row r="918" spans="1:56" ht="15.75" thickBot="1" x14ac:dyDescent="0.3">
      <c r="A918" s="19" t="s">
        <v>2</v>
      </c>
      <c r="B918" s="8">
        <v>58220</v>
      </c>
      <c r="C918" s="35">
        <f>B918/F913</f>
        <v>75.807291666666671</v>
      </c>
      <c r="D918" s="8">
        <v>2100</v>
      </c>
      <c r="E918" s="68">
        <v>0</v>
      </c>
      <c r="F918" s="70">
        <v>0</v>
      </c>
      <c r="G918" s="35" t="e">
        <f t="shared" si="1976"/>
        <v>#DIV/0!</v>
      </c>
      <c r="H918" s="11" t="e">
        <f t="shared" si="1977"/>
        <v>#DIV/0!</v>
      </c>
      <c r="I918" s="35">
        <v>0</v>
      </c>
      <c r="J918" s="70">
        <v>0</v>
      </c>
      <c r="K918" s="35" t="e">
        <f t="shared" si="1978"/>
        <v>#DIV/0!</v>
      </c>
      <c r="L918" s="6" t="e">
        <f t="shared" si="1979"/>
        <v>#DIV/0!</v>
      </c>
      <c r="M918" s="68">
        <v>15420</v>
      </c>
      <c r="N918" s="26">
        <v>288</v>
      </c>
      <c r="O918" s="35">
        <f t="shared" si="1980"/>
        <v>53.541666666666664</v>
      </c>
      <c r="P918" s="11">
        <f t="shared" si="1981"/>
        <v>0.70628649948471312</v>
      </c>
      <c r="Q918" s="35">
        <v>8420</v>
      </c>
      <c r="R918" s="66">
        <v>288</v>
      </c>
      <c r="S918" s="35">
        <f t="shared" si="1982"/>
        <v>29.236111111111111</v>
      </c>
      <c r="T918" s="6">
        <f t="shared" si="1983"/>
        <v>0.3856635749456086</v>
      </c>
      <c r="U918" s="68">
        <v>0</v>
      </c>
      <c r="V918" s="66">
        <v>0</v>
      </c>
      <c r="W918" s="20" t="e">
        <f t="shared" si="1984"/>
        <v>#DIV/0!</v>
      </c>
      <c r="X918" s="6" t="e">
        <f t="shared" si="1985"/>
        <v>#DIV/0!</v>
      </c>
      <c r="Y918" s="68">
        <v>0</v>
      </c>
      <c r="Z918" s="70">
        <v>0</v>
      </c>
      <c r="AA918" s="35" t="e">
        <f t="shared" si="1986"/>
        <v>#DIV/0!</v>
      </c>
      <c r="AB918" s="11" t="e">
        <f t="shared" si="1987"/>
        <v>#DIV/0!</v>
      </c>
      <c r="AC918" s="20">
        <v>0</v>
      </c>
      <c r="AD918" s="36">
        <v>0</v>
      </c>
      <c r="AE918" s="35" t="e">
        <f t="shared" si="1988"/>
        <v>#DIV/0!</v>
      </c>
      <c r="AF918" s="6" t="e">
        <f t="shared" si="1989"/>
        <v>#DIV/0!</v>
      </c>
      <c r="AG918" s="68">
        <v>0</v>
      </c>
      <c r="AH918" s="66">
        <v>0</v>
      </c>
      <c r="AI918" s="35" t="e">
        <f t="shared" si="1990"/>
        <v>#DIV/0!</v>
      </c>
      <c r="AJ918" s="6" t="e">
        <f t="shared" si="1991"/>
        <v>#DIV/0!</v>
      </c>
      <c r="AK918" s="68">
        <v>0</v>
      </c>
      <c r="AL918" s="66">
        <v>0</v>
      </c>
      <c r="AM918" s="35" t="e">
        <f t="shared" si="1992"/>
        <v>#DIV/0!</v>
      </c>
      <c r="AN918" s="6" t="e">
        <f t="shared" si="1993"/>
        <v>#DIV/0!</v>
      </c>
      <c r="AO918" s="68">
        <v>5520</v>
      </c>
      <c r="AP918" s="65">
        <v>480</v>
      </c>
      <c r="AQ918" s="35">
        <f t="shared" si="1994"/>
        <v>11.5</v>
      </c>
      <c r="AR918" s="6">
        <f t="shared" si="1995"/>
        <v>0.1517004465819306</v>
      </c>
      <c r="AS918" s="68">
        <v>0</v>
      </c>
      <c r="AT918" s="66">
        <v>0</v>
      </c>
      <c r="AU918" s="35" t="e">
        <f t="shared" si="1996"/>
        <v>#DIV/0!</v>
      </c>
      <c r="AV918" s="6" t="e">
        <f t="shared" si="1997"/>
        <v>#DIV/0!</v>
      </c>
      <c r="AW918" s="68">
        <v>0</v>
      </c>
      <c r="AX918" s="66">
        <v>0</v>
      </c>
      <c r="AY918" s="35" t="e">
        <f t="shared" si="1998"/>
        <v>#DIV/0!</v>
      </c>
      <c r="AZ918" s="6" t="e">
        <f t="shared" si="1999"/>
        <v>#DIV/0!</v>
      </c>
      <c r="BA918" s="68">
        <v>0</v>
      </c>
      <c r="BB918" s="66">
        <v>0</v>
      </c>
      <c r="BC918" s="35" t="e">
        <f t="shared" si="2000"/>
        <v>#DIV/0!</v>
      </c>
      <c r="BD918" s="11" t="e">
        <f t="shared" si="2001"/>
        <v>#DIV/0!</v>
      </c>
    </row>
    <row r="919" spans="1:56" ht="15.75" thickBot="1" x14ac:dyDescent="0.3">
      <c r="A919" s="19" t="s">
        <v>3</v>
      </c>
      <c r="B919" s="8">
        <v>69450</v>
      </c>
      <c r="C919" s="35">
        <f>B919/F913</f>
        <v>90.4296875</v>
      </c>
      <c r="D919" s="8">
        <v>2700</v>
      </c>
      <c r="E919" s="68">
        <v>0</v>
      </c>
      <c r="F919" s="70">
        <v>0</v>
      </c>
      <c r="G919" s="35" t="e">
        <f t="shared" si="1976"/>
        <v>#DIV/0!</v>
      </c>
      <c r="H919" s="11" t="e">
        <f t="shared" si="1977"/>
        <v>#DIV/0!</v>
      </c>
      <c r="I919" s="35">
        <v>0</v>
      </c>
      <c r="J919" s="70">
        <v>0</v>
      </c>
      <c r="K919" s="35" t="e">
        <f t="shared" si="1978"/>
        <v>#DIV/0!</v>
      </c>
      <c r="L919" s="6" t="e">
        <f t="shared" si="1979"/>
        <v>#DIV/0!</v>
      </c>
      <c r="M919" s="68">
        <v>16300</v>
      </c>
      <c r="N919" s="26">
        <v>288</v>
      </c>
      <c r="O919" s="35">
        <f t="shared" si="1980"/>
        <v>56.597222222222221</v>
      </c>
      <c r="P919" s="11">
        <f t="shared" si="1981"/>
        <v>0.6258699304055676</v>
      </c>
      <c r="Q919" s="35">
        <v>8220</v>
      </c>
      <c r="R919" s="66">
        <v>288</v>
      </c>
      <c r="S919" s="35">
        <f t="shared" si="1982"/>
        <v>28.541666666666668</v>
      </c>
      <c r="T919" s="6">
        <f t="shared" si="1983"/>
        <v>0.31562275017998559</v>
      </c>
      <c r="U919" s="68">
        <v>0</v>
      </c>
      <c r="V919" s="66">
        <v>0</v>
      </c>
      <c r="W919" s="20" t="e">
        <f t="shared" si="1984"/>
        <v>#DIV/0!</v>
      </c>
      <c r="X919" s="6" t="e">
        <f t="shared" si="1985"/>
        <v>#DIV/0!</v>
      </c>
      <c r="Y919" s="68">
        <v>0</v>
      </c>
      <c r="Z919" s="70">
        <v>0</v>
      </c>
      <c r="AA919" s="35" t="e">
        <f t="shared" si="1986"/>
        <v>#DIV/0!</v>
      </c>
      <c r="AB919" s="11" t="e">
        <f t="shared" si="1987"/>
        <v>#DIV/0!</v>
      </c>
      <c r="AC919" s="20">
        <v>0</v>
      </c>
      <c r="AD919" s="36">
        <v>0</v>
      </c>
      <c r="AE919" s="35" t="e">
        <f t="shared" si="1988"/>
        <v>#DIV/0!</v>
      </c>
      <c r="AF919" s="6" t="e">
        <f t="shared" si="1989"/>
        <v>#DIV/0!</v>
      </c>
      <c r="AG919" s="68">
        <v>0</v>
      </c>
      <c r="AH919" s="66">
        <v>0</v>
      </c>
      <c r="AI919" s="35" t="e">
        <f t="shared" si="1990"/>
        <v>#DIV/0!</v>
      </c>
      <c r="AJ919" s="6" t="e">
        <f t="shared" si="1991"/>
        <v>#DIV/0!</v>
      </c>
      <c r="AK919" s="68">
        <v>0</v>
      </c>
      <c r="AL919" s="66">
        <v>0</v>
      </c>
      <c r="AM919" s="35" t="e">
        <f t="shared" si="1992"/>
        <v>#DIV/0!</v>
      </c>
      <c r="AN919" s="6" t="e">
        <f t="shared" si="1993"/>
        <v>#DIV/0!</v>
      </c>
      <c r="AO919" s="68">
        <v>5710</v>
      </c>
      <c r="AP919" s="65">
        <v>480</v>
      </c>
      <c r="AQ919" s="35">
        <f t="shared" si="1994"/>
        <v>11.895833333333334</v>
      </c>
      <c r="AR919" s="6">
        <f t="shared" si="1995"/>
        <v>0.1315478761699064</v>
      </c>
      <c r="AS919" s="68">
        <v>0</v>
      </c>
      <c r="AT919" s="66">
        <v>0</v>
      </c>
      <c r="AU919" s="35" t="e">
        <f t="shared" si="1996"/>
        <v>#DIV/0!</v>
      </c>
      <c r="AV919" s="6" t="e">
        <f t="shared" si="1997"/>
        <v>#DIV/0!</v>
      </c>
      <c r="AW919" s="68">
        <v>0</v>
      </c>
      <c r="AX919" s="66">
        <v>0</v>
      </c>
      <c r="AY919" s="35" t="e">
        <f t="shared" si="1998"/>
        <v>#DIV/0!</v>
      </c>
      <c r="AZ919" s="6" t="e">
        <f t="shared" si="1999"/>
        <v>#DIV/0!</v>
      </c>
      <c r="BA919" s="68">
        <v>0</v>
      </c>
      <c r="BB919" s="66">
        <v>0</v>
      </c>
      <c r="BC919" s="35" t="e">
        <f t="shared" si="2000"/>
        <v>#DIV/0!</v>
      </c>
      <c r="BD919" s="11" t="e">
        <f t="shared" si="2001"/>
        <v>#DIV/0!</v>
      </c>
    </row>
    <row r="920" spans="1:56" ht="15.75" thickBot="1" x14ac:dyDescent="0.3">
      <c r="A920" s="19" t="s">
        <v>4</v>
      </c>
      <c r="B920" s="8">
        <v>86320</v>
      </c>
      <c r="C920" s="35">
        <f>B920/F913</f>
        <v>112.39583333333333</v>
      </c>
      <c r="D920" s="8">
        <v>5250</v>
      </c>
      <c r="E920" s="68">
        <v>0</v>
      </c>
      <c r="F920" s="70">
        <v>0</v>
      </c>
      <c r="G920" s="35" t="e">
        <f t="shared" si="1976"/>
        <v>#DIV/0!</v>
      </c>
      <c r="H920" s="11" t="e">
        <f t="shared" si="1977"/>
        <v>#DIV/0!</v>
      </c>
      <c r="I920" s="35">
        <v>0</v>
      </c>
      <c r="J920" s="70">
        <v>0</v>
      </c>
      <c r="K920" s="35" t="e">
        <f t="shared" si="1978"/>
        <v>#DIV/0!</v>
      </c>
      <c r="L920" s="6" t="e">
        <f t="shared" si="1979"/>
        <v>#DIV/0!</v>
      </c>
      <c r="M920" s="68">
        <v>21630</v>
      </c>
      <c r="N920" s="26">
        <v>288</v>
      </c>
      <c r="O920" s="35">
        <f t="shared" si="1980"/>
        <v>75.104166666666671</v>
      </c>
      <c r="P920" s="11">
        <f t="shared" si="1981"/>
        <v>0.66821130676552365</v>
      </c>
      <c r="Q920" s="35">
        <v>10080</v>
      </c>
      <c r="R920" s="66">
        <v>288</v>
      </c>
      <c r="S920" s="35">
        <f t="shared" si="1982"/>
        <v>35</v>
      </c>
      <c r="T920" s="6">
        <f t="shared" si="1983"/>
        <v>0.31139944392956442</v>
      </c>
      <c r="U920" s="68">
        <v>0</v>
      </c>
      <c r="V920" s="66">
        <v>0</v>
      </c>
      <c r="W920" s="20" t="e">
        <f t="shared" si="1984"/>
        <v>#DIV/0!</v>
      </c>
      <c r="X920" s="6" t="e">
        <f t="shared" si="1985"/>
        <v>#DIV/0!</v>
      </c>
      <c r="Y920" s="68">
        <v>0</v>
      </c>
      <c r="Z920" s="70">
        <v>0</v>
      </c>
      <c r="AA920" s="35" t="e">
        <f t="shared" si="1986"/>
        <v>#DIV/0!</v>
      </c>
      <c r="AB920" s="11" t="e">
        <f t="shared" si="1987"/>
        <v>#DIV/0!</v>
      </c>
      <c r="AC920" s="20">
        <v>0</v>
      </c>
      <c r="AD920" s="36">
        <v>0</v>
      </c>
      <c r="AE920" s="35" t="e">
        <f t="shared" si="1988"/>
        <v>#DIV/0!</v>
      </c>
      <c r="AF920" s="6" t="e">
        <f t="shared" si="1989"/>
        <v>#DIV/0!</v>
      </c>
      <c r="AG920" s="68">
        <v>0</v>
      </c>
      <c r="AH920" s="66">
        <v>0</v>
      </c>
      <c r="AI920" s="35" t="e">
        <f t="shared" si="1990"/>
        <v>#DIV/0!</v>
      </c>
      <c r="AJ920" s="6" t="e">
        <f t="shared" si="1991"/>
        <v>#DIV/0!</v>
      </c>
      <c r="AK920" s="68">
        <v>0</v>
      </c>
      <c r="AL920" s="66">
        <v>0</v>
      </c>
      <c r="AM920" s="35" t="e">
        <f t="shared" si="1992"/>
        <v>#DIV/0!</v>
      </c>
      <c r="AN920" s="6" t="e">
        <f t="shared" si="1993"/>
        <v>#DIV/0!</v>
      </c>
      <c r="AO920" s="68">
        <v>7200</v>
      </c>
      <c r="AP920" s="65">
        <v>480</v>
      </c>
      <c r="AQ920" s="35">
        <f t="shared" si="1994"/>
        <v>15</v>
      </c>
      <c r="AR920" s="6">
        <f t="shared" si="1995"/>
        <v>0.1334569045412419</v>
      </c>
      <c r="AS920" s="68">
        <v>0</v>
      </c>
      <c r="AT920" s="66">
        <v>0</v>
      </c>
      <c r="AU920" s="35" t="e">
        <f t="shared" si="1996"/>
        <v>#DIV/0!</v>
      </c>
      <c r="AV920" s="6" t="e">
        <f t="shared" si="1997"/>
        <v>#DIV/0!</v>
      </c>
      <c r="AW920" s="68">
        <v>0</v>
      </c>
      <c r="AX920" s="66">
        <v>0</v>
      </c>
      <c r="AY920" s="35" t="e">
        <f t="shared" si="1998"/>
        <v>#DIV/0!</v>
      </c>
      <c r="AZ920" s="6" t="e">
        <f t="shared" si="1999"/>
        <v>#DIV/0!</v>
      </c>
      <c r="BA920" s="68">
        <v>0</v>
      </c>
      <c r="BB920" s="66">
        <v>0</v>
      </c>
      <c r="BC920" s="35" t="e">
        <f t="shared" si="2000"/>
        <v>#DIV/0!</v>
      </c>
      <c r="BD920" s="11" t="e">
        <f t="shared" si="2001"/>
        <v>#DIV/0!</v>
      </c>
    </row>
    <row r="921" spans="1:56" ht="15.75" thickBot="1" x14ac:dyDescent="0.3">
      <c r="A921" s="19" t="s">
        <v>5</v>
      </c>
      <c r="B921" s="8">
        <v>109860</v>
      </c>
      <c r="C921" s="35">
        <f>B921/F913</f>
        <v>143.046875</v>
      </c>
      <c r="D921" s="8">
        <v>7050</v>
      </c>
      <c r="E921" s="68">
        <v>0</v>
      </c>
      <c r="F921" s="70">
        <v>0</v>
      </c>
      <c r="G921" s="35" t="e">
        <f t="shared" si="1976"/>
        <v>#DIV/0!</v>
      </c>
      <c r="H921" s="11" t="e">
        <f t="shared" si="1977"/>
        <v>#DIV/0!</v>
      </c>
      <c r="I921" s="35">
        <v>0</v>
      </c>
      <c r="J921" s="70">
        <v>0</v>
      </c>
      <c r="K921" s="35" t="e">
        <f t="shared" si="1978"/>
        <v>#DIV/0!</v>
      </c>
      <c r="L921" s="6" t="e">
        <f t="shared" si="1979"/>
        <v>#DIV/0!</v>
      </c>
      <c r="M921" s="68">
        <v>23460</v>
      </c>
      <c r="N921" s="26">
        <v>288</v>
      </c>
      <c r="O921" s="35">
        <f t="shared" si="1980"/>
        <v>81.458333333333329</v>
      </c>
      <c r="P921" s="11">
        <f t="shared" si="1981"/>
        <v>0.5694520298561806</v>
      </c>
      <c r="Q921" s="35">
        <v>11170</v>
      </c>
      <c r="R921" s="66">
        <v>288</v>
      </c>
      <c r="S921" s="35">
        <f t="shared" si="1982"/>
        <v>38.784722222222221</v>
      </c>
      <c r="T921" s="6">
        <f t="shared" si="1983"/>
        <v>0.27113295709691121</v>
      </c>
      <c r="U921" s="68">
        <v>0</v>
      </c>
      <c r="V921" s="66">
        <v>0</v>
      </c>
      <c r="W921" s="20" t="e">
        <f t="shared" si="1984"/>
        <v>#DIV/0!</v>
      </c>
      <c r="X921" s="6" t="e">
        <f t="shared" si="1985"/>
        <v>#DIV/0!</v>
      </c>
      <c r="Y921" s="68">
        <v>0</v>
      </c>
      <c r="Z921" s="70">
        <v>0</v>
      </c>
      <c r="AA921" s="35" t="e">
        <f t="shared" si="1986"/>
        <v>#DIV/0!</v>
      </c>
      <c r="AB921" s="11" t="e">
        <f t="shared" si="1987"/>
        <v>#DIV/0!</v>
      </c>
      <c r="AC921" s="20">
        <v>0</v>
      </c>
      <c r="AD921" s="36">
        <v>0</v>
      </c>
      <c r="AE921" s="35" t="e">
        <f t="shared" si="1988"/>
        <v>#DIV/0!</v>
      </c>
      <c r="AF921" s="6" t="e">
        <f t="shared" si="1989"/>
        <v>#DIV/0!</v>
      </c>
      <c r="AG921" s="68">
        <v>0</v>
      </c>
      <c r="AH921" s="66">
        <v>0</v>
      </c>
      <c r="AI921" s="35" t="e">
        <f t="shared" si="1990"/>
        <v>#DIV/0!</v>
      </c>
      <c r="AJ921" s="6" t="e">
        <f t="shared" si="1991"/>
        <v>#DIV/0!</v>
      </c>
      <c r="AK921" s="68">
        <v>0</v>
      </c>
      <c r="AL921" s="66">
        <v>0</v>
      </c>
      <c r="AM921" s="35" t="e">
        <f t="shared" si="1992"/>
        <v>#DIV/0!</v>
      </c>
      <c r="AN921" s="6" t="e">
        <f t="shared" si="1993"/>
        <v>#DIV/0!</v>
      </c>
      <c r="AO921" s="68">
        <v>8590</v>
      </c>
      <c r="AP921" s="65">
        <v>480</v>
      </c>
      <c r="AQ921" s="35">
        <f t="shared" si="1994"/>
        <v>17.895833333333332</v>
      </c>
      <c r="AR921" s="6">
        <f t="shared" si="1995"/>
        <v>0.12510467868195885</v>
      </c>
      <c r="AS921" s="68">
        <v>0</v>
      </c>
      <c r="AT921" s="66">
        <v>0</v>
      </c>
      <c r="AU921" s="35" t="e">
        <f t="shared" si="1996"/>
        <v>#DIV/0!</v>
      </c>
      <c r="AV921" s="6" t="e">
        <f t="shared" si="1997"/>
        <v>#DIV/0!</v>
      </c>
      <c r="AW921" s="68">
        <v>0</v>
      </c>
      <c r="AX921" s="66">
        <v>0</v>
      </c>
      <c r="AY921" s="35" t="e">
        <f t="shared" si="1998"/>
        <v>#DIV/0!</v>
      </c>
      <c r="AZ921" s="6" t="e">
        <f t="shared" si="1999"/>
        <v>#DIV/0!</v>
      </c>
      <c r="BA921" s="68">
        <v>0</v>
      </c>
      <c r="BB921" s="66">
        <v>0</v>
      </c>
      <c r="BC921" s="35" t="e">
        <f t="shared" si="2000"/>
        <v>#DIV/0!</v>
      </c>
      <c r="BD921" s="11" t="e">
        <f t="shared" si="2001"/>
        <v>#DIV/0!</v>
      </c>
    </row>
    <row r="922" spans="1:56" x14ac:dyDescent="0.25">
      <c r="A922" s="19" t="s">
        <v>6</v>
      </c>
      <c r="B922" s="8">
        <v>125820</v>
      </c>
      <c r="C922" s="35">
        <f>B922/F913</f>
        <v>163.828125</v>
      </c>
      <c r="D922" s="8">
        <v>10950</v>
      </c>
      <c r="E922" s="68">
        <v>0</v>
      </c>
      <c r="F922" s="70">
        <v>0</v>
      </c>
      <c r="G922" s="35" t="e">
        <f t="shared" si="1976"/>
        <v>#DIV/0!</v>
      </c>
      <c r="H922" s="11" t="e">
        <f t="shared" si="1977"/>
        <v>#DIV/0!</v>
      </c>
      <c r="I922" s="35">
        <v>0</v>
      </c>
      <c r="J922" s="70">
        <v>0</v>
      </c>
      <c r="K922" s="35" t="e">
        <f t="shared" si="1978"/>
        <v>#DIV/0!</v>
      </c>
      <c r="L922" s="6" t="e">
        <f t="shared" si="1979"/>
        <v>#DIV/0!</v>
      </c>
      <c r="M922" s="68">
        <v>28200</v>
      </c>
      <c r="N922" s="26">
        <v>288</v>
      </c>
      <c r="O922" s="35">
        <f t="shared" si="1980"/>
        <v>97.916666666666671</v>
      </c>
      <c r="P922" s="11">
        <f t="shared" si="1981"/>
        <v>0.59767922428866638</v>
      </c>
      <c r="Q922" s="35">
        <v>13850</v>
      </c>
      <c r="R922" s="66">
        <v>288</v>
      </c>
      <c r="S922" s="35">
        <f t="shared" si="1982"/>
        <v>48.090277777777779</v>
      </c>
      <c r="T922" s="6">
        <f t="shared" si="1983"/>
        <v>0.29354103746092303</v>
      </c>
      <c r="U922" s="68">
        <v>0</v>
      </c>
      <c r="V922" s="66">
        <v>0</v>
      </c>
      <c r="W922" s="20" t="e">
        <f t="shared" si="1984"/>
        <v>#DIV/0!</v>
      </c>
      <c r="X922" s="6" t="e">
        <f t="shared" si="1985"/>
        <v>#DIV/0!</v>
      </c>
      <c r="Y922" s="68">
        <v>0</v>
      </c>
      <c r="Z922" s="70">
        <v>0</v>
      </c>
      <c r="AA922" s="35" t="e">
        <f t="shared" si="1986"/>
        <v>#DIV/0!</v>
      </c>
      <c r="AB922" s="11" t="e">
        <f t="shared" si="1987"/>
        <v>#DIV/0!</v>
      </c>
      <c r="AC922" s="20">
        <v>0</v>
      </c>
      <c r="AD922" s="36">
        <v>0</v>
      </c>
      <c r="AE922" s="35" t="e">
        <f t="shared" si="1988"/>
        <v>#DIV/0!</v>
      </c>
      <c r="AF922" s="6" t="e">
        <f t="shared" si="1989"/>
        <v>#DIV/0!</v>
      </c>
      <c r="AG922" s="68">
        <v>0</v>
      </c>
      <c r="AH922" s="66">
        <v>0</v>
      </c>
      <c r="AI922" s="35" t="e">
        <f t="shared" si="1990"/>
        <v>#DIV/0!</v>
      </c>
      <c r="AJ922" s="6" t="e">
        <f t="shared" si="1991"/>
        <v>#DIV/0!</v>
      </c>
      <c r="AK922" s="68">
        <v>0</v>
      </c>
      <c r="AL922" s="66">
        <v>0</v>
      </c>
      <c r="AM922" s="35" t="e">
        <f t="shared" si="1992"/>
        <v>#DIV/0!</v>
      </c>
      <c r="AN922" s="6" t="e">
        <f t="shared" si="1993"/>
        <v>#DIV/0!</v>
      </c>
      <c r="AO922" s="68">
        <v>9020</v>
      </c>
      <c r="AP922" s="65">
        <v>480</v>
      </c>
      <c r="AQ922" s="35">
        <f t="shared" si="1994"/>
        <v>18.791666666666668</v>
      </c>
      <c r="AR922" s="6">
        <f t="shared" si="1995"/>
        <v>0.11470354474646322</v>
      </c>
      <c r="AS922" s="68">
        <v>0</v>
      </c>
      <c r="AT922" s="66">
        <v>0</v>
      </c>
      <c r="AU922" s="35" t="e">
        <f t="shared" si="1996"/>
        <v>#DIV/0!</v>
      </c>
      <c r="AV922" s="6" t="e">
        <f t="shared" si="1997"/>
        <v>#DIV/0!</v>
      </c>
      <c r="AW922" s="68">
        <v>0</v>
      </c>
      <c r="AX922" s="66">
        <v>0</v>
      </c>
      <c r="AY922" s="35" t="e">
        <f t="shared" si="1998"/>
        <v>#DIV/0!</v>
      </c>
      <c r="AZ922" s="6" t="e">
        <f t="shared" si="1999"/>
        <v>#DIV/0!</v>
      </c>
      <c r="BA922" s="68">
        <v>0</v>
      </c>
      <c r="BB922" s="66">
        <v>0</v>
      </c>
      <c r="BC922" s="35" t="e">
        <f t="shared" si="2000"/>
        <v>#DIV/0!</v>
      </c>
      <c r="BD922" s="11" t="e">
        <f t="shared" si="2001"/>
        <v>#DIV/0!</v>
      </c>
    </row>
    <row r="923" spans="1:56" ht="15.75" thickBot="1" x14ac:dyDescent="0.3">
      <c r="A923" s="21"/>
      <c r="B923" s="22"/>
      <c r="C923" s="23">
        <f>AVERAGE(Table11066[MA $/Sq Ft])</f>
        <v>100.74590773809526</v>
      </c>
      <c r="D923" s="22">
        <f>AVERAGE(Table11066[Basic Allowance])</f>
        <v>4442.8571428571431</v>
      </c>
      <c r="E923" s="16"/>
      <c r="F923" s="22"/>
      <c r="G923" s="15"/>
      <c r="H923" s="24" t="e">
        <f>AVERAGE(Table11066[Bsmt % Base])</f>
        <v>#DIV/0!</v>
      </c>
      <c r="I923" s="15"/>
      <c r="J923" s="15"/>
      <c r="K923" s="15"/>
      <c r="L923" s="25" t="e">
        <f>AVERAGE(Table11066[[#Headers],[#Data],[UnfBsmt % Base]])</f>
        <v>#DIV/0!</v>
      </c>
      <c r="M923" s="44"/>
      <c r="N923" s="15"/>
      <c r="O923" s="23">
        <f>AVERAGE(Table11066[LowerVal/SqFt])</f>
        <v>63.998015873015866</v>
      </c>
      <c r="P923" s="24">
        <f>AVERAGE(Table11066[Lower % Base])</f>
        <v>0.65083271009713239</v>
      </c>
      <c r="Q923" s="13"/>
      <c r="R923" s="13"/>
      <c r="S923" s="13"/>
      <c r="T923" s="25">
        <f>AVERAGE(Table11066[Unf Lower % Base])</f>
        <v>0.33211707459490009</v>
      </c>
      <c r="U923" s="12"/>
      <c r="V923" s="13"/>
      <c r="W923" s="13"/>
      <c r="X923" s="25" t="e">
        <f>AVERAGE(Table11066[1/2 Story % Base])</f>
        <v>#DIV/0!</v>
      </c>
      <c r="Y923" s="12"/>
      <c r="Z923" s="13"/>
      <c r="AA923" s="13"/>
      <c r="AB923" s="24" t="e">
        <f>AVERAGE(Table11066[2nd Story % Base])</f>
        <v>#DIV/0!</v>
      </c>
      <c r="AC923" s="13"/>
      <c r="AD923" s="13"/>
      <c r="AE923" s="23" t="e">
        <f>AVERAGE(Table11066[AttGarVal/SqFt])</f>
        <v>#DIV/0!</v>
      </c>
      <c r="AF923" s="25" t="e">
        <f>AVERAGE(Table11066[Att Gar % Base])</f>
        <v>#DIV/0!</v>
      </c>
      <c r="AG923" s="12"/>
      <c r="AH923" s="13"/>
      <c r="AI923" s="13"/>
      <c r="AJ923" s="25" t="e">
        <f>AVERAGE(Table11066[Porch % Base])</f>
        <v>#DIV/0!</v>
      </c>
      <c r="AK923" s="12"/>
      <c r="AL923" s="13"/>
      <c r="AM923" s="13"/>
      <c r="AN923" s="25" t="e">
        <f>AVERAGE(Table11066[Cov Porch % Base])</f>
        <v>#DIV/0!</v>
      </c>
      <c r="AO923" s="12"/>
      <c r="AP923" s="13"/>
      <c r="AQ923" s="13"/>
      <c r="AR923" s="25">
        <f>AVERAGE(Table11066[Deck % Base])</f>
        <v>0.13894167694725354</v>
      </c>
      <c r="AS923" s="12"/>
      <c r="AT923" s="13"/>
      <c r="AU923" s="23" t="e">
        <f>AVERAGE(Table11066[CovDeckVal/SqFt])</f>
        <v>#DIV/0!</v>
      </c>
      <c r="AV923" s="25" t="e">
        <f>AVERAGE(Table11066[CovDeck % Base])</f>
        <v>#DIV/0!</v>
      </c>
      <c r="AW923" s="12"/>
      <c r="AX923" s="13"/>
      <c r="AY923" s="13"/>
      <c r="AZ923" s="25" t="e">
        <f>AVERAGE(Table11066[CarP % Base])</f>
        <v>#DIV/0!</v>
      </c>
      <c r="BA923" s="12"/>
      <c r="BB923" s="13"/>
      <c r="BC923" s="13"/>
      <c r="BD923" s="24" t="e">
        <f>AVERAGE(Table11066[EFP % Base])</f>
        <v>#DIV/0!</v>
      </c>
    </row>
    <row r="925" spans="1:56" ht="15.75" thickBot="1" x14ac:dyDescent="0.3">
      <c r="A925" s="84"/>
      <c r="B925" s="74" t="s">
        <v>79</v>
      </c>
      <c r="C925" s="86" t="s">
        <v>177</v>
      </c>
      <c r="D925" s="74"/>
      <c r="E925" s="74" t="s">
        <v>33</v>
      </c>
      <c r="F925" s="75">
        <v>1050</v>
      </c>
      <c r="G925" s="74"/>
      <c r="H925" s="74" t="s">
        <v>200</v>
      </c>
      <c r="I925" s="74"/>
      <c r="J925" s="74" t="s">
        <v>83</v>
      </c>
      <c r="K925" s="75">
        <v>1945</v>
      </c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6"/>
    </row>
    <row r="926" spans="1:56" x14ac:dyDescent="0.25">
      <c r="A926" s="112"/>
      <c r="B926" s="113"/>
      <c r="C926" s="113"/>
      <c r="D926" s="114"/>
      <c r="E926" s="115" t="s">
        <v>27</v>
      </c>
      <c r="F926" s="116"/>
      <c r="G926" s="116"/>
      <c r="H926" s="117"/>
      <c r="I926" s="118" t="s">
        <v>28</v>
      </c>
      <c r="J926" s="119"/>
      <c r="K926" s="119"/>
      <c r="L926" s="120"/>
      <c r="M926" s="121" t="s">
        <v>7</v>
      </c>
      <c r="N926" s="122"/>
      <c r="O926" s="122"/>
      <c r="P926" s="122"/>
      <c r="Q926" s="124" t="s">
        <v>29</v>
      </c>
      <c r="R926" s="125"/>
      <c r="S926" s="125"/>
      <c r="T926" s="126"/>
      <c r="U926" s="128" t="s">
        <v>8</v>
      </c>
      <c r="V926" s="128"/>
      <c r="W926" s="128"/>
      <c r="X926" s="129"/>
      <c r="Y926" s="130" t="s">
        <v>0</v>
      </c>
      <c r="Z926" s="131"/>
      <c r="AA926" s="131"/>
      <c r="AB926" s="132"/>
      <c r="AC926" s="133" t="s">
        <v>34</v>
      </c>
      <c r="AD926" s="134"/>
      <c r="AE926" s="134"/>
      <c r="AF926" s="135"/>
      <c r="AG926" s="115" t="s">
        <v>9</v>
      </c>
      <c r="AH926" s="116"/>
      <c r="AI926" s="116"/>
      <c r="AJ926" s="117"/>
      <c r="AK926" s="136" t="s">
        <v>35</v>
      </c>
      <c r="AL926" s="137"/>
      <c r="AM926" s="137"/>
      <c r="AN926" s="138"/>
      <c r="AO926" s="139" t="s">
        <v>10</v>
      </c>
      <c r="AP926" s="140"/>
      <c r="AQ926" s="140"/>
      <c r="AR926" s="141"/>
      <c r="AS926" s="124" t="s">
        <v>36</v>
      </c>
      <c r="AT926" s="125"/>
      <c r="AU926" s="125"/>
      <c r="AV926" s="126"/>
      <c r="AW926" s="142" t="s">
        <v>11</v>
      </c>
      <c r="AX926" s="143"/>
      <c r="AY926" s="143"/>
      <c r="AZ926" s="144"/>
      <c r="BA926" s="148" t="s">
        <v>17</v>
      </c>
      <c r="BB926" s="149"/>
      <c r="BC926" s="149"/>
      <c r="BD926" s="150"/>
    </row>
    <row r="927" spans="1:56" ht="15.75" thickBot="1" x14ac:dyDescent="0.3">
      <c r="A927" s="41" t="s">
        <v>13</v>
      </c>
      <c r="B927" s="42" t="s">
        <v>15</v>
      </c>
      <c r="C927" s="42" t="s">
        <v>32</v>
      </c>
      <c r="D927" s="43" t="s">
        <v>18</v>
      </c>
      <c r="E927" s="30" t="s">
        <v>30</v>
      </c>
      <c r="F927" s="31" t="s">
        <v>61</v>
      </c>
      <c r="G927" s="31" t="s">
        <v>38</v>
      </c>
      <c r="H927" s="32" t="s">
        <v>62</v>
      </c>
      <c r="I927" s="37" t="s">
        <v>31</v>
      </c>
      <c r="J927" s="38" t="s">
        <v>39</v>
      </c>
      <c r="K927" s="38" t="s">
        <v>40</v>
      </c>
      <c r="L927" s="39" t="s">
        <v>63</v>
      </c>
      <c r="M927" s="40" t="s">
        <v>19</v>
      </c>
      <c r="N927" s="7" t="s">
        <v>41</v>
      </c>
      <c r="O927" s="7" t="s">
        <v>37</v>
      </c>
      <c r="P927" s="7" t="s">
        <v>64</v>
      </c>
      <c r="Q927" s="27" t="s">
        <v>20</v>
      </c>
      <c r="R927" s="28" t="s">
        <v>60</v>
      </c>
      <c r="S927" s="28" t="s">
        <v>59</v>
      </c>
      <c r="T927" s="29" t="s">
        <v>65</v>
      </c>
      <c r="U927" s="48" t="s">
        <v>21</v>
      </c>
      <c r="V927" s="48" t="s">
        <v>42</v>
      </c>
      <c r="W927" s="48" t="s">
        <v>43</v>
      </c>
      <c r="X927" s="49" t="s">
        <v>66</v>
      </c>
      <c r="Y927" s="50" t="s">
        <v>22</v>
      </c>
      <c r="Z927" s="51" t="s">
        <v>44</v>
      </c>
      <c r="AA927" s="51" t="s">
        <v>45</v>
      </c>
      <c r="AB927" s="52" t="s">
        <v>67</v>
      </c>
      <c r="AC927" s="45" t="s">
        <v>23</v>
      </c>
      <c r="AD927" s="46" t="s">
        <v>46</v>
      </c>
      <c r="AE927" s="46" t="s">
        <v>47</v>
      </c>
      <c r="AF927" s="47" t="s">
        <v>68</v>
      </c>
      <c r="AG927" s="30" t="s">
        <v>24</v>
      </c>
      <c r="AH927" s="31" t="s">
        <v>48</v>
      </c>
      <c r="AI927" s="31" t="s">
        <v>49</v>
      </c>
      <c r="AJ927" s="32" t="s">
        <v>69</v>
      </c>
      <c r="AK927" s="53" t="s">
        <v>25</v>
      </c>
      <c r="AL927" s="54" t="s">
        <v>50</v>
      </c>
      <c r="AM927" s="54" t="s">
        <v>51</v>
      </c>
      <c r="AN927" s="55" t="s">
        <v>70</v>
      </c>
      <c r="AO927" s="56" t="s">
        <v>26</v>
      </c>
      <c r="AP927" s="57" t="s">
        <v>52</v>
      </c>
      <c r="AQ927" s="57" t="s">
        <v>53</v>
      </c>
      <c r="AR927" s="58" t="s">
        <v>71</v>
      </c>
      <c r="AS927" s="59" t="s">
        <v>55</v>
      </c>
      <c r="AT927" s="60" t="s">
        <v>54</v>
      </c>
      <c r="AU927" s="60" t="s">
        <v>56</v>
      </c>
      <c r="AV927" s="61" t="s">
        <v>76</v>
      </c>
      <c r="AW927" s="62" t="s">
        <v>72</v>
      </c>
      <c r="AX927" s="63" t="s">
        <v>73</v>
      </c>
      <c r="AY927" s="63" t="s">
        <v>74</v>
      </c>
      <c r="AZ927" s="64" t="s">
        <v>75</v>
      </c>
      <c r="BA927" s="71" t="s">
        <v>77</v>
      </c>
      <c r="BB927" s="72" t="s">
        <v>57</v>
      </c>
      <c r="BC927" s="72" t="s">
        <v>58</v>
      </c>
      <c r="BD927" s="73" t="s">
        <v>78</v>
      </c>
    </row>
    <row r="928" spans="1:56" x14ac:dyDescent="0.25">
      <c r="A928" s="17" t="s">
        <v>1</v>
      </c>
      <c r="B928" s="14">
        <v>54510</v>
      </c>
      <c r="C928" s="34">
        <f>B928/F925</f>
        <v>51.914285714285711</v>
      </c>
      <c r="D928" s="14">
        <v>1525</v>
      </c>
      <c r="E928" s="67">
        <v>0</v>
      </c>
      <c r="F928" s="69">
        <v>0</v>
      </c>
      <c r="G928" s="34" t="e">
        <f t="shared" ref="G928:G934" si="2002">E928/F928</f>
        <v>#DIV/0!</v>
      </c>
      <c r="H928" s="10" t="e">
        <f t="shared" ref="H928:H934" si="2003">G928/C928</f>
        <v>#DIV/0!</v>
      </c>
      <c r="I928" s="34">
        <v>11940</v>
      </c>
      <c r="J928" s="69">
        <v>1050</v>
      </c>
      <c r="K928" s="34">
        <f t="shared" ref="K928:K934" si="2004">I928/J928</f>
        <v>11.371428571428572</v>
      </c>
      <c r="L928" s="9">
        <f t="shared" ref="L928:L934" si="2005">K928/C928</f>
        <v>0.21904237754540454</v>
      </c>
      <c r="M928" s="67">
        <v>0</v>
      </c>
      <c r="N928" s="26">
        <v>0</v>
      </c>
      <c r="O928" s="34" t="e">
        <f t="shared" ref="O928:O934" si="2006">M928/N928</f>
        <v>#DIV/0!</v>
      </c>
      <c r="P928" s="10" t="e">
        <f t="shared" ref="P928:P934" si="2007">O928/C928</f>
        <v>#DIV/0!</v>
      </c>
      <c r="Q928" s="35">
        <v>0</v>
      </c>
      <c r="R928" s="66">
        <v>0</v>
      </c>
      <c r="S928" s="35" t="e">
        <f t="shared" ref="S928:S934" si="2008">Q928/R928</f>
        <v>#DIV/0!</v>
      </c>
      <c r="T928" s="6" t="e">
        <f t="shared" ref="T928:T934" si="2009">S928/C928</f>
        <v>#DIV/0!</v>
      </c>
      <c r="U928" s="67">
        <v>17920</v>
      </c>
      <c r="V928" s="65">
        <v>600</v>
      </c>
      <c r="W928" s="34">
        <f t="shared" ref="W928:W934" si="2010">U928/V928</f>
        <v>29.866666666666667</v>
      </c>
      <c r="X928" s="9">
        <f t="shared" ref="X928:X934" si="2011">W928/C928</f>
        <v>0.57530728306732715</v>
      </c>
      <c r="Y928" s="67">
        <v>0</v>
      </c>
      <c r="Z928" s="69">
        <v>0</v>
      </c>
      <c r="AA928" s="34" t="e">
        <f t="shared" ref="AA928:AA934" si="2012">Y928/Z928</f>
        <v>#DIV/0!</v>
      </c>
      <c r="AB928" s="10" t="e">
        <f t="shared" ref="AB928:AB934" si="2013">AA928/C928</f>
        <v>#DIV/0!</v>
      </c>
      <c r="AC928" s="34">
        <v>0</v>
      </c>
      <c r="AD928" s="33">
        <v>0</v>
      </c>
      <c r="AE928" s="34" t="e">
        <f t="shared" ref="AE928:AE934" si="2014">AC928/AD928</f>
        <v>#DIV/0!</v>
      </c>
      <c r="AF928" s="9" t="e">
        <f t="shared" ref="AF928:AF934" si="2015">AE928/C928</f>
        <v>#DIV/0!</v>
      </c>
      <c r="AG928" s="67">
        <v>0</v>
      </c>
      <c r="AH928" s="65">
        <v>0</v>
      </c>
      <c r="AI928" s="34" t="e">
        <f t="shared" ref="AI928:AI934" si="2016">AG928/AH928</f>
        <v>#DIV/0!</v>
      </c>
      <c r="AJ928" s="9" t="e">
        <f t="shared" ref="AJ928:AJ934" si="2017">AI928/C928</f>
        <v>#DIV/0!</v>
      </c>
      <c r="AK928" s="67">
        <v>0</v>
      </c>
      <c r="AL928" s="65">
        <v>0</v>
      </c>
      <c r="AM928" s="34" t="e">
        <f t="shared" ref="AM928:AM934" si="2018">AK928/AL928</f>
        <v>#DIV/0!</v>
      </c>
      <c r="AN928" s="9" t="e">
        <f t="shared" ref="AN928:AN934" si="2019">AM928/C928</f>
        <v>#DIV/0!</v>
      </c>
      <c r="AO928" s="67">
        <v>0</v>
      </c>
      <c r="AP928" s="65">
        <v>0</v>
      </c>
      <c r="AQ928" s="34" t="e">
        <f t="shared" ref="AQ928:AQ934" si="2020">AO928/AP928</f>
        <v>#DIV/0!</v>
      </c>
      <c r="AR928" s="9" t="e">
        <f t="shared" ref="AR928:AR934" si="2021">AQ928/C928</f>
        <v>#DIV/0!</v>
      </c>
      <c r="AS928" s="67">
        <v>0</v>
      </c>
      <c r="AT928" s="65">
        <v>0</v>
      </c>
      <c r="AU928" s="34" t="e">
        <f t="shared" ref="AU928:AU934" si="2022">AS928/AT928</f>
        <v>#DIV/0!</v>
      </c>
      <c r="AV928" s="9" t="e">
        <f t="shared" ref="AV928:AV934" si="2023">AU928/C928</f>
        <v>#DIV/0!</v>
      </c>
      <c r="AW928" s="67">
        <v>0</v>
      </c>
      <c r="AX928" s="65">
        <v>0</v>
      </c>
      <c r="AY928" s="34" t="e">
        <f t="shared" ref="AY928:AY934" si="2024">AW928/AX928</f>
        <v>#DIV/0!</v>
      </c>
      <c r="AZ928" s="9" t="e">
        <f t="shared" ref="AZ928:AZ934" si="2025">AY928/C928</f>
        <v>#DIV/0!</v>
      </c>
      <c r="BA928" s="67">
        <v>0</v>
      </c>
      <c r="BB928" s="65">
        <v>0</v>
      </c>
      <c r="BC928" s="34" t="e">
        <f t="shared" ref="BC928:BC934" si="2026">BA928/BB928</f>
        <v>#DIV/0!</v>
      </c>
      <c r="BD928" s="10" t="e">
        <f t="shared" ref="BD928:BD934" si="2027">BC928/C928</f>
        <v>#DIV/0!</v>
      </c>
    </row>
    <row r="929" spans="1:56" x14ac:dyDescent="0.25">
      <c r="A929" s="19" t="s">
        <v>16</v>
      </c>
      <c r="B929" s="8">
        <v>64130</v>
      </c>
      <c r="C929" s="35">
        <f>B929/F925</f>
        <v>61.076190476190476</v>
      </c>
      <c r="D929" s="8">
        <v>1525</v>
      </c>
      <c r="E929" s="68">
        <v>0</v>
      </c>
      <c r="F929" s="70">
        <v>0</v>
      </c>
      <c r="G929" s="35" t="e">
        <f t="shared" si="2002"/>
        <v>#DIV/0!</v>
      </c>
      <c r="H929" s="11" t="e">
        <f t="shared" si="2003"/>
        <v>#DIV/0!</v>
      </c>
      <c r="I929" s="35">
        <v>16010</v>
      </c>
      <c r="J929" s="70">
        <v>1050</v>
      </c>
      <c r="K929" s="35">
        <f t="shared" si="2004"/>
        <v>15.247619047619047</v>
      </c>
      <c r="L929" s="6">
        <f t="shared" si="2005"/>
        <v>0.2496491501637299</v>
      </c>
      <c r="M929" s="68">
        <v>0</v>
      </c>
      <c r="N929" s="5">
        <v>0</v>
      </c>
      <c r="O929" s="35" t="e">
        <f t="shared" si="2006"/>
        <v>#DIV/0!</v>
      </c>
      <c r="P929" s="11" t="e">
        <f t="shared" si="2007"/>
        <v>#DIV/0!</v>
      </c>
      <c r="Q929" s="35">
        <v>0</v>
      </c>
      <c r="R929" s="66">
        <v>0</v>
      </c>
      <c r="S929" s="35" t="e">
        <f t="shared" si="2008"/>
        <v>#DIV/0!</v>
      </c>
      <c r="T929" s="6" t="e">
        <f t="shared" si="2009"/>
        <v>#DIV/0!</v>
      </c>
      <c r="U929" s="68">
        <v>23110</v>
      </c>
      <c r="V929" s="66">
        <v>600</v>
      </c>
      <c r="W929" s="35">
        <f t="shared" si="2010"/>
        <v>38.516666666666666</v>
      </c>
      <c r="X929" s="6">
        <f t="shared" si="2011"/>
        <v>0.63063308903789173</v>
      </c>
      <c r="Y929" s="68">
        <v>0</v>
      </c>
      <c r="Z929" s="70">
        <v>0</v>
      </c>
      <c r="AA929" s="35" t="e">
        <f t="shared" si="2012"/>
        <v>#DIV/0!</v>
      </c>
      <c r="AB929" s="11" t="e">
        <f t="shared" si="2013"/>
        <v>#DIV/0!</v>
      </c>
      <c r="AC929" s="35">
        <v>0</v>
      </c>
      <c r="AD929" s="36">
        <v>0</v>
      </c>
      <c r="AE929" s="35" t="e">
        <f t="shared" si="2014"/>
        <v>#DIV/0!</v>
      </c>
      <c r="AF929" s="6" t="e">
        <f t="shared" si="2015"/>
        <v>#DIV/0!</v>
      </c>
      <c r="AG929" s="68">
        <v>0</v>
      </c>
      <c r="AH929" s="66">
        <v>0</v>
      </c>
      <c r="AI929" s="35" t="e">
        <f t="shared" si="2016"/>
        <v>#DIV/0!</v>
      </c>
      <c r="AJ929" s="6" t="e">
        <f t="shared" si="2017"/>
        <v>#DIV/0!</v>
      </c>
      <c r="AK929" s="68">
        <v>0</v>
      </c>
      <c r="AL929" s="66">
        <v>0</v>
      </c>
      <c r="AM929" s="35" t="e">
        <f t="shared" si="2018"/>
        <v>#DIV/0!</v>
      </c>
      <c r="AN929" s="6" t="e">
        <f t="shared" si="2019"/>
        <v>#DIV/0!</v>
      </c>
      <c r="AO929" s="68">
        <v>0</v>
      </c>
      <c r="AP929" s="66">
        <v>0</v>
      </c>
      <c r="AQ929" s="35" t="e">
        <f t="shared" si="2020"/>
        <v>#DIV/0!</v>
      </c>
      <c r="AR929" s="6" t="e">
        <f t="shared" si="2021"/>
        <v>#DIV/0!</v>
      </c>
      <c r="AS929" s="68">
        <v>0</v>
      </c>
      <c r="AT929" s="66">
        <v>0</v>
      </c>
      <c r="AU929" s="35" t="e">
        <f t="shared" si="2022"/>
        <v>#DIV/0!</v>
      </c>
      <c r="AV929" s="6" t="e">
        <f t="shared" si="2023"/>
        <v>#DIV/0!</v>
      </c>
      <c r="AW929" s="68">
        <v>0</v>
      </c>
      <c r="AX929" s="66">
        <v>0</v>
      </c>
      <c r="AY929" s="35" t="e">
        <f t="shared" si="2024"/>
        <v>#DIV/0!</v>
      </c>
      <c r="AZ929" s="6" t="e">
        <f t="shared" si="2025"/>
        <v>#DIV/0!</v>
      </c>
      <c r="BA929" s="68">
        <v>0</v>
      </c>
      <c r="BB929" s="66">
        <v>0</v>
      </c>
      <c r="BC929" s="35" t="e">
        <f t="shared" si="2026"/>
        <v>#DIV/0!</v>
      </c>
      <c r="BD929" s="11" t="e">
        <f t="shared" si="2027"/>
        <v>#DIV/0!</v>
      </c>
    </row>
    <row r="930" spans="1:56" x14ac:dyDescent="0.25">
      <c r="A930" s="19" t="s">
        <v>2</v>
      </c>
      <c r="B930" s="8">
        <v>75060</v>
      </c>
      <c r="C930" s="35">
        <f>B930/F925</f>
        <v>71.48571428571428</v>
      </c>
      <c r="D930" s="8">
        <v>2100</v>
      </c>
      <c r="E930" s="68">
        <v>0</v>
      </c>
      <c r="F930" s="70">
        <v>0</v>
      </c>
      <c r="G930" s="35" t="e">
        <f t="shared" si="2002"/>
        <v>#DIV/0!</v>
      </c>
      <c r="H930" s="11" t="e">
        <f t="shared" si="2003"/>
        <v>#DIV/0!</v>
      </c>
      <c r="I930" s="35">
        <v>18180</v>
      </c>
      <c r="J930" s="70">
        <v>1050</v>
      </c>
      <c r="K930" s="35">
        <f t="shared" si="2004"/>
        <v>17.314285714285713</v>
      </c>
      <c r="L930" s="6">
        <f t="shared" si="2005"/>
        <v>0.2422062350119904</v>
      </c>
      <c r="M930" s="68">
        <v>0</v>
      </c>
      <c r="N930" s="5">
        <v>0</v>
      </c>
      <c r="O930" s="35" t="e">
        <f t="shared" si="2006"/>
        <v>#DIV/0!</v>
      </c>
      <c r="P930" s="11" t="e">
        <f t="shared" si="2007"/>
        <v>#DIV/0!</v>
      </c>
      <c r="Q930" s="35">
        <v>0</v>
      </c>
      <c r="R930" s="66">
        <v>0</v>
      </c>
      <c r="S930" s="35" t="e">
        <f t="shared" si="2008"/>
        <v>#DIV/0!</v>
      </c>
      <c r="T930" s="6" t="e">
        <f t="shared" si="2009"/>
        <v>#DIV/0!</v>
      </c>
      <c r="U930" s="68">
        <v>28820</v>
      </c>
      <c r="V930" s="66">
        <v>600</v>
      </c>
      <c r="W930" s="35">
        <f t="shared" si="2010"/>
        <v>48.033333333333331</v>
      </c>
      <c r="X930" s="6">
        <f t="shared" si="2011"/>
        <v>0.67192912336797228</v>
      </c>
      <c r="Y930" s="68">
        <v>0</v>
      </c>
      <c r="Z930" s="70">
        <v>0</v>
      </c>
      <c r="AA930" s="35" t="e">
        <f t="shared" si="2012"/>
        <v>#DIV/0!</v>
      </c>
      <c r="AB930" s="11" t="e">
        <f t="shared" si="2013"/>
        <v>#DIV/0!</v>
      </c>
      <c r="AC930" s="35">
        <v>0</v>
      </c>
      <c r="AD930" s="36">
        <v>0</v>
      </c>
      <c r="AE930" s="35" t="e">
        <f t="shared" si="2014"/>
        <v>#DIV/0!</v>
      </c>
      <c r="AF930" s="6" t="e">
        <f t="shared" si="2015"/>
        <v>#DIV/0!</v>
      </c>
      <c r="AG930" s="68">
        <v>0</v>
      </c>
      <c r="AH930" s="66">
        <v>0</v>
      </c>
      <c r="AI930" s="35" t="e">
        <f t="shared" si="2016"/>
        <v>#DIV/0!</v>
      </c>
      <c r="AJ930" s="6" t="e">
        <f t="shared" si="2017"/>
        <v>#DIV/0!</v>
      </c>
      <c r="AK930" s="68">
        <v>0</v>
      </c>
      <c r="AL930" s="66">
        <v>0</v>
      </c>
      <c r="AM930" s="35" t="e">
        <f t="shared" si="2018"/>
        <v>#DIV/0!</v>
      </c>
      <c r="AN930" s="6" t="e">
        <f t="shared" si="2019"/>
        <v>#DIV/0!</v>
      </c>
      <c r="AO930" s="68">
        <v>0</v>
      </c>
      <c r="AP930" s="66">
        <v>0</v>
      </c>
      <c r="AQ930" s="35" t="e">
        <f t="shared" si="2020"/>
        <v>#DIV/0!</v>
      </c>
      <c r="AR930" s="6" t="e">
        <f t="shared" si="2021"/>
        <v>#DIV/0!</v>
      </c>
      <c r="AS930" s="68">
        <v>0</v>
      </c>
      <c r="AT930" s="66">
        <v>0</v>
      </c>
      <c r="AU930" s="35" t="e">
        <f t="shared" si="2022"/>
        <v>#DIV/0!</v>
      </c>
      <c r="AV930" s="6" t="e">
        <f t="shared" si="2023"/>
        <v>#DIV/0!</v>
      </c>
      <c r="AW930" s="68">
        <v>0</v>
      </c>
      <c r="AX930" s="66">
        <v>0</v>
      </c>
      <c r="AY930" s="35" t="e">
        <f t="shared" si="2024"/>
        <v>#DIV/0!</v>
      </c>
      <c r="AZ930" s="6" t="e">
        <f t="shared" si="2025"/>
        <v>#DIV/0!</v>
      </c>
      <c r="BA930" s="68">
        <v>0</v>
      </c>
      <c r="BB930" s="66">
        <v>0</v>
      </c>
      <c r="BC930" s="35" t="e">
        <f t="shared" si="2026"/>
        <v>#DIV/0!</v>
      </c>
      <c r="BD930" s="11" t="e">
        <f t="shared" si="2027"/>
        <v>#DIV/0!</v>
      </c>
    </row>
    <row r="931" spans="1:56" x14ac:dyDescent="0.25">
      <c r="A931" s="19" t="s">
        <v>3</v>
      </c>
      <c r="B931" s="8">
        <v>90600</v>
      </c>
      <c r="C931" s="35">
        <f>B931/F925</f>
        <v>86.285714285714292</v>
      </c>
      <c r="D931" s="8">
        <v>2700</v>
      </c>
      <c r="E931" s="68">
        <v>0</v>
      </c>
      <c r="F931" s="70">
        <v>0</v>
      </c>
      <c r="G931" s="35" t="e">
        <f t="shared" si="2002"/>
        <v>#DIV/0!</v>
      </c>
      <c r="H931" s="11" t="e">
        <f t="shared" si="2003"/>
        <v>#DIV/0!</v>
      </c>
      <c r="I931" s="35">
        <v>20990</v>
      </c>
      <c r="J931" s="70">
        <v>1050</v>
      </c>
      <c r="K931" s="35">
        <f t="shared" si="2004"/>
        <v>19.990476190476191</v>
      </c>
      <c r="L931" s="6">
        <f t="shared" si="2005"/>
        <v>0.23167770419426048</v>
      </c>
      <c r="M931" s="68">
        <v>0</v>
      </c>
      <c r="N931" s="5">
        <v>0</v>
      </c>
      <c r="O931" s="35" t="e">
        <f t="shared" si="2006"/>
        <v>#DIV/0!</v>
      </c>
      <c r="P931" s="11" t="e">
        <f t="shared" si="2007"/>
        <v>#DIV/0!</v>
      </c>
      <c r="Q931" s="35">
        <v>0</v>
      </c>
      <c r="R931" s="66">
        <v>0</v>
      </c>
      <c r="S931" s="35" t="e">
        <f t="shared" si="2008"/>
        <v>#DIV/0!</v>
      </c>
      <c r="T931" s="6" t="e">
        <f t="shared" si="2009"/>
        <v>#DIV/0!</v>
      </c>
      <c r="U931" s="68">
        <v>34530</v>
      </c>
      <c r="V931" s="66">
        <v>600</v>
      </c>
      <c r="W931" s="35">
        <f t="shared" si="2010"/>
        <v>57.55</v>
      </c>
      <c r="X931" s="6">
        <f t="shared" si="2011"/>
        <v>0.66697019867549656</v>
      </c>
      <c r="Y931" s="68">
        <v>0</v>
      </c>
      <c r="Z931" s="70">
        <v>0</v>
      </c>
      <c r="AA931" s="35" t="e">
        <f t="shared" si="2012"/>
        <v>#DIV/0!</v>
      </c>
      <c r="AB931" s="11" t="e">
        <f t="shared" si="2013"/>
        <v>#DIV/0!</v>
      </c>
      <c r="AC931" s="35">
        <v>0</v>
      </c>
      <c r="AD931" s="36">
        <v>0</v>
      </c>
      <c r="AE931" s="35" t="e">
        <f t="shared" si="2014"/>
        <v>#DIV/0!</v>
      </c>
      <c r="AF931" s="6" t="e">
        <f t="shared" si="2015"/>
        <v>#DIV/0!</v>
      </c>
      <c r="AG931" s="68">
        <v>0</v>
      </c>
      <c r="AH931" s="66">
        <v>0</v>
      </c>
      <c r="AI931" s="35" t="e">
        <f t="shared" si="2016"/>
        <v>#DIV/0!</v>
      </c>
      <c r="AJ931" s="6" t="e">
        <f t="shared" si="2017"/>
        <v>#DIV/0!</v>
      </c>
      <c r="AK931" s="68">
        <v>0</v>
      </c>
      <c r="AL931" s="66">
        <v>0</v>
      </c>
      <c r="AM931" s="35" t="e">
        <f t="shared" si="2018"/>
        <v>#DIV/0!</v>
      </c>
      <c r="AN931" s="6" t="e">
        <f t="shared" si="2019"/>
        <v>#DIV/0!</v>
      </c>
      <c r="AO931" s="68">
        <v>0</v>
      </c>
      <c r="AP931" s="66">
        <v>0</v>
      </c>
      <c r="AQ931" s="35" t="e">
        <f t="shared" si="2020"/>
        <v>#DIV/0!</v>
      </c>
      <c r="AR931" s="6" t="e">
        <f t="shared" si="2021"/>
        <v>#DIV/0!</v>
      </c>
      <c r="AS931" s="68">
        <v>0</v>
      </c>
      <c r="AT931" s="66">
        <v>0</v>
      </c>
      <c r="AU931" s="35" t="e">
        <f t="shared" si="2022"/>
        <v>#DIV/0!</v>
      </c>
      <c r="AV931" s="6" t="e">
        <f t="shared" si="2023"/>
        <v>#DIV/0!</v>
      </c>
      <c r="AW931" s="68">
        <v>0</v>
      </c>
      <c r="AX931" s="66">
        <v>0</v>
      </c>
      <c r="AY931" s="35" t="e">
        <f t="shared" si="2024"/>
        <v>#DIV/0!</v>
      </c>
      <c r="AZ931" s="6" t="e">
        <f t="shared" si="2025"/>
        <v>#DIV/0!</v>
      </c>
      <c r="BA931" s="68">
        <v>0</v>
      </c>
      <c r="BB931" s="66">
        <v>0</v>
      </c>
      <c r="BC931" s="35" t="e">
        <f t="shared" si="2026"/>
        <v>#DIV/0!</v>
      </c>
      <c r="BD931" s="11" t="e">
        <f t="shared" si="2027"/>
        <v>#DIV/0!</v>
      </c>
    </row>
    <row r="932" spans="1:56" x14ac:dyDescent="0.25">
      <c r="A932" s="19" t="s">
        <v>4</v>
      </c>
      <c r="B932" s="8">
        <v>112990</v>
      </c>
      <c r="C932" s="35">
        <f>B932/F925</f>
        <v>107.60952380952381</v>
      </c>
      <c r="D932" s="8">
        <v>5250</v>
      </c>
      <c r="E932" s="68">
        <v>0</v>
      </c>
      <c r="F932" s="70">
        <v>0</v>
      </c>
      <c r="G932" s="35" t="e">
        <f t="shared" si="2002"/>
        <v>#DIV/0!</v>
      </c>
      <c r="H932" s="11" t="e">
        <f t="shared" si="2003"/>
        <v>#DIV/0!</v>
      </c>
      <c r="I932" s="35">
        <v>27970</v>
      </c>
      <c r="J932" s="70">
        <v>1050</v>
      </c>
      <c r="K932" s="35">
        <f t="shared" si="2004"/>
        <v>26.638095238095239</v>
      </c>
      <c r="L932" s="6">
        <f t="shared" si="2005"/>
        <v>0.24754403044517215</v>
      </c>
      <c r="M932" s="68">
        <v>0</v>
      </c>
      <c r="N932" s="5">
        <v>0</v>
      </c>
      <c r="O932" s="35" t="e">
        <f t="shared" si="2006"/>
        <v>#DIV/0!</v>
      </c>
      <c r="P932" s="11" t="e">
        <f t="shared" si="2007"/>
        <v>#DIV/0!</v>
      </c>
      <c r="Q932" s="35">
        <v>0</v>
      </c>
      <c r="R932" s="66">
        <v>0</v>
      </c>
      <c r="S932" s="35" t="e">
        <f t="shared" si="2008"/>
        <v>#DIV/0!</v>
      </c>
      <c r="T932" s="6" t="e">
        <f t="shared" si="2009"/>
        <v>#DIV/0!</v>
      </c>
      <c r="U932" s="68">
        <v>42140</v>
      </c>
      <c r="V932" s="66">
        <v>600</v>
      </c>
      <c r="W932" s="35">
        <f t="shared" si="2010"/>
        <v>70.233333333333334</v>
      </c>
      <c r="X932" s="6">
        <f t="shared" si="2011"/>
        <v>0.65266837773254271</v>
      </c>
      <c r="Y932" s="68">
        <v>0</v>
      </c>
      <c r="Z932" s="70">
        <v>0</v>
      </c>
      <c r="AA932" s="35" t="e">
        <f t="shared" si="2012"/>
        <v>#DIV/0!</v>
      </c>
      <c r="AB932" s="11" t="e">
        <f t="shared" si="2013"/>
        <v>#DIV/0!</v>
      </c>
      <c r="AC932" s="35">
        <v>0</v>
      </c>
      <c r="AD932" s="36">
        <v>0</v>
      </c>
      <c r="AE932" s="35" t="e">
        <f t="shared" si="2014"/>
        <v>#DIV/0!</v>
      </c>
      <c r="AF932" s="6" t="e">
        <f t="shared" si="2015"/>
        <v>#DIV/0!</v>
      </c>
      <c r="AG932" s="68">
        <v>0</v>
      </c>
      <c r="AH932" s="66">
        <v>0</v>
      </c>
      <c r="AI932" s="35" t="e">
        <f t="shared" si="2016"/>
        <v>#DIV/0!</v>
      </c>
      <c r="AJ932" s="6" t="e">
        <f t="shared" si="2017"/>
        <v>#DIV/0!</v>
      </c>
      <c r="AK932" s="68">
        <v>0</v>
      </c>
      <c r="AL932" s="66">
        <v>0</v>
      </c>
      <c r="AM932" s="35" t="e">
        <f t="shared" si="2018"/>
        <v>#DIV/0!</v>
      </c>
      <c r="AN932" s="6" t="e">
        <f t="shared" si="2019"/>
        <v>#DIV/0!</v>
      </c>
      <c r="AO932" s="68">
        <v>0</v>
      </c>
      <c r="AP932" s="66">
        <v>0</v>
      </c>
      <c r="AQ932" s="35" t="e">
        <f t="shared" si="2020"/>
        <v>#DIV/0!</v>
      </c>
      <c r="AR932" s="6" t="e">
        <f t="shared" si="2021"/>
        <v>#DIV/0!</v>
      </c>
      <c r="AS932" s="68">
        <v>0</v>
      </c>
      <c r="AT932" s="66">
        <v>0</v>
      </c>
      <c r="AU932" s="35" t="e">
        <f t="shared" si="2022"/>
        <v>#DIV/0!</v>
      </c>
      <c r="AV932" s="6" t="e">
        <f t="shared" si="2023"/>
        <v>#DIV/0!</v>
      </c>
      <c r="AW932" s="68">
        <v>0</v>
      </c>
      <c r="AX932" s="66">
        <v>0</v>
      </c>
      <c r="AY932" s="35" t="e">
        <f t="shared" si="2024"/>
        <v>#DIV/0!</v>
      </c>
      <c r="AZ932" s="6" t="e">
        <f t="shared" si="2025"/>
        <v>#DIV/0!</v>
      </c>
      <c r="BA932" s="68">
        <v>0</v>
      </c>
      <c r="BB932" s="66">
        <v>0</v>
      </c>
      <c r="BC932" s="35" t="e">
        <f t="shared" si="2026"/>
        <v>#DIV/0!</v>
      </c>
      <c r="BD932" s="11" t="e">
        <f t="shared" si="2027"/>
        <v>#DIV/0!</v>
      </c>
    </row>
    <row r="933" spans="1:56" x14ac:dyDescent="0.25">
      <c r="A933" s="19" t="s">
        <v>5</v>
      </c>
      <c r="B933" s="8">
        <v>148920</v>
      </c>
      <c r="C933" s="35">
        <f>B933/F925</f>
        <v>141.82857142857142</v>
      </c>
      <c r="D933" s="8">
        <v>7050</v>
      </c>
      <c r="E933" s="68">
        <v>0</v>
      </c>
      <c r="F933" s="70">
        <v>0</v>
      </c>
      <c r="G933" s="35" t="e">
        <f t="shared" si="2002"/>
        <v>#DIV/0!</v>
      </c>
      <c r="H933" s="11" t="e">
        <f t="shared" si="2003"/>
        <v>#DIV/0!</v>
      </c>
      <c r="I933" s="35">
        <v>32500</v>
      </c>
      <c r="J933" s="70">
        <v>1050</v>
      </c>
      <c r="K933" s="35">
        <f t="shared" si="2004"/>
        <v>30.952380952380953</v>
      </c>
      <c r="L933" s="6">
        <f t="shared" si="2005"/>
        <v>0.21823798012355627</v>
      </c>
      <c r="M933" s="68">
        <v>0</v>
      </c>
      <c r="N933" s="5">
        <v>0</v>
      </c>
      <c r="O933" s="35" t="e">
        <f t="shared" si="2006"/>
        <v>#DIV/0!</v>
      </c>
      <c r="P933" s="11" t="e">
        <f t="shared" si="2007"/>
        <v>#DIV/0!</v>
      </c>
      <c r="Q933" s="35">
        <v>0</v>
      </c>
      <c r="R933" s="66">
        <v>0</v>
      </c>
      <c r="S933" s="35" t="e">
        <f t="shared" si="2008"/>
        <v>#DIV/0!</v>
      </c>
      <c r="T933" s="6" t="e">
        <f t="shared" si="2009"/>
        <v>#DIV/0!</v>
      </c>
      <c r="U933" s="68">
        <v>58290</v>
      </c>
      <c r="V933" s="66">
        <v>600</v>
      </c>
      <c r="W933" s="35">
        <f t="shared" si="2010"/>
        <v>97.15</v>
      </c>
      <c r="X933" s="6">
        <f t="shared" si="2011"/>
        <v>0.68498186946011286</v>
      </c>
      <c r="Y933" s="68">
        <v>0</v>
      </c>
      <c r="Z933" s="70">
        <v>0</v>
      </c>
      <c r="AA933" s="35" t="e">
        <f t="shared" si="2012"/>
        <v>#DIV/0!</v>
      </c>
      <c r="AB933" s="11" t="e">
        <f t="shared" si="2013"/>
        <v>#DIV/0!</v>
      </c>
      <c r="AC933" s="35">
        <v>0</v>
      </c>
      <c r="AD933" s="36">
        <v>0</v>
      </c>
      <c r="AE933" s="35" t="e">
        <f t="shared" si="2014"/>
        <v>#DIV/0!</v>
      </c>
      <c r="AF933" s="6" t="e">
        <f t="shared" si="2015"/>
        <v>#DIV/0!</v>
      </c>
      <c r="AG933" s="68">
        <v>0</v>
      </c>
      <c r="AH933" s="66">
        <v>0</v>
      </c>
      <c r="AI933" s="35" t="e">
        <f t="shared" si="2016"/>
        <v>#DIV/0!</v>
      </c>
      <c r="AJ933" s="6" t="e">
        <f t="shared" si="2017"/>
        <v>#DIV/0!</v>
      </c>
      <c r="AK933" s="68">
        <v>0</v>
      </c>
      <c r="AL933" s="66">
        <v>0</v>
      </c>
      <c r="AM933" s="35" t="e">
        <f t="shared" si="2018"/>
        <v>#DIV/0!</v>
      </c>
      <c r="AN933" s="6" t="e">
        <f t="shared" si="2019"/>
        <v>#DIV/0!</v>
      </c>
      <c r="AO933" s="68">
        <v>0</v>
      </c>
      <c r="AP933" s="66">
        <v>0</v>
      </c>
      <c r="AQ933" s="35" t="e">
        <f t="shared" si="2020"/>
        <v>#DIV/0!</v>
      </c>
      <c r="AR933" s="6" t="e">
        <f t="shared" si="2021"/>
        <v>#DIV/0!</v>
      </c>
      <c r="AS933" s="68">
        <v>0</v>
      </c>
      <c r="AT933" s="66">
        <v>0</v>
      </c>
      <c r="AU933" s="35" t="e">
        <f t="shared" si="2022"/>
        <v>#DIV/0!</v>
      </c>
      <c r="AV933" s="6" t="e">
        <f t="shared" si="2023"/>
        <v>#DIV/0!</v>
      </c>
      <c r="AW933" s="68">
        <v>0</v>
      </c>
      <c r="AX933" s="66">
        <v>0</v>
      </c>
      <c r="AY933" s="35" t="e">
        <f t="shared" si="2024"/>
        <v>#DIV/0!</v>
      </c>
      <c r="AZ933" s="6" t="e">
        <f t="shared" si="2025"/>
        <v>#DIV/0!</v>
      </c>
      <c r="BA933" s="68">
        <v>0</v>
      </c>
      <c r="BB933" s="66">
        <v>0</v>
      </c>
      <c r="BC933" s="35" t="e">
        <f t="shared" si="2026"/>
        <v>#DIV/0!</v>
      </c>
      <c r="BD933" s="11" t="e">
        <f t="shared" si="2027"/>
        <v>#DIV/0!</v>
      </c>
    </row>
    <row r="934" spans="1:56" x14ac:dyDescent="0.25">
      <c r="A934" s="19" t="s">
        <v>6</v>
      </c>
      <c r="B934" s="8">
        <v>172020</v>
      </c>
      <c r="C934" s="35">
        <f>B934/F925</f>
        <v>163.82857142857142</v>
      </c>
      <c r="D934" s="8">
        <v>10950</v>
      </c>
      <c r="E934" s="68">
        <v>0</v>
      </c>
      <c r="F934" s="70">
        <v>0</v>
      </c>
      <c r="G934" s="35" t="e">
        <f t="shared" si="2002"/>
        <v>#DIV/0!</v>
      </c>
      <c r="H934" s="11" t="e">
        <f t="shared" si="2003"/>
        <v>#DIV/0!</v>
      </c>
      <c r="I934" s="35">
        <v>41090</v>
      </c>
      <c r="J934" s="70">
        <v>1050</v>
      </c>
      <c r="K934" s="35">
        <f t="shared" si="2004"/>
        <v>39.133333333333333</v>
      </c>
      <c r="L934" s="6">
        <f t="shared" si="2005"/>
        <v>0.2388675735379607</v>
      </c>
      <c r="M934" s="68">
        <v>0</v>
      </c>
      <c r="N934" s="5">
        <v>0</v>
      </c>
      <c r="O934" s="35" t="e">
        <f t="shared" si="2006"/>
        <v>#DIV/0!</v>
      </c>
      <c r="P934" s="11" t="e">
        <f t="shared" si="2007"/>
        <v>#DIV/0!</v>
      </c>
      <c r="Q934" s="35">
        <v>0</v>
      </c>
      <c r="R934" s="66">
        <v>0</v>
      </c>
      <c r="S934" s="35" t="e">
        <f t="shared" si="2008"/>
        <v>#DIV/0!</v>
      </c>
      <c r="T934" s="6" t="e">
        <f t="shared" si="2009"/>
        <v>#DIV/0!</v>
      </c>
      <c r="U934" s="68">
        <v>69910</v>
      </c>
      <c r="V934" s="66">
        <v>600</v>
      </c>
      <c r="W934" s="35">
        <f t="shared" si="2010"/>
        <v>116.51666666666667</v>
      </c>
      <c r="X934" s="6">
        <f t="shared" si="2011"/>
        <v>0.71121090570863854</v>
      </c>
      <c r="Y934" s="68">
        <v>0</v>
      </c>
      <c r="Z934" s="70">
        <v>0</v>
      </c>
      <c r="AA934" s="35" t="e">
        <f t="shared" si="2012"/>
        <v>#DIV/0!</v>
      </c>
      <c r="AB934" s="11" t="e">
        <f t="shared" si="2013"/>
        <v>#DIV/0!</v>
      </c>
      <c r="AC934" s="35">
        <v>0</v>
      </c>
      <c r="AD934" s="36">
        <v>0</v>
      </c>
      <c r="AE934" s="35" t="e">
        <f t="shared" si="2014"/>
        <v>#DIV/0!</v>
      </c>
      <c r="AF934" s="6" t="e">
        <f t="shared" si="2015"/>
        <v>#DIV/0!</v>
      </c>
      <c r="AG934" s="68">
        <v>0</v>
      </c>
      <c r="AH934" s="66">
        <v>0</v>
      </c>
      <c r="AI934" s="35" t="e">
        <f t="shared" si="2016"/>
        <v>#DIV/0!</v>
      </c>
      <c r="AJ934" s="6" t="e">
        <f t="shared" si="2017"/>
        <v>#DIV/0!</v>
      </c>
      <c r="AK934" s="68">
        <v>0</v>
      </c>
      <c r="AL934" s="66">
        <v>0</v>
      </c>
      <c r="AM934" s="35" t="e">
        <f t="shared" si="2018"/>
        <v>#DIV/0!</v>
      </c>
      <c r="AN934" s="6" t="e">
        <f t="shared" si="2019"/>
        <v>#DIV/0!</v>
      </c>
      <c r="AO934" s="68">
        <v>0</v>
      </c>
      <c r="AP934" s="66">
        <v>0</v>
      </c>
      <c r="AQ934" s="35" t="e">
        <f t="shared" si="2020"/>
        <v>#DIV/0!</v>
      </c>
      <c r="AR934" s="6" t="e">
        <f t="shared" si="2021"/>
        <v>#DIV/0!</v>
      </c>
      <c r="AS934" s="68">
        <v>0</v>
      </c>
      <c r="AT934" s="66">
        <v>0</v>
      </c>
      <c r="AU934" s="35" t="e">
        <f t="shared" si="2022"/>
        <v>#DIV/0!</v>
      </c>
      <c r="AV934" s="6" t="e">
        <f t="shared" si="2023"/>
        <v>#DIV/0!</v>
      </c>
      <c r="AW934" s="68">
        <v>0</v>
      </c>
      <c r="AX934" s="66">
        <v>0</v>
      </c>
      <c r="AY934" s="35" t="e">
        <f t="shared" si="2024"/>
        <v>#DIV/0!</v>
      </c>
      <c r="AZ934" s="6" t="e">
        <f t="shared" si="2025"/>
        <v>#DIV/0!</v>
      </c>
      <c r="BA934" s="68">
        <v>0</v>
      </c>
      <c r="BB934" s="66">
        <v>0</v>
      </c>
      <c r="BC934" s="35" t="e">
        <f t="shared" si="2026"/>
        <v>#DIV/0!</v>
      </c>
      <c r="BD934" s="11" t="e">
        <f t="shared" si="2027"/>
        <v>#DIV/0!</v>
      </c>
    </row>
    <row r="935" spans="1:56" ht="15.75" thickBot="1" x14ac:dyDescent="0.3">
      <c r="A935" s="21"/>
      <c r="B935" s="22"/>
      <c r="C935" s="23">
        <f>AVERAGE(Table11080[MA $/Sq Ft])</f>
        <v>97.718367346938777</v>
      </c>
      <c r="D935" s="22">
        <f>AVERAGE(Table11080[Basic Allowance])</f>
        <v>4442.8571428571431</v>
      </c>
      <c r="E935" s="16"/>
      <c r="F935" s="22"/>
      <c r="G935" s="15"/>
      <c r="H935" s="24" t="e">
        <f>AVERAGE(Table11080[Bsmt % Base])</f>
        <v>#DIV/0!</v>
      </c>
      <c r="I935" s="15"/>
      <c r="J935" s="15"/>
      <c r="K935" s="15"/>
      <c r="L935" s="25">
        <f>AVERAGE(Table11080[[#Headers],[#Data],[UnfBsmt % Base]])</f>
        <v>0.23531786443172489</v>
      </c>
      <c r="M935" s="44"/>
      <c r="N935" s="15"/>
      <c r="O935" s="23" t="e">
        <f>AVERAGE(Table11080[LowerVal/SqFt])</f>
        <v>#DIV/0!</v>
      </c>
      <c r="P935" s="24" t="e">
        <f>AVERAGE(Table11080[Lower % Base])</f>
        <v>#DIV/0!</v>
      </c>
      <c r="Q935" s="13"/>
      <c r="R935" s="13"/>
      <c r="S935" s="13"/>
      <c r="T935" s="25" t="e">
        <f>AVERAGE(Table11080[Unf Lower % Base])</f>
        <v>#DIV/0!</v>
      </c>
      <c r="U935" s="12"/>
      <c r="V935" s="13"/>
      <c r="W935" s="13"/>
      <c r="X935" s="25">
        <f>AVERAGE(Table11080[1/2 Story % Base])</f>
        <v>0.65624297814999732</v>
      </c>
      <c r="Y935" s="12"/>
      <c r="Z935" s="13"/>
      <c r="AA935" s="13"/>
      <c r="AB935" s="24" t="e">
        <f>AVERAGE(Table11080[2nd Story % Base])</f>
        <v>#DIV/0!</v>
      </c>
      <c r="AC935" s="13"/>
      <c r="AD935" s="13"/>
      <c r="AE935" s="23" t="e">
        <f>AVERAGE(Table11080[AttGarVal/SqFt])</f>
        <v>#DIV/0!</v>
      </c>
      <c r="AF935" s="25" t="e">
        <f>AVERAGE(Table11080[Att Gar % Base])</f>
        <v>#DIV/0!</v>
      </c>
      <c r="AG935" s="12"/>
      <c r="AH935" s="13"/>
      <c r="AI935" s="13"/>
      <c r="AJ935" s="25" t="e">
        <f>AVERAGE(Table11080[Porch % Base])</f>
        <v>#DIV/0!</v>
      </c>
      <c r="AK935" s="12"/>
      <c r="AL935" s="13"/>
      <c r="AM935" s="13"/>
      <c r="AN935" s="25" t="e">
        <f>AVERAGE(Table11080[Cov Porch % Base])</f>
        <v>#DIV/0!</v>
      </c>
      <c r="AO935" s="12"/>
      <c r="AP935" s="13"/>
      <c r="AQ935" s="13"/>
      <c r="AR935" s="25" t="e">
        <f>AVERAGE(Table11080[Deck % Base])</f>
        <v>#DIV/0!</v>
      </c>
      <c r="AS935" s="12"/>
      <c r="AT935" s="13"/>
      <c r="AU935" s="23" t="e">
        <f>AVERAGE(Table11080[CovDeckVal/SqFt])</f>
        <v>#DIV/0!</v>
      </c>
      <c r="AV935" s="25" t="e">
        <f>AVERAGE(Table11080[CovDeck % Base])</f>
        <v>#DIV/0!</v>
      </c>
      <c r="AW935" s="12"/>
      <c r="AX935" s="13"/>
      <c r="AY935" s="13"/>
      <c r="AZ935" s="25" t="e">
        <f>AVERAGE(Table11080[CarP % Base])</f>
        <v>#DIV/0!</v>
      </c>
      <c r="BA935" s="12"/>
      <c r="BB935" s="13"/>
      <c r="BC935" s="13"/>
      <c r="BD935" s="24" t="e">
        <f>AVERAGE(Table11080[EFP % Base])</f>
        <v>#DIV/0!</v>
      </c>
    </row>
    <row r="937" spans="1:56" ht="15.75" thickBot="1" x14ac:dyDescent="0.3">
      <c r="A937" s="84"/>
      <c r="B937" s="74" t="s">
        <v>79</v>
      </c>
      <c r="C937" s="86" t="s">
        <v>178</v>
      </c>
      <c r="D937" s="74"/>
      <c r="E937" s="74" t="s">
        <v>33</v>
      </c>
      <c r="F937" s="75">
        <v>1122</v>
      </c>
      <c r="G937" s="74"/>
      <c r="H937" s="74" t="s">
        <v>179</v>
      </c>
      <c r="I937" s="74"/>
      <c r="J937" s="74" t="s">
        <v>83</v>
      </c>
      <c r="K937" s="75">
        <v>2016</v>
      </c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6"/>
    </row>
    <row r="938" spans="1:56" x14ac:dyDescent="0.25">
      <c r="A938" s="112"/>
      <c r="B938" s="113"/>
      <c r="C938" s="113"/>
      <c r="D938" s="114"/>
      <c r="E938" s="115" t="s">
        <v>27</v>
      </c>
      <c r="F938" s="116"/>
      <c r="G938" s="116"/>
      <c r="H938" s="117"/>
      <c r="I938" s="118" t="s">
        <v>28</v>
      </c>
      <c r="J938" s="119"/>
      <c r="K938" s="119"/>
      <c r="L938" s="120"/>
      <c r="M938" s="121" t="s">
        <v>7</v>
      </c>
      <c r="N938" s="122"/>
      <c r="O938" s="122"/>
      <c r="P938" s="122"/>
      <c r="Q938" s="124" t="s">
        <v>29</v>
      </c>
      <c r="R938" s="125"/>
      <c r="S938" s="125"/>
      <c r="T938" s="126"/>
      <c r="U938" s="128" t="s">
        <v>8</v>
      </c>
      <c r="V938" s="128"/>
      <c r="W938" s="128"/>
      <c r="X938" s="129"/>
      <c r="Y938" s="130" t="s">
        <v>0</v>
      </c>
      <c r="Z938" s="131"/>
      <c r="AA938" s="131"/>
      <c r="AB938" s="132"/>
      <c r="AC938" s="133" t="s">
        <v>34</v>
      </c>
      <c r="AD938" s="134"/>
      <c r="AE938" s="134"/>
      <c r="AF938" s="135"/>
      <c r="AG938" s="115" t="s">
        <v>9</v>
      </c>
      <c r="AH938" s="116"/>
      <c r="AI938" s="116"/>
      <c r="AJ938" s="117"/>
      <c r="AK938" s="136" t="s">
        <v>35</v>
      </c>
      <c r="AL938" s="137"/>
      <c r="AM938" s="137"/>
      <c r="AN938" s="138"/>
      <c r="AO938" s="139" t="s">
        <v>10</v>
      </c>
      <c r="AP938" s="140"/>
      <c r="AQ938" s="140"/>
      <c r="AR938" s="141"/>
      <c r="AS938" s="124" t="s">
        <v>36</v>
      </c>
      <c r="AT938" s="125"/>
      <c r="AU938" s="125"/>
      <c r="AV938" s="126"/>
      <c r="AW938" s="142" t="s">
        <v>11</v>
      </c>
      <c r="AX938" s="143"/>
      <c r="AY938" s="143"/>
      <c r="AZ938" s="144"/>
      <c r="BA938" s="148" t="s">
        <v>17</v>
      </c>
      <c r="BB938" s="149"/>
      <c r="BC938" s="149"/>
      <c r="BD938" s="150"/>
    </row>
    <row r="939" spans="1:56" ht="15.75" thickBot="1" x14ac:dyDescent="0.3">
      <c r="A939" s="41" t="s">
        <v>13</v>
      </c>
      <c r="B939" s="42" t="s">
        <v>15</v>
      </c>
      <c r="C939" s="42" t="s">
        <v>32</v>
      </c>
      <c r="D939" s="43" t="s">
        <v>18</v>
      </c>
      <c r="E939" s="30" t="s">
        <v>30</v>
      </c>
      <c r="F939" s="31" t="s">
        <v>61</v>
      </c>
      <c r="G939" s="31" t="s">
        <v>38</v>
      </c>
      <c r="H939" s="32" t="s">
        <v>62</v>
      </c>
      <c r="I939" s="37" t="s">
        <v>31</v>
      </c>
      <c r="J939" s="38" t="s">
        <v>39</v>
      </c>
      <c r="K939" s="38" t="s">
        <v>40</v>
      </c>
      <c r="L939" s="39" t="s">
        <v>63</v>
      </c>
      <c r="M939" s="40" t="s">
        <v>19</v>
      </c>
      <c r="N939" s="7" t="s">
        <v>41</v>
      </c>
      <c r="O939" s="7" t="s">
        <v>37</v>
      </c>
      <c r="P939" s="7" t="s">
        <v>64</v>
      </c>
      <c r="Q939" s="27" t="s">
        <v>20</v>
      </c>
      <c r="R939" s="28" t="s">
        <v>60</v>
      </c>
      <c r="S939" s="28" t="s">
        <v>59</v>
      </c>
      <c r="T939" s="29" t="s">
        <v>65</v>
      </c>
      <c r="U939" s="48" t="s">
        <v>21</v>
      </c>
      <c r="V939" s="48" t="s">
        <v>42</v>
      </c>
      <c r="W939" s="48" t="s">
        <v>43</v>
      </c>
      <c r="X939" s="49" t="s">
        <v>66</v>
      </c>
      <c r="Y939" s="50" t="s">
        <v>22</v>
      </c>
      <c r="Z939" s="51" t="s">
        <v>44</v>
      </c>
      <c r="AA939" s="51" t="s">
        <v>45</v>
      </c>
      <c r="AB939" s="52" t="s">
        <v>67</v>
      </c>
      <c r="AC939" s="45" t="s">
        <v>23</v>
      </c>
      <c r="AD939" s="46" t="s">
        <v>46</v>
      </c>
      <c r="AE939" s="46" t="s">
        <v>47</v>
      </c>
      <c r="AF939" s="47" t="s">
        <v>68</v>
      </c>
      <c r="AG939" s="30" t="s">
        <v>24</v>
      </c>
      <c r="AH939" s="31" t="s">
        <v>48</v>
      </c>
      <c r="AI939" s="31" t="s">
        <v>49</v>
      </c>
      <c r="AJ939" s="32" t="s">
        <v>69</v>
      </c>
      <c r="AK939" s="53" t="s">
        <v>25</v>
      </c>
      <c r="AL939" s="54" t="s">
        <v>50</v>
      </c>
      <c r="AM939" s="54" t="s">
        <v>51</v>
      </c>
      <c r="AN939" s="55" t="s">
        <v>70</v>
      </c>
      <c r="AO939" s="56" t="s">
        <v>26</v>
      </c>
      <c r="AP939" s="57" t="s">
        <v>52</v>
      </c>
      <c r="AQ939" s="57" t="s">
        <v>53</v>
      </c>
      <c r="AR939" s="58" t="s">
        <v>71</v>
      </c>
      <c r="AS939" s="59" t="s">
        <v>55</v>
      </c>
      <c r="AT939" s="60" t="s">
        <v>54</v>
      </c>
      <c r="AU939" s="60" t="s">
        <v>56</v>
      </c>
      <c r="AV939" s="61" t="s">
        <v>76</v>
      </c>
      <c r="AW939" s="62" t="s">
        <v>72</v>
      </c>
      <c r="AX939" s="63" t="s">
        <v>73</v>
      </c>
      <c r="AY939" s="63" t="s">
        <v>74</v>
      </c>
      <c r="AZ939" s="64" t="s">
        <v>75</v>
      </c>
      <c r="BA939" s="71" t="s">
        <v>77</v>
      </c>
      <c r="BB939" s="72" t="s">
        <v>57</v>
      </c>
      <c r="BC939" s="72" t="s">
        <v>58</v>
      </c>
      <c r="BD939" s="73" t="s">
        <v>78</v>
      </c>
    </row>
    <row r="940" spans="1:56" x14ac:dyDescent="0.25">
      <c r="A940" s="17" t="s">
        <v>1</v>
      </c>
      <c r="B940" s="14">
        <v>57610</v>
      </c>
      <c r="C940" s="34">
        <f>B940/F937</f>
        <v>51.345811051693403</v>
      </c>
      <c r="D940" s="14">
        <v>1525</v>
      </c>
      <c r="E940" s="67">
        <v>0</v>
      </c>
      <c r="F940" s="69">
        <v>0</v>
      </c>
      <c r="G940" s="34" t="e">
        <f t="shared" ref="G940:G946" si="2028">E940/F940</f>
        <v>#DIV/0!</v>
      </c>
      <c r="H940" s="10" t="e">
        <f t="shared" ref="H940:H946" si="2029">G940/C940</f>
        <v>#DIV/0!</v>
      </c>
      <c r="I940" s="34">
        <v>0</v>
      </c>
      <c r="J940" s="69">
        <v>0</v>
      </c>
      <c r="K940" s="34" t="e">
        <f t="shared" ref="K940:K946" si="2030">I940/J940</f>
        <v>#DIV/0!</v>
      </c>
      <c r="L940" s="9" t="e">
        <f t="shared" ref="L940:L946" si="2031">K940/C940</f>
        <v>#DIV/0!</v>
      </c>
      <c r="M940" s="67">
        <v>0</v>
      </c>
      <c r="N940" s="26">
        <v>0</v>
      </c>
      <c r="O940" s="34" t="e">
        <f t="shared" ref="O940:O946" si="2032">M940/N940</f>
        <v>#DIV/0!</v>
      </c>
      <c r="P940" s="10" t="e">
        <f t="shared" ref="P940:P946" si="2033">O940/C940</f>
        <v>#DIV/0!</v>
      </c>
      <c r="Q940" s="35">
        <v>0</v>
      </c>
      <c r="R940" s="66">
        <v>0</v>
      </c>
      <c r="S940" s="35" t="e">
        <f t="shared" ref="S940:S946" si="2034">Q940/R940</f>
        <v>#DIV/0!</v>
      </c>
      <c r="T940" s="6" t="e">
        <f t="shared" ref="T940:T946" si="2035">S940/C940</f>
        <v>#DIV/0!</v>
      </c>
      <c r="U940" s="67">
        <v>0</v>
      </c>
      <c r="V940" s="65">
        <v>0</v>
      </c>
      <c r="W940" s="34" t="e">
        <f t="shared" ref="W940:W946" si="2036">U940/V940</f>
        <v>#DIV/0!</v>
      </c>
      <c r="X940" s="9" t="e">
        <f t="shared" ref="X940:X946" si="2037">W940/C940</f>
        <v>#DIV/0!</v>
      </c>
      <c r="Y940" s="67">
        <v>51350</v>
      </c>
      <c r="Z940" s="69">
        <v>1479</v>
      </c>
      <c r="AA940" s="34">
        <f t="shared" ref="AA940:AA946" si="2038">Y940/Z940</f>
        <v>34.719405003380665</v>
      </c>
      <c r="AB940" s="10">
        <f t="shared" ref="AB940:AB946" si="2039">AA940/C940</f>
        <v>0.67618768293339881</v>
      </c>
      <c r="AC940" s="34">
        <v>11250</v>
      </c>
      <c r="AD940" s="33">
        <v>810</v>
      </c>
      <c r="AE940" s="34">
        <f t="shared" ref="AE940:AE946" si="2040">AC940/AD940</f>
        <v>13.888888888888889</v>
      </c>
      <c r="AF940" s="9">
        <f t="shared" ref="AF940:AF946" si="2041">AE940/C940</f>
        <v>0.2704970201932535</v>
      </c>
      <c r="AG940" s="67">
        <v>0</v>
      </c>
      <c r="AH940" s="65">
        <v>0</v>
      </c>
      <c r="AI940" s="34" t="e">
        <f t="shared" ref="AI940:AI946" si="2042">AG940/AH940</f>
        <v>#DIV/0!</v>
      </c>
      <c r="AJ940" s="9" t="e">
        <f t="shared" ref="AJ940:AJ946" si="2043">AI940/C940</f>
        <v>#DIV/0!</v>
      </c>
      <c r="AK940" s="67">
        <v>4320</v>
      </c>
      <c r="AL940" s="65">
        <v>234</v>
      </c>
      <c r="AM940" s="34">
        <f t="shared" ref="AM940:AM946" si="2044">AK940/AL940</f>
        <v>18.46153846153846</v>
      </c>
      <c r="AN940" s="9">
        <f t="shared" ref="AN940:AN946" si="2045">AM940/C940</f>
        <v>0.35955296222610922</v>
      </c>
      <c r="AO940" s="67">
        <v>0</v>
      </c>
      <c r="AP940" s="65">
        <v>0</v>
      </c>
      <c r="AQ940" s="34" t="e">
        <f t="shared" ref="AQ940:AQ946" si="2046">AO940/AP940</f>
        <v>#DIV/0!</v>
      </c>
      <c r="AR940" s="9" t="e">
        <f t="shared" ref="AR940:AR946" si="2047">AQ940/C940</f>
        <v>#DIV/0!</v>
      </c>
      <c r="AS940" s="67">
        <v>0</v>
      </c>
      <c r="AT940" s="65">
        <v>0</v>
      </c>
      <c r="AU940" s="34" t="e">
        <f t="shared" ref="AU940:AU946" si="2048">AS940/AT940</f>
        <v>#DIV/0!</v>
      </c>
      <c r="AV940" s="9" t="e">
        <f t="shared" ref="AV940:AV946" si="2049">AU940/C940</f>
        <v>#DIV/0!</v>
      </c>
      <c r="AW940" s="67">
        <v>0</v>
      </c>
      <c r="AX940" s="65">
        <v>0</v>
      </c>
      <c r="AY940" s="34" t="e">
        <f t="shared" ref="AY940:AY946" si="2050">AW940/AX940</f>
        <v>#DIV/0!</v>
      </c>
      <c r="AZ940" s="9" t="e">
        <f t="shared" ref="AZ940:AZ946" si="2051">AY940/C940</f>
        <v>#DIV/0!</v>
      </c>
      <c r="BA940" s="67">
        <v>0</v>
      </c>
      <c r="BB940" s="65">
        <v>0</v>
      </c>
      <c r="BC940" s="34" t="e">
        <f t="shared" ref="BC940:BC946" si="2052">BA940/BB940</f>
        <v>#DIV/0!</v>
      </c>
      <c r="BD940" s="10" t="e">
        <f t="shared" ref="BD940:BD946" si="2053">BC940/C940</f>
        <v>#DIV/0!</v>
      </c>
    </row>
    <row r="941" spans="1:56" x14ac:dyDescent="0.25">
      <c r="A941" s="19" t="s">
        <v>16</v>
      </c>
      <c r="B941" s="8">
        <v>67780</v>
      </c>
      <c r="C941" s="35">
        <f>B941/F937</f>
        <v>60.409982174688054</v>
      </c>
      <c r="D941" s="8">
        <v>1525</v>
      </c>
      <c r="E941" s="68">
        <v>0</v>
      </c>
      <c r="F941" s="70">
        <v>0</v>
      </c>
      <c r="G941" s="35" t="e">
        <f t="shared" si="2028"/>
        <v>#DIV/0!</v>
      </c>
      <c r="H941" s="11" t="e">
        <f t="shared" si="2029"/>
        <v>#DIV/0!</v>
      </c>
      <c r="I941" s="35">
        <v>0</v>
      </c>
      <c r="J941" s="70">
        <v>0</v>
      </c>
      <c r="K941" s="35" t="e">
        <f t="shared" si="2030"/>
        <v>#DIV/0!</v>
      </c>
      <c r="L941" s="6" t="e">
        <f t="shared" si="2031"/>
        <v>#DIV/0!</v>
      </c>
      <c r="M941" s="68">
        <v>0</v>
      </c>
      <c r="N941" s="5">
        <v>0</v>
      </c>
      <c r="O941" s="35" t="e">
        <f t="shared" si="2032"/>
        <v>#DIV/0!</v>
      </c>
      <c r="P941" s="11" t="e">
        <f t="shared" si="2033"/>
        <v>#DIV/0!</v>
      </c>
      <c r="Q941" s="35">
        <v>0</v>
      </c>
      <c r="R941" s="66">
        <v>0</v>
      </c>
      <c r="S941" s="35" t="e">
        <f t="shared" si="2034"/>
        <v>#DIV/0!</v>
      </c>
      <c r="T941" s="6" t="e">
        <f t="shared" si="2035"/>
        <v>#DIV/0!</v>
      </c>
      <c r="U941" s="68">
        <v>0</v>
      </c>
      <c r="V941" s="66">
        <v>0</v>
      </c>
      <c r="W941" s="35" t="e">
        <f t="shared" si="2036"/>
        <v>#DIV/0!</v>
      </c>
      <c r="X941" s="6" t="e">
        <f t="shared" si="2037"/>
        <v>#DIV/0!</v>
      </c>
      <c r="Y941" s="68">
        <v>70020</v>
      </c>
      <c r="Z941" s="70">
        <v>1479</v>
      </c>
      <c r="AA941" s="35">
        <f t="shared" si="2038"/>
        <v>47.342799188640974</v>
      </c>
      <c r="AB941" s="11">
        <f t="shared" si="2039"/>
        <v>0.78369165962902299</v>
      </c>
      <c r="AC941" s="35">
        <v>14400</v>
      </c>
      <c r="AD941" s="36">
        <v>810</v>
      </c>
      <c r="AE941" s="35">
        <f t="shared" si="2040"/>
        <v>17.777777777777779</v>
      </c>
      <c r="AF941" s="6">
        <f t="shared" si="2041"/>
        <v>0.29428543326448314</v>
      </c>
      <c r="AG941" s="68">
        <v>0</v>
      </c>
      <c r="AH941" s="66">
        <v>0</v>
      </c>
      <c r="AI941" s="35" t="e">
        <f t="shared" si="2042"/>
        <v>#DIV/0!</v>
      </c>
      <c r="AJ941" s="6" t="e">
        <f t="shared" si="2043"/>
        <v>#DIV/0!</v>
      </c>
      <c r="AK941" s="68">
        <v>4900</v>
      </c>
      <c r="AL941" s="66">
        <v>234</v>
      </c>
      <c r="AM941" s="35">
        <f t="shared" si="2044"/>
        <v>20.94017094017094</v>
      </c>
      <c r="AN941" s="6">
        <f t="shared" si="2045"/>
        <v>0.34663428437403065</v>
      </c>
      <c r="AO941" s="68">
        <v>0</v>
      </c>
      <c r="AP941" s="66">
        <v>0</v>
      </c>
      <c r="AQ941" s="35" t="e">
        <f t="shared" si="2046"/>
        <v>#DIV/0!</v>
      </c>
      <c r="AR941" s="6" t="e">
        <f t="shared" si="2047"/>
        <v>#DIV/0!</v>
      </c>
      <c r="AS941" s="68">
        <v>0</v>
      </c>
      <c r="AT941" s="66">
        <v>0</v>
      </c>
      <c r="AU941" s="35" t="e">
        <f t="shared" si="2048"/>
        <v>#DIV/0!</v>
      </c>
      <c r="AV941" s="6" t="e">
        <f t="shared" si="2049"/>
        <v>#DIV/0!</v>
      </c>
      <c r="AW941" s="68">
        <v>0</v>
      </c>
      <c r="AX941" s="66">
        <v>0</v>
      </c>
      <c r="AY941" s="35" t="e">
        <f t="shared" si="2050"/>
        <v>#DIV/0!</v>
      </c>
      <c r="AZ941" s="6" t="e">
        <f t="shared" si="2051"/>
        <v>#DIV/0!</v>
      </c>
      <c r="BA941" s="68">
        <v>0</v>
      </c>
      <c r="BB941" s="66">
        <v>0</v>
      </c>
      <c r="BC941" s="35" t="e">
        <f t="shared" si="2052"/>
        <v>#DIV/0!</v>
      </c>
      <c r="BD941" s="11" t="e">
        <f t="shared" si="2053"/>
        <v>#DIV/0!</v>
      </c>
    </row>
    <row r="942" spans="1:56" x14ac:dyDescent="0.25">
      <c r="A942" s="19" t="s">
        <v>2</v>
      </c>
      <c r="B942" s="8">
        <v>79310</v>
      </c>
      <c r="C942" s="35">
        <f>B942/F937</f>
        <v>70.686274509803923</v>
      </c>
      <c r="D942" s="8">
        <v>2100</v>
      </c>
      <c r="E942" s="68">
        <v>0</v>
      </c>
      <c r="F942" s="70">
        <v>0</v>
      </c>
      <c r="G942" s="35" t="e">
        <f t="shared" si="2028"/>
        <v>#DIV/0!</v>
      </c>
      <c r="H942" s="11" t="e">
        <f t="shared" si="2029"/>
        <v>#DIV/0!</v>
      </c>
      <c r="I942" s="35">
        <v>0</v>
      </c>
      <c r="J942" s="70">
        <v>0</v>
      </c>
      <c r="K942" s="35" t="e">
        <f t="shared" si="2030"/>
        <v>#DIV/0!</v>
      </c>
      <c r="L942" s="6" t="e">
        <f t="shared" si="2031"/>
        <v>#DIV/0!</v>
      </c>
      <c r="M942" s="68">
        <v>0</v>
      </c>
      <c r="N942" s="5">
        <v>0</v>
      </c>
      <c r="O942" s="35" t="e">
        <f t="shared" si="2032"/>
        <v>#DIV/0!</v>
      </c>
      <c r="P942" s="11" t="e">
        <f t="shared" si="2033"/>
        <v>#DIV/0!</v>
      </c>
      <c r="Q942" s="35">
        <v>0</v>
      </c>
      <c r="R942" s="66">
        <v>0</v>
      </c>
      <c r="S942" s="35" t="e">
        <f t="shared" si="2034"/>
        <v>#DIV/0!</v>
      </c>
      <c r="T942" s="6" t="e">
        <f t="shared" si="2035"/>
        <v>#DIV/0!</v>
      </c>
      <c r="U942" s="68">
        <v>0</v>
      </c>
      <c r="V942" s="66">
        <v>0</v>
      </c>
      <c r="W942" s="35" t="e">
        <f t="shared" si="2036"/>
        <v>#DIV/0!</v>
      </c>
      <c r="X942" s="6" t="e">
        <f t="shared" si="2037"/>
        <v>#DIV/0!</v>
      </c>
      <c r="Y942" s="68">
        <v>80230</v>
      </c>
      <c r="Z942" s="70">
        <v>1479</v>
      </c>
      <c r="AA942" s="35">
        <f t="shared" si="2038"/>
        <v>54.246112237998645</v>
      </c>
      <c r="AB942" s="11">
        <f t="shared" si="2039"/>
        <v>0.7674207279162083</v>
      </c>
      <c r="AC942" s="35">
        <v>18930</v>
      </c>
      <c r="AD942" s="36">
        <v>810</v>
      </c>
      <c r="AE942" s="35">
        <f t="shared" si="2040"/>
        <v>23.37037037037037</v>
      </c>
      <c r="AF942" s="6">
        <f t="shared" si="2041"/>
        <v>0.33062105100940054</v>
      </c>
      <c r="AG942" s="68">
        <v>0</v>
      </c>
      <c r="AH942" s="66">
        <v>0</v>
      </c>
      <c r="AI942" s="35" t="e">
        <f t="shared" si="2042"/>
        <v>#DIV/0!</v>
      </c>
      <c r="AJ942" s="6" t="e">
        <f t="shared" si="2043"/>
        <v>#DIV/0!</v>
      </c>
      <c r="AK942" s="68">
        <v>5250</v>
      </c>
      <c r="AL942" s="66">
        <v>234</v>
      </c>
      <c r="AM942" s="35">
        <f t="shared" si="2044"/>
        <v>22.435897435897434</v>
      </c>
      <c r="AN942" s="6">
        <f t="shared" si="2045"/>
        <v>0.31740104555638532</v>
      </c>
      <c r="AO942" s="68">
        <v>0</v>
      </c>
      <c r="AP942" s="66">
        <v>0</v>
      </c>
      <c r="AQ942" s="35" t="e">
        <f t="shared" si="2046"/>
        <v>#DIV/0!</v>
      </c>
      <c r="AR942" s="6" t="e">
        <f t="shared" si="2047"/>
        <v>#DIV/0!</v>
      </c>
      <c r="AS942" s="68">
        <v>0</v>
      </c>
      <c r="AT942" s="66">
        <v>0</v>
      </c>
      <c r="AU942" s="35" t="e">
        <f t="shared" si="2048"/>
        <v>#DIV/0!</v>
      </c>
      <c r="AV942" s="6" t="e">
        <f t="shared" si="2049"/>
        <v>#DIV/0!</v>
      </c>
      <c r="AW942" s="68">
        <v>0</v>
      </c>
      <c r="AX942" s="66">
        <v>0</v>
      </c>
      <c r="AY942" s="35" t="e">
        <f t="shared" si="2050"/>
        <v>#DIV/0!</v>
      </c>
      <c r="AZ942" s="6" t="e">
        <f t="shared" si="2051"/>
        <v>#DIV/0!</v>
      </c>
      <c r="BA942" s="68">
        <v>0</v>
      </c>
      <c r="BB942" s="66">
        <v>0</v>
      </c>
      <c r="BC942" s="35" t="e">
        <f t="shared" si="2052"/>
        <v>#DIV/0!</v>
      </c>
      <c r="BD942" s="11" t="e">
        <f t="shared" si="2053"/>
        <v>#DIV/0!</v>
      </c>
    </row>
    <row r="943" spans="1:56" x14ac:dyDescent="0.25">
      <c r="A943" s="19" t="s">
        <v>3</v>
      </c>
      <c r="B943" s="8">
        <v>95740</v>
      </c>
      <c r="C943" s="35">
        <f>B943/F937</f>
        <v>85.32976827094474</v>
      </c>
      <c r="D943" s="8">
        <v>2700</v>
      </c>
      <c r="E943" s="68">
        <v>0</v>
      </c>
      <c r="F943" s="70">
        <v>0</v>
      </c>
      <c r="G943" s="35" t="e">
        <f t="shared" si="2028"/>
        <v>#DIV/0!</v>
      </c>
      <c r="H943" s="11" t="e">
        <f t="shared" si="2029"/>
        <v>#DIV/0!</v>
      </c>
      <c r="I943" s="35">
        <v>0</v>
      </c>
      <c r="J943" s="70">
        <v>0</v>
      </c>
      <c r="K943" s="35" t="e">
        <f t="shared" si="2030"/>
        <v>#DIV/0!</v>
      </c>
      <c r="L943" s="6" t="e">
        <f t="shared" si="2031"/>
        <v>#DIV/0!</v>
      </c>
      <c r="M943" s="68">
        <v>0</v>
      </c>
      <c r="N943" s="5">
        <v>0</v>
      </c>
      <c r="O943" s="35" t="e">
        <f t="shared" si="2032"/>
        <v>#DIV/0!</v>
      </c>
      <c r="P943" s="11" t="e">
        <f t="shared" si="2033"/>
        <v>#DIV/0!</v>
      </c>
      <c r="Q943" s="35">
        <v>0</v>
      </c>
      <c r="R943" s="66">
        <v>0</v>
      </c>
      <c r="S943" s="35" t="e">
        <f t="shared" si="2034"/>
        <v>#DIV/0!</v>
      </c>
      <c r="T943" s="6" t="e">
        <f t="shared" si="2035"/>
        <v>#DIV/0!</v>
      </c>
      <c r="U943" s="68">
        <v>0</v>
      </c>
      <c r="V943" s="66">
        <v>0</v>
      </c>
      <c r="W943" s="35" t="e">
        <f t="shared" si="2036"/>
        <v>#DIV/0!</v>
      </c>
      <c r="X943" s="6" t="e">
        <f t="shared" si="2037"/>
        <v>#DIV/0!</v>
      </c>
      <c r="Y943" s="68">
        <v>90970</v>
      </c>
      <c r="Z943" s="70">
        <v>1479</v>
      </c>
      <c r="AA943" s="35">
        <f t="shared" si="2038"/>
        <v>61.507775524002703</v>
      </c>
      <c r="AB943" s="11">
        <f t="shared" si="2039"/>
        <v>0.72082435907594566</v>
      </c>
      <c r="AC943" s="35">
        <v>20150</v>
      </c>
      <c r="AD943" s="36">
        <v>810</v>
      </c>
      <c r="AE943" s="35">
        <f t="shared" si="2040"/>
        <v>24.876543209876544</v>
      </c>
      <c r="AF943" s="6">
        <f t="shared" si="2041"/>
        <v>0.29153417047714103</v>
      </c>
      <c r="AG943" s="68">
        <v>0</v>
      </c>
      <c r="AH943" s="66">
        <v>0</v>
      </c>
      <c r="AI943" s="35" t="e">
        <f t="shared" si="2042"/>
        <v>#DIV/0!</v>
      </c>
      <c r="AJ943" s="6" t="e">
        <f t="shared" si="2043"/>
        <v>#DIV/0!</v>
      </c>
      <c r="AK943" s="68">
        <v>5980</v>
      </c>
      <c r="AL943" s="66">
        <v>234</v>
      </c>
      <c r="AM943" s="35">
        <f t="shared" si="2044"/>
        <v>25.555555555555557</v>
      </c>
      <c r="AN943" s="6">
        <f t="shared" si="2045"/>
        <v>0.29949167885244765</v>
      </c>
      <c r="AO943" s="68">
        <v>0</v>
      </c>
      <c r="AP943" s="66">
        <v>0</v>
      </c>
      <c r="AQ943" s="35" t="e">
        <f t="shared" si="2046"/>
        <v>#DIV/0!</v>
      </c>
      <c r="AR943" s="6" t="e">
        <f t="shared" si="2047"/>
        <v>#DIV/0!</v>
      </c>
      <c r="AS943" s="68">
        <v>0</v>
      </c>
      <c r="AT943" s="66">
        <v>0</v>
      </c>
      <c r="AU943" s="35" t="e">
        <f t="shared" si="2048"/>
        <v>#DIV/0!</v>
      </c>
      <c r="AV943" s="6" t="e">
        <f t="shared" si="2049"/>
        <v>#DIV/0!</v>
      </c>
      <c r="AW943" s="68">
        <v>0</v>
      </c>
      <c r="AX943" s="66">
        <v>0</v>
      </c>
      <c r="AY943" s="35" t="e">
        <f t="shared" si="2050"/>
        <v>#DIV/0!</v>
      </c>
      <c r="AZ943" s="6" t="e">
        <f t="shared" si="2051"/>
        <v>#DIV/0!</v>
      </c>
      <c r="BA943" s="68">
        <v>0</v>
      </c>
      <c r="BB943" s="66">
        <v>0</v>
      </c>
      <c r="BC943" s="35" t="e">
        <f t="shared" si="2052"/>
        <v>#DIV/0!</v>
      </c>
      <c r="BD943" s="11" t="e">
        <f t="shared" si="2053"/>
        <v>#DIV/0!</v>
      </c>
    </row>
    <row r="944" spans="1:56" x14ac:dyDescent="0.25">
      <c r="A944" s="19" t="s">
        <v>4</v>
      </c>
      <c r="B944" s="8">
        <v>119440</v>
      </c>
      <c r="C944" s="35">
        <f>B944/F937</f>
        <v>106.45276292335116</v>
      </c>
      <c r="D944" s="8">
        <v>5250</v>
      </c>
      <c r="E944" s="68">
        <v>0</v>
      </c>
      <c r="F944" s="70">
        <v>0</v>
      </c>
      <c r="G944" s="35" t="e">
        <f t="shared" si="2028"/>
        <v>#DIV/0!</v>
      </c>
      <c r="H944" s="11" t="e">
        <f t="shared" si="2029"/>
        <v>#DIV/0!</v>
      </c>
      <c r="I944" s="35">
        <v>0</v>
      </c>
      <c r="J944" s="70">
        <v>0</v>
      </c>
      <c r="K944" s="35" t="e">
        <f t="shared" si="2030"/>
        <v>#DIV/0!</v>
      </c>
      <c r="L944" s="6" t="e">
        <f t="shared" si="2031"/>
        <v>#DIV/0!</v>
      </c>
      <c r="M944" s="68">
        <v>0</v>
      </c>
      <c r="N944" s="5">
        <v>0</v>
      </c>
      <c r="O944" s="35" t="e">
        <f t="shared" si="2032"/>
        <v>#DIV/0!</v>
      </c>
      <c r="P944" s="11" t="e">
        <f t="shared" si="2033"/>
        <v>#DIV/0!</v>
      </c>
      <c r="Q944" s="35">
        <v>0</v>
      </c>
      <c r="R944" s="66">
        <v>0</v>
      </c>
      <c r="S944" s="35" t="e">
        <f t="shared" si="2034"/>
        <v>#DIV/0!</v>
      </c>
      <c r="T944" s="6" t="e">
        <f t="shared" si="2035"/>
        <v>#DIV/0!</v>
      </c>
      <c r="U944" s="68">
        <v>0</v>
      </c>
      <c r="V944" s="66">
        <v>0</v>
      </c>
      <c r="W944" s="35" t="e">
        <f t="shared" si="2036"/>
        <v>#DIV/0!</v>
      </c>
      <c r="X944" s="6" t="e">
        <f t="shared" si="2037"/>
        <v>#DIV/0!</v>
      </c>
      <c r="Y944" s="68">
        <v>116360</v>
      </c>
      <c r="Z944" s="70">
        <v>1479</v>
      </c>
      <c r="AA944" s="35">
        <f t="shared" si="2038"/>
        <v>78.674780256930362</v>
      </c>
      <c r="AB944" s="11">
        <f t="shared" si="2039"/>
        <v>0.73905813335796944</v>
      </c>
      <c r="AC944" s="35">
        <v>22890</v>
      </c>
      <c r="AD944" s="36">
        <v>810</v>
      </c>
      <c r="AE944" s="35">
        <f t="shared" si="2040"/>
        <v>28.25925925925926</v>
      </c>
      <c r="AF944" s="6">
        <f t="shared" si="2041"/>
        <v>0.26546290094515146</v>
      </c>
      <c r="AG944" s="68">
        <v>0</v>
      </c>
      <c r="AH944" s="66">
        <v>0</v>
      </c>
      <c r="AI944" s="35" t="e">
        <f t="shared" si="2042"/>
        <v>#DIV/0!</v>
      </c>
      <c r="AJ944" s="6" t="e">
        <f t="shared" si="2043"/>
        <v>#DIV/0!</v>
      </c>
      <c r="AK944" s="68">
        <v>6320</v>
      </c>
      <c r="AL944" s="66">
        <v>234</v>
      </c>
      <c r="AM944" s="35">
        <f t="shared" si="2044"/>
        <v>27.008547008547009</v>
      </c>
      <c r="AN944" s="6">
        <f t="shared" si="2045"/>
        <v>0.25371391278959932</v>
      </c>
      <c r="AO944" s="68">
        <v>0</v>
      </c>
      <c r="AP944" s="66">
        <v>0</v>
      </c>
      <c r="AQ944" s="35" t="e">
        <f t="shared" si="2046"/>
        <v>#DIV/0!</v>
      </c>
      <c r="AR944" s="6" t="e">
        <f t="shared" si="2047"/>
        <v>#DIV/0!</v>
      </c>
      <c r="AS944" s="68">
        <v>0</v>
      </c>
      <c r="AT944" s="66">
        <v>0</v>
      </c>
      <c r="AU944" s="35" t="e">
        <f t="shared" si="2048"/>
        <v>#DIV/0!</v>
      </c>
      <c r="AV944" s="6" t="e">
        <f t="shared" si="2049"/>
        <v>#DIV/0!</v>
      </c>
      <c r="AW944" s="68">
        <v>0</v>
      </c>
      <c r="AX944" s="66">
        <v>0</v>
      </c>
      <c r="AY944" s="35" t="e">
        <f t="shared" si="2050"/>
        <v>#DIV/0!</v>
      </c>
      <c r="AZ944" s="6" t="e">
        <f t="shared" si="2051"/>
        <v>#DIV/0!</v>
      </c>
      <c r="BA944" s="68">
        <v>0</v>
      </c>
      <c r="BB944" s="66">
        <v>0</v>
      </c>
      <c r="BC944" s="35" t="e">
        <f t="shared" si="2052"/>
        <v>#DIV/0!</v>
      </c>
      <c r="BD944" s="11" t="e">
        <f t="shared" si="2053"/>
        <v>#DIV/0!</v>
      </c>
    </row>
    <row r="945" spans="1:56" x14ac:dyDescent="0.25">
      <c r="A945" s="19" t="s">
        <v>5</v>
      </c>
      <c r="B945" s="8">
        <v>157160</v>
      </c>
      <c r="C945" s="35">
        <f>B945/F937</f>
        <v>140.07130124777183</v>
      </c>
      <c r="D945" s="8">
        <v>7050</v>
      </c>
      <c r="E945" s="68">
        <v>0</v>
      </c>
      <c r="F945" s="70">
        <v>0</v>
      </c>
      <c r="G945" s="35" t="e">
        <f t="shared" si="2028"/>
        <v>#DIV/0!</v>
      </c>
      <c r="H945" s="11" t="e">
        <f t="shared" si="2029"/>
        <v>#DIV/0!</v>
      </c>
      <c r="I945" s="35">
        <v>0</v>
      </c>
      <c r="J945" s="70">
        <v>0</v>
      </c>
      <c r="K945" s="35" t="e">
        <f t="shared" si="2030"/>
        <v>#DIV/0!</v>
      </c>
      <c r="L945" s="6" t="e">
        <f t="shared" si="2031"/>
        <v>#DIV/0!</v>
      </c>
      <c r="M945" s="68">
        <v>0</v>
      </c>
      <c r="N945" s="5">
        <v>0</v>
      </c>
      <c r="O945" s="35" t="e">
        <f t="shared" si="2032"/>
        <v>#DIV/0!</v>
      </c>
      <c r="P945" s="11" t="e">
        <f t="shared" si="2033"/>
        <v>#DIV/0!</v>
      </c>
      <c r="Q945" s="35">
        <v>0</v>
      </c>
      <c r="R945" s="66">
        <v>0</v>
      </c>
      <c r="S945" s="35" t="e">
        <f t="shared" si="2034"/>
        <v>#DIV/0!</v>
      </c>
      <c r="T945" s="6" t="e">
        <f t="shared" si="2035"/>
        <v>#DIV/0!</v>
      </c>
      <c r="U945" s="68">
        <v>0</v>
      </c>
      <c r="V945" s="66">
        <v>0</v>
      </c>
      <c r="W945" s="35" t="e">
        <f t="shared" si="2036"/>
        <v>#DIV/0!</v>
      </c>
      <c r="X945" s="6" t="e">
        <f t="shared" si="2037"/>
        <v>#DIV/0!</v>
      </c>
      <c r="Y945" s="68">
        <v>158030</v>
      </c>
      <c r="Z945" s="70">
        <v>1479</v>
      </c>
      <c r="AA945" s="35">
        <f t="shared" si="2038"/>
        <v>106.84922244759973</v>
      </c>
      <c r="AB945" s="11">
        <f t="shared" si="2039"/>
        <v>0.76282023152333234</v>
      </c>
      <c r="AC945" s="35">
        <v>23680</v>
      </c>
      <c r="AD945" s="36">
        <v>810</v>
      </c>
      <c r="AE945" s="35">
        <f t="shared" si="2040"/>
        <v>29.234567901234566</v>
      </c>
      <c r="AF945" s="6">
        <f t="shared" si="2041"/>
        <v>0.20871204622795358</v>
      </c>
      <c r="AG945" s="68">
        <v>0</v>
      </c>
      <c r="AH945" s="66">
        <v>0</v>
      </c>
      <c r="AI945" s="35" t="e">
        <f t="shared" si="2042"/>
        <v>#DIV/0!</v>
      </c>
      <c r="AJ945" s="6" t="e">
        <f t="shared" si="2043"/>
        <v>#DIV/0!</v>
      </c>
      <c r="AK945" s="68">
        <v>7220</v>
      </c>
      <c r="AL945" s="66">
        <v>234</v>
      </c>
      <c r="AM945" s="35">
        <f t="shared" si="2044"/>
        <v>30.854700854700855</v>
      </c>
      <c r="AN945" s="6">
        <f t="shared" si="2045"/>
        <v>0.22027853371706771</v>
      </c>
      <c r="AO945" s="68">
        <v>0</v>
      </c>
      <c r="AP945" s="66">
        <v>0</v>
      </c>
      <c r="AQ945" s="35" t="e">
        <f t="shared" si="2046"/>
        <v>#DIV/0!</v>
      </c>
      <c r="AR945" s="6" t="e">
        <f t="shared" si="2047"/>
        <v>#DIV/0!</v>
      </c>
      <c r="AS945" s="68">
        <v>0</v>
      </c>
      <c r="AT945" s="66">
        <v>0</v>
      </c>
      <c r="AU945" s="35" t="e">
        <f t="shared" si="2048"/>
        <v>#DIV/0!</v>
      </c>
      <c r="AV945" s="6" t="e">
        <f t="shared" si="2049"/>
        <v>#DIV/0!</v>
      </c>
      <c r="AW945" s="68">
        <v>0</v>
      </c>
      <c r="AX945" s="66">
        <v>0</v>
      </c>
      <c r="AY945" s="35" t="e">
        <f t="shared" si="2050"/>
        <v>#DIV/0!</v>
      </c>
      <c r="AZ945" s="6" t="e">
        <f t="shared" si="2051"/>
        <v>#DIV/0!</v>
      </c>
      <c r="BA945" s="68">
        <v>0</v>
      </c>
      <c r="BB945" s="66">
        <v>0</v>
      </c>
      <c r="BC945" s="35" t="e">
        <f t="shared" si="2052"/>
        <v>#DIV/0!</v>
      </c>
      <c r="BD945" s="11" t="e">
        <f t="shared" si="2053"/>
        <v>#DIV/0!</v>
      </c>
    </row>
    <row r="946" spans="1:56" x14ac:dyDescent="0.25">
      <c r="A946" s="19" t="s">
        <v>6</v>
      </c>
      <c r="B946" s="8">
        <v>183820</v>
      </c>
      <c r="C946" s="35">
        <f>B946/F937</f>
        <v>163.8324420677362</v>
      </c>
      <c r="D946" s="8">
        <v>10950</v>
      </c>
      <c r="E946" s="68">
        <v>0</v>
      </c>
      <c r="F946" s="70">
        <v>0</v>
      </c>
      <c r="G946" s="35" t="e">
        <f t="shared" si="2028"/>
        <v>#DIV/0!</v>
      </c>
      <c r="H946" s="11" t="e">
        <f t="shared" si="2029"/>
        <v>#DIV/0!</v>
      </c>
      <c r="I946" s="35">
        <v>0</v>
      </c>
      <c r="J946" s="70">
        <v>0</v>
      </c>
      <c r="K946" s="35" t="e">
        <f t="shared" si="2030"/>
        <v>#DIV/0!</v>
      </c>
      <c r="L946" s="6" t="e">
        <f t="shared" si="2031"/>
        <v>#DIV/0!</v>
      </c>
      <c r="M946" s="68">
        <v>0</v>
      </c>
      <c r="N946" s="5">
        <v>0</v>
      </c>
      <c r="O946" s="35" t="e">
        <f t="shared" si="2032"/>
        <v>#DIV/0!</v>
      </c>
      <c r="P946" s="11" t="e">
        <f t="shared" si="2033"/>
        <v>#DIV/0!</v>
      </c>
      <c r="Q946" s="35">
        <v>0</v>
      </c>
      <c r="R946" s="66">
        <v>0</v>
      </c>
      <c r="S946" s="35" t="e">
        <f t="shared" si="2034"/>
        <v>#DIV/0!</v>
      </c>
      <c r="T946" s="6" t="e">
        <f t="shared" si="2035"/>
        <v>#DIV/0!</v>
      </c>
      <c r="U946" s="68">
        <v>0</v>
      </c>
      <c r="V946" s="66">
        <v>0</v>
      </c>
      <c r="W946" s="35" t="e">
        <f t="shared" si="2036"/>
        <v>#DIV/0!</v>
      </c>
      <c r="X946" s="6" t="e">
        <f t="shared" si="2037"/>
        <v>#DIV/0!</v>
      </c>
      <c r="Y946" s="68">
        <v>184720</v>
      </c>
      <c r="Z946" s="70">
        <v>1479</v>
      </c>
      <c r="AA946" s="35">
        <f t="shared" si="2038"/>
        <v>124.89519945909399</v>
      </c>
      <c r="AB946" s="11">
        <f t="shared" si="2039"/>
        <v>0.76233496786586574</v>
      </c>
      <c r="AC946" s="35">
        <v>34580</v>
      </c>
      <c r="AD946" s="36">
        <v>810</v>
      </c>
      <c r="AE946" s="35">
        <f t="shared" si="2040"/>
        <v>42.691358024691361</v>
      </c>
      <c r="AF946" s="6">
        <f t="shared" si="2041"/>
        <v>0.2605793912724606</v>
      </c>
      <c r="AG946" s="68">
        <v>0</v>
      </c>
      <c r="AH946" s="66">
        <v>0</v>
      </c>
      <c r="AI946" s="35" t="e">
        <f t="shared" si="2042"/>
        <v>#DIV/0!</v>
      </c>
      <c r="AJ946" s="6" t="e">
        <f t="shared" si="2043"/>
        <v>#DIV/0!</v>
      </c>
      <c r="AK946" s="68">
        <v>8180</v>
      </c>
      <c r="AL946" s="66">
        <v>234</v>
      </c>
      <c r="AM946" s="35">
        <f t="shared" si="2044"/>
        <v>34.957264957264954</v>
      </c>
      <c r="AN946" s="6">
        <f t="shared" si="2045"/>
        <v>0.21337205571782872</v>
      </c>
      <c r="AO946" s="68">
        <v>0</v>
      </c>
      <c r="AP946" s="66">
        <v>0</v>
      </c>
      <c r="AQ946" s="35" t="e">
        <f t="shared" si="2046"/>
        <v>#DIV/0!</v>
      </c>
      <c r="AR946" s="6" t="e">
        <f t="shared" si="2047"/>
        <v>#DIV/0!</v>
      </c>
      <c r="AS946" s="68">
        <v>0</v>
      </c>
      <c r="AT946" s="66">
        <v>0</v>
      </c>
      <c r="AU946" s="35" t="e">
        <f t="shared" si="2048"/>
        <v>#DIV/0!</v>
      </c>
      <c r="AV946" s="6" t="e">
        <f t="shared" si="2049"/>
        <v>#DIV/0!</v>
      </c>
      <c r="AW946" s="68">
        <v>0</v>
      </c>
      <c r="AX946" s="66">
        <v>0</v>
      </c>
      <c r="AY946" s="35" t="e">
        <f t="shared" si="2050"/>
        <v>#DIV/0!</v>
      </c>
      <c r="AZ946" s="6" t="e">
        <f t="shared" si="2051"/>
        <v>#DIV/0!</v>
      </c>
      <c r="BA946" s="68">
        <v>0</v>
      </c>
      <c r="BB946" s="66">
        <v>0</v>
      </c>
      <c r="BC946" s="35" t="e">
        <f t="shared" si="2052"/>
        <v>#DIV/0!</v>
      </c>
      <c r="BD946" s="11" t="e">
        <f t="shared" si="2053"/>
        <v>#DIV/0!</v>
      </c>
    </row>
    <row r="947" spans="1:56" ht="15.75" thickBot="1" x14ac:dyDescent="0.3">
      <c r="A947" s="21"/>
      <c r="B947" s="22"/>
      <c r="C947" s="23">
        <f>AVERAGE(Table11081[MA $/Sq Ft])</f>
        <v>96.875477463712755</v>
      </c>
      <c r="D947" s="22">
        <f>AVERAGE(Table11081[Basic Allowance])</f>
        <v>4442.8571428571431</v>
      </c>
      <c r="E947" s="16"/>
      <c r="F947" s="22"/>
      <c r="G947" s="15"/>
      <c r="H947" s="24" t="e">
        <f>AVERAGE(Table11081[Bsmt % Base])</f>
        <v>#DIV/0!</v>
      </c>
      <c r="I947" s="15"/>
      <c r="J947" s="15"/>
      <c r="K947" s="15"/>
      <c r="L947" s="25" t="e">
        <f>AVERAGE(Table11081[[#Headers],[#Data],[UnfBsmt % Base]])</f>
        <v>#DIV/0!</v>
      </c>
      <c r="M947" s="44"/>
      <c r="N947" s="15"/>
      <c r="O947" s="23" t="e">
        <f>AVERAGE(Table11081[LowerVal/SqFt])</f>
        <v>#DIV/0!</v>
      </c>
      <c r="P947" s="24" t="e">
        <f>AVERAGE(Table11081[Lower % Base])</f>
        <v>#DIV/0!</v>
      </c>
      <c r="Q947" s="13"/>
      <c r="R947" s="13"/>
      <c r="S947" s="13"/>
      <c r="T947" s="25" t="e">
        <f>AVERAGE(Table11081[Unf Lower % Base])</f>
        <v>#DIV/0!</v>
      </c>
      <c r="U947" s="12"/>
      <c r="V947" s="13"/>
      <c r="W947" s="13"/>
      <c r="X947" s="25" t="e">
        <f>AVERAGE(Table11081[1/2 Story % Base])</f>
        <v>#DIV/0!</v>
      </c>
      <c r="Y947" s="12"/>
      <c r="Z947" s="13"/>
      <c r="AA947" s="13"/>
      <c r="AB947" s="24">
        <f>AVERAGE(Table11081[2nd Story % Base])</f>
        <v>0.74461968032882042</v>
      </c>
      <c r="AC947" s="13"/>
      <c r="AD947" s="13"/>
      <c r="AE947" s="23">
        <f>AVERAGE(Table11081[AttGarVal/SqFt])</f>
        <v>25.728395061728396</v>
      </c>
      <c r="AF947" s="25">
        <f>AVERAGE(Table11081[Att Gar % Base])</f>
        <v>0.27452743048426337</v>
      </c>
      <c r="AG947" s="12"/>
      <c r="AH947" s="13"/>
      <c r="AI947" s="13"/>
      <c r="AJ947" s="25" t="e">
        <f>AVERAGE(Table11081[Porch % Base])</f>
        <v>#DIV/0!</v>
      </c>
      <c r="AK947" s="12"/>
      <c r="AL947" s="13"/>
      <c r="AM947" s="13"/>
      <c r="AN947" s="25">
        <f>AVERAGE(Table11081[Cov Porch % Base])</f>
        <v>0.28720635331906691</v>
      </c>
      <c r="AO947" s="12"/>
      <c r="AP947" s="13"/>
      <c r="AQ947" s="13"/>
      <c r="AR947" s="25" t="e">
        <f>AVERAGE(Table11081[Deck % Base])</f>
        <v>#DIV/0!</v>
      </c>
      <c r="AS947" s="12"/>
      <c r="AT947" s="13"/>
      <c r="AU947" s="23" t="e">
        <f>AVERAGE(Table11081[CovDeckVal/SqFt])</f>
        <v>#DIV/0!</v>
      </c>
      <c r="AV947" s="25" t="e">
        <f>AVERAGE(Table11081[CovDeck % Base])</f>
        <v>#DIV/0!</v>
      </c>
      <c r="AW947" s="12"/>
      <c r="AX947" s="13"/>
      <c r="AY947" s="13"/>
      <c r="AZ947" s="25" t="e">
        <f>AVERAGE(Table11081[CarP % Base])</f>
        <v>#DIV/0!</v>
      </c>
      <c r="BA947" s="12"/>
      <c r="BB947" s="13"/>
      <c r="BC947" s="13"/>
      <c r="BD947" s="24" t="e">
        <f>AVERAGE(Table11081[EFP % Base])</f>
        <v>#DIV/0!</v>
      </c>
    </row>
    <row r="949" spans="1:56" ht="15.75" thickBot="1" x14ac:dyDescent="0.3">
      <c r="A949" s="84"/>
      <c r="B949" s="74" t="s">
        <v>79</v>
      </c>
      <c r="C949" s="86" t="s">
        <v>180</v>
      </c>
      <c r="D949" s="74"/>
      <c r="E949" s="74" t="s">
        <v>33</v>
      </c>
      <c r="F949" s="75">
        <v>2161</v>
      </c>
      <c r="G949" s="74"/>
      <c r="H949" s="74" t="s">
        <v>181</v>
      </c>
      <c r="I949" s="74"/>
      <c r="J949" s="74" t="s">
        <v>83</v>
      </c>
      <c r="K949" s="75">
        <v>2015</v>
      </c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6"/>
    </row>
    <row r="950" spans="1:56" x14ac:dyDescent="0.25">
      <c r="A950" s="112"/>
      <c r="B950" s="113"/>
      <c r="C950" s="113"/>
      <c r="D950" s="114"/>
      <c r="E950" s="115" t="s">
        <v>27</v>
      </c>
      <c r="F950" s="116"/>
      <c r="G950" s="116"/>
      <c r="H950" s="117"/>
      <c r="I950" s="118" t="s">
        <v>28</v>
      </c>
      <c r="J950" s="119"/>
      <c r="K950" s="119"/>
      <c r="L950" s="120"/>
      <c r="M950" s="121" t="s">
        <v>7</v>
      </c>
      <c r="N950" s="122"/>
      <c r="O950" s="122"/>
      <c r="P950" s="122"/>
      <c r="Q950" s="124" t="s">
        <v>29</v>
      </c>
      <c r="R950" s="125"/>
      <c r="S950" s="125"/>
      <c r="T950" s="126"/>
      <c r="U950" s="128" t="s">
        <v>8</v>
      </c>
      <c r="V950" s="128"/>
      <c r="W950" s="128"/>
      <c r="X950" s="129"/>
      <c r="Y950" s="130" t="s">
        <v>0</v>
      </c>
      <c r="Z950" s="131"/>
      <c r="AA950" s="131"/>
      <c r="AB950" s="132"/>
      <c r="AC950" s="133" t="s">
        <v>34</v>
      </c>
      <c r="AD950" s="134"/>
      <c r="AE950" s="134"/>
      <c r="AF950" s="135"/>
      <c r="AG950" s="115" t="s">
        <v>9</v>
      </c>
      <c r="AH950" s="116"/>
      <c r="AI950" s="116"/>
      <c r="AJ950" s="117"/>
      <c r="AK950" s="136" t="s">
        <v>35</v>
      </c>
      <c r="AL950" s="137"/>
      <c r="AM950" s="137"/>
      <c r="AN950" s="138"/>
      <c r="AO950" s="139" t="s">
        <v>10</v>
      </c>
      <c r="AP950" s="140"/>
      <c r="AQ950" s="140"/>
      <c r="AR950" s="141"/>
      <c r="AS950" s="124" t="s">
        <v>36</v>
      </c>
      <c r="AT950" s="125"/>
      <c r="AU950" s="125"/>
      <c r="AV950" s="126"/>
      <c r="AW950" s="142" t="s">
        <v>11</v>
      </c>
      <c r="AX950" s="143"/>
      <c r="AY950" s="143"/>
      <c r="AZ950" s="144"/>
      <c r="BA950" s="148" t="s">
        <v>17</v>
      </c>
      <c r="BB950" s="149"/>
      <c r="BC950" s="149"/>
      <c r="BD950" s="150"/>
    </row>
    <row r="951" spans="1:56" ht="15.75" thickBot="1" x14ac:dyDescent="0.3">
      <c r="A951" s="41" t="s">
        <v>13</v>
      </c>
      <c r="B951" s="42" t="s">
        <v>15</v>
      </c>
      <c r="C951" s="42" t="s">
        <v>32</v>
      </c>
      <c r="D951" s="43" t="s">
        <v>18</v>
      </c>
      <c r="E951" s="30" t="s">
        <v>30</v>
      </c>
      <c r="F951" s="31" t="s">
        <v>61</v>
      </c>
      <c r="G951" s="31" t="s">
        <v>38</v>
      </c>
      <c r="H951" s="32" t="s">
        <v>62</v>
      </c>
      <c r="I951" s="37" t="s">
        <v>31</v>
      </c>
      <c r="J951" s="38" t="s">
        <v>39</v>
      </c>
      <c r="K951" s="38" t="s">
        <v>40</v>
      </c>
      <c r="L951" s="39" t="s">
        <v>63</v>
      </c>
      <c r="M951" s="40" t="s">
        <v>19</v>
      </c>
      <c r="N951" s="7" t="s">
        <v>41</v>
      </c>
      <c r="O951" s="7" t="s">
        <v>37</v>
      </c>
      <c r="P951" s="7" t="s">
        <v>64</v>
      </c>
      <c r="Q951" s="27" t="s">
        <v>20</v>
      </c>
      <c r="R951" s="28" t="s">
        <v>60</v>
      </c>
      <c r="S951" s="28" t="s">
        <v>59</v>
      </c>
      <c r="T951" s="29" t="s">
        <v>65</v>
      </c>
      <c r="U951" s="48" t="s">
        <v>21</v>
      </c>
      <c r="V951" s="48" t="s">
        <v>42</v>
      </c>
      <c r="W951" s="48" t="s">
        <v>43</v>
      </c>
      <c r="X951" s="49" t="s">
        <v>66</v>
      </c>
      <c r="Y951" s="50" t="s">
        <v>22</v>
      </c>
      <c r="Z951" s="51" t="s">
        <v>44</v>
      </c>
      <c r="AA951" s="51" t="s">
        <v>45</v>
      </c>
      <c r="AB951" s="52" t="s">
        <v>67</v>
      </c>
      <c r="AC951" s="45" t="s">
        <v>23</v>
      </c>
      <c r="AD951" s="46" t="s">
        <v>46</v>
      </c>
      <c r="AE951" s="46" t="s">
        <v>47</v>
      </c>
      <c r="AF951" s="47" t="s">
        <v>68</v>
      </c>
      <c r="AG951" s="30" t="s">
        <v>24</v>
      </c>
      <c r="AH951" s="31" t="s">
        <v>48</v>
      </c>
      <c r="AI951" s="31" t="s">
        <v>49</v>
      </c>
      <c r="AJ951" s="32" t="s">
        <v>69</v>
      </c>
      <c r="AK951" s="53" t="s">
        <v>25</v>
      </c>
      <c r="AL951" s="54" t="s">
        <v>50</v>
      </c>
      <c r="AM951" s="54" t="s">
        <v>51</v>
      </c>
      <c r="AN951" s="55" t="s">
        <v>70</v>
      </c>
      <c r="AO951" s="56" t="s">
        <v>26</v>
      </c>
      <c r="AP951" s="57" t="s">
        <v>52</v>
      </c>
      <c r="AQ951" s="57" t="s">
        <v>53</v>
      </c>
      <c r="AR951" s="58" t="s">
        <v>71</v>
      </c>
      <c r="AS951" s="59" t="s">
        <v>55</v>
      </c>
      <c r="AT951" s="60" t="s">
        <v>54</v>
      </c>
      <c r="AU951" s="60" t="s">
        <v>56</v>
      </c>
      <c r="AV951" s="61" t="s">
        <v>76</v>
      </c>
      <c r="AW951" s="62" t="s">
        <v>72</v>
      </c>
      <c r="AX951" s="63" t="s">
        <v>73</v>
      </c>
      <c r="AY951" s="63" t="s">
        <v>74</v>
      </c>
      <c r="AZ951" s="64" t="s">
        <v>75</v>
      </c>
      <c r="BA951" s="71" t="s">
        <v>77</v>
      </c>
      <c r="BB951" s="72" t="s">
        <v>57</v>
      </c>
      <c r="BC951" s="72" t="s">
        <v>58</v>
      </c>
      <c r="BD951" s="73" t="s">
        <v>78</v>
      </c>
    </row>
    <row r="952" spans="1:56" x14ac:dyDescent="0.25">
      <c r="A952" s="17" t="s">
        <v>1</v>
      </c>
      <c r="B952" s="14">
        <v>99910</v>
      </c>
      <c r="C952" s="34">
        <f>B952/F949</f>
        <v>46.233225358630264</v>
      </c>
      <c r="D952" s="14">
        <v>1525</v>
      </c>
      <c r="E952" s="67">
        <v>0</v>
      </c>
      <c r="F952" s="69">
        <v>0</v>
      </c>
      <c r="G952" s="34" t="e">
        <f t="shared" ref="G952:G958" si="2054">E952/F952</f>
        <v>#DIV/0!</v>
      </c>
      <c r="H952" s="10" t="e">
        <f t="shared" ref="H952:H958" si="2055">G952/C952</f>
        <v>#DIV/0!</v>
      </c>
      <c r="I952" s="34">
        <v>0</v>
      </c>
      <c r="J952" s="69">
        <v>0</v>
      </c>
      <c r="K952" s="34" t="e">
        <f t="shared" ref="K952:K958" si="2056">I952/J952</f>
        <v>#DIV/0!</v>
      </c>
      <c r="L952" s="9" t="e">
        <f t="shared" ref="L952:L958" si="2057">K952/C952</f>
        <v>#DIV/0!</v>
      </c>
      <c r="M952" s="67">
        <v>0</v>
      </c>
      <c r="N952" s="26">
        <v>0</v>
      </c>
      <c r="O952" s="34" t="e">
        <f t="shared" ref="O952:O958" si="2058">M952/N952</f>
        <v>#DIV/0!</v>
      </c>
      <c r="P952" s="10" t="e">
        <f t="shared" ref="P952:P958" si="2059">O952/C952</f>
        <v>#DIV/0!</v>
      </c>
      <c r="Q952" s="35">
        <v>0</v>
      </c>
      <c r="R952" s="66">
        <v>0</v>
      </c>
      <c r="S952" s="35" t="e">
        <f t="shared" ref="S952:S958" si="2060">Q952/R952</f>
        <v>#DIV/0!</v>
      </c>
      <c r="T952" s="6" t="e">
        <f t="shared" ref="T952:T958" si="2061">S952/C952</f>
        <v>#DIV/0!</v>
      </c>
      <c r="U952" s="67">
        <v>0</v>
      </c>
      <c r="V952" s="65">
        <v>0</v>
      </c>
      <c r="W952" s="34" t="e">
        <f t="shared" ref="W952:W958" si="2062">U952/V952</f>
        <v>#DIV/0!</v>
      </c>
      <c r="X952" s="9" t="e">
        <f t="shared" ref="X952:X958" si="2063">W952/C952</f>
        <v>#DIV/0!</v>
      </c>
      <c r="Y952" s="67">
        <v>17520</v>
      </c>
      <c r="Z952" s="69">
        <v>396</v>
      </c>
      <c r="AA952" s="34">
        <f t="shared" ref="AA952:AA958" si="2064">Y952/Z952</f>
        <v>44.242424242424242</v>
      </c>
      <c r="AB952" s="10">
        <f t="shared" ref="AB952:AB958" si="2065">AA952/C952</f>
        <v>0.95694003390930626</v>
      </c>
      <c r="AC952" s="34">
        <v>10020</v>
      </c>
      <c r="AD952" s="33">
        <v>704</v>
      </c>
      <c r="AE952" s="34">
        <f t="shared" ref="AE952:AE958" si="2066">AC952/AD952</f>
        <v>14.232954545454545</v>
      </c>
      <c r="AF952" s="9">
        <f t="shared" ref="AF952:AF958" si="2067">AE952/C952</f>
        <v>0.30785121381971048</v>
      </c>
      <c r="AG952" s="67">
        <v>0</v>
      </c>
      <c r="AH952" s="65">
        <v>0</v>
      </c>
      <c r="AI952" s="34" t="e">
        <f t="shared" ref="AI952:AI958" si="2068">AG952/AH952</f>
        <v>#DIV/0!</v>
      </c>
      <c r="AJ952" s="9" t="e">
        <f t="shared" ref="AJ952:AJ958" si="2069">AI952/C952</f>
        <v>#DIV/0!</v>
      </c>
      <c r="AK952" s="67">
        <v>1050</v>
      </c>
      <c r="AL952" s="65">
        <v>124</v>
      </c>
      <c r="AM952" s="34">
        <f t="shared" ref="AM952:AM958" si="2070">AK952/AL952</f>
        <v>8.4677419354838701</v>
      </c>
      <c r="AN952" s="9">
        <f t="shared" ref="AN952:AN958" si="2071">AM952/C952</f>
        <v>0.18315274069242962</v>
      </c>
      <c r="AO952" s="67">
        <v>0</v>
      </c>
      <c r="AP952" s="65">
        <v>0</v>
      </c>
      <c r="AQ952" s="34" t="e">
        <f t="shared" ref="AQ952:AQ958" si="2072">AO952/AP952</f>
        <v>#DIV/0!</v>
      </c>
      <c r="AR952" s="9" t="e">
        <f t="shared" ref="AR952:AR958" si="2073">AQ952/C952</f>
        <v>#DIV/0!</v>
      </c>
      <c r="AS952" s="67">
        <v>0</v>
      </c>
      <c r="AT952" s="65">
        <v>0</v>
      </c>
      <c r="AU952" s="34" t="e">
        <f t="shared" ref="AU952:AU958" si="2074">AS952/AT952</f>
        <v>#DIV/0!</v>
      </c>
      <c r="AV952" s="9" t="e">
        <f t="shared" ref="AV952:AV958" si="2075">AU952/C952</f>
        <v>#DIV/0!</v>
      </c>
      <c r="AW952" s="67">
        <v>0</v>
      </c>
      <c r="AX952" s="65">
        <v>0</v>
      </c>
      <c r="AY952" s="34" t="e">
        <f t="shared" ref="AY952:AY958" si="2076">AW952/AX952</f>
        <v>#DIV/0!</v>
      </c>
      <c r="AZ952" s="9" t="e">
        <f t="shared" ref="AZ952:AZ958" si="2077">AY952/C952</f>
        <v>#DIV/0!</v>
      </c>
      <c r="BA952" s="67">
        <v>0</v>
      </c>
      <c r="BB952" s="65">
        <v>0</v>
      </c>
      <c r="BC952" s="34" t="e">
        <f t="shared" ref="BC952:BC958" si="2078">BA952/BB952</f>
        <v>#DIV/0!</v>
      </c>
      <c r="BD952" s="10" t="e">
        <f t="shared" ref="BD952:BD958" si="2079">BC952/C952</f>
        <v>#DIV/0!</v>
      </c>
    </row>
    <row r="953" spans="1:56" x14ac:dyDescent="0.25">
      <c r="A953" s="19" t="s">
        <v>16</v>
      </c>
      <c r="B953" s="8">
        <v>117450</v>
      </c>
      <c r="C953" s="35">
        <f>B953/F949</f>
        <v>54.349838037945396</v>
      </c>
      <c r="D953" s="8">
        <v>1525</v>
      </c>
      <c r="E953" s="68">
        <v>0</v>
      </c>
      <c r="F953" s="70">
        <v>0</v>
      </c>
      <c r="G953" s="35" t="e">
        <f t="shared" si="2054"/>
        <v>#DIV/0!</v>
      </c>
      <c r="H953" s="11" t="e">
        <f t="shared" si="2055"/>
        <v>#DIV/0!</v>
      </c>
      <c r="I953" s="35">
        <v>0</v>
      </c>
      <c r="J953" s="70">
        <v>0</v>
      </c>
      <c r="K953" s="35" t="e">
        <f t="shared" si="2056"/>
        <v>#DIV/0!</v>
      </c>
      <c r="L953" s="6" t="e">
        <f t="shared" si="2057"/>
        <v>#DIV/0!</v>
      </c>
      <c r="M953" s="68">
        <v>0</v>
      </c>
      <c r="N953" s="5">
        <v>0</v>
      </c>
      <c r="O953" s="35" t="e">
        <f t="shared" si="2058"/>
        <v>#DIV/0!</v>
      </c>
      <c r="P953" s="11" t="e">
        <f t="shared" si="2059"/>
        <v>#DIV/0!</v>
      </c>
      <c r="Q953" s="35">
        <v>0</v>
      </c>
      <c r="R953" s="66">
        <v>0</v>
      </c>
      <c r="S953" s="35" t="e">
        <f t="shared" si="2060"/>
        <v>#DIV/0!</v>
      </c>
      <c r="T953" s="6" t="e">
        <f t="shared" si="2061"/>
        <v>#DIV/0!</v>
      </c>
      <c r="U953" s="68">
        <v>0</v>
      </c>
      <c r="V953" s="66">
        <v>0</v>
      </c>
      <c r="W953" s="35" t="e">
        <f t="shared" si="2062"/>
        <v>#DIV/0!</v>
      </c>
      <c r="X953" s="6" t="e">
        <f t="shared" si="2063"/>
        <v>#DIV/0!</v>
      </c>
      <c r="Y953" s="68">
        <v>24680</v>
      </c>
      <c r="Z953" s="70">
        <v>396</v>
      </c>
      <c r="AA953" s="35">
        <f t="shared" si="2064"/>
        <v>62.323232323232325</v>
      </c>
      <c r="AB953" s="11">
        <f t="shared" si="2065"/>
        <v>1.146705023844232</v>
      </c>
      <c r="AC953" s="35">
        <v>13170</v>
      </c>
      <c r="AD953" s="36">
        <v>704</v>
      </c>
      <c r="AE953" s="35">
        <f t="shared" si="2066"/>
        <v>18.707386363636363</v>
      </c>
      <c r="AF953" s="6">
        <f t="shared" si="2067"/>
        <v>0.34420316672471846</v>
      </c>
      <c r="AG953" s="68">
        <v>0</v>
      </c>
      <c r="AH953" s="66">
        <v>0</v>
      </c>
      <c r="AI953" s="35" t="e">
        <f t="shared" si="2068"/>
        <v>#DIV/0!</v>
      </c>
      <c r="AJ953" s="6" t="e">
        <f t="shared" si="2069"/>
        <v>#DIV/0!</v>
      </c>
      <c r="AK953" s="68">
        <v>1450</v>
      </c>
      <c r="AL953" s="66">
        <v>124</v>
      </c>
      <c r="AM953" s="35">
        <f t="shared" si="2070"/>
        <v>11.693548387096774</v>
      </c>
      <c r="AN953" s="6">
        <f t="shared" si="2071"/>
        <v>0.21515332536837914</v>
      </c>
      <c r="AO953" s="68">
        <v>0</v>
      </c>
      <c r="AP953" s="66">
        <v>0</v>
      </c>
      <c r="AQ953" s="35" t="e">
        <f t="shared" si="2072"/>
        <v>#DIV/0!</v>
      </c>
      <c r="AR953" s="6" t="e">
        <f t="shared" si="2073"/>
        <v>#DIV/0!</v>
      </c>
      <c r="AS953" s="68">
        <v>0</v>
      </c>
      <c r="AT953" s="66">
        <v>0</v>
      </c>
      <c r="AU953" s="35" t="e">
        <f t="shared" si="2074"/>
        <v>#DIV/0!</v>
      </c>
      <c r="AV953" s="6" t="e">
        <f t="shared" si="2075"/>
        <v>#DIV/0!</v>
      </c>
      <c r="AW953" s="68">
        <v>0</v>
      </c>
      <c r="AX953" s="66">
        <v>0</v>
      </c>
      <c r="AY953" s="35" t="e">
        <f t="shared" si="2076"/>
        <v>#DIV/0!</v>
      </c>
      <c r="AZ953" s="6" t="e">
        <f t="shared" si="2077"/>
        <v>#DIV/0!</v>
      </c>
      <c r="BA953" s="68">
        <v>0</v>
      </c>
      <c r="BB953" s="66">
        <v>0</v>
      </c>
      <c r="BC953" s="35" t="e">
        <f t="shared" si="2078"/>
        <v>#DIV/0!</v>
      </c>
      <c r="BD953" s="11" t="e">
        <f t="shared" si="2079"/>
        <v>#DIV/0!</v>
      </c>
    </row>
    <row r="954" spans="1:56" x14ac:dyDescent="0.25">
      <c r="A954" s="19" t="s">
        <v>2</v>
      </c>
      <c r="B954" s="8">
        <v>136730</v>
      </c>
      <c r="C954" s="35">
        <f>B954/F949</f>
        <v>63.27163350300787</v>
      </c>
      <c r="D954" s="8">
        <v>2100</v>
      </c>
      <c r="E954" s="68">
        <v>0</v>
      </c>
      <c r="F954" s="70">
        <v>0</v>
      </c>
      <c r="G954" s="35" t="e">
        <f t="shared" si="2054"/>
        <v>#DIV/0!</v>
      </c>
      <c r="H954" s="11" t="e">
        <f t="shared" si="2055"/>
        <v>#DIV/0!</v>
      </c>
      <c r="I954" s="35">
        <v>0</v>
      </c>
      <c r="J954" s="70">
        <v>0</v>
      </c>
      <c r="K954" s="35" t="e">
        <f t="shared" si="2056"/>
        <v>#DIV/0!</v>
      </c>
      <c r="L954" s="6" t="e">
        <f t="shared" si="2057"/>
        <v>#DIV/0!</v>
      </c>
      <c r="M954" s="68">
        <v>0</v>
      </c>
      <c r="N954" s="5">
        <v>0</v>
      </c>
      <c r="O954" s="35" t="e">
        <f t="shared" si="2058"/>
        <v>#DIV/0!</v>
      </c>
      <c r="P954" s="11" t="e">
        <f t="shared" si="2059"/>
        <v>#DIV/0!</v>
      </c>
      <c r="Q954" s="35">
        <v>0</v>
      </c>
      <c r="R954" s="66">
        <v>0</v>
      </c>
      <c r="S954" s="35" t="e">
        <f t="shared" si="2060"/>
        <v>#DIV/0!</v>
      </c>
      <c r="T954" s="6" t="e">
        <f t="shared" si="2061"/>
        <v>#DIV/0!</v>
      </c>
      <c r="U954" s="68">
        <v>0</v>
      </c>
      <c r="V954" s="66">
        <v>0</v>
      </c>
      <c r="W954" s="35" t="e">
        <f t="shared" si="2062"/>
        <v>#DIV/0!</v>
      </c>
      <c r="X954" s="6" t="e">
        <f t="shared" si="2063"/>
        <v>#DIV/0!</v>
      </c>
      <c r="Y954" s="68">
        <v>28440</v>
      </c>
      <c r="Z954" s="70">
        <v>396</v>
      </c>
      <c r="AA954" s="35">
        <f t="shared" si="2064"/>
        <v>71.818181818181813</v>
      </c>
      <c r="AB954" s="11">
        <f t="shared" si="2065"/>
        <v>1.1350770928771365</v>
      </c>
      <c r="AC954" s="35">
        <v>17010</v>
      </c>
      <c r="AD954" s="36">
        <v>704</v>
      </c>
      <c r="AE954" s="35">
        <f t="shared" si="2066"/>
        <v>24.161931818181817</v>
      </c>
      <c r="AF954" s="6">
        <f t="shared" si="2067"/>
        <v>0.38187621340664746</v>
      </c>
      <c r="AG954" s="68">
        <v>0</v>
      </c>
      <c r="AH954" s="66">
        <v>0</v>
      </c>
      <c r="AI954" s="35" t="e">
        <f t="shared" si="2068"/>
        <v>#DIV/0!</v>
      </c>
      <c r="AJ954" s="6" t="e">
        <f t="shared" si="2069"/>
        <v>#DIV/0!</v>
      </c>
      <c r="AK954" s="68">
        <v>1680</v>
      </c>
      <c r="AL954" s="66">
        <v>124</v>
      </c>
      <c r="AM954" s="35">
        <f t="shared" si="2070"/>
        <v>13.548387096774194</v>
      </c>
      <c r="AN954" s="6">
        <f t="shared" si="2071"/>
        <v>0.21413050915036225</v>
      </c>
      <c r="AO954" s="68">
        <v>0</v>
      </c>
      <c r="AP954" s="66">
        <v>0</v>
      </c>
      <c r="AQ954" s="35" t="e">
        <f t="shared" si="2072"/>
        <v>#DIV/0!</v>
      </c>
      <c r="AR954" s="6" t="e">
        <f t="shared" si="2073"/>
        <v>#DIV/0!</v>
      </c>
      <c r="AS954" s="68">
        <v>0</v>
      </c>
      <c r="AT954" s="66">
        <v>0</v>
      </c>
      <c r="AU954" s="35" t="e">
        <f t="shared" si="2074"/>
        <v>#DIV/0!</v>
      </c>
      <c r="AV954" s="6" t="e">
        <f t="shared" si="2075"/>
        <v>#DIV/0!</v>
      </c>
      <c r="AW954" s="68">
        <v>0</v>
      </c>
      <c r="AX954" s="66">
        <v>0</v>
      </c>
      <c r="AY954" s="35" t="e">
        <f t="shared" si="2076"/>
        <v>#DIV/0!</v>
      </c>
      <c r="AZ954" s="6" t="e">
        <f t="shared" si="2077"/>
        <v>#DIV/0!</v>
      </c>
      <c r="BA954" s="68">
        <v>0</v>
      </c>
      <c r="BB954" s="66">
        <v>0</v>
      </c>
      <c r="BC954" s="35" t="e">
        <f t="shared" si="2078"/>
        <v>#DIV/0!</v>
      </c>
      <c r="BD954" s="11" t="e">
        <f t="shared" si="2079"/>
        <v>#DIV/0!</v>
      </c>
    </row>
    <row r="955" spans="1:56" x14ac:dyDescent="0.25">
      <c r="A955" s="19" t="s">
        <v>3</v>
      </c>
      <c r="B955" s="8">
        <v>169440</v>
      </c>
      <c r="C955" s="35">
        <f>B955/F949</f>
        <v>78.408144377602966</v>
      </c>
      <c r="D955" s="8">
        <v>2700</v>
      </c>
      <c r="E955" s="68">
        <v>0</v>
      </c>
      <c r="F955" s="70">
        <v>0</v>
      </c>
      <c r="G955" s="35" t="e">
        <f t="shared" si="2054"/>
        <v>#DIV/0!</v>
      </c>
      <c r="H955" s="11" t="e">
        <f t="shared" si="2055"/>
        <v>#DIV/0!</v>
      </c>
      <c r="I955" s="35">
        <v>0</v>
      </c>
      <c r="J955" s="70">
        <v>0</v>
      </c>
      <c r="K955" s="35" t="e">
        <f t="shared" si="2056"/>
        <v>#DIV/0!</v>
      </c>
      <c r="L955" s="6" t="e">
        <f t="shared" si="2057"/>
        <v>#DIV/0!</v>
      </c>
      <c r="M955" s="68">
        <v>0</v>
      </c>
      <c r="N955" s="5">
        <v>0</v>
      </c>
      <c r="O955" s="35" t="e">
        <f t="shared" si="2058"/>
        <v>#DIV/0!</v>
      </c>
      <c r="P955" s="11" t="e">
        <f t="shared" si="2059"/>
        <v>#DIV/0!</v>
      </c>
      <c r="Q955" s="35">
        <v>0</v>
      </c>
      <c r="R955" s="66">
        <v>0</v>
      </c>
      <c r="S955" s="35" t="e">
        <f t="shared" si="2060"/>
        <v>#DIV/0!</v>
      </c>
      <c r="T955" s="6" t="e">
        <f t="shared" si="2061"/>
        <v>#DIV/0!</v>
      </c>
      <c r="U955" s="68">
        <v>0</v>
      </c>
      <c r="V955" s="66">
        <v>0</v>
      </c>
      <c r="W955" s="35" t="e">
        <f t="shared" si="2062"/>
        <v>#DIV/0!</v>
      </c>
      <c r="X955" s="6" t="e">
        <f t="shared" si="2063"/>
        <v>#DIV/0!</v>
      </c>
      <c r="Y955" s="68">
        <v>28360</v>
      </c>
      <c r="Z955" s="70">
        <v>396</v>
      </c>
      <c r="AA955" s="35">
        <f t="shared" si="2064"/>
        <v>71.616161616161619</v>
      </c>
      <c r="AB955" s="11">
        <f t="shared" si="2065"/>
        <v>0.91337656546580059</v>
      </c>
      <c r="AC955" s="35">
        <v>18120</v>
      </c>
      <c r="AD955" s="36">
        <v>704</v>
      </c>
      <c r="AE955" s="35">
        <f t="shared" si="2066"/>
        <v>25.738636363636363</v>
      </c>
      <c r="AF955" s="6">
        <f t="shared" si="2067"/>
        <v>0.32826483228174091</v>
      </c>
      <c r="AG955" s="68">
        <v>0</v>
      </c>
      <c r="AH955" s="66">
        <v>0</v>
      </c>
      <c r="AI955" s="35" t="e">
        <f t="shared" si="2068"/>
        <v>#DIV/0!</v>
      </c>
      <c r="AJ955" s="6" t="e">
        <f t="shared" si="2069"/>
        <v>#DIV/0!</v>
      </c>
      <c r="AK955" s="68">
        <v>2210</v>
      </c>
      <c r="AL955" s="66">
        <v>124</v>
      </c>
      <c r="AM955" s="35">
        <f t="shared" si="2070"/>
        <v>17.822580645161292</v>
      </c>
      <c r="AN955" s="6">
        <f t="shared" si="2071"/>
        <v>0.22730522175515552</v>
      </c>
      <c r="AO955" s="68">
        <v>0</v>
      </c>
      <c r="AP955" s="66">
        <v>0</v>
      </c>
      <c r="AQ955" s="35" t="e">
        <f t="shared" si="2072"/>
        <v>#DIV/0!</v>
      </c>
      <c r="AR955" s="6" t="e">
        <f t="shared" si="2073"/>
        <v>#DIV/0!</v>
      </c>
      <c r="AS955" s="68">
        <v>0</v>
      </c>
      <c r="AT955" s="66">
        <v>0</v>
      </c>
      <c r="AU955" s="35" t="e">
        <f t="shared" si="2074"/>
        <v>#DIV/0!</v>
      </c>
      <c r="AV955" s="6" t="e">
        <f t="shared" si="2075"/>
        <v>#DIV/0!</v>
      </c>
      <c r="AW955" s="68">
        <v>0</v>
      </c>
      <c r="AX955" s="66">
        <v>0</v>
      </c>
      <c r="AY955" s="35" t="e">
        <f t="shared" si="2076"/>
        <v>#DIV/0!</v>
      </c>
      <c r="AZ955" s="6" t="e">
        <f t="shared" si="2077"/>
        <v>#DIV/0!</v>
      </c>
      <c r="BA955" s="68">
        <v>0</v>
      </c>
      <c r="BB955" s="66">
        <v>0</v>
      </c>
      <c r="BC955" s="35" t="e">
        <f t="shared" si="2078"/>
        <v>#DIV/0!</v>
      </c>
      <c r="BD955" s="11" t="e">
        <f t="shared" si="2079"/>
        <v>#DIV/0!</v>
      </c>
    </row>
    <row r="956" spans="1:56" x14ac:dyDescent="0.25">
      <c r="A956" s="19" t="s">
        <v>4</v>
      </c>
      <c r="B956" s="8">
        <v>209190</v>
      </c>
      <c r="C956" s="35">
        <f>B956/F949</f>
        <v>96.802406293382688</v>
      </c>
      <c r="D956" s="8">
        <v>5250</v>
      </c>
      <c r="E956" s="68">
        <v>0</v>
      </c>
      <c r="F956" s="70">
        <v>0</v>
      </c>
      <c r="G956" s="35" t="e">
        <f t="shared" si="2054"/>
        <v>#DIV/0!</v>
      </c>
      <c r="H956" s="11" t="e">
        <f t="shared" si="2055"/>
        <v>#DIV/0!</v>
      </c>
      <c r="I956" s="35">
        <v>0</v>
      </c>
      <c r="J956" s="70">
        <v>0</v>
      </c>
      <c r="K956" s="35" t="e">
        <f t="shared" si="2056"/>
        <v>#DIV/0!</v>
      </c>
      <c r="L956" s="6" t="e">
        <f t="shared" si="2057"/>
        <v>#DIV/0!</v>
      </c>
      <c r="M956" s="68">
        <v>0</v>
      </c>
      <c r="N956" s="5">
        <v>0</v>
      </c>
      <c r="O956" s="35" t="e">
        <f t="shared" si="2058"/>
        <v>#DIV/0!</v>
      </c>
      <c r="P956" s="11" t="e">
        <f t="shared" si="2059"/>
        <v>#DIV/0!</v>
      </c>
      <c r="Q956" s="35">
        <v>0</v>
      </c>
      <c r="R956" s="66">
        <v>0</v>
      </c>
      <c r="S956" s="35" t="e">
        <f t="shared" si="2060"/>
        <v>#DIV/0!</v>
      </c>
      <c r="T956" s="6" t="e">
        <f t="shared" si="2061"/>
        <v>#DIV/0!</v>
      </c>
      <c r="U956" s="68">
        <v>0</v>
      </c>
      <c r="V956" s="66">
        <v>0</v>
      </c>
      <c r="W956" s="35" t="e">
        <f t="shared" si="2062"/>
        <v>#DIV/0!</v>
      </c>
      <c r="X956" s="6" t="e">
        <f t="shared" si="2063"/>
        <v>#DIV/0!</v>
      </c>
      <c r="Y956" s="68">
        <v>34750</v>
      </c>
      <c r="Z956" s="70">
        <v>396</v>
      </c>
      <c r="AA956" s="35">
        <f t="shared" si="2064"/>
        <v>87.752525252525245</v>
      </c>
      <c r="AB956" s="11">
        <f t="shared" si="2065"/>
        <v>0.90651181734646524</v>
      </c>
      <c r="AC956" s="35">
        <v>20600</v>
      </c>
      <c r="AD956" s="36">
        <v>704</v>
      </c>
      <c r="AE956" s="35">
        <f t="shared" si="2066"/>
        <v>29.261363636363637</v>
      </c>
      <c r="AF956" s="6">
        <f t="shared" si="2067"/>
        <v>0.30227930024466665</v>
      </c>
      <c r="AG956" s="68">
        <v>0</v>
      </c>
      <c r="AH956" s="66">
        <v>0</v>
      </c>
      <c r="AI956" s="35" t="e">
        <f t="shared" si="2068"/>
        <v>#DIV/0!</v>
      </c>
      <c r="AJ956" s="6" t="e">
        <f t="shared" si="2069"/>
        <v>#DIV/0!</v>
      </c>
      <c r="AK956" s="68">
        <v>2410</v>
      </c>
      <c r="AL956" s="66">
        <v>124</v>
      </c>
      <c r="AM956" s="35">
        <f t="shared" si="2070"/>
        <v>19.43548387096774</v>
      </c>
      <c r="AN956" s="6">
        <f t="shared" si="2071"/>
        <v>0.20077480111459098</v>
      </c>
      <c r="AO956" s="68">
        <v>0</v>
      </c>
      <c r="AP956" s="66">
        <v>0</v>
      </c>
      <c r="AQ956" s="35" t="e">
        <f t="shared" si="2072"/>
        <v>#DIV/0!</v>
      </c>
      <c r="AR956" s="6" t="e">
        <f t="shared" si="2073"/>
        <v>#DIV/0!</v>
      </c>
      <c r="AS956" s="68">
        <v>0</v>
      </c>
      <c r="AT956" s="66">
        <v>0</v>
      </c>
      <c r="AU956" s="35" t="e">
        <f t="shared" si="2074"/>
        <v>#DIV/0!</v>
      </c>
      <c r="AV956" s="6" t="e">
        <f t="shared" si="2075"/>
        <v>#DIV/0!</v>
      </c>
      <c r="AW956" s="68">
        <v>0</v>
      </c>
      <c r="AX956" s="66">
        <v>0</v>
      </c>
      <c r="AY956" s="35" t="e">
        <f t="shared" si="2076"/>
        <v>#DIV/0!</v>
      </c>
      <c r="AZ956" s="6" t="e">
        <f t="shared" si="2077"/>
        <v>#DIV/0!</v>
      </c>
      <c r="BA956" s="68">
        <v>0</v>
      </c>
      <c r="BB956" s="66">
        <v>0</v>
      </c>
      <c r="BC956" s="35" t="e">
        <f t="shared" si="2078"/>
        <v>#DIV/0!</v>
      </c>
      <c r="BD956" s="11" t="e">
        <f t="shared" si="2079"/>
        <v>#DIV/0!</v>
      </c>
    </row>
    <row r="957" spans="1:56" x14ac:dyDescent="0.25">
      <c r="A957" s="19" t="s">
        <v>5</v>
      </c>
      <c r="B957" s="8">
        <v>280410</v>
      </c>
      <c r="C957" s="35">
        <f>B957/F949</f>
        <v>129.75937066173069</v>
      </c>
      <c r="D957" s="8">
        <v>7050</v>
      </c>
      <c r="E957" s="68">
        <v>0</v>
      </c>
      <c r="F957" s="70">
        <v>0</v>
      </c>
      <c r="G957" s="35" t="e">
        <f t="shared" si="2054"/>
        <v>#DIV/0!</v>
      </c>
      <c r="H957" s="11" t="e">
        <f t="shared" si="2055"/>
        <v>#DIV/0!</v>
      </c>
      <c r="I957" s="35">
        <v>0</v>
      </c>
      <c r="J957" s="70">
        <v>0</v>
      </c>
      <c r="K957" s="35" t="e">
        <f t="shared" si="2056"/>
        <v>#DIV/0!</v>
      </c>
      <c r="L957" s="6" t="e">
        <f t="shared" si="2057"/>
        <v>#DIV/0!</v>
      </c>
      <c r="M957" s="68">
        <v>0</v>
      </c>
      <c r="N957" s="5">
        <v>0</v>
      </c>
      <c r="O957" s="35" t="e">
        <f t="shared" si="2058"/>
        <v>#DIV/0!</v>
      </c>
      <c r="P957" s="11" t="e">
        <f t="shared" si="2059"/>
        <v>#DIV/0!</v>
      </c>
      <c r="Q957" s="35">
        <v>0</v>
      </c>
      <c r="R957" s="66">
        <v>0</v>
      </c>
      <c r="S957" s="35" t="e">
        <f t="shared" si="2060"/>
        <v>#DIV/0!</v>
      </c>
      <c r="T957" s="6" t="e">
        <f t="shared" si="2061"/>
        <v>#DIV/0!</v>
      </c>
      <c r="U957" s="68">
        <v>0</v>
      </c>
      <c r="V957" s="66">
        <v>0</v>
      </c>
      <c r="W957" s="35" t="e">
        <f t="shared" si="2062"/>
        <v>#DIV/0!</v>
      </c>
      <c r="X957" s="6" t="e">
        <f t="shared" si="2063"/>
        <v>#DIV/0!</v>
      </c>
      <c r="Y957" s="68">
        <v>45390</v>
      </c>
      <c r="Z957" s="70">
        <v>396</v>
      </c>
      <c r="AA957" s="35">
        <f t="shared" si="2064"/>
        <v>114.62121212121212</v>
      </c>
      <c r="AB957" s="11">
        <f t="shared" si="2065"/>
        <v>0.8833366834062244</v>
      </c>
      <c r="AC957" s="35">
        <v>22110</v>
      </c>
      <c r="AD957" s="36">
        <v>704</v>
      </c>
      <c r="AE957" s="35">
        <f t="shared" si="2066"/>
        <v>31.40625</v>
      </c>
      <c r="AF957" s="6">
        <f t="shared" si="2067"/>
        <v>0.24203454316893119</v>
      </c>
      <c r="AG957" s="68">
        <v>0</v>
      </c>
      <c r="AH957" s="66">
        <v>0</v>
      </c>
      <c r="AI957" s="35" t="e">
        <f t="shared" si="2068"/>
        <v>#DIV/0!</v>
      </c>
      <c r="AJ957" s="6" t="e">
        <f t="shared" si="2069"/>
        <v>#DIV/0!</v>
      </c>
      <c r="AK957" s="68">
        <v>2970</v>
      </c>
      <c r="AL957" s="66">
        <v>124</v>
      </c>
      <c r="AM957" s="35">
        <f t="shared" si="2070"/>
        <v>23.951612903225808</v>
      </c>
      <c r="AN957" s="6">
        <f t="shared" si="2071"/>
        <v>0.18458484178121667</v>
      </c>
      <c r="AO957" s="68">
        <v>0</v>
      </c>
      <c r="AP957" s="66">
        <v>0</v>
      </c>
      <c r="AQ957" s="35" t="e">
        <f t="shared" si="2072"/>
        <v>#DIV/0!</v>
      </c>
      <c r="AR957" s="6" t="e">
        <f t="shared" si="2073"/>
        <v>#DIV/0!</v>
      </c>
      <c r="AS957" s="68">
        <v>0</v>
      </c>
      <c r="AT957" s="66">
        <v>0</v>
      </c>
      <c r="AU957" s="35" t="e">
        <f t="shared" si="2074"/>
        <v>#DIV/0!</v>
      </c>
      <c r="AV957" s="6" t="e">
        <f t="shared" si="2075"/>
        <v>#DIV/0!</v>
      </c>
      <c r="AW957" s="68">
        <v>0</v>
      </c>
      <c r="AX957" s="66">
        <v>0</v>
      </c>
      <c r="AY957" s="35" t="e">
        <f t="shared" si="2076"/>
        <v>#DIV/0!</v>
      </c>
      <c r="AZ957" s="6" t="e">
        <f t="shared" si="2077"/>
        <v>#DIV/0!</v>
      </c>
      <c r="BA957" s="68">
        <v>0</v>
      </c>
      <c r="BB957" s="66">
        <v>0</v>
      </c>
      <c r="BC957" s="35" t="e">
        <f t="shared" si="2078"/>
        <v>#DIV/0!</v>
      </c>
      <c r="BD957" s="11" t="e">
        <f t="shared" si="2079"/>
        <v>#DIV/0!</v>
      </c>
    </row>
    <row r="958" spans="1:56" x14ac:dyDescent="0.25">
      <c r="A958" s="19" t="s">
        <v>6</v>
      </c>
      <c r="B958" s="8">
        <v>337840</v>
      </c>
      <c r="C958" s="35">
        <f>B958/F949</f>
        <v>156.33503007866727</v>
      </c>
      <c r="D958" s="8">
        <v>10950</v>
      </c>
      <c r="E958" s="68">
        <v>0</v>
      </c>
      <c r="F958" s="70">
        <v>0</v>
      </c>
      <c r="G958" s="35" t="e">
        <f t="shared" si="2054"/>
        <v>#DIV/0!</v>
      </c>
      <c r="H958" s="11" t="e">
        <f t="shared" si="2055"/>
        <v>#DIV/0!</v>
      </c>
      <c r="I958" s="35">
        <v>0</v>
      </c>
      <c r="J958" s="70">
        <v>0</v>
      </c>
      <c r="K958" s="35" t="e">
        <f t="shared" si="2056"/>
        <v>#DIV/0!</v>
      </c>
      <c r="L958" s="6" t="e">
        <f t="shared" si="2057"/>
        <v>#DIV/0!</v>
      </c>
      <c r="M958" s="68">
        <v>0</v>
      </c>
      <c r="N958" s="5">
        <v>0</v>
      </c>
      <c r="O958" s="35" t="e">
        <f t="shared" si="2058"/>
        <v>#DIV/0!</v>
      </c>
      <c r="P958" s="11" t="e">
        <f t="shared" si="2059"/>
        <v>#DIV/0!</v>
      </c>
      <c r="Q958" s="35">
        <v>0</v>
      </c>
      <c r="R958" s="66">
        <v>0</v>
      </c>
      <c r="S958" s="35" t="e">
        <f t="shared" si="2060"/>
        <v>#DIV/0!</v>
      </c>
      <c r="T958" s="6" t="e">
        <f t="shared" si="2061"/>
        <v>#DIV/0!</v>
      </c>
      <c r="U958" s="68">
        <v>0</v>
      </c>
      <c r="V958" s="66">
        <v>0</v>
      </c>
      <c r="W958" s="35" t="e">
        <f t="shared" si="2062"/>
        <v>#DIV/0!</v>
      </c>
      <c r="X958" s="6" t="e">
        <f t="shared" si="2063"/>
        <v>#DIV/0!</v>
      </c>
      <c r="Y958" s="68">
        <v>49710</v>
      </c>
      <c r="Z958" s="70">
        <v>396</v>
      </c>
      <c r="AA958" s="35">
        <f t="shared" si="2064"/>
        <v>125.53030303030303</v>
      </c>
      <c r="AB958" s="11">
        <f t="shared" si="2065"/>
        <v>0.80295697622686735</v>
      </c>
      <c r="AC958" s="35">
        <v>32000</v>
      </c>
      <c r="AD958" s="36">
        <v>704</v>
      </c>
      <c r="AE958" s="35">
        <f t="shared" si="2066"/>
        <v>45.454545454545453</v>
      </c>
      <c r="AF958" s="6">
        <f t="shared" si="2067"/>
        <v>0.2907508664671819</v>
      </c>
      <c r="AG958" s="68">
        <v>0</v>
      </c>
      <c r="AH958" s="66">
        <v>0</v>
      </c>
      <c r="AI958" s="35" t="e">
        <f t="shared" si="2068"/>
        <v>#DIV/0!</v>
      </c>
      <c r="AJ958" s="6" t="e">
        <f t="shared" si="2069"/>
        <v>#DIV/0!</v>
      </c>
      <c r="AK958" s="68">
        <v>3590</v>
      </c>
      <c r="AL958" s="66">
        <v>124</v>
      </c>
      <c r="AM958" s="35">
        <f t="shared" si="2070"/>
        <v>28.951612903225808</v>
      </c>
      <c r="AN958" s="6">
        <f t="shared" si="2071"/>
        <v>0.18518954381917765</v>
      </c>
      <c r="AO958" s="68">
        <v>0</v>
      </c>
      <c r="AP958" s="66">
        <v>0</v>
      </c>
      <c r="AQ958" s="35" t="e">
        <f t="shared" si="2072"/>
        <v>#DIV/0!</v>
      </c>
      <c r="AR958" s="6" t="e">
        <f t="shared" si="2073"/>
        <v>#DIV/0!</v>
      </c>
      <c r="AS958" s="68">
        <v>0</v>
      </c>
      <c r="AT958" s="66">
        <v>0</v>
      </c>
      <c r="AU958" s="35" t="e">
        <f t="shared" si="2074"/>
        <v>#DIV/0!</v>
      </c>
      <c r="AV958" s="6" t="e">
        <f t="shared" si="2075"/>
        <v>#DIV/0!</v>
      </c>
      <c r="AW958" s="68">
        <v>0</v>
      </c>
      <c r="AX958" s="66">
        <v>0</v>
      </c>
      <c r="AY958" s="35" t="e">
        <f t="shared" si="2076"/>
        <v>#DIV/0!</v>
      </c>
      <c r="AZ958" s="6" t="e">
        <f t="shared" si="2077"/>
        <v>#DIV/0!</v>
      </c>
      <c r="BA958" s="68">
        <v>0</v>
      </c>
      <c r="BB958" s="66">
        <v>0</v>
      </c>
      <c r="BC958" s="35" t="e">
        <f t="shared" si="2078"/>
        <v>#DIV/0!</v>
      </c>
      <c r="BD958" s="11" t="e">
        <f t="shared" si="2079"/>
        <v>#DIV/0!</v>
      </c>
    </row>
    <row r="959" spans="1:56" ht="15.75" thickBot="1" x14ac:dyDescent="0.3">
      <c r="A959" s="21"/>
      <c r="B959" s="22"/>
      <c r="C959" s="23">
        <f>AVERAGE(Table11082[MA $/Sq Ft])</f>
        <v>89.308521187281031</v>
      </c>
      <c r="D959" s="22">
        <f>AVERAGE(Table11082[Basic Allowance])</f>
        <v>4442.8571428571431</v>
      </c>
      <c r="E959" s="16"/>
      <c r="F959" s="22"/>
      <c r="G959" s="15"/>
      <c r="H959" s="24" t="e">
        <f>AVERAGE(Table11082[Bsmt % Base])</f>
        <v>#DIV/0!</v>
      </c>
      <c r="I959" s="15"/>
      <c r="J959" s="15"/>
      <c r="K959" s="15"/>
      <c r="L959" s="25" t="e">
        <f>AVERAGE(Table11082[[#Headers],[#Data],[UnfBsmt % Base]])</f>
        <v>#DIV/0!</v>
      </c>
      <c r="M959" s="44"/>
      <c r="N959" s="15"/>
      <c r="O959" s="23" t="e">
        <f>AVERAGE(Table11082[LowerVal/SqFt])</f>
        <v>#DIV/0!</v>
      </c>
      <c r="P959" s="24" t="e">
        <f>AVERAGE(Table11082[Lower % Base])</f>
        <v>#DIV/0!</v>
      </c>
      <c r="Q959" s="13"/>
      <c r="R959" s="13"/>
      <c r="S959" s="13"/>
      <c r="T959" s="25" t="e">
        <f>AVERAGE(Table11082[Unf Lower % Base])</f>
        <v>#DIV/0!</v>
      </c>
      <c r="U959" s="12"/>
      <c r="V959" s="13"/>
      <c r="W959" s="13"/>
      <c r="X959" s="25" t="e">
        <f>AVERAGE(Table11082[1/2 Story % Base])</f>
        <v>#DIV/0!</v>
      </c>
      <c r="Y959" s="12"/>
      <c r="Z959" s="13"/>
      <c r="AA959" s="13"/>
      <c r="AB959" s="24">
        <f>AVERAGE(Table11082[2nd Story % Base])</f>
        <v>0.96355774186800469</v>
      </c>
      <c r="AC959" s="13"/>
      <c r="AD959" s="13"/>
      <c r="AE959" s="23">
        <f>AVERAGE(Table11082[AttGarVal/SqFt])</f>
        <v>26.994724025974026</v>
      </c>
      <c r="AF959" s="25">
        <f>AVERAGE(Table11082[Att Gar % Base])</f>
        <v>0.31389430515908534</v>
      </c>
      <c r="AG959" s="12"/>
      <c r="AH959" s="13"/>
      <c r="AI959" s="13"/>
      <c r="AJ959" s="25" t="e">
        <f>AVERAGE(Table11082[Porch % Base])</f>
        <v>#DIV/0!</v>
      </c>
      <c r="AK959" s="12"/>
      <c r="AL959" s="13"/>
      <c r="AM959" s="13"/>
      <c r="AN959" s="25">
        <f>AVERAGE(Table11082[Cov Porch % Base])</f>
        <v>0.20147014052590168</v>
      </c>
      <c r="AO959" s="12"/>
      <c r="AP959" s="13"/>
      <c r="AQ959" s="13"/>
      <c r="AR959" s="25" t="e">
        <f>AVERAGE(Table11082[Deck % Base])</f>
        <v>#DIV/0!</v>
      </c>
      <c r="AS959" s="12"/>
      <c r="AT959" s="13"/>
      <c r="AU959" s="23" t="e">
        <f>AVERAGE(Table11082[CovDeckVal/SqFt])</f>
        <v>#DIV/0!</v>
      </c>
      <c r="AV959" s="25" t="e">
        <f>AVERAGE(Table11082[CovDeck % Base])</f>
        <v>#DIV/0!</v>
      </c>
      <c r="AW959" s="12"/>
      <c r="AX959" s="13"/>
      <c r="AY959" s="13"/>
      <c r="AZ959" s="25" t="e">
        <f>AVERAGE(Table11082[CarP % Base])</f>
        <v>#DIV/0!</v>
      </c>
      <c r="BA959" s="12"/>
      <c r="BB959" s="13"/>
      <c r="BC959" s="13"/>
      <c r="BD959" s="24" t="e">
        <f>AVERAGE(Table11082[EFP % Base])</f>
        <v>#DIV/0!</v>
      </c>
    </row>
    <row r="961" spans="1:56" ht="15.75" thickBot="1" x14ac:dyDescent="0.3">
      <c r="A961" s="84"/>
      <c r="B961" s="74" t="s">
        <v>79</v>
      </c>
      <c r="C961" s="86" t="s">
        <v>182</v>
      </c>
      <c r="D961" s="74"/>
      <c r="E961" s="74" t="s">
        <v>33</v>
      </c>
      <c r="F961" s="75">
        <v>2330</v>
      </c>
      <c r="G961" s="74"/>
      <c r="H961" s="74" t="s">
        <v>144</v>
      </c>
      <c r="I961" s="74"/>
      <c r="J961" s="74" t="s">
        <v>83</v>
      </c>
      <c r="K961" s="75">
        <v>2016</v>
      </c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6"/>
    </row>
    <row r="962" spans="1:56" x14ac:dyDescent="0.25">
      <c r="A962" s="112"/>
      <c r="B962" s="113"/>
      <c r="C962" s="113"/>
      <c r="D962" s="114"/>
      <c r="E962" s="115" t="s">
        <v>27</v>
      </c>
      <c r="F962" s="116"/>
      <c r="G962" s="116"/>
      <c r="H962" s="117"/>
      <c r="I962" s="118" t="s">
        <v>28</v>
      </c>
      <c r="J962" s="119"/>
      <c r="K962" s="119"/>
      <c r="L962" s="120"/>
      <c r="M962" s="121" t="s">
        <v>7</v>
      </c>
      <c r="N962" s="122"/>
      <c r="O962" s="122"/>
      <c r="P962" s="122"/>
      <c r="Q962" s="124" t="s">
        <v>29</v>
      </c>
      <c r="R962" s="125"/>
      <c r="S962" s="125"/>
      <c r="T962" s="126"/>
      <c r="U962" s="128" t="s">
        <v>8</v>
      </c>
      <c r="V962" s="128"/>
      <c r="W962" s="128"/>
      <c r="X962" s="129"/>
      <c r="Y962" s="130" t="s">
        <v>0</v>
      </c>
      <c r="Z962" s="131"/>
      <c r="AA962" s="131"/>
      <c r="AB962" s="132"/>
      <c r="AC962" s="133" t="s">
        <v>34</v>
      </c>
      <c r="AD962" s="134"/>
      <c r="AE962" s="134"/>
      <c r="AF962" s="135"/>
      <c r="AG962" s="115" t="s">
        <v>9</v>
      </c>
      <c r="AH962" s="116"/>
      <c r="AI962" s="116"/>
      <c r="AJ962" s="117"/>
      <c r="AK962" s="136" t="s">
        <v>35</v>
      </c>
      <c r="AL962" s="137"/>
      <c r="AM962" s="137"/>
      <c r="AN962" s="138"/>
      <c r="AO962" s="139" t="s">
        <v>10</v>
      </c>
      <c r="AP962" s="140"/>
      <c r="AQ962" s="140"/>
      <c r="AR962" s="141"/>
      <c r="AS962" s="124" t="s">
        <v>36</v>
      </c>
      <c r="AT962" s="125"/>
      <c r="AU962" s="125"/>
      <c r="AV962" s="126"/>
      <c r="AW962" s="142" t="s">
        <v>11</v>
      </c>
      <c r="AX962" s="143"/>
      <c r="AY962" s="143"/>
      <c r="AZ962" s="144"/>
      <c r="BA962" s="148" t="s">
        <v>17</v>
      </c>
      <c r="BB962" s="149"/>
      <c r="BC962" s="149"/>
      <c r="BD962" s="150"/>
    </row>
    <row r="963" spans="1:56" ht="15.75" thickBot="1" x14ac:dyDescent="0.3">
      <c r="A963" s="41" t="s">
        <v>13</v>
      </c>
      <c r="B963" s="42" t="s">
        <v>15</v>
      </c>
      <c r="C963" s="42" t="s">
        <v>32</v>
      </c>
      <c r="D963" s="43" t="s">
        <v>18</v>
      </c>
      <c r="E963" s="30" t="s">
        <v>30</v>
      </c>
      <c r="F963" s="31" t="s">
        <v>61</v>
      </c>
      <c r="G963" s="31" t="s">
        <v>38</v>
      </c>
      <c r="H963" s="32" t="s">
        <v>62</v>
      </c>
      <c r="I963" s="37" t="s">
        <v>31</v>
      </c>
      <c r="J963" s="38" t="s">
        <v>39</v>
      </c>
      <c r="K963" s="38" t="s">
        <v>40</v>
      </c>
      <c r="L963" s="39" t="s">
        <v>63</v>
      </c>
      <c r="M963" s="40" t="s">
        <v>19</v>
      </c>
      <c r="N963" s="7" t="s">
        <v>41</v>
      </c>
      <c r="O963" s="7" t="s">
        <v>37</v>
      </c>
      <c r="P963" s="7" t="s">
        <v>64</v>
      </c>
      <c r="Q963" s="27" t="s">
        <v>20</v>
      </c>
      <c r="R963" s="28" t="s">
        <v>60</v>
      </c>
      <c r="S963" s="28" t="s">
        <v>59</v>
      </c>
      <c r="T963" s="29" t="s">
        <v>65</v>
      </c>
      <c r="U963" s="48" t="s">
        <v>21</v>
      </c>
      <c r="V963" s="48" t="s">
        <v>42</v>
      </c>
      <c r="W963" s="48" t="s">
        <v>43</v>
      </c>
      <c r="X963" s="49" t="s">
        <v>66</v>
      </c>
      <c r="Y963" s="50" t="s">
        <v>22</v>
      </c>
      <c r="Z963" s="51" t="s">
        <v>44</v>
      </c>
      <c r="AA963" s="51" t="s">
        <v>45</v>
      </c>
      <c r="AB963" s="52" t="s">
        <v>67</v>
      </c>
      <c r="AC963" s="45" t="s">
        <v>23</v>
      </c>
      <c r="AD963" s="46" t="s">
        <v>46</v>
      </c>
      <c r="AE963" s="46" t="s">
        <v>47</v>
      </c>
      <c r="AF963" s="47" t="s">
        <v>68</v>
      </c>
      <c r="AG963" s="30" t="s">
        <v>24</v>
      </c>
      <c r="AH963" s="31" t="s">
        <v>48</v>
      </c>
      <c r="AI963" s="31" t="s">
        <v>49</v>
      </c>
      <c r="AJ963" s="32" t="s">
        <v>69</v>
      </c>
      <c r="AK963" s="53" t="s">
        <v>25</v>
      </c>
      <c r="AL963" s="54" t="s">
        <v>50</v>
      </c>
      <c r="AM963" s="54" t="s">
        <v>51</v>
      </c>
      <c r="AN963" s="55" t="s">
        <v>70</v>
      </c>
      <c r="AO963" s="56" t="s">
        <v>26</v>
      </c>
      <c r="AP963" s="57" t="s">
        <v>52</v>
      </c>
      <c r="AQ963" s="57" t="s">
        <v>53</v>
      </c>
      <c r="AR963" s="58" t="s">
        <v>71</v>
      </c>
      <c r="AS963" s="59" t="s">
        <v>55</v>
      </c>
      <c r="AT963" s="60" t="s">
        <v>54</v>
      </c>
      <c r="AU963" s="60" t="s">
        <v>56</v>
      </c>
      <c r="AV963" s="61" t="s">
        <v>76</v>
      </c>
      <c r="AW963" s="62" t="s">
        <v>72</v>
      </c>
      <c r="AX963" s="63" t="s">
        <v>73</v>
      </c>
      <c r="AY963" s="63" t="s">
        <v>74</v>
      </c>
      <c r="AZ963" s="64" t="s">
        <v>75</v>
      </c>
      <c r="BA963" s="71" t="s">
        <v>77</v>
      </c>
      <c r="BB963" s="72" t="s">
        <v>57</v>
      </c>
      <c r="BC963" s="72" t="s">
        <v>58</v>
      </c>
      <c r="BD963" s="73" t="s">
        <v>78</v>
      </c>
    </row>
    <row r="964" spans="1:56" x14ac:dyDescent="0.25">
      <c r="A964" s="17" t="s">
        <v>1</v>
      </c>
      <c r="B964" s="14">
        <v>107180</v>
      </c>
      <c r="C964" s="34">
        <f>B964/F961</f>
        <v>46</v>
      </c>
      <c r="D964" s="14">
        <v>1525</v>
      </c>
      <c r="E964" s="67">
        <v>35860</v>
      </c>
      <c r="F964" s="69">
        <v>1408</v>
      </c>
      <c r="G964" s="34">
        <f t="shared" ref="G964:G970" si="2080">E964/F964</f>
        <v>25.46875</v>
      </c>
      <c r="H964" s="10">
        <f t="shared" ref="H964:H970" si="2081">G964/C964</f>
        <v>0.55366847826086951</v>
      </c>
      <c r="I964" s="34">
        <v>0</v>
      </c>
      <c r="J964" s="69">
        <v>0</v>
      </c>
      <c r="K964" s="34" t="e">
        <f t="shared" ref="K964:K970" si="2082">I964/J964</f>
        <v>#DIV/0!</v>
      </c>
      <c r="L964" s="9" t="e">
        <f t="shared" ref="L964:L970" si="2083">K964/C964</f>
        <v>#DIV/0!</v>
      </c>
      <c r="M964" s="67">
        <v>0</v>
      </c>
      <c r="N964" s="26">
        <v>0</v>
      </c>
      <c r="O964" s="34" t="e">
        <f t="shared" ref="O964:O970" si="2084">M964/N964</f>
        <v>#DIV/0!</v>
      </c>
      <c r="P964" s="10" t="e">
        <f t="shared" ref="P964:P970" si="2085">O964/C964</f>
        <v>#DIV/0!</v>
      </c>
      <c r="Q964" s="35">
        <v>0</v>
      </c>
      <c r="R964" s="66">
        <v>0</v>
      </c>
      <c r="S964" s="35" t="e">
        <f t="shared" ref="S964:S970" si="2086">Q964/R964</f>
        <v>#DIV/0!</v>
      </c>
      <c r="T964" s="6" t="e">
        <f t="shared" ref="T964:T970" si="2087">S964/C964</f>
        <v>#DIV/0!</v>
      </c>
      <c r="U964" s="67">
        <v>0</v>
      </c>
      <c r="V964" s="65">
        <v>0</v>
      </c>
      <c r="W964" s="34" t="e">
        <f t="shared" ref="W964:W970" si="2088">U964/V964</f>
        <v>#DIV/0!</v>
      </c>
      <c r="X964" s="9" t="e">
        <f t="shared" ref="X964:X970" si="2089">W964/C964</f>
        <v>#DIV/0!</v>
      </c>
      <c r="Y964" s="67">
        <v>0</v>
      </c>
      <c r="Z964" s="69">
        <v>0</v>
      </c>
      <c r="AA964" s="34" t="e">
        <f t="shared" ref="AA964:AA970" si="2090">Y964/Z964</f>
        <v>#DIV/0!</v>
      </c>
      <c r="AB964" s="10" t="e">
        <f t="shared" ref="AB964:AB970" si="2091">AA964/C964</f>
        <v>#DIV/0!</v>
      </c>
      <c r="AC964" s="34">
        <v>10770</v>
      </c>
      <c r="AD964" s="33">
        <v>768</v>
      </c>
      <c r="AE964" s="34">
        <f t="shared" ref="AE964:AE970" si="2092">AC964/AD964</f>
        <v>14.0234375</v>
      </c>
      <c r="AF964" s="9">
        <f t="shared" ref="AF964:AF970" si="2093">AE964/C964</f>
        <v>0.30485733695652173</v>
      </c>
      <c r="AG964" s="67">
        <v>0</v>
      </c>
      <c r="AH964" s="65">
        <v>0</v>
      </c>
      <c r="AI964" s="34" t="e">
        <f t="shared" ref="AI964:AI970" si="2094">AG964/AH964</f>
        <v>#DIV/0!</v>
      </c>
      <c r="AJ964" s="9" t="e">
        <f t="shared" ref="AJ964:AJ970" si="2095">AI964/C964</f>
        <v>#DIV/0!</v>
      </c>
      <c r="AK964" s="67">
        <v>470</v>
      </c>
      <c r="AL964" s="65">
        <v>56</v>
      </c>
      <c r="AM964" s="34">
        <f t="shared" ref="AM964:AM970" si="2096">AK964/AL964</f>
        <v>8.3928571428571423</v>
      </c>
      <c r="AN964" s="9">
        <f t="shared" ref="AN964:AN970" si="2097">AM964/C964</f>
        <v>0.18245341614906832</v>
      </c>
      <c r="AO964" s="67">
        <v>1290</v>
      </c>
      <c r="AP964" s="65">
        <v>140</v>
      </c>
      <c r="AQ964" s="34">
        <f t="shared" ref="AQ964:AQ970" si="2098">AO964/AP964</f>
        <v>9.2142857142857135</v>
      </c>
      <c r="AR964" s="9">
        <f t="shared" ref="AR964:AR970" si="2099">AQ964/C964</f>
        <v>0.20031055900621117</v>
      </c>
      <c r="AS964" s="67">
        <v>0</v>
      </c>
      <c r="AT964" s="65">
        <v>0</v>
      </c>
      <c r="AU964" s="34" t="e">
        <f t="shared" ref="AU964:AU970" si="2100">AS964/AT964</f>
        <v>#DIV/0!</v>
      </c>
      <c r="AV964" s="9" t="e">
        <f t="shared" ref="AV964:AV970" si="2101">AU964/C964</f>
        <v>#DIV/0!</v>
      </c>
      <c r="AW964" s="67">
        <v>0</v>
      </c>
      <c r="AX964" s="65">
        <v>0</v>
      </c>
      <c r="AY964" s="34" t="e">
        <f t="shared" ref="AY964:AY970" si="2102">AW964/AX964</f>
        <v>#DIV/0!</v>
      </c>
      <c r="AZ964" s="9" t="e">
        <f t="shared" ref="AZ964:AZ970" si="2103">AY964/C964</f>
        <v>#DIV/0!</v>
      </c>
      <c r="BA964" s="67">
        <v>0</v>
      </c>
      <c r="BB964" s="65">
        <v>0</v>
      </c>
      <c r="BC964" s="34" t="e">
        <f t="shared" ref="BC964:BC970" si="2104">BA964/BB964</f>
        <v>#DIV/0!</v>
      </c>
      <c r="BD964" s="10" t="e">
        <f t="shared" ref="BD964:BD970" si="2105">BC964/C964</f>
        <v>#DIV/0!</v>
      </c>
    </row>
    <row r="965" spans="1:56" x14ac:dyDescent="0.25">
      <c r="A965" s="19" t="s">
        <v>16</v>
      </c>
      <c r="B965" s="8">
        <v>125980</v>
      </c>
      <c r="C965" s="35">
        <f>B965/F961</f>
        <v>54.068669527896994</v>
      </c>
      <c r="D965" s="8">
        <v>1525</v>
      </c>
      <c r="E965" s="68">
        <v>49400</v>
      </c>
      <c r="F965" s="70">
        <v>1408</v>
      </c>
      <c r="G965" s="35">
        <f t="shared" si="2080"/>
        <v>35.085227272727273</v>
      </c>
      <c r="H965" s="11">
        <f t="shared" si="2081"/>
        <v>0.64890125055925185</v>
      </c>
      <c r="I965" s="35">
        <v>0</v>
      </c>
      <c r="J965" s="70">
        <v>0</v>
      </c>
      <c r="K965" s="35" t="e">
        <f t="shared" si="2082"/>
        <v>#DIV/0!</v>
      </c>
      <c r="L965" s="6" t="e">
        <f t="shared" si="2083"/>
        <v>#DIV/0!</v>
      </c>
      <c r="M965" s="68">
        <v>0</v>
      </c>
      <c r="N965" s="5">
        <v>0</v>
      </c>
      <c r="O965" s="35" t="e">
        <f t="shared" si="2084"/>
        <v>#DIV/0!</v>
      </c>
      <c r="P965" s="11" t="e">
        <f t="shared" si="2085"/>
        <v>#DIV/0!</v>
      </c>
      <c r="Q965" s="35">
        <v>0</v>
      </c>
      <c r="R965" s="66">
        <v>0</v>
      </c>
      <c r="S965" s="35" t="e">
        <f t="shared" si="2086"/>
        <v>#DIV/0!</v>
      </c>
      <c r="T965" s="6" t="e">
        <f t="shared" si="2087"/>
        <v>#DIV/0!</v>
      </c>
      <c r="U965" s="68">
        <v>0</v>
      </c>
      <c r="V965" s="66">
        <v>0</v>
      </c>
      <c r="W965" s="35" t="e">
        <f t="shared" si="2088"/>
        <v>#DIV/0!</v>
      </c>
      <c r="X965" s="6" t="e">
        <f t="shared" si="2089"/>
        <v>#DIV/0!</v>
      </c>
      <c r="Y965" s="68">
        <v>0</v>
      </c>
      <c r="Z965" s="70">
        <v>0</v>
      </c>
      <c r="AA965" s="35" t="e">
        <f t="shared" si="2090"/>
        <v>#DIV/0!</v>
      </c>
      <c r="AB965" s="11" t="e">
        <f t="shared" si="2091"/>
        <v>#DIV/0!</v>
      </c>
      <c r="AC965" s="35">
        <v>13910</v>
      </c>
      <c r="AD965" s="36">
        <v>768</v>
      </c>
      <c r="AE965" s="35">
        <f t="shared" si="2092"/>
        <v>18.111979166666668</v>
      </c>
      <c r="AF965" s="6">
        <f t="shared" si="2093"/>
        <v>0.33498104031063136</v>
      </c>
      <c r="AG965" s="68">
        <v>0</v>
      </c>
      <c r="AH965" s="66">
        <v>0</v>
      </c>
      <c r="AI965" s="35" t="e">
        <f t="shared" si="2094"/>
        <v>#DIV/0!</v>
      </c>
      <c r="AJ965" s="6" t="e">
        <f t="shared" si="2095"/>
        <v>#DIV/0!</v>
      </c>
      <c r="AK965" s="68">
        <v>650</v>
      </c>
      <c r="AL965" s="66">
        <v>56</v>
      </c>
      <c r="AM965" s="35">
        <f t="shared" si="2096"/>
        <v>11.607142857142858</v>
      </c>
      <c r="AN965" s="6">
        <f t="shared" si="2097"/>
        <v>0.21467409792937656</v>
      </c>
      <c r="AO965" s="68">
        <v>1810</v>
      </c>
      <c r="AP965" s="66">
        <v>140</v>
      </c>
      <c r="AQ965" s="35">
        <f t="shared" si="2098"/>
        <v>12.928571428571429</v>
      </c>
      <c r="AR965" s="6">
        <f t="shared" si="2099"/>
        <v>0.23911391830902864</v>
      </c>
      <c r="AS965" s="68">
        <v>0</v>
      </c>
      <c r="AT965" s="66">
        <v>0</v>
      </c>
      <c r="AU965" s="35" t="e">
        <f t="shared" si="2100"/>
        <v>#DIV/0!</v>
      </c>
      <c r="AV965" s="6" t="e">
        <f t="shared" si="2101"/>
        <v>#DIV/0!</v>
      </c>
      <c r="AW965" s="68">
        <v>0</v>
      </c>
      <c r="AX965" s="66">
        <v>0</v>
      </c>
      <c r="AY965" s="35" t="e">
        <f t="shared" si="2102"/>
        <v>#DIV/0!</v>
      </c>
      <c r="AZ965" s="6" t="e">
        <f t="shared" si="2103"/>
        <v>#DIV/0!</v>
      </c>
      <c r="BA965" s="68">
        <v>0</v>
      </c>
      <c r="BB965" s="66">
        <v>0</v>
      </c>
      <c r="BC965" s="35" t="e">
        <f t="shared" si="2104"/>
        <v>#DIV/0!</v>
      </c>
      <c r="BD965" s="11" t="e">
        <f t="shared" si="2105"/>
        <v>#DIV/0!</v>
      </c>
    </row>
    <row r="966" spans="1:56" x14ac:dyDescent="0.25">
      <c r="A966" s="19" t="s">
        <v>2</v>
      </c>
      <c r="B966" s="8">
        <v>146630</v>
      </c>
      <c r="C966" s="35">
        <f>B966/F961</f>
        <v>62.931330472103006</v>
      </c>
      <c r="D966" s="8">
        <v>2100</v>
      </c>
      <c r="E966" s="68">
        <v>56190</v>
      </c>
      <c r="F966" s="70">
        <v>1408</v>
      </c>
      <c r="G966" s="35">
        <f t="shared" si="2080"/>
        <v>39.907670454545453</v>
      </c>
      <c r="H966" s="11">
        <f t="shared" si="2081"/>
        <v>0.63414630129639848</v>
      </c>
      <c r="I966" s="35">
        <v>0</v>
      </c>
      <c r="J966" s="70">
        <v>0</v>
      </c>
      <c r="K966" s="35" t="e">
        <f t="shared" si="2082"/>
        <v>#DIV/0!</v>
      </c>
      <c r="L966" s="6" t="e">
        <f t="shared" si="2083"/>
        <v>#DIV/0!</v>
      </c>
      <c r="M966" s="68">
        <v>0</v>
      </c>
      <c r="N966" s="5">
        <v>0</v>
      </c>
      <c r="O966" s="35" t="e">
        <f t="shared" si="2084"/>
        <v>#DIV/0!</v>
      </c>
      <c r="P966" s="11" t="e">
        <f t="shared" si="2085"/>
        <v>#DIV/0!</v>
      </c>
      <c r="Q966" s="35">
        <v>0</v>
      </c>
      <c r="R966" s="66">
        <v>0</v>
      </c>
      <c r="S966" s="35" t="e">
        <f t="shared" si="2086"/>
        <v>#DIV/0!</v>
      </c>
      <c r="T966" s="6" t="e">
        <f t="shared" si="2087"/>
        <v>#DIV/0!</v>
      </c>
      <c r="U966" s="68">
        <v>0</v>
      </c>
      <c r="V966" s="66">
        <v>0</v>
      </c>
      <c r="W966" s="35" t="e">
        <f t="shared" si="2088"/>
        <v>#DIV/0!</v>
      </c>
      <c r="X966" s="6" t="e">
        <f t="shared" si="2089"/>
        <v>#DIV/0!</v>
      </c>
      <c r="Y966" s="68">
        <v>0</v>
      </c>
      <c r="Z966" s="70">
        <v>0</v>
      </c>
      <c r="AA966" s="35" t="e">
        <f t="shared" si="2090"/>
        <v>#DIV/0!</v>
      </c>
      <c r="AB966" s="11" t="e">
        <f t="shared" si="2091"/>
        <v>#DIV/0!</v>
      </c>
      <c r="AC966" s="35">
        <v>18180</v>
      </c>
      <c r="AD966" s="36">
        <v>768</v>
      </c>
      <c r="AE966" s="35">
        <f t="shared" si="2092"/>
        <v>23.671875</v>
      </c>
      <c r="AF966" s="6">
        <f t="shared" si="2093"/>
        <v>0.3761540527177249</v>
      </c>
      <c r="AG966" s="68">
        <v>0</v>
      </c>
      <c r="AH966" s="66">
        <v>0</v>
      </c>
      <c r="AI966" s="35" t="e">
        <f t="shared" si="2094"/>
        <v>#DIV/0!</v>
      </c>
      <c r="AJ966" s="6" t="e">
        <f t="shared" si="2095"/>
        <v>#DIV/0!</v>
      </c>
      <c r="AK966" s="68">
        <v>760</v>
      </c>
      <c r="AL966" s="66">
        <v>56</v>
      </c>
      <c r="AM966" s="35">
        <f t="shared" si="2096"/>
        <v>13.571428571428571</v>
      </c>
      <c r="AN966" s="6">
        <f t="shared" si="2097"/>
        <v>0.21565456299139718</v>
      </c>
      <c r="AO966" s="68">
        <v>1890</v>
      </c>
      <c r="AP966" s="66">
        <v>140</v>
      </c>
      <c r="AQ966" s="35">
        <f t="shared" si="2098"/>
        <v>13.5</v>
      </c>
      <c r="AR966" s="6">
        <f t="shared" si="2099"/>
        <v>0.21451953897565298</v>
      </c>
      <c r="AS966" s="68">
        <v>0</v>
      </c>
      <c r="AT966" s="66">
        <v>0</v>
      </c>
      <c r="AU966" s="35" t="e">
        <f t="shared" si="2100"/>
        <v>#DIV/0!</v>
      </c>
      <c r="AV966" s="6" t="e">
        <f t="shared" si="2101"/>
        <v>#DIV/0!</v>
      </c>
      <c r="AW966" s="68">
        <v>0</v>
      </c>
      <c r="AX966" s="66">
        <v>0</v>
      </c>
      <c r="AY966" s="35" t="e">
        <f t="shared" si="2102"/>
        <v>#DIV/0!</v>
      </c>
      <c r="AZ966" s="6" t="e">
        <f t="shared" si="2103"/>
        <v>#DIV/0!</v>
      </c>
      <c r="BA966" s="68">
        <v>0</v>
      </c>
      <c r="BB966" s="66">
        <v>0</v>
      </c>
      <c r="BC966" s="35" t="e">
        <f t="shared" si="2104"/>
        <v>#DIV/0!</v>
      </c>
      <c r="BD966" s="11" t="e">
        <f t="shared" si="2105"/>
        <v>#DIV/0!</v>
      </c>
    </row>
    <row r="967" spans="1:56" x14ac:dyDescent="0.25">
      <c r="A967" s="19" t="s">
        <v>3</v>
      </c>
      <c r="B967" s="8">
        <v>181120</v>
      </c>
      <c r="C967" s="35">
        <f>B967/F961</f>
        <v>77.733905579399135</v>
      </c>
      <c r="D967" s="8">
        <v>2700</v>
      </c>
      <c r="E967" s="68">
        <v>65610</v>
      </c>
      <c r="F967" s="70">
        <v>1408</v>
      </c>
      <c r="G967" s="35">
        <f t="shared" si="2080"/>
        <v>46.598011363636367</v>
      </c>
      <c r="H967" s="11">
        <f t="shared" si="2081"/>
        <v>0.59945542445490696</v>
      </c>
      <c r="I967" s="35">
        <v>0</v>
      </c>
      <c r="J967" s="70">
        <v>0</v>
      </c>
      <c r="K967" s="35" t="e">
        <f t="shared" si="2082"/>
        <v>#DIV/0!</v>
      </c>
      <c r="L967" s="6" t="e">
        <f t="shared" si="2083"/>
        <v>#DIV/0!</v>
      </c>
      <c r="M967" s="68">
        <v>0</v>
      </c>
      <c r="N967" s="5">
        <v>0</v>
      </c>
      <c r="O967" s="35" t="e">
        <f t="shared" si="2084"/>
        <v>#DIV/0!</v>
      </c>
      <c r="P967" s="11" t="e">
        <f t="shared" si="2085"/>
        <v>#DIV/0!</v>
      </c>
      <c r="Q967" s="35">
        <v>0</v>
      </c>
      <c r="R967" s="66">
        <v>0</v>
      </c>
      <c r="S967" s="35" t="e">
        <f t="shared" si="2086"/>
        <v>#DIV/0!</v>
      </c>
      <c r="T967" s="6" t="e">
        <f t="shared" si="2087"/>
        <v>#DIV/0!</v>
      </c>
      <c r="U967" s="68">
        <v>0</v>
      </c>
      <c r="V967" s="66">
        <v>0</v>
      </c>
      <c r="W967" s="35" t="e">
        <f t="shared" si="2088"/>
        <v>#DIV/0!</v>
      </c>
      <c r="X967" s="6" t="e">
        <f t="shared" si="2089"/>
        <v>#DIV/0!</v>
      </c>
      <c r="Y967" s="68">
        <v>0</v>
      </c>
      <c r="Z967" s="70">
        <v>0</v>
      </c>
      <c r="AA967" s="35" t="e">
        <f t="shared" si="2090"/>
        <v>#DIV/0!</v>
      </c>
      <c r="AB967" s="11" t="e">
        <f t="shared" si="2091"/>
        <v>#DIV/0!</v>
      </c>
      <c r="AC967" s="35">
        <v>19360</v>
      </c>
      <c r="AD967" s="36">
        <v>768</v>
      </c>
      <c r="AE967" s="35">
        <f t="shared" si="2092"/>
        <v>25.208333333333332</v>
      </c>
      <c r="AF967" s="6">
        <f t="shared" si="2093"/>
        <v>0.32429006551825679</v>
      </c>
      <c r="AG967" s="68">
        <v>0</v>
      </c>
      <c r="AH967" s="66">
        <v>0</v>
      </c>
      <c r="AI967" s="35" t="e">
        <f t="shared" si="2094"/>
        <v>#DIV/0!</v>
      </c>
      <c r="AJ967" s="6" t="e">
        <f t="shared" si="2095"/>
        <v>#DIV/0!</v>
      </c>
      <c r="AK967" s="68">
        <v>1000</v>
      </c>
      <c r="AL967" s="66">
        <v>56</v>
      </c>
      <c r="AM967" s="35">
        <f t="shared" si="2096"/>
        <v>17.857142857142858</v>
      </c>
      <c r="AN967" s="6">
        <f t="shared" si="2097"/>
        <v>0.22972141595153966</v>
      </c>
      <c r="AO967" s="68">
        <v>1980</v>
      </c>
      <c r="AP967" s="66">
        <v>140</v>
      </c>
      <c r="AQ967" s="35">
        <f t="shared" si="2098"/>
        <v>14.142857142857142</v>
      </c>
      <c r="AR967" s="6">
        <f t="shared" si="2099"/>
        <v>0.18193936143361938</v>
      </c>
      <c r="AS967" s="68">
        <v>0</v>
      </c>
      <c r="AT967" s="66">
        <v>0</v>
      </c>
      <c r="AU967" s="35" t="e">
        <f t="shared" si="2100"/>
        <v>#DIV/0!</v>
      </c>
      <c r="AV967" s="6" t="e">
        <f t="shared" si="2101"/>
        <v>#DIV/0!</v>
      </c>
      <c r="AW967" s="68">
        <v>0</v>
      </c>
      <c r="AX967" s="66">
        <v>0</v>
      </c>
      <c r="AY967" s="35" t="e">
        <f t="shared" si="2102"/>
        <v>#DIV/0!</v>
      </c>
      <c r="AZ967" s="6" t="e">
        <f t="shared" si="2103"/>
        <v>#DIV/0!</v>
      </c>
      <c r="BA967" s="68">
        <v>0</v>
      </c>
      <c r="BB967" s="66">
        <v>0</v>
      </c>
      <c r="BC967" s="35" t="e">
        <f t="shared" si="2104"/>
        <v>#DIV/0!</v>
      </c>
      <c r="BD967" s="11" t="e">
        <f t="shared" si="2105"/>
        <v>#DIV/0!</v>
      </c>
    </row>
    <row r="968" spans="1:56" x14ac:dyDescent="0.25">
      <c r="A968" s="19" t="s">
        <v>4</v>
      </c>
      <c r="B968" s="8">
        <v>223590</v>
      </c>
      <c r="C968" s="35">
        <f>B968/F961</f>
        <v>95.961373390557938</v>
      </c>
      <c r="D968" s="8">
        <v>5250</v>
      </c>
      <c r="E968" s="68">
        <v>90380</v>
      </c>
      <c r="F968" s="70">
        <v>1408</v>
      </c>
      <c r="G968" s="35">
        <f t="shared" si="2080"/>
        <v>64.190340909090907</v>
      </c>
      <c r="H968" s="11">
        <f t="shared" si="2081"/>
        <v>0.66891853087428699</v>
      </c>
      <c r="I968" s="35">
        <v>0</v>
      </c>
      <c r="J968" s="70">
        <v>0</v>
      </c>
      <c r="K968" s="35" t="e">
        <f t="shared" si="2082"/>
        <v>#DIV/0!</v>
      </c>
      <c r="L968" s="6" t="e">
        <f t="shared" si="2083"/>
        <v>#DIV/0!</v>
      </c>
      <c r="M968" s="68">
        <v>0</v>
      </c>
      <c r="N968" s="5">
        <v>0</v>
      </c>
      <c r="O968" s="35" t="e">
        <f t="shared" si="2084"/>
        <v>#DIV/0!</v>
      </c>
      <c r="P968" s="11" t="e">
        <f t="shared" si="2085"/>
        <v>#DIV/0!</v>
      </c>
      <c r="Q968" s="35">
        <v>0</v>
      </c>
      <c r="R968" s="66">
        <v>0</v>
      </c>
      <c r="S968" s="35" t="e">
        <f t="shared" si="2086"/>
        <v>#DIV/0!</v>
      </c>
      <c r="T968" s="6" t="e">
        <f t="shared" si="2087"/>
        <v>#DIV/0!</v>
      </c>
      <c r="U968" s="68">
        <v>0</v>
      </c>
      <c r="V968" s="66">
        <v>0</v>
      </c>
      <c r="W968" s="35" t="e">
        <f t="shared" si="2088"/>
        <v>#DIV/0!</v>
      </c>
      <c r="X968" s="6" t="e">
        <f t="shared" si="2089"/>
        <v>#DIV/0!</v>
      </c>
      <c r="Y968" s="68">
        <v>0</v>
      </c>
      <c r="Z968" s="70">
        <v>0</v>
      </c>
      <c r="AA968" s="35" t="e">
        <f t="shared" si="2090"/>
        <v>#DIV/0!</v>
      </c>
      <c r="AB968" s="11" t="e">
        <f t="shared" si="2091"/>
        <v>#DIV/0!</v>
      </c>
      <c r="AC968" s="35">
        <v>21990</v>
      </c>
      <c r="AD968" s="36">
        <v>768</v>
      </c>
      <c r="AE968" s="35">
        <f t="shared" si="2092"/>
        <v>28.6328125</v>
      </c>
      <c r="AF968" s="6">
        <f t="shared" si="2093"/>
        <v>0.29837851927635406</v>
      </c>
      <c r="AG968" s="68">
        <v>0</v>
      </c>
      <c r="AH968" s="66">
        <v>0</v>
      </c>
      <c r="AI968" s="35" t="e">
        <f t="shared" si="2094"/>
        <v>#DIV/0!</v>
      </c>
      <c r="AJ968" s="6" t="e">
        <f t="shared" si="2095"/>
        <v>#DIV/0!</v>
      </c>
      <c r="AK968" s="68">
        <v>1100</v>
      </c>
      <c r="AL968" s="66">
        <v>56</v>
      </c>
      <c r="AM968" s="35">
        <f t="shared" si="2096"/>
        <v>19.642857142857142</v>
      </c>
      <c r="AN968" s="6">
        <f t="shared" si="2097"/>
        <v>0.20469545660743835</v>
      </c>
      <c r="AO968" s="68">
        <v>2580</v>
      </c>
      <c r="AP968" s="66">
        <v>140</v>
      </c>
      <c r="AQ968" s="35">
        <f t="shared" si="2098"/>
        <v>18.428571428571427</v>
      </c>
      <c r="AR968" s="6">
        <f t="shared" si="2099"/>
        <v>0.19204155565352399</v>
      </c>
      <c r="AS968" s="68">
        <v>0</v>
      </c>
      <c r="AT968" s="66">
        <v>0</v>
      </c>
      <c r="AU968" s="35" t="e">
        <f t="shared" si="2100"/>
        <v>#DIV/0!</v>
      </c>
      <c r="AV968" s="6" t="e">
        <f t="shared" si="2101"/>
        <v>#DIV/0!</v>
      </c>
      <c r="AW968" s="68">
        <v>0</v>
      </c>
      <c r="AX968" s="66">
        <v>0</v>
      </c>
      <c r="AY968" s="35" t="e">
        <f t="shared" si="2102"/>
        <v>#DIV/0!</v>
      </c>
      <c r="AZ968" s="6" t="e">
        <f t="shared" si="2103"/>
        <v>#DIV/0!</v>
      </c>
      <c r="BA968" s="68">
        <v>0</v>
      </c>
      <c r="BB968" s="66">
        <v>0</v>
      </c>
      <c r="BC968" s="35" t="e">
        <f t="shared" si="2104"/>
        <v>#DIV/0!</v>
      </c>
      <c r="BD968" s="11" t="e">
        <f t="shared" si="2105"/>
        <v>#DIV/0!</v>
      </c>
    </row>
    <row r="969" spans="1:56" x14ac:dyDescent="0.25">
      <c r="A969" s="19" t="s">
        <v>5</v>
      </c>
      <c r="B969" s="8">
        <v>300040</v>
      </c>
      <c r="C969" s="35">
        <f>B969/F961</f>
        <v>128.77253218884121</v>
      </c>
      <c r="D969" s="8">
        <v>7050</v>
      </c>
      <c r="E969" s="68">
        <v>101740</v>
      </c>
      <c r="F969" s="70">
        <v>1408</v>
      </c>
      <c r="G969" s="35">
        <f t="shared" si="2080"/>
        <v>72.258522727272734</v>
      </c>
      <c r="H969" s="11">
        <f t="shared" si="2081"/>
        <v>0.56113304210953696</v>
      </c>
      <c r="I969" s="35">
        <v>0</v>
      </c>
      <c r="J969" s="70">
        <v>0</v>
      </c>
      <c r="K969" s="35" t="e">
        <f t="shared" si="2082"/>
        <v>#DIV/0!</v>
      </c>
      <c r="L969" s="6" t="e">
        <f t="shared" si="2083"/>
        <v>#DIV/0!</v>
      </c>
      <c r="M969" s="68">
        <v>0</v>
      </c>
      <c r="N969" s="5">
        <v>0</v>
      </c>
      <c r="O969" s="35" t="e">
        <f t="shared" si="2084"/>
        <v>#DIV/0!</v>
      </c>
      <c r="P969" s="11" t="e">
        <f t="shared" si="2085"/>
        <v>#DIV/0!</v>
      </c>
      <c r="Q969" s="35">
        <v>0</v>
      </c>
      <c r="R969" s="66">
        <v>0</v>
      </c>
      <c r="S969" s="35" t="e">
        <f t="shared" si="2086"/>
        <v>#DIV/0!</v>
      </c>
      <c r="T969" s="6" t="e">
        <f t="shared" si="2087"/>
        <v>#DIV/0!</v>
      </c>
      <c r="U969" s="68">
        <v>0</v>
      </c>
      <c r="V969" s="66">
        <v>0</v>
      </c>
      <c r="W969" s="35" t="e">
        <f t="shared" si="2088"/>
        <v>#DIV/0!</v>
      </c>
      <c r="X969" s="6" t="e">
        <f t="shared" si="2089"/>
        <v>#DIV/0!</v>
      </c>
      <c r="Y969" s="68">
        <v>0</v>
      </c>
      <c r="Z969" s="70">
        <v>0</v>
      </c>
      <c r="AA969" s="35" t="e">
        <f t="shared" si="2090"/>
        <v>#DIV/0!</v>
      </c>
      <c r="AB969" s="11" t="e">
        <f t="shared" si="2091"/>
        <v>#DIV/0!</v>
      </c>
      <c r="AC969" s="35">
        <v>23050</v>
      </c>
      <c r="AD969" s="36">
        <v>768</v>
      </c>
      <c r="AE969" s="35">
        <f t="shared" si="2092"/>
        <v>30.013020833333332</v>
      </c>
      <c r="AF969" s="6">
        <f t="shared" si="2093"/>
        <v>0.23307005246522683</v>
      </c>
      <c r="AG969" s="68">
        <v>0</v>
      </c>
      <c r="AH969" s="66">
        <v>0</v>
      </c>
      <c r="AI969" s="35" t="e">
        <f t="shared" si="2094"/>
        <v>#DIV/0!</v>
      </c>
      <c r="AJ969" s="6" t="e">
        <f t="shared" si="2095"/>
        <v>#DIV/0!</v>
      </c>
      <c r="AK969" s="68">
        <v>1340</v>
      </c>
      <c r="AL969" s="66">
        <v>56</v>
      </c>
      <c r="AM969" s="35">
        <f t="shared" si="2096"/>
        <v>23.928571428571427</v>
      </c>
      <c r="AN969" s="6">
        <f t="shared" si="2097"/>
        <v>0.18582046203363359</v>
      </c>
      <c r="AO969" s="68">
        <v>3050</v>
      </c>
      <c r="AP969" s="66">
        <v>140</v>
      </c>
      <c r="AQ969" s="35">
        <f t="shared" si="2098"/>
        <v>21.785714285714285</v>
      </c>
      <c r="AR969" s="6">
        <f t="shared" si="2099"/>
        <v>0.16917982364256193</v>
      </c>
      <c r="AS969" s="68">
        <v>0</v>
      </c>
      <c r="AT969" s="66">
        <v>0</v>
      </c>
      <c r="AU969" s="35" t="e">
        <f t="shared" si="2100"/>
        <v>#DIV/0!</v>
      </c>
      <c r="AV969" s="6" t="e">
        <f t="shared" si="2101"/>
        <v>#DIV/0!</v>
      </c>
      <c r="AW969" s="68">
        <v>0</v>
      </c>
      <c r="AX969" s="66">
        <v>0</v>
      </c>
      <c r="AY969" s="35" t="e">
        <f t="shared" si="2102"/>
        <v>#DIV/0!</v>
      </c>
      <c r="AZ969" s="6" t="e">
        <f t="shared" si="2103"/>
        <v>#DIV/0!</v>
      </c>
      <c r="BA969" s="68">
        <v>0</v>
      </c>
      <c r="BB969" s="66">
        <v>0</v>
      </c>
      <c r="BC969" s="35" t="e">
        <f t="shared" si="2104"/>
        <v>#DIV/0!</v>
      </c>
      <c r="BD969" s="11" t="e">
        <f t="shared" si="2105"/>
        <v>#DIV/0!</v>
      </c>
    </row>
    <row r="970" spans="1:56" x14ac:dyDescent="0.25">
      <c r="A970" s="19" t="s">
        <v>6</v>
      </c>
      <c r="B970" s="8">
        <v>361230</v>
      </c>
      <c r="C970" s="35">
        <f>B970/F961</f>
        <v>155.03433476394849</v>
      </c>
      <c r="D970" s="8">
        <v>10950</v>
      </c>
      <c r="E970" s="68">
        <v>129190</v>
      </c>
      <c r="F970" s="70">
        <v>1408</v>
      </c>
      <c r="G970" s="35">
        <f t="shared" si="2080"/>
        <v>91.75426136363636</v>
      </c>
      <c r="H970" s="11">
        <f t="shared" si="2081"/>
        <v>0.59183187713443708</v>
      </c>
      <c r="I970" s="35">
        <v>0</v>
      </c>
      <c r="J970" s="70">
        <v>0</v>
      </c>
      <c r="K970" s="35" t="e">
        <f t="shared" si="2082"/>
        <v>#DIV/0!</v>
      </c>
      <c r="L970" s="6" t="e">
        <f t="shared" si="2083"/>
        <v>#DIV/0!</v>
      </c>
      <c r="M970" s="68">
        <v>0</v>
      </c>
      <c r="N970" s="5">
        <v>0</v>
      </c>
      <c r="O970" s="35" t="e">
        <f t="shared" si="2084"/>
        <v>#DIV/0!</v>
      </c>
      <c r="P970" s="11" t="e">
        <f t="shared" si="2085"/>
        <v>#DIV/0!</v>
      </c>
      <c r="Q970" s="35">
        <v>0</v>
      </c>
      <c r="R970" s="66">
        <v>0</v>
      </c>
      <c r="S970" s="35" t="e">
        <f t="shared" si="2086"/>
        <v>#DIV/0!</v>
      </c>
      <c r="T970" s="6" t="e">
        <f t="shared" si="2087"/>
        <v>#DIV/0!</v>
      </c>
      <c r="U970" s="68">
        <v>0</v>
      </c>
      <c r="V970" s="66">
        <v>0</v>
      </c>
      <c r="W970" s="35" t="e">
        <f t="shared" si="2088"/>
        <v>#DIV/0!</v>
      </c>
      <c r="X970" s="6" t="e">
        <f t="shared" si="2089"/>
        <v>#DIV/0!</v>
      </c>
      <c r="Y970" s="68">
        <v>0</v>
      </c>
      <c r="Z970" s="70">
        <v>0</v>
      </c>
      <c r="AA970" s="35" t="e">
        <f t="shared" si="2090"/>
        <v>#DIV/0!</v>
      </c>
      <c r="AB970" s="11" t="e">
        <f t="shared" si="2091"/>
        <v>#DIV/0!</v>
      </c>
      <c r="AC970" s="35">
        <v>33550</v>
      </c>
      <c r="AD970" s="36">
        <v>768</v>
      </c>
      <c r="AE970" s="35">
        <f t="shared" si="2092"/>
        <v>43.684895833333336</v>
      </c>
      <c r="AF970" s="6">
        <f t="shared" si="2093"/>
        <v>0.28177562021888181</v>
      </c>
      <c r="AG970" s="68">
        <v>0</v>
      </c>
      <c r="AH970" s="66">
        <v>0</v>
      </c>
      <c r="AI970" s="35" t="e">
        <f t="shared" si="2094"/>
        <v>#DIV/0!</v>
      </c>
      <c r="AJ970" s="6" t="e">
        <f t="shared" si="2095"/>
        <v>#DIV/0!</v>
      </c>
      <c r="AK970" s="68">
        <v>1630</v>
      </c>
      <c r="AL970" s="66">
        <v>56</v>
      </c>
      <c r="AM970" s="35">
        <f t="shared" si="2096"/>
        <v>29.107142857142858</v>
      </c>
      <c r="AN970" s="6">
        <f t="shared" si="2097"/>
        <v>0.18774642985671972</v>
      </c>
      <c r="AO970" s="68">
        <v>3280</v>
      </c>
      <c r="AP970" s="66">
        <v>140</v>
      </c>
      <c r="AQ970" s="35">
        <f t="shared" si="2098"/>
        <v>23.428571428571427</v>
      </c>
      <c r="AR970" s="6">
        <f t="shared" si="2099"/>
        <v>0.15111859875583819</v>
      </c>
      <c r="AS970" s="68">
        <v>0</v>
      </c>
      <c r="AT970" s="66">
        <v>0</v>
      </c>
      <c r="AU970" s="35" t="e">
        <f t="shared" si="2100"/>
        <v>#DIV/0!</v>
      </c>
      <c r="AV970" s="6" t="e">
        <f t="shared" si="2101"/>
        <v>#DIV/0!</v>
      </c>
      <c r="AW970" s="68">
        <v>0</v>
      </c>
      <c r="AX970" s="66">
        <v>0</v>
      </c>
      <c r="AY970" s="35" t="e">
        <f t="shared" si="2102"/>
        <v>#DIV/0!</v>
      </c>
      <c r="AZ970" s="6" t="e">
        <f t="shared" si="2103"/>
        <v>#DIV/0!</v>
      </c>
      <c r="BA970" s="68">
        <v>0</v>
      </c>
      <c r="BB970" s="66">
        <v>0</v>
      </c>
      <c r="BC970" s="35" t="e">
        <f t="shared" si="2104"/>
        <v>#DIV/0!</v>
      </c>
      <c r="BD970" s="11" t="e">
        <f t="shared" si="2105"/>
        <v>#DIV/0!</v>
      </c>
    </row>
    <row r="971" spans="1:56" ht="15.75" thickBot="1" x14ac:dyDescent="0.3">
      <c r="A971" s="21"/>
      <c r="B971" s="22"/>
      <c r="C971" s="23">
        <f>AVERAGE(Table11083[MA $/Sq Ft])</f>
        <v>88.643163703249556</v>
      </c>
      <c r="D971" s="22">
        <f>AVERAGE(Table11083[Basic Allowance])</f>
        <v>4442.8571428571431</v>
      </c>
      <c r="E971" s="16"/>
      <c r="F971" s="22"/>
      <c r="G971" s="15"/>
      <c r="H971" s="24">
        <f>AVERAGE(Table11083[Bsmt % Base])</f>
        <v>0.60829355781281258</v>
      </c>
      <c r="I971" s="15"/>
      <c r="J971" s="15"/>
      <c r="K971" s="15"/>
      <c r="L971" s="25" t="e">
        <f>AVERAGE(Table11083[[#Headers],[#Data],[UnfBsmt % Base]])</f>
        <v>#DIV/0!</v>
      </c>
      <c r="M971" s="44"/>
      <c r="N971" s="15"/>
      <c r="O971" s="23" t="e">
        <f>AVERAGE(Table11083[LowerVal/SqFt])</f>
        <v>#DIV/0!</v>
      </c>
      <c r="P971" s="24" t="e">
        <f>AVERAGE(Table11083[Lower % Base])</f>
        <v>#DIV/0!</v>
      </c>
      <c r="Q971" s="13"/>
      <c r="R971" s="13"/>
      <c r="S971" s="13"/>
      <c r="T971" s="25" t="e">
        <f>AVERAGE(Table11083[Unf Lower % Base])</f>
        <v>#DIV/0!</v>
      </c>
      <c r="U971" s="12"/>
      <c r="V971" s="13"/>
      <c r="W971" s="13"/>
      <c r="X971" s="25" t="e">
        <f>AVERAGE(Table11083[1/2 Story % Base])</f>
        <v>#DIV/0!</v>
      </c>
      <c r="Y971" s="12"/>
      <c r="Z971" s="13"/>
      <c r="AA971" s="13"/>
      <c r="AB971" s="24" t="e">
        <f>AVERAGE(Table11083[2nd Story % Base])</f>
        <v>#DIV/0!</v>
      </c>
      <c r="AC971" s="13"/>
      <c r="AD971" s="13"/>
      <c r="AE971" s="23">
        <f>AVERAGE(Table11083[AttGarVal/SqFt])</f>
        <v>26.192336309523814</v>
      </c>
      <c r="AF971" s="25">
        <f>AVERAGE(Table11083[Att Gar % Base])</f>
        <v>0.30764381249479961</v>
      </c>
      <c r="AG971" s="12"/>
      <c r="AH971" s="13"/>
      <c r="AI971" s="13"/>
      <c r="AJ971" s="25" t="e">
        <f>AVERAGE(Table11083[Porch % Base])</f>
        <v>#DIV/0!</v>
      </c>
      <c r="AK971" s="12"/>
      <c r="AL971" s="13"/>
      <c r="AM971" s="13"/>
      <c r="AN971" s="25">
        <f>AVERAGE(Table11083[Cov Porch % Base])</f>
        <v>0.20296654878845335</v>
      </c>
      <c r="AO971" s="12"/>
      <c r="AP971" s="13"/>
      <c r="AQ971" s="13"/>
      <c r="AR971" s="25">
        <f>AVERAGE(Table11083[Deck % Base])</f>
        <v>0.19260333653949088</v>
      </c>
      <c r="AS971" s="12"/>
      <c r="AT971" s="13"/>
      <c r="AU971" s="23" t="e">
        <f>AVERAGE(Table11083[CovDeckVal/SqFt])</f>
        <v>#DIV/0!</v>
      </c>
      <c r="AV971" s="25" t="e">
        <f>AVERAGE(Table11083[CovDeck % Base])</f>
        <v>#DIV/0!</v>
      </c>
      <c r="AW971" s="12"/>
      <c r="AX971" s="13"/>
      <c r="AY971" s="13"/>
      <c r="AZ971" s="25" t="e">
        <f>AVERAGE(Table11083[CarP % Base])</f>
        <v>#DIV/0!</v>
      </c>
      <c r="BA971" s="12"/>
      <c r="BB971" s="13"/>
      <c r="BC971" s="13"/>
      <c r="BD971" s="24" t="e">
        <f>AVERAGE(Table11083[EFP % Base])</f>
        <v>#DIV/0!</v>
      </c>
    </row>
    <row r="973" spans="1:56" ht="15.75" thickBot="1" x14ac:dyDescent="0.3">
      <c r="A973" s="82"/>
      <c r="B973" t="s">
        <v>79</v>
      </c>
      <c r="C973" s="78" t="s">
        <v>183</v>
      </c>
      <c r="E973" t="s">
        <v>33</v>
      </c>
      <c r="F973" s="79">
        <v>1459</v>
      </c>
      <c r="H973" t="s">
        <v>80</v>
      </c>
      <c r="I973" t="s">
        <v>105</v>
      </c>
    </row>
    <row r="974" spans="1:56" x14ac:dyDescent="0.25">
      <c r="A974" s="112"/>
      <c r="B974" s="113"/>
      <c r="C974" s="113"/>
      <c r="D974" s="114"/>
      <c r="E974" s="115" t="s">
        <v>27</v>
      </c>
      <c r="F974" s="116"/>
      <c r="G974" s="116"/>
      <c r="H974" s="117"/>
      <c r="I974" s="118" t="s">
        <v>28</v>
      </c>
      <c r="J974" s="119"/>
      <c r="K974" s="119"/>
      <c r="L974" s="120"/>
      <c r="M974" s="121" t="s">
        <v>7</v>
      </c>
      <c r="N974" s="122"/>
      <c r="O974" s="122"/>
      <c r="P974" s="123"/>
      <c r="Q974" s="124" t="s">
        <v>29</v>
      </c>
      <c r="R974" s="125"/>
      <c r="S974" s="125"/>
      <c r="T974" s="126"/>
      <c r="U974" s="127" t="s">
        <v>8</v>
      </c>
      <c r="V974" s="128"/>
      <c r="W974" s="128"/>
      <c r="X974" s="129"/>
      <c r="Y974" s="130" t="s">
        <v>0</v>
      </c>
      <c r="Z974" s="131"/>
      <c r="AA974" s="131"/>
      <c r="AB974" s="132"/>
      <c r="AC974" s="133" t="s">
        <v>34</v>
      </c>
      <c r="AD974" s="134"/>
      <c r="AE974" s="134"/>
      <c r="AF974" s="135"/>
      <c r="AG974" s="115" t="s">
        <v>9</v>
      </c>
      <c r="AH974" s="116"/>
      <c r="AI974" s="116"/>
      <c r="AJ974" s="117"/>
      <c r="AK974" s="136" t="s">
        <v>35</v>
      </c>
      <c r="AL974" s="137"/>
      <c r="AM974" s="137"/>
      <c r="AN974" s="138"/>
      <c r="AO974" s="139" t="s">
        <v>10</v>
      </c>
      <c r="AP974" s="140"/>
      <c r="AQ974" s="140"/>
      <c r="AR974" s="141"/>
      <c r="AS974" s="124" t="s">
        <v>36</v>
      </c>
      <c r="AT974" s="125"/>
      <c r="AU974" s="125"/>
      <c r="AV974" s="126"/>
      <c r="AW974" s="142" t="s">
        <v>11</v>
      </c>
      <c r="AX974" s="143"/>
      <c r="AY974" s="143"/>
      <c r="AZ974" s="144"/>
      <c r="BA974" s="148" t="s">
        <v>17</v>
      </c>
      <c r="BB974" s="149"/>
      <c r="BC974" s="149"/>
      <c r="BD974" s="150"/>
    </row>
    <row r="975" spans="1:56" s="1" customFormat="1" ht="15.75" thickBot="1" x14ac:dyDescent="0.3">
      <c r="A975" s="41" t="s">
        <v>13</v>
      </c>
      <c r="B975" s="42" t="s">
        <v>15</v>
      </c>
      <c r="C975" s="42" t="s">
        <v>32</v>
      </c>
      <c r="D975" s="43" t="s">
        <v>18</v>
      </c>
      <c r="E975" s="30" t="s">
        <v>30</v>
      </c>
      <c r="F975" s="31" t="s">
        <v>61</v>
      </c>
      <c r="G975" s="31" t="s">
        <v>38</v>
      </c>
      <c r="H975" s="32" t="s">
        <v>62</v>
      </c>
      <c r="I975" s="37" t="s">
        <v>31</v>
      </c>
      <c r="J975" s="38" t="s">
        <v>39</v>
      </c>
      <c r="K975" s="38" t="s">
        <v>40</v>
      </c>
      <c r="L975" s="39" t="s">
        <v>63</v>
      </c>
      <c r="M975" s="40" t="s">
        <v>19</v>
      </c>
      <c r="N975" s="7" t="s">
        <v>41</v>
      </c>
      <c r="O975" s="7" t="s">
        <v>37</v>
      </c>
      <c r="P975" s="7" t="s">
        <v>64</v>
      </c>
      <c r="Q975" s="27" t="s">
        <v>20</v>
      </c>
      <c r="R975" s="28" t="s">
        <v>60</v>
      </c>
      <c r="S975" s="28" t="s">
        <v>59</v>
      </c>
      <c r="T975" s="29" t="s">
        <v>65</v>
      </c>
      <c r="U975" s="48" t="s">
        <v>21</v>
      </c>
      <c r="V975" s="48" t="s">
        <v>42</v>
      </c>
      <c r="W975" s="48" t="s">
        <v>43</v>
      </c>
      <c r="X975" s="49" t="s">
        <v>66</v>
      </c>
      <c r="Y975" s="50" t="s">
        <v>22</v>
      </c>
      <c r="Z975" s="51" t="s">
        <v>44</v>
      </c>
      <c r="AA975" s="51" t="s">
        <v>45</v>
      </c>
      <c r="AB975" s="52" t="s">
        <v>67</v>
      </c>
      <c r="AC975" s="45" t="s">
        <v>23</v>
      </c>
      <c r="AD975" s="46" t="s">
        <v>46</v>
      </c>
      <c r="AE975" s="46" t="s">
        <v>47</v>
      </c>
      <c r="AF975" s="47" t="s">
        <v>68</v>
      </c>
      <c r="AG975" s="30" t="s">
        <v>24</v>
      </c>
      <c r="AH975" s="31" t="s">
        <v>48</v>
      </c>
      <c r="AI975" s="31" t="s">
        <v>49</v>
      </c>
      <c r="AJ975" s="32" t="s">
        <v>69</v>
      </c>
      <c r="AK975" s="53" t="s">
        <v>25</v>
      </c>
      <c r="AL975" s="54" t="s">
        <v>50</v>
      </c>
      <c r="AM975" s="54" t="s">
        <v>51</v>
      </c>
      <c r="AN975" s="55" t="s">
        <v>70</v>
      </c>
      <c r="AO975" s="56" t="s">
        <v>26</v>
      </c>
      <c r="AP975" s="57" t="s">
        <v>52</v>
      </c>
      <c r="AQ975" s="57" t="s">
        <v>53</v>
      </c>
      <c r="AR975" s="58" t="s">
        <v>71</v>
      </c>
      <c r="AS975" s="59" t="s">
        <v>55</v>
      </c>
      <c r="AT975" s="60" t="s">
        <v>54</v>
      </c>
      <c r="AU975" s="60" t="s">
        <v>56</v>
      </c>
      <c r="AV975" s="61" t="s">
        <v>76</v>
      </c>
      <c r="AW975" s="62" t="s">
        <v>72</v>
      </c>
      <c r="AX975" s="63" t="s">
        <v>73</v>
      </c>
      <c r="AY975" s="63" t="s">
        <v>74</v>
      </c>
      <c r="AZ975" s="64" t="s">
        <v>75</v>
      </c>
      <c r="BA975" s="71" t="s">
        <v>77</v>
      </c>
      <c r="BB975" s="72" t="s">
        <v>57</v>
      </c>
      <c r="BC975" s="72" t="s">
        <v>58</v>
      </c>
      <c r="BD975" s="73" t="s">
        <v>78</v>
      </c>
    </row>
    <row r="976" spans="1:56" ht="15.75" thickBot="1" x14ac:dyDescent="0.3">
      <c r="A976" s="17" t="s">
        <v>1</v>
      </c>
      <c r="B976" s="14">
        <v>71880</v>
      </c>
      <c r="C976" s="34">
        <f>B976/F973</f>
        <v>49.266620973269362</v>
      </c>
      <c r="D976" s="14">
        <v>1525</v>
      </c>
      <c r="E976" s="67">
        <v>0</v>
      </c>
      <c r="F976" s="69">
        <v>0</v>
      </c>
      <c r="G976" s="34" t="e">
        <f t="shared" ref="G976:G982" si="2106">E976/F976</f>
        <v>#DIV/0!</v>
      </c>
      <c r="H976" s="10" t="e">
        <f t="shared" ref="H976:H982" si="2107">G976/C976</f>
        <v>#DIV/0!</v>
      </c>
      <c r="I976" s="34">
        <v>0</v>
      </c>
      <c r="J976" s="69">
        <v>0</v>
      </c>
      <c r="K976" s="34" t="e">
        <f t="shared" ref="K976:K982" si="2108">I976/J976</f>
        <v>#DIV/0!</v>
      </c>
      <c r="L976" s="9" t="e">
        <f t="shared" ref="L976:L982" si="2109">K976/C976</f>
        <v>#DIV/0!</v>
      </c>
      <c r="M976" s="67">
        <v>21420</v>
      </c>
      <c r="N976" s="26">
        <v>678</v>
      </c>
      <c r="O976" s="34">
        <f t="shared" ref="O976:O982" si="2110">M976/N976</f>
        <v>31.592920353982301</v>
      </c>
      <c r="P976" s="10">
        <f t="shared" ref="P976:P982" si="2111">O976/C976</f>
        <v>0.64126420139760965</v>
      </c>
      <c r="Q976" s="35">
        <v>0</v>
      </c>
      <c r="R976" s="66">
        <v>0</v>
      </c>
      <c r="S976" s="35" t="e">
        <f t="shared" ref="S976:S982" si="2112">Q976/R976</f>
        <v>#DIV/0!</v>
      </c>
      <c r="T976" s="6" t="e">
        <f t="shared" ref="T976:T982" si="2113">S976/C976</f>
        <v>#DIV/0!</v>
      </c>
      <c r="U976" s="67">
        <v>0</v>
      </c>
      <c r="V976" s="65">
        <v>0</v>
      </c>
      <c r="W976" s="18" t="e">
        <f t="shared" ref="W976:W982" si="2114">U976/V976</f>
        <v>#DIV/0!</v>
      </c>
      <c r="X976" s="9" t="e">
        <f t="shared" ref="X976:X982" si="2115">W976/C976</f>
        <v>#DIV/0!</v>
      </c>
      <c r="Y976" s="67">
        <v>24270</v>
      </c>
      <c r="Z976" s="69">
        <v>600</v>
      </c>
      <c r="AA976" s="34">
        <f t="shared" ref="AA976:AA982" si="2116">Y976/Z976</f>
        <v>40.450000000000003</v>
      </c>
      <c r="AB976" s="10">
        <f t="shared" ref="AB976:AB982" si="2117">AA976/C976</f>
        <v>0.82104271007234286</v>
      </c>
      <c r="AC976" s="18">
        <v>8750</v>
      </c>
      <c r="AD976" s="33">
        <v>600</v>
      </c>
      <c r="AE976" s="34">
        <f t="shared" ref="AE976:AE982" si="2118">AC976/AD976</f>
        <v>14.583333333333334</v>
      </c>
      <c r="AF976" s="9">
        <f t="shared" ref="AF976:AF982" si="2119">AE976/C976</f>
        <v>0.29600839361899461</v>
      </c>
      <c r="AG976" s="67">
        <v>0</v>
      </c>
      <c r="AH976" s="65">
        <v>0</v>
      </c>
      <c r="AI976" s="34" t="e">
        <f t="shared" ref="AI976:AI982" si="2120">AG976/AH976</f>
        <v>#DIV/0!</v>
      </c>
      <c r="AJ976" s="9" t="e">
        <f t="shared" ref="AJ976:AJ982" si="2121">AI976/C976</f>
        <v>#DIV/0!</v>
      </c>
      <c r="AK976" s="67">
        <v>0</v>
      </c>
      <c r="AL976" s="65">
        <v>0</v>
      </c>
      <c r="AM976" s="34" t="e">
        <f t="shared" ref="AM976:AM982" si="2122">AK976/AL976</f>
        <v>#DIV/0!</v>
      </c>
      <c r="AN976" s="9" t="e">
        <f t="shared" ref="AN976:AN982" si="2123">AM976/C976</f>
        <v>#DIV/0!</v>
      </c>
      <c r="AO976" s="67">
        <v>0</v>
      </c>
      <c r="AP976" s="65">
        <v>0</v>
      </c>
      <c r="AQ976" s="34" t="e">
        <f t="shared" ref="AQ976:AQ982" si="2124">AO976/AP976</f>
        <v>#DIV/0!</v>
      </c>
      <c r="AR976" s="9" t="e">
        <f t="shared" ref="AR976:AR982" si="2125">AQ976/C976</f>
        <v>#DIV/0!</v>
      </c>
      <c r="AS976" s="67">
        <v>0</v>
      </c>
      <c r="AT976" s="65">
        <v>0</v>
      </c>
      <c r="AU976" s="34" t="e">
        <f t="shared" ref="AU976:AU982" si="2126">AS976/AT976</f>
        <v>#DIV/0!</v>
      </c>
      <c r="AV976" s="9" t="e">
        <f t="shared" ref="AV976:AV982" si="2127">AU976/C976</f>
        <v>#DIV/0!</v>
      </c>
      <c r="AW976" s="67">
        <v>0</v>
      </c>
      <c r="AX976" s="65">
        <v>0</v>
      </c>
      <c r="AY976" s="34" t="e">
        <f t="shared" ref="AY976:AY982" si="2128">AW976/AX976</f>
        <v>#DIV/0!</v>
      </c>
      <c r="AZ976" s="9" t="e">
        <f t="shared" ref="AZ976:AZ982" si="2129">AY976/C976</f>
        <v>#DIV/0!</v>
      </c>
      <c r="BA976" s="67">
        <v>0</v>
      </c>
      <c r="BB976" s="65">
        <v>0</v>
      </c>
      <c r="BC976" s="34" t="e">
        <f t="shared" ref="BC976:BC982" si="2130">BA976/BB976</f>
        <v>#DIV/0!</v>
      </c>
      <c r="BD976" s="10" t="e">
        <f t="shared" ref="BD976:BD982" si="2131">BC976/C976</f>
        <v>#DIV/0!</v>
      </c>
    </row>
    <row r="977" spans="1:56" ht="15.75" thickBot="1" x14ac:dyDescent="0.3">
      <c r="A977" s="19" t="s">
        <v>16</v>
      </c>
      <c r="B977" s="8">
        <v>84570</v>
      </c>
      <c r="C977" s="35">
        <f>B977/F973</f>
        <v>57.964359150102808</v>
      </c>
      <c r="D977" s="8">
        <v>1525</v>
      </c>
      <c r="E977" s="68">
        <v>0</v>
      </c>
      <c r="F977" s="70">
        <v>0</v>
      </c>
      <c r="G977" s="35" t="e">
        <f t="shared" si="2106"/>
        <v>#DIV/0!</v>
      </c>
      <c r="H977" s="11" t="e">
        <f t="shared" si="2107"/>
        <v>#DIV/0!</v>
      </c>
      <c r="I977" s="35">
        <v>0</v>
      </c>
      <c r="J977" s="70">
        <v>0</v>
      </c>
      <c r="K977" s="35" t="e">
        <f t="shared" si="2108"/>
        <v>#DIV/0!</v>
      </c>
      <c r="L977" s="6" t="e">
        <f t="shared" si="2109"/>
        <v>#DIV/0!</v>
      </c>
      <c r="M977" s="68">
        <v>26690</v>
      </c>
      <c r="N977" s="26">
        <v>678</v>
      </c>
      <c r="O977" s="35">
        <f t="shared" si="2110"/>
        <v>39.365781710914455</v>
      </c>
      <c r="P977" s="11">
        <f t="shared" si="2111"/>
        <v>0.67913770268681795</v>
      </c>
      <c r="Q977" s="35">
        <v>0</v>
      </c>
      <c r="R977" s="66">
        <v>0</v>
      </c>
      <c r="S977" s="35" t="e">
        <f t="shared" si="2112"/>
        <v>#DIV/0!</v>
      </c>
      <c r="T977" s="6" t="e">
        <f t="shared" si="2113"/>
        <v>#DIV/0!</v>
      </c>
      <c r="U977" s="68">
        <v>0</v>
      </c>
      <c r="V977" s="66">
        <v>0</v>
      </c>
      <c r="W977" s="20" t="e">
        <f t="shared" si="2114"/>
        <v>#DIV/0!</v>
      </c>
      <c r="X977" s="6" t="e">
        <f t="shared" si="2115"/>
        <v>#DIV/0!</v>
      </c>
      <c r="Y977" s="68">
        <v>33780</v>
      </c>
      <c r="Z977" s="69">
        <v>600</v>
      </c>
      <c r="AA977" s="35">
        <f t="shared" si="2116"/>
        <v>56.3</v>
      </c>
      <c r="AB977" s="11">
        <f t="shared" si="2117"/>
        <v>0.97128650821804419</v>
      </c>
      <c r="AC977" s="20">
        <v>11800</v>
      </c>
      <c r="AD977" s="33">
        <v>600</v>
      </c>
      <c r="AE977" s="35">
        <f t="shared" si="2118"/>
        <v>19.666666666666668</v>
      </c>
      <c r="AF977" s="6">
        <f t="shared" si="2119"/>
        <v>0.33928895195301728</v>
      </c>
      <c r="AG977" s="68">
        <v>0</v>
      </c>
      <c r="AH977" s="66">
        <v>0</v>
      </c>
      <c r="AI977" s="35" t="e">
        <f t="shared" si="2120"/>
        <v>#DIV/0!</v>
      </c>
      <c r="AJ977" s="6" t="e">
        <f t="shared" si="2121"/>
        <v>#DIV/0!</v>
      </c>
      <c r="AK977" s="68">
        <v>0</v>
      </c>
      <c r="AL977" s="66">
        <v>0</v>
      </c>
      <c r="AM977" s="35" t="e">
        <f t="shared" si="2122"/>
        <v>#DIV/0!</v>
      </c>
      <c r="AN977" s="6" t="e">
        <f t="shared" si="2123"/>
        <v>#DIV/0!</v>
      </c>
      <c r="AO977" s="68">
        <v>0</v>
      </c>
      <c r="AP977" s="66">
        <v>0</v>
      </c>
      <c r="AQ977" s="35" t="e">
        <f t="shared" si="2124"/>
        <v>#DIV/0!</v>
      </c>
      <c r="AR977" s="6" t="e">
        <f t="shared" si="2125"/>
        <v>#DIV/0!</v>
      </c>
      <c r="AS977" s="68">
        <v>0</v>
      </c>
      <c r="AT977" s="66">
        <v>0</v>
      </c>
      <c r="AU977" s="35" t="e">
        <f t="shared" si="2126"/>
        <v>#DIV/0!</v>
      </c>
      <c r="AV977" s="6" t="e">
        <f t="shared" si="2127"/>
        <v>#DIV/0!</v>
      </c>
      <c r="AW977" s="68">
        <v>0</v>
      </c>
      <c r="AX977" s="66">
        <v>0</v>
      </c>
      <c r="AY977" s="35" t="e">
        <f t="shared" si="2128"/>
        <v>#DIV/0!</v>
      </c>
      <c r="AZ977" s="6" t="e">
        <f t="shared" si="2129"/>
        <v>#DIV/0!</v>
      </c>
      <c r="BA977" s="68">
        <v>0</v>
      </c>
      <c r="BB977" s="66">
        <v>0</v>
      </c>
      <c r="BC977" s="35" t="e">
        <f t="shared" si="2130"/>
        <v>#DIV/0!</v>
      </c>
      <c r="BD977" s="11" t="e">
        <f t="shared" si="2131"/>
        <v>#DIV/0!</v>
      </c>
    </row>
    <row r="978" spans="1:56" ht="15.75" thickBot="1" x14ac:dyDescent="0.3">
      <c r="A978" s="19" t="s">
        <v>2</v>
      </c>
      <c r="B978" s="8">
        <v>98820</v>
      </c>
      <c r="C978" s="35">
        <f>B978/F973</f>
        <v>67.731322823851954</v>
      </c>
      <c r="D978" s="8">
        <v>2100</v>
      </c>
      <c r="E978" s="68">
        <v>0</v>
      </c>
      <c r="F978" s="70">
        <v>0</v>
      </c>
      <c r="G978" s="35" t="e">
        <f t="shared" si="2106"/>
        <v>#DIV/0!</v>
      </c>
      <c r="H978" s="11" t="e">
        <f t="shared" si="2107"/>
        <v>#DIV/0!</v>
      </c>
      <c r="I978" s="35">
        <v>0</v>
      </c>
      <c r="J978" s="70">
        <v>0</v>
      </c>
      <c r="K978" s="35" t="e">
        <f t="shared" si="2108"/>
        <v>#DIV/0!</v>
      </c>
      <c r="L978" s="6" t="e">
        <f t="shared" si="2109"/>
        <v>#DIV/0!</v>
      </c>
      <c r="M978" s="68">
        <v>30490</v>
      </c>
      <c r="N978" s="26">
        <v>678</v>
      </c>
      <c r="O978" s="35">
        <f t="shared" si="2110"/>
        <v>44.970501474926252</v>
      </c>
      <c r="P978" s="11">
        <f t="shared" si="2111"/>
        <v>0.66395427698762799</v>
      </c>
      <c r="Q978" s="35">
        <v>0</v>
      </c>
      <c r="R978" s="66">
        <v>0</v>
      </c>
      <c r="S978" s="35" t="e">
        <f t="shared" si="2112"/>
        <v>#DIV/0!</v>
      </c>
      <c r="T978" s="6" t="e">
        <f t="shared" si="2113"/>
        <v>#DIV/0!</v>
      </c>
      <c r="U978" s="68">
        <v>0</v>
      </c>
      <c r="V978" s="66">
        <v>0</v>
      </c>
      <c r="W978" s="20" t="e">
        <f t="shared" si="2114"/>
        <v>#DIV/0!</v>
      </c>
      <c r="X978" s="6" t="e">
        <f t="shared" si="2115"/>
        <v>#DIV/0!</v>
      </c>
      <c r="Y978" s="68">
        <v>40760</v>
      </c>
      <c r="Z978" s="69">
        <v>600</v>
      </c>
      <c r="AA978" s="35">
        <f t="shared" si="2116"/>
        <v>67.933333333333337</v>
      </c>
      <c r="AB978" s="11">
        <f t="shared" si="2117"/>
        <v>1.0029825271537476</v>
      </c>
      <c r="AC978" s="20">
        <v>14970</v>
      </c>
      <c r="AD978" s="33">
        <v>600</v>
      </c>
      <c r="AE978" s="35">
        <f t="shared" si="2118"/>
        <v>24.95</v>
      </c>
      <c r="AF978" s="6">
        <f t="shared" si="2119"/>
        <v>0.36836723335357213</v>
      </c>
      <c r="AG978" s="68">
        <v>0</v>
      </c>
      <c r="AH978" s="66">
        <v>0</v>
      </c>
      <c r="AI978" s="35" t="e">
        <f t="shared" si="2120"/>
        <v>#DIV/0!</v>
      </c>
      <c r="AJ978" s="6" t="e">
        <f t="shared" si="2121"/>
        <v>#DIV/0!</v>
      </c>
      <c r="AK978" s="68">
        <v>0</v>
      </c>
      <c r="AL978" s="66">
        <v>0</v>
      </c>
      <c r="AM978" s="35" t="e">
        <f t="shared" si="2122"/>
        <v>#DIV/0!</v>
      </c>
      <c r="AN978" s="6" t="e">
        <f t="shared" si="2123"/>
        <v>#DIV/0!</v>
      </c>
      <c r="AO978" s="68">
        <v>0</v>
      </c>
      <c r="AP978" s="66">
        <v>0</v>
      </c>
      <c r="AQ978" s="35" t="e">
        <f t="shared" si="2124"/>
        <v>#DIV/0!</v>
      </c>
      <c r="AR978" s="6" t="e">
        <f t="shared" si="2125"/>
        <v>#DIV/0!</v>
      </c>
      <c r="AS978" s="68">
        <v>0</v>
      </c>
      <c r="AT978" s="66">
        <v>0</v>
      </c>
      <c r="AU978" s="35" t="e">
        <f t="shared" si="2126"/>
        <v>#DIV/0!</v>
      </c>
      <c r="AV978" s="6" t="e">
        <f t="shared" si="2127"/>
        <v>#DIV/0!</v>
      </c>
      <c r="AW978" s="68">
        <v>0</v>
      </c>
      <c r="AX978" s="66">
        <v>0</v>
      </c>
      <c r="AY978" s="35" t="e">
        <f t="shared" si="2128"/>
        <v>#DIV/0!</v>
      </c>
      <c r="AZ978" s="6" t="e">
        <f t="shared" si="2129"/>
        <v>#DIV/0!</v>
      </c>
      <c r="BA978" s="68">
        <v>0</v>
      </c>
      <c r="BB978" s="66">
        <v>0</v>
      </c>
      <c r="BC978" s="35" t="e">
        <f t="shared" si="2130"/>
        <v>#DIV/0!</v>
      </c>
      <c r="BD978" s="11" t="e">
        <f t="shared" si="2131"/>
        <v>#DIV/0!</v>
      </c>
    </row>
    <row r="979" spans="1:56" ht="15.75" thickBot="1" x14ac:dyDescent="0.3">
      <c r="A979" s="19" t="s">
        <v>3</v>
      </c>
      <c r="B979" s="8">
        <v>119560</v>
      </c>
      <c r="C979" s="35">
        <f>B979/F973</f>
        <v>81.946538725154213</v>
      </c>
      <c r="D979" s="8">
        <v>2700</v>
      </c>
      <c r="E979" s="68">
        <v>0</v>
      </c>
      <c r="F979" s="70">
        <v>0</v>
      </c>
      <c r="G979" s="35" t="e">
        <f t="shared" si="2106"/>
        <v>#DIV/0!</v>
      </c>
      <c r="H979" s="11" t="e">
        <f t="shared" si="2107"/>
        <v>#DIV/0!</v>
      </c>
      <c r="I979" s="35">
        <v>0</v>
      </c>
      <c r="J979" s="70">
        <v>0</v>
      </c>
      <c r="K979" s="35" t="e">
        <f t="shared" si="2108"/>
        <v>#DIV/0!</v>
      </c>
      <c r="L979" s="6" t="e">
        <f t="shared" si="2109"/>
        <v>#DIV/0!</v>
      </c>
      <c r="M979" s="68">
        <v>35000</v>
      </c>
      <c r="N979" s="26">
        <v>678</v>
      </c>
      <c r="O979" s="35">
        <f t="shared" si="2110"/>
        <v>51.622418879056049</v>
      </c>
      <c r="P979" s="11">
        <f t="shared" si="2111"/>
        <v>0.62995240167734001</v>
      </c>
      <c r="Q979" s="35">
        <v>0</v>
      </c>
      <c r="R979" s="66">
        <v>0</v>
      </c>
      <c r="S979" s="35" t="e">
        <f t="shared" si="2112"/>
        <v>#DIV/0!</v>
      </c>
      <c r="T979" s="6" t="e">
        <f t="shared" si="2113"/>
        <v>#DIV/0!</v>
      </c>
      <c r="U979" s="68">
        <v>0</v>
      </c>
      <c r="V979" s="66">
        <v>0</v>
      </c>
      <c r="W979" s="20" t="e">
        <f t="shared" si="2114"/>
        <v>#DIV/0!</v>
      </c>
      <c r="X979" s="6" t="e">
        <f t="shared" si="2115"/>
        <v>#DIV/0!</v>
      </c>
      <c r="Y979" s="68">
        <v>42970</v>
      </c>
      <c r="Z979" s="69">
        <v>600</v>
      </c>
      <c r="AA979" s="35">
        <f t="shared" si="2116"/>
        <v>71.61666666666666</v>
      </c>
      <c r="AB979" s="11">
        <f t="shared" si="2117"/>
        <v>0.87394376603100254</v>
      </c>
      <c r="AC979" s="20">
        <v>15960</v>
      </c>
      <c r="AD979" s="33">
        <v>600</v>
      </c>
      <c r="AE979" s="35">
        <f t="shared" si="2118"/>
        <v>26.6</v>
      </c>
      <c r="AF979" s="6">
        <f t="shared" si="2119"/>
        <v>0.32460187353629977</v>
      </c>
      <c r="AG979" s="68">
        <v>0</v>
      </c>
      <c r="AH979" s="66">
        <v>0</v>
      </c>
      <c r="AI979" s="35" t="e">
        <f t="shared" si="2120"/>
        <v>#DIV/0!</v>
      </c>
      <c r="AJ979" s="6" t="e">
        <f t="shared" si="2121"/>
        <v>#DIV/0!</v>
      </c>
      <c r="AK979" s="68">
        <v>0</v>
      </c>
      <c r="AL979" s="66">
        <v>0</v>
      </c>
      <c r="AM979" s="35" t="e">
        <f t="shared" si="2122"/>
        <v>#DIV/0!</v>
      </c>
      <c r="AN979" s="6" t="e">
        <f t="shared" si="2123"/>
        <v>#DIV/0!</v>
      </c>
      <c r="AO979" s="68">
        <v>0</v>
      </c>
      <c r="AP979" s="66">
        <v>0</v>
      </c>
      <c r="AQ979" s="35" t="e">
        <f t="shared" si="2124"/>
        <v>#DIV/0!</v>
      </c>
      <c r="AR979" s="6" t="e">
        <f t="shared" si="2125"/>
        <v>#DIV/0!</v>
      </c>
      <c r="AS979" s="68">
        <v>0</v>
      </c>
      <c r="AT979" s="66">
        <v>0</v>
      </c>
      <c r="AU979" s="35" t="e">
        <f t="shared" si="2126"/>
        <v>#DIV/0!</v>
      </c>
      <c r="AV979" s="6" t="e">
        <f t="shared" si="2127"/>
        <v>#DIV/0!</v>
      </c>
      <c r="AW979" s="68">
        <v>0</v>
      </c>
      <c r="AX979" s="66">
        <v>0</v>
      </c>
      <c r="AY979" s="35" t="e">
        <f t="shared" si="2128"/>
        <v>#DIV/0!</v>
      </c>
      <c r="AZ979" s="6" t="e">
        <f t="shared" si="2129"/>
        <v>#DIV/0!</v>
      </c>
      <c r="BA979" s="68">
        <v>0</v>
      </c>
      <c r="BB979" s="66">
        <v>0</v>
      </c>
      <c r="BC979" s="35" t="e">
        <f t="shared" si="2130"/>
        <v>#DIV/0!</v>
      </c>
      <c r="BD979" s="11" t="e">
        <f t="shared" si="2131"/>
        <v>#DIV/0!</v>
      </c>
    </row>
    <row r="980" spans="1:56" ht="15.75" thickBot="1" x14ac:dyDescent="0.3">
      <c r="A980" s="19" t="s">
        <v>4</v>
      </c>
      <c r="B980" s="8">
        <v>148540</v>
      </c>
      <c r="C980" s="35">
        <f>B980/F973</f>
        <v>101.80945853324195</v>
      </c>
      <c r="D980" s="8">
        <v>5250</v>
      </c>
      <c r="E980" s="68">
        <v>0</v>
      </c>
      <c r="F980" s="70">
        <v>0</v>
      </c>
      <c r="G980" s="35" t="e">
        <f t="shared" si="2106"/>
        <v>#DIV/0!</v>
      </c>
      <c r="H980" s="11" t="e">
        <f t="shared" si="2107"/>
        <v>#DIV/0!</v>
      </c>
      <c r="I980" s="35">
        <v>0</v>
      </c>
      <c r="J980" s="70">
        <v>0</v>
      </c>
      <c r="K980" s="35" t="e">
        <f t="shared" si="2108"/>
        <v>#DIV/0!</v>
      </c>
      <c r="L980" s="6" t="e">
        <f t="shared" si="2109"/>
        <v>#DIV/0!</v>
      </c>
      <c r="M980" s="68">
        <v>48050</v>
      </c>
      <c r="N980" s="26">
        <v>678</v>
      </c>
      <c r="O980" s="35">
        <f t="shared" si="2110"/>
        <v>70.87020648967551</v>
      </c>
      <c r="P980" s="11">
        <f t="shared" si="2111"/>
        <v>0.69610630987233446</v>
      </c>
      <c r="Q980" s="35">
        <v>0</v>
      </c>
      <c r="R980" s="66">
        <v>0</v>
      </c>
      <c r="S980" s="35" t="e">
        <f t="shared" si="2112"/>
        <v>#DIV/0!</v>
      </c>
      <c r="T980" s="6" t="e">
        <f t="shared" si="2113"/>
        <v>#DIV/0!</v>
      </c>
      <c r="U980" s="68">
        <v>0</v>
      </c>
      <c r="V980" s="66">
        <v>0</v>
      </c>
      <c r="W980" s="20" t="e">
        <f t="shared" si="2114"/>
        <v>#DIV/0!</v>
      </c>
      <c r="X980" s="6" t="e">
        <f t="shared" si="2115"/>
        <v>#DIV/0!</v>
      </c>
      <c r="Y980" s="68">
        <v>52640</v>
      </c>
      <c r="Z980" s="69">
        <v>600</v>
      </c>
      <c r="AA980" s="35">
        <f t="shared" si="2116"/>
        <v>87.733333333333334</v>
      </c>
      <c r="AB980" s="11">
        <f t="shared" si="2117"/>
        <v>0.86174049638705619</v>
      </c>
      <c r="AC980" s="20">
        <v>18160</v>
      </c>
      <c r="AD980" s="33">
        <v>600</v>
      </c>
      <c r="AE980" s="35">
        <f t="shared" si="2118"/>
        <v>30.266666666666666</v>
      </c>
      <c r="AF980" s="6">
        <f t="shared" si="2119"/>
        <v>0.2972873748934069</v>
      </c>
      <c r="AG980" s="68">
        <v>0</v>
      </c>
      <c r="AH980" s="66">
        <v>0</v>
      </c>
      <c r="AI980" s="35" t="e">
        <f t="shared" si="2120"/>
        <v>#DIV/0!</v>
      </c>
      <c r="AJ980" s="6" t="e">
        <f t="shared" si="2121"/>
        <v>#DIV/0!</v>
      </c>
      <c r="AK980" s="68">
        <v>0</v>
      </c>
      <c r="AL980" s="66">
        <v>0</v>
      </c>
      <c r="AM980" s="35" t="e">
        <f t="shared" si="2122"/>
        <v>#DIV/0!</v>
      </c>
      <c r="AN980" s="6" t="e">
        <f t="shared" si="2123"/>
        <v>#DIV/0!</v>
      </c>
      <c r="AO980" s="68">
        <v>0</v>
      </c>
      <c r="AP980" s="66">
        <v>0</v>
      </c>
      <c r="AQ980" s="35" t="e">
        <f t="shared" si="2124"/>
        <v>#DIV/0!</v>
      </c>
      <c r="AR980" s="6" t="e">
        <f t="shared" si="2125"/>
        <v>#DIV/0!</v>
      </c>
      <c r="AS980" s="68">
        <v>0</v>
      </c>
      <c r="AT980" s="66">
        <v>0</v>
      </c>
      <c r="AU980" s="35" t="e">
        <f t="shared" si="2126"/>
        <v>#DIV/0!</v>
      </c>
      <c r="AV980" s="6" t="e">
        <f t="shared" si="2127"/>
        <v>#DIV/0!</v>
      </c>
      <c r="AW980" s="68">
        <v>0</v>
      </c>
      <c r="AX980" s="66">
        <v>0</v>
      </c>
      <c r="AY980" s="35" t="e">
        <f t="shared" si="2128"/>
        <v>#DIV/0!</v>
      </c>
      <c r="AZ980" s="6" t="e">
        <f t="shared" si="2129"/>
        <v>#DIV/0!</v>
      </c>
      <c r="BA980" s="68">
        <v>0</v>
      </c>
      <c r="BB980" s="66">
        <v>0</v>
      </c>
      <c r="BC980" s="35" t="e">
        <f t="shared" si="2130"/>
        <v>#DIV/0!</v>
      </c>
      <c r="BD980" s="11" t="e">
        <f t="shared" si="2131"/>
        <v>#DIV/0!</v>
      </c>
    </row>
    <row r="981" spans="1:56" ht="15.75" thickBot="1" x14ac:dyDescent="0.3">
      <c r="A981" s="19" t="s">
        <v>5</v>
      </c>
      <c r="B981" s="8">
        <v>196200</v>
      </c>
      <c r="C981" s="35">
        <f>B981/F973</f>
        <v>134.47566826593558</v>
      </c>
      <c r="D981" s="8">
        <v>7050</v>
      </c>
      <c r="E981" s="68">
        <v>0</v>
      </c>
      <c r="F981" s="70">
        <v>0</v>
      </c>
      <c r="G981" s="35" t="e">
        <f t="shared" si="2106"/>
        <v>#DIV/0!</v>
      </c>
      <c r="H981" s="11" t="e">
        <f t="shared" si="2107"/>
        <v>#DIV/0!</v>
      </c>
      <c r="I981" s="35">
        <v>0</v>
      </c>
      <c r="J981" s="70">
        <v>0</v>
      </c>
      <c r="K981" s="35" t="e">
        <f t="shared" si="2108"/>
        <v>#DIV/0!</v>
      </c>
      <c r="L981" s="6" t="e">
        <f t="shared" si="2109"/>
        <v>#DIV/0!</v>
      </c>
      <c r="M981" s="68">
        <v>53140</v>
      </c>
      <c r="N981" s="26">
        <v>678</v>
      </c>
      <c r="O981" s="35">
        <f t="shared" si="2110"/>
        <v>78.377581120943958</v>
      </c>
      <c r="P981" s="11">
        <f t="shared" si="2111"/>
        <v>0.58283838356502149</v>
      </c>
      <c r="Q981" s="35">
        <v>0</v>
      </c>
      <c r="R981" s="66">
        <v>0</v>
      </c>
      <c r="S981" s="35" t="e">
        <f t="shared" si="2112"/>
        <v>#DIV/0!</v>
      </c>
      <c r="T981" s="6" t="e">
        <f t="shared" si="2113"/>
        <v>#DIV/0!</v>
      </c>
      <c r="U981" s="68">
        <v>0</v>
      </c>
      <c r="V981" s="66">
        <v>0</v>
      </c>
      <c r="W981" s="20" t="e">
        <f t="shared" si="2114"/>
        <v>#DIV/0!</v>
      </c>
      <c r="X981" s="6" t="e">
        <f t="shared" si="2115"/>
        <v>#DIV/0!</v>
      </c>
      <c r="Y981" s="68">
        <v>68780</v>
      </c>
      <c r="Z981" s="69">
        <v>600</v>
      </c>
      <c r="AA981" s="35">
        <f t="shared" si="2116"/>
        <v>114.63333333333334</v>
      </c>
      <c r="AB981" s="11">
        <f t="shared" si="2117"/>
        <v>0.85244665307509349</v>
      </c>
      <c r="AC981" s="20">
        <v>20200</v>
      </c>
      <c r="AD981" s="33">
        <v>600</v>
      </c>
      <c r="AE981" s="35">
        <f t="shared" si="2118"/>
        <v>33.666666666666664</v>
      </c>
      <c r="AF981" s="6">
        <f t="shared" si="2119"/>
        <v>0.25035507985049266</v>
      </c>
      <c r="AG981" s="68">
        <v>0</v>
      </c>
      <c r="AH981" s="66">
        <v>0</v>
      </c>
      <c r="AI981" s="35" t="e">
        <f t="shared" si="2120"/>
        <v>#DIV/0!</v>
      </c>
      <c r="AJ981" s="6" t="e">
        <f t="shared" si="2121"/>
        <v>#DIV/0!</v>
      </c>
      <c r="AK981" s="68">
        <v>0</v>
      </c>
      <c r="AL981" s="66">
        <v>0</v>
      </c>
      <c r="AM981" s="35" t="e">
        <f t="shared" si="2122"/>
        <v>#DIV/0!</v>
      </c>
      <c r="AN981" s="6" t="e">
        <f t="shared" si="2123"/>
        <v>#DIV/0!</v>
      </c>
      <c r="AO981" s="68">
        <v>0</v>
      </c>
      <c r="AP981" s="66">
        <v>0</v>
      </c>
      <c r="AQ981" s="35" t="e">
        <f t="shared" si="2124"/>
        <v>#DIV/0!</v>
      </c>
      <c r="AR981" s="6" t="e">
        <f t="shared" si="2125"/>
        <v>#DIV/0!</v>
      </c>
      <c r="AS981" s="68">
        <v>0</v>
      </c>
      <c r="AT981" s="66">
        <v>0</v>
      </c>
      <c r="AU981" s="35" t="e">
        <f t="shared" si="2126"/>
        <v>#DIV/0!</v>
      </c>
      <c r="AV981" s="6" t="e">
        <f t="shared" si="2127"/>
        <v>#DIV/0!</v>
      </c>
      <c r="AW981" s="68">
        <v>0</v>
      </c>
      <c r="AX981" s="66">
        <v>0</v>
      </c>
      <c r="AY981" s="35" t="e">
        <f t="shared" si="2128"/>
        <v>#DIV/0!</v>
      </c>
      <c r="AZ981" s="6" t="e">
        <f t="shared" si="2129"/>
        <v>#DIV/0!</v>
      </c>
      <c r="BA981" s="68">
        <v>0</v>
      </c>
      <c r="BB981" s="66">
        <v>0</v>
      </c>
      <c r="BC981" s="35" t="e">
        <f t="shared" si="2130"/>
        <v>#DIV/0!</v>
      </c>
      <c r="BD981" s="11" t="e">
        <f t="shared" si="2131"/>
        <v>#DIV/0!</v>
      </c>
    </row>
    <row r="982" spans="1:56" x14ac:dyDescent="0.25">
      <c r="A982" s="19" t="s">
        <v>6</v>
      </c>
      <c r="B982" s="8">
        <v>238130</v>
      </c>
      <c r="C982" s="35">
        <f>B982/F973</f>
        <v>163.2145305003427</v>
      </c>
      <c r="D982" s="8">
        <v>10950</v>
      </c>
      <c r="E982" s="68">
        <v>0</v>
      </c>
      <c r="F982" s="70">
        <v>0</v>
      </c>
      <c r="G982" s="35" t="e">
        <f t="shared" si="2106"/>
        <v>#DIV/0!</v>
      </c>
      <c r="H982" s="11" t="e">
        <f t="shared" si="2107"/>
        <v>#DIV/0!</v>
      </c>
      <c r="I982" s="35">
        <v>0</v>
      </c>
      <c r="J982" s="70">
        <v>0</v>
      </c>
      <c r="K982" s="35" t="e">
        <f t="shared" si="2108"/>
        <v>#DIV/0!</v>
      </c>
      <c r="L982" s="6" t="e">
        <f t="shared" si="2109"/>
        <v>#DIV/0!</v>
      </c>
      <c r="M982" s="68">
        <v>63880</v>
      </c>
      <c r="N982" s="26">
        <v>678</v>
      </c>
      <c r="O982" s="35">
        <f t="shared" si="2110"/>
        <v>94.21828908554572</v>
      </c>
      <c r="P982" s="11">
        <f t="shared" si="2111"/>
        <v>0.57726655094196955</v>
      </c>
      <c r="Q982" s="35">
        <v>0</v>
      </c>
      <c r="R982" s="66">
        <v>0</v>
      </c>
      <c r="S982" s="35" t="e">
        <f t="shared" si="2112"/>
        <v>#DIV/0!</v>
      </c>
      <c r="T982" s="6" t="e">
        <f t="shared" si="2113"/>
        <v>#DIV/0!</v>
      </c>
      <c r="U982" s="68">
        <v>0</v>
      </c>
      <c r="V982" s="66">
        <v>0</v>
      </c>
      <c r="W982" s="20" t="e">
        <f t="shared" si="2114"/>
        <v>#DIV/0!</v>
      </c>
      <c r="X982" s="6" t="e">
        <f t="shared" si="2115"/>
        <v>#DIV/0!</v>
      </c>
      <c r="Y982" s="68">
        <v>75320</v>
      </c>
      <c r="Z982" s="69">
        <v>600</v>
      </c>
      <c r="AA982" s="35">
        <f t="shared" si="2116"/>
        <v>125.53333333333333</v>
      </c>
      <c r="AB982" s="11">
        <f t="shared" si="2117"/>
        <v>0.76913086689343357</v>
      </c>
      <c r="AC982" s="20">
        <v>29000</v>
      </c>
      <c r="AD982" s="33">
        <v>600</v>
      </c>
      <c r="AE982" s="35">
        <f t="shared" si="2118"/>
        <v>48.333333333333336</v>
      </c>
      <c r="AF982" s="6">
        <f t="shared" si="2119"/>
        <v>0.29613376447038731</v>
      </c>
      <c r="AG982" s="68">
        <v>0</v>
      </c>
      <c r="AH982" s="66">
        <v>0</v>
      </c>
      <c r="AI982" s="35" t="e">
        <f t="shared" si="2120"/>
        <v>#DIV/0!</v>
      </c>
      <c r="AJ982" s="6" t="e">
        <f t="shared" si="2121"/>
        <v>#DIV/0!</v>
      </c>
      <c r="AK982" s="68">
        <v>0</v>
      </c>
      <c r="AL982" s="66">
        <v>0</v>
      </c>
      <c r="AM982" s="35" t="e">
        <f t="shared" si="2122"/>
        <v>#DIV/0!</v>
      </c>
      <c r="AN982" s="6" t="e">
        <f t="shared" si="2123"/>
        <v>#DIV/0!</v>
      </c>
      <c r="AO982" s="68">
        <v>0</v>
      </c>
      <c r="AP982" s="66">
        <v>0</v>
      </c>
      <c r="AQ982" s="35" t="e">
        <f t="shared" si="2124"/>
        <v>#DIV/0!</v>
      </c>
      <c r="AR982" s="6" t="e">
        <f t="shared" si="2125"/>
        <v>#DIV/0!</v>
      </c>
      <c r="AS982" s="68">
        <v>0</v>
      </c>
      <c r="AT982" s="66">
        <v>0</v>
      </c>
      <c r="AU982" s="35" t="e">
        <f t="shared" si="2126"/>
        <v>#DIV/0!</v>
      </c>
      <c r="AV982" s="6" t="e">
        <f t="shared" si="2127"/>
        <v>#DIV/0!</v>
      </c>
      <c r="AW982" s="68">
        <v>0</v>
      </c>
      <c r="AX982" s="66">
        <v>0</v>
      </c>
      <c r="AY982" s="35" t="e">
        <f t="shared" si="2128"/>
        <v>#DIV/0!</v>
      </c>
      <c r="AZ982" s="6" t="e">
        <f t="shared" si="2129"/>
        <v>#DIV/0!</v>
      </c>
      <c r="BA982" s="68">
        <v>0</v>
      </c>
      <c r="BB982" s="66">
        <v>0</v>
      </c>
      <c r="BC982" s="35" t="e">
        <f t="shared" si="2130"/>
        <v>#DIV/0!</v>
      </c>
      <c r="BD982" s="11" t="e">
        <f t="shared" si="2131"/>
        <v>#DIV/0!</v>
      </c>
    </row>
    <row r="983" spans="1:56" ht="15.75" thickBot="1" x14ac:dyDescent="0.3">
      <c r="A983" s="21"/>
      <c r="B983" s="22"/>
      <c r="C983" s="23">
        <f>AVERAGE(Table11079[MA $/Sq Ft])</f>
        <v>93.772642710271228</v>
      </c>
      <c r="D983" s="22">
        <f>AVERAGE(Table11079[Basic Allowance])</f>
        <v>4442.8571428571431</v>
      </c>
      <c r="E983" s="16"/>
      <c r="F983" s="22"/>
      <c r="G983" s="15"/>
      <c r="H983" s="24" t="e">
        <f>AVERAGE(Table11079[Bsmt % Base])</f>
        <v>#DIV/0!</v>
      </c>
      <c r="I983" s="15"/>
      <c r="J983" s="15"/>
      <c r="K983" s="15"/>
      <c r="L983" s="25" t="e">
        <f>AVERAGE(Table11079[[#Headers],[#Data],[UnfBsmt % Base]])</f>
        <v>#DIV/0!</v>
      </c>
      <c r="M983" s="44"/>
      <c r="N983" s="15"/>
      <c r="O983" s="23">
        <f>AVERAGE(Table11079[LowerVal/SqFt])</f>
        <v>58.716814159292035</v>
      </c>
      <c r="P983" s="24">
        <f>AVERAGE(Table11079[Lower % Base])</f>
        <v>0.63864568958981727</v>
      </c>
      <c r="Q983" s="13"/>
      <c r="R983" s="13"/>
      <c r="S983" s="13"/>
      <c r="T983" s="25" t="e">
        <f>AVERAGE(Table11079[Unf Lower % Base])</f>
        <v>#DIV/0!</v>
      </c>
      <c r="U983" s="12"/>
      <c r="V983" s="13"/>
      <c r="W983" s="13"/>
      <c r="X983" s="25" t="e">
        <f>AVERAGE(Table11079[1/2 Story % Base])</f>
        <v>#DIV/0!</v>
      </c>
      <c r="Y983" s="12"/>
      <c r="Z983" s="13"/>
      <c r="AA983" s="13"/>
      <c r="AB983" s="24">
        <f>AVERAGE(Table11079[2nd Story % Base])</f>
        <v>0.87893907540438854</v>
      </c>
      <c r="AC983" s="13"/>
      <c r="AD983" s="13"/>
      <c r="AE983" s="23">
        <f>AVERAGE(Table11079[AttGarVal/SqFt])</f>
        <v>28.295238095238098</v>
      </c>
      <c r="AF983" s="25">
        <f>AVERAGE(Table11079[Att Gar % Base])</f>
        <v>0.3102918102394529</v>
      </c>
      <c r="AG983" s="12"/>
      <c r="AH983" s="13"/>
      <c r="AI983" s="13"/>
      <c r="AJ983" s="25" t="e">
        <f>AVERAGE(Table11079[Porch % Base])</f>
        <v>#DIV/0!</v>
      </c>
      <c r="AK983" s="12"/>
      <c r="AL983" s="13"/>
      <c r="AM983" s="13"/>
      <c r="AN983" s="25" t="e">
        <f>AVERAGE(Table11079[Cov Porch % Base])</f>
        <v>#DIV/0!</v>
      </c>
      <c r="AO983" s="12"/>
      <c r="AP983" s="13"/>
      <c r="AQ983" s="13"/>
      <c r="AR983" s="25" t="e">
        <f>AVERAGE(Table11079[Deck % Base])</f>
        <v>#DIV/0!</v>
      </c>
      <c r="AS983" s="12"/>
      <c r="AT983" s="13"/>
      <c r="AU983" s="23" t="e">
        <f>AVERAGE(Table11079[CovDeckVal/SqFt])</f>
        <v>#DIV/0!</v>
      </c>
      <c r="AV983" s="25" t="e">
        <f>AVERAGE(Table11079[CovDeck % Base])</f>
        <v>#DIV/0!</v>
      </c>
      <c r="AW983" s="12"/>
      <c r="AX983" s="13"/>
      <c r="AY983" s="13"/>
      <c r="AZ983" s="25" t="e">
        <f>AVERAGE(Table11079[CarP % Base])</f>
        <v>#DIV/0!</v>
      </c>
      <c r="BA983" s="12"/>
      <c r="BB983" s="13"/>
      <c r="BC983" s="13"/>
      <c r="BD983" s="24" t="e">
        <f>AVERAGE(Table11079[EFP % Base])</f>
        <v>#DIV/0!</v>
      </c>
    </row>
    <row r="985" spans="1:56" ht="15.75" thickBot="1" x14ac:dyDescent="0.3">
      <c r="A985" s="82"/>
      <c r="B985" t="s">
        <v>79</v>
      </c>
      <c r="C985" s="78" t="s">
        <v>184</v>
      </c>
      <c r="E985" t="s">
        <v>33</v>
      </c>
      <c r="F985" s="79">
        <v>1176</v>
      </c>
      <c r="H985" t="s">
        <v>80</v>
      </c>
      <c r="I985" t="s">
        <v>105</v>
      </c>
    </row>
    <row r="986" spans="1:56" x14ac:dyDescent="0.25">
      <c r="A986" s="112"/>
      <c r="B986" s="113"/>
      <c r="C986" s="113"/>
      <c r="D986" s="114"/>
      <c r="E986" s="115" t="s">
        <v>27</v>
      </c>
      <c r="F986" s="116"/>
      <c r="G986" s="116"/>
      <c r="H986" s="117"/>
      <c r="I986" s="118" t="s">
        <v>28</v>
      </c>
      <c r="J986" s="119"/>
      <c r="K986" s="119"/>
      <c r="L986" s="120"/>
      <c r="M986" s="121" t="s">
        <v>7</v>
      </c>
      <c r="N986" s="122"/>
      <c r="O986" s="122"/>
      <c r="P986" s="123"/>
      <c r="Q986" s="124" t="s">
        <v>29</v>
      </c>
      <c r="R986" s="125"/>
      <c r="S986" s="125"/>
      <c r="T986" s="126"/>
      <c r="U986" s="127" t="s">
        <v>8</v>
      </c>
      <c r="V986" s="128"/>
      <c r="W986" s="128"/>
      <c r="X986" s="129"/>
      <c r="Y986" s="130" t="s">
        <v>0</v>
      </c>
      <c r="Z986" s="131"/>
      <c r="AA986" s="131"/>
      <c r="AB986" s="132"/>
      <c r="AC986" s="133" t="s">
        <v>34</v>
      </c>
      <c r="AD986" s="134"/>
      <c r="AE986" s="134"/>
      <c r="AF986" s="135"/>
      <c r="AG986" s="115" t="s">
        <v>9</v>
      </c>
      <c r="AH986" s="116"/>
      <c r="AI986" s="116"/>
      <c r="AJ986" s="117"/>
      <c r="AK986" s="136" t="s">
        <v>35</v>
      </c>
      <c r="AL986" s="137"/>
      <c r="AM986" s="137"/>
      <c r="AN986" s="138"/>
      <c r="AO986" s="139" t="s">
        <v>10</v>
      </c>
      <c r="AP986" s="140"/>
      <c r="AQ986" s="140"/>
      <c r="AR986" s="141"/>
      <c r="AS986" s="124" t="s">
        <v>36</v>
      </c>
      <c r="AT986" s="125"/>
      <c r="AU986" s="125"/>
      <c r="AV986" s="126"/>
      <c r="AW986" s="142" t="s">
        <v>11</v>
      </c>
      <c r="AX986" s="143"/>
      <c r="AY986" s="143"/>
      <c r="AZ986" s="144"/>
      <c r="BA986" s="148" t="s">
        <v>17</v>
      </c>
      <c r="BB986" s="149"/>
      <c r="BC986" s="149"/>
      <c r="BD986" s="150"/>
    </row>
    <row r="987" spans="1:56" s="1" customFormat="1" ht="15.75" thickBot="1" x14ac:dyDescent="0.3">
      <c r="A987" s="41" t="s">
        <v>13</v>
      </c>
      <c r="B987" s="42" t="s">
        <v>15</v>
      </c>
      <c r="C987" s="42" t="s">
        <v>32</v>
      </c>
      <c r="D987" s="43" t="s">
        <v>18</v>
      </c>
      <c r="E987" s="30" t="s">
        <v>30</v>
      </c>
      <c r="F987" s="31" t="s">
        <v>61</v>
      </c>
      <c r="G987" s="31" t="s">
        <v>38</v>
      </c>
      <c r="H987" s="32" t="s">
        <v>62</v>
      </c>
      <c r="I987" s="37" t="s">
        <v>31</v>
      </c>
      <c r="J987" s="38" t="s">
        <v>39</v>
      </c>
      <c r="K987" s="38" t="s">
        <v>40</v>
      </c>
      <c r="L987" s="39" t="s">
        <v>63</v>
      </c>
      <c r="M987" s="40" t="s">
        <v>19</v>
      </c>
      <c r="N987" s="7" t="s">
        <v>41</v>
      </c>
      <c r="O987" s="7" t="s">
        <v>37</v>
      </c>
      <c r="P987" s="7" t="s">
        <v>64</v>
      </c>
      <c r="Q987" s="27" t="s">
        <v>20</v>
      </c>
      <c r="R987" s="28" t="s">
        <v>60</v>
      </c>
      <c r="S987" s="28" t="s">
        <v>59</v>
      </c>
      <c r="T987" s="29" t="s">
        <v>65</v>
      </c>
      <c r="U987" s="48" t="s">
        <v>21</v>
      </c>
      <c r="V987" s="48" t="s">
        <v>42</v>
      </c>
      <c r="W987" s="48" t="s">
        <v>43</v>
      </c>
      <c r="X987" s="49" t="s">
        <v>66</v>
      </c>
      <c r="Y987" s="50" t="s">
        <v>22</v>
      </c>
      <c r="Z987" s="51" t="s">
        <v>44</v>
      </c>
      <c r="AA987" s="51" t="s">
        <v>45</v>
      </c>
      <c r="AB987" s="52" t="s">
        <v>67</v>
      </c>
      <c r="AC987" s="45" t="s">
        <v>23</v>
      </c>
      <c r="AD987" s="46" t="s">
        <v>46</v>
      </c>
      <c r="AE987" s="46" t="s">
        <v>47</v>
      </c>
      <c r="AF987" s="47" t="s">
        <v>68</v>
      </c>
      <c r="AG987" s="30" t="s">
        <v>24</v>
      </c>
      <c r="AH987" s="31" t="s">
        <v>48</v>
      </c>
      <c r="AI987" s="31" t="s">
        <v>49</v>
      </c>
      <c r="AJ987" s="32" t="s">
        <v>69</v>
      </c>
      <c r="AK987" s="53" t="s">
        <v>25</v>
      </c>
      <c r="AL987" s="54" t="s">
        <v>50</v>
      </c>
      <c r="AM987" s="54" t="s">
        <v>51</v>
      </c>
      <c r="AN987" s="55" t="s">
        <v>70</v>
      </c>
      <c r="AO987" s="56" t="s">
        <v>26</v>
      </c>
      <c r="AP987" s="57" t="s">
        <v>52</v>
      </c>
      <c r="AQ987" s="57" t="s">
        <v>53</v>
      </c>
      <c r="AR987" s="58" t="s">
        <v>71</v>
      </c>
      <c r="AS987" s="59" t="s">
        <v>55</v>
      </c>
      <c r="AT987" s="60" t="s">
        <v>54</v>
      </c>
      <c r="AU987" s="60" t="s">
        <v>56</v>
      </c>
      <c r="AV987" s="61" t="s">
        <v>76</v>
      </c>
      <c r="AW987" s="62" t="s">
        <v>72</v>
      </c>
      <c r="AX987" s="63" t="s">
        <v>73</v>
      </c>
      <c r="AY987" s="63" t="s">
        <v>74</v>
      </c>
      <c r="AZ987" s="64" t="s">
        <v>75</v>
      </c>
      <c r="BA987" s="71" t="s">
        <v>77</v>
      </c>
      <c r="BB987" s="72" t="s">
        <v>57</v>
      </c>
      <c r="BC987" s="72" t="s">
        <v>58</v>
      </c>
      <c r="BD987" s="73" t="s">
        <v>78</v>
      </c>
    </row>
    <row r="988" spans="1:56" ht="15.75" thickBot="1" x14ac:dyDescent="0.3">
      <c r="A988" s="17" t="s">
        <v>1</v>
      </c>
      <c r="B988" s="14">
        <v>59890</v>
      </c>
      <c r="C988" s="34">
        <f>B988/F985</f>
        <v>50.926870748299322</v>
      </c>
      <c r="D988" s="14">
        <v>1525</v>
      </c>
      <c r="E988" s="67">
        <v>0</v>
      </c>
      <c r="F988" s="69">
        <v>0</v>
      </c>
      <c r="G988" s="34" t="e">
        <f t="shared" ref="G988:G994" si="2132">E988/F988</f>
        <v>#DIV/0!</v>
      </c>
      <c r="H988" s="10" t="e">
        <f t="shared" ref="H988:H994" si="2133">G988/C988</f>
        <v>#DIV/0!</v>
      </c>
      <c r="I988" s="34">
        <v>0</v>
      </c>
      <c r="J988" s="69">
        <v>0</v>
      </c>
      <c r="K988" s="34" t="e">
        <f t="shared" ref="K988:K994" si="2134">I988/J988</f>
        <v>#DIV/0!</v>
      </c>
      <c r="L988" s="9" t="e">
        <f t="shared" ref="L988:L994" si="2135">K988/C988</f>
        <v>#DIV/0!</v>
      </c>
      <c r="M988" s="67">
        <v>19450</v>
      </c>
      <c r="N988" s="26">
        <v>600</v>
      </c>
      <c r="O988" s="34">
        <f t="shared" ref="O988:O994" si="2136">M988/N988</f>
        <v>32.416666666666664</v>
      </c>
      <c r="P988" s="10">
        <f t="shared" ref="P988:P994" si="2137">O988/C988</f>
        <v>0.63653364501586229</v>
      </c>
      <c r="Q988" s="35">
        <v>0</v>
      </c>
      <c r="R988" s="66">
        <v>0</v>
      </c>
      <c r="S988" s="35" t="e">
        <f t="shared" ref="S988:S994" si="2138">Q988/R988</f>
        <v>#DIV/0!</v>
      </c>
      <c r="T988" s="6" t="e">
        <f t="shared" ref="T988:T994" si="2139">S988/C988</f>
        <v>#DIV/0!</v>
      </c>
      <c r="U988" s="67">
        <v>0</v>
      </c>
      <c r="V988" s="65">
        <v>0</v>
      </c>
      <c r="W988" s="18" t="e">
        <f t="shared" ref="W988:W994" si="2140">U988/V988</f>
        <v>#DIV/0!</v>
      </c>
      <c r="X988" s="9" t="e">
        <f t="shared" ref="X988:X994" si="2141">W988/C988</f>
        <v>#DIV/0!</v>
      </c>
      <c r="Y988" s="67">
        <v>0</v>
      </c>
      <c r="Z988" s="69">
        <v>0</v>
      </c>
      <c r="AA988" s="34" t="e">
        <f t="shared" ref="AA988:AA994" si="2142">Y988/Z988</f>
        <v>#DIV/0!</v>
      </c>
      <c r="AB988" s="10" t="e">
        <f t="shared" ref="AB988:AB994" si="2143">AA988/C988</f>
        <v>#DIV/0!</v>
      </c>
      <c r="AC988" s="18">
        <v>8160</v>
      </c>
      <c r="AD988" s="33">
        <v>552</v>
      </c>
      <c r="AE988" s="34">
        <f t="shared" ref="AE988:AE994" si="2144">AC988/AD988</f>
        <v>14.782608695652174</v>
      </c>
      <c r="AF988" s="9">
        <f t="shared" ref="AF988:AF994" si="2145">AE988/C988</f>
        <v>0.29027129447465277</v>
      </c>
      <c r="AG988" s="67">
        <v>0</v>
      </c>
      <c r="AH988" s="65">
        <v>0</v>
      </c>
      <c r="AI988" s="34" t="e">
        <f t="shared" ref="AI988:AI994" si="2146">AG988/AH988</f>
        <v>#DIV/0!</v>
      </c>
      <c r="AJ988" s="9" t="e">
        <f t="shared" ref="AJ988:AJ994" si="2147">AI988/C988</f>
        <v>#DIV/0!</v>
      </c>
      <c r="AK988" s="67">
        <v>0</v>
      </c>
      <c r="AL988" s="65">
        <v>0</v>
      </c>
      <c r="AM988" s="34" t="e">
        <f t="shared" ref="AM988:AM994" si="2148">AK988/AL988</f>
        <v>#DIV/0!</v>
      </c>
      <c r="AN988" s="9" t="e">
        <f t="shared" ref="AN988:AN994" si="2149">AM988/C988</f>
        <v>#DIV/0!</v>
      </c>
      <c r="AO988" s="67">
        <v>0</v>
      </c>
      <c r="AP988" s="65">
        <v>0</v>
      </c>
      <c r="AQ988" s="34" t="e">
        <f t="shared" ref="AQ988:AQ994" si="2150">AO988/AP988</f>
        <v>#DIV/0!</v>
      </c>
      <c r="AR988" s="9" t="e">
        <f t="shared" ref="AR988:AR994" si="2151">AQ988/C988</f>
        <v>#DIV/0!</v>
      </c>
      <c r="AS988" s="67">
        <v>0</v>
      </c>
      <c r="AT988" s="65">
        <v>0</v>
      </c>
      <c r="AU988" s="34" t="e">
        <f t="shared" ref="AU988:AU994" si="2152">AS988/AT988</f>
        <v>#DIV/0!</v>
      </c>
      <c r="AV988" s="9" t="e">
        <f t="shared" ref="AV988:AV994" si="2153">AU988/C988</f>
        <v>#DIV/0!</v>
      </c>
      <c r="AW988" s="67">
        <v>0</v>
      </c>
      <c r="AX988" s="65">
        <v>0</v>
      </c>
      <c r="AY988" s="34" t="e">
        <f t="shared" ref="AY988:AY994" si="2154">AW988/AX988</f>
        <v>#DIV/0!</v>
      </c>
      <c r="AZ988" s="9" t="e">
        <f t="shared" ref="AZ988:AZ994" si="2155">AY988/C988</f>
        <v>#DIV/0!</v>
      </c>
      <c r="BA988" s="67">
        <v>0</v>
      </c>
      <c r="BB988" s="65">
        <v>0</v>
      </c>
      <c r="BC988" s="34" t="e">
        <f t="shared" ref="BC988:BC994" si="2156">BA988/BB988</f>
        <v>#DIV/0!</v>
      </c>
      <c r="BD988" s="10" t="e">
        <f t="shared" ref="BD988:BD994" si="2157">BC988/C988</f>
        <v>#DIV/0!</v>
      </c>
    </row>
    <row r="989" spans="1:56" ht="15.75" thickBot="1" x14ac:dyDescent="0.3">
      <c r="A989" s="19" t="s">
        <v>16</v>
      </c>
      <c r="B989" s="8">
        <v>70470</v>
      </c>
      <c r="C989" s="35">
        <f>B989/F985</f>
        <v>59.923469387755105</v>
      </c>
      <c r="D989" s="8">
        <v>1525</v>
      </c>
      <c r="E989" s="68">
        <v>0</v>
      </c>
      <c r="F989" s="70">
        <v>0</v>
      </c>
      <c r="G989" s="35" t="e">
        <f t="shared" si="2132"/>
        <v>#DIV/0!</v>
      </c>
      <c r="H989" s="11" t="e">
        <f t="shared" si="2133"/>
        <v>#DIV/0!</v>
      </c>
      <c r="I989" s="35">
        <v>0</v>
      </c>
      <c r="J989" s="70">
        <v>0</v>
      </c>
      <c r="K989" s="35" t="e">
        <f t="shared" si="2134"/>
        <v>#DIV/0!</v>
      </c>
      <c r="L989" s="6" t="e">
        <f t="shared" si="2135"/>
        <v>#DIV/0!</v>
      </c>
      <c r="M989" s="68">
        <v>24300</v>
      </c>
      <c r="N989" s="26">
        <v>600</v>
      </c>
      <c r="O989" s="35">
        <f t="shared" si="2136"/>
        <v>40.5</v>
      </c>
      <c r="P989" s="11">
        <f t="shared" si="2137"/>
        <v>0.67586206896551726</v>
      </c>
      <c r="Q989" s="35">
        <v>0</v>
      </c>
      <c r="R989" s="66">
        <v>0</v>
      </c>
      <c r="S989" s="35" t="e">
        <f t="shared" si="2138"/>
        <v>#DIV/0!</v>
      </c>
      <c r="T989" s="6" t="e">
        <f t="shared" si="2139"/>
        <v>#DIV/0!</v>
      </c>
      <c r="U989" s="68">
        <v>0</v>
      </c>
      <c r="V989" s="66">
        <v>0</v>
      </c>
      <c r="W989" s="20" t="e">
        <f t="shared" si="2140"/>
        <v>#DIV/0!</v>
      </c>
      <c r="X989" s="6" t="e">
        <f t="shared" si="2141"/>
        <v>#DIV/0!</v>
      </c>
      <c r="Y989" s="68">
        <v>0</v>
      </c>
      <c r="Z989" s="70">
        <v>0</v>
      </c>
      <c r="AA989" s="35" t="e">
        <f t="shared" si="2142"/>
        <v>#DIV/0!</v>
      </c>
      <c r="AB989" s="11" t="e">
        <f t="shared" si="2143"/>
        <v>#DIV/0!</v>
      </c>
      <c r="AC989" s="20">
        <v>11110</v>
      </c>
      <c r="AD989" s="33">
        <v>552</v>
      </c>
      <c r="AE989" s="35">
        <f t="shared" si="2144"/>
        <v>20.126811594202898</v>
      </c>
      <c r="AF989" s="6">
        <f t="shared" si="2145"/>
        <v>0.33587527224042296</v>
      </c>
      <c r="AG989" s="68">
        <v>0</v>
      </c>
      <c r="AH989" s="66">
        <v>0</v>
      </c>
      <c r="AI989" s="35" t="e">
        <f t="shared" si="2146"/>
        <v>#DIV/0!</v>
      </c>
      <c r="AJ989" s="6" t="e">
        <f t="shared" si="2147"/>
        <v>#DIV/0!</v>
      </c>
      <c r="AK989" s="68">
        <v>0</v>
      </c>
      <c r="AL989" s="66">
        <v>0</v>
      </c>
      <c r="AM989" s="35" t="e">
        <f t="shared" si="2148"/>
        <v>#DIV/0!</v>
      </c>
      <c r="AN989" s="6" t="e">
        <f t="shared" si="2149"/>
        <v>#DIV/0!</v>
      </c>
      <c r="AO989" s="68">
        <v>0</v>
      </c>
      <c r="AP989" s="66">
        <v>0</v>
      </c>
      <c r="AQ989" s="35" t="e">
        <f t="shared" si="2150"/>
        <v>#DIV/0!</v>
      </c>
      <c r="AR989" s="6" t="e">
        <f t="shared" si="2151"/>
        <v>#DIV/0!</v>
      </c>
      <c r="AS989" s="68">
        <v>0</v>
      </c>
      <c r="AT989" s="66">
        <v>0</v>
      </c>
      <c r="AU989" s="35" t="e">
        <f t="shared" si="2152"/>
        <v>#DIV/0!</v>
      </c>
      <c r="AV989" s="6" t="e">
        <f t="shared" si="2153"/>
        <v>#DIV/0!</v>
      </c>
      <c r="AW989" s="68">
        <v>0</v>
      </c>
      <c r="AX989" s="66">
        <v>0</v>
      </c>
      <c r="AY989" s="35" t="e">
        <f t="shared" si="2154"/>
        <v>#DIV/0!</v>
      </c>
      <c r="AZ989" s="6" t="e">
        <f t="shared" si="2155"/>
        <v>#DIV/0!</v>
      </c>
      <c r="BA989" s="68">
        <v>0</v>
      </c>
      <c r="BB989" s="66">
        <v>0</v>
      </c>
      <c r="BC989" s="35" t="e">
        <f t="shared" si="2156"/>
        <v>#DIV/0!</v>
      </c>
      <c r="BD989" s="11" t="e">
        <f t="shared" si="2157"/>
        <v>#DIV/0!</v>
      </c>
    </row>
    <row r="990" spans="1:56" ht="15.75" thickBot="1" x14ac:dyDescent="0.3">
      <c r="A990" s="19" t="s">
        <v>2</v>
      </c>
      <c r="B990" s="8">
        <v>82420</v>
      </c>
      <c r="C990" s="35">
        <f>B990/F985</f>
        <v>70.085034013605437</v>
      </c>
      <c r="D990" s="8">
        <v>2100</v>
      </c>
      <c r="E990" s="68">
        <v>0</v>
      </c>
      <c r="F990" s="70">
        <v>0</v>
      </c>
      <c r="G990" s="35" t="e">
        <f t="shared" si="2132"/>
        <v>#DIV/0!</v>
      </c>
      <c r="H990" s="11" t="e">
        <f t="shared" si="2133"/>
        <v>#DIV/0!</v>
      </c>
      <c r="I990" s="35">
        <v>0</v>
      </c>
      <c r="J990" s="70">
        <v>0</v>
      </c>
      <c r="K990" s="35" t="e">
        <f t="shared" si="2134"/>
        <v>#DIV/0!</v>
      </c>
      <c r="L990" s="6" t="e">
        <f t="shared" si="2135"/>
        <v>#DIV/0!</v>
      </c>
      <c r="M990" s="68">
        <v>27770</v>
      </c>
      <c r="N990" s="26">
        <v>600</v>
      </c>
      <c r="O990" s="35">
        <f t="shared" si="2136"/>
        <v>46.283333333333331</v>
      </c>
      <c r="P990" s="11">
        <f t="shared" si="2137"/>
        <v>0.66038825527784517</v>
      </c>
      <c r="Q990" s="35">
        <v>0</v>
      </c>
      <c r="R990" s="66">
        <v>0</v>
      </c>
      <c r="S990" s="35" t="e">
        <f t="shared" si="2138"/>
        <v>#DIV/0!</v>
      </c>
      <c r="T990" s="6" t="e">
        <f t="shared" si="2139"/>
        <v>#DIV/0!</v>
      </c>
      <c r="U990" s="68">
        <v>0</v>
      </c>
      <c r="V990" s="66">
        <v>0</v>
      </c>
      <c r="W990" s="20" t="e">
        <f t="shared" si="2140"/>
        <v>#DIV/0!</v>
      </c>
      <c r="X990" s="6" t="e">
        <f t="shared" si="2141"/>
        <v>#DIV/0!</v>
      </c>
      <c r="Y990" s="68">
        <v>0</v>
      </c>
      <c r="Z990" s="70">
        <v>0</v>
      </c>
      <c r="AA990" s="35" t="e">
        <f t="shared" si="2142"/>
        <v>#DIV/0!</v>
      </c>
      <c r="AB990" s="11" t="e">
        <f t="shared" si="2143"/>
        <v>#DIV/0!</v>
      </c>
      <c r="AC990" s="20">
        <v>13900</v>
      </c>
      <c r="AD990" s="33">
        <v>552</v>
      </c>
      <c r="AE990" s="35">
        <f t="shared" si="2144"/>
        <v>25.181159420289855</v>
      </c>
      <c r="AF990" s="6">
        <f t="shared" si="2145"/>
        <v>0.35929438823417703</v>
      </c>
      <c r="AG990" s="68">
        <v>0</v>
      </c>
      <c r="AH990" s="66">
        <v>0</v>
      </c>
      <c r="AI990" s="35" t="e">
        <f t="shared" si="2146"/>
        <v>#DIV/0!</v>
      </c>
      <c r="AJ990" s="6" t="e">
        <f t="shared" si="2147"/>
        <v>#DIV/0!</v>
      </c>
      <c r="AK990" s="68">
        <v>0</v>
      </c>
      <c r="AL990" s="66">
        <v>0</v>
      </c>
      <c r="AM990" s="35" t="e">
        <f t="shared" si="2148"/>
        <v>#DIV/0!</v>
      </c>
      <c r="AN990" s="6" t="e">
        <f t="shared" si="2149"/>
        <v>#DIV/0!</v>
      </c>
      <c r="AO990" s="68">
        <v>0</v>
      </c>
      <c r="AP990" s="66">
        <v>0</v>
      </c>
      <c r="AQ990" s="35" t="e">
        <f t="shared" si="2150"/>
        <v>#DIV/0!</v>
      </c>
      <c r="AR990" s="6" t="e">
        <f t="shared" si="2151"/>
        <v>#DIV/0!</v>
      </c>
      <c r="AS990" s="68">
        <v>0</v>
      </c>
      <c r="AT990" s="66">
        <v>0</v>
      </c>
      <c r="AU990" s="35" t="e">
        <f t="shared" si="2152"/>
        <v>#DIV/0!</v>
      </c>
      <c r="AV990" s="6" t="e">
        <f t="shared" si="2153"/>
        <v>#DIV/0!</v>
      </c>
      <c r="AW990" s="68">
        <v>0</v>
      </c>
      <c r="AX990" s="66">
        <v>0</v>
      </c>
      <c r="AY990" s="35" t="e">
        <f t="shared" si="2154"/>
        <v>#DIV/0!</v>
      </c>
      <c r="AZ990" s="6" t="e">
        <f t="shared" si="2155"/>
        <v>#DIV/0!</v>
      </c>
      <c r="BA990" s="68">
        <v>0</v>
      </c>
      <c r="BB990" s="66">
        <v>0</v>
      </c>
      <c r="BC990" s="35" t="e">
        <f t="shared" si="2156"/>
        <v>#DIV/0!</v>
      </c>
      <c r="BD990" s="11" t="e">
        <f t="shared" si="2157"/>
        <v>#DIV/0!</v>
      </c>
    </row>
    <row r="991" spans="1:56" ht="15.75" thickBot="1" x14ac:dyDescent="0.3">
      <c r="A991" s="19" t="s">
        <v>3</v>
      </c>
      <c r="B991" s="8">
        <v>99500</v>
      </c>
      <c r="C991" s="35">
        <f>B991/F985</f>
        <v>84.60884353741497</v>
      </c>
      <c r="D991" s="8">
        <v>2700</v>
      </c>
      <c r="E991" s="68">
        <v>0</v>
      </c>
      <c r="F991" s="70">
        <v>0</v>
      </c>
      <c r="G991" s="35" t="e">
        <f t="shared" si="2132"/>
        <v>#DIV/0!</v>
      </c>
      <c r="H991" s="11" t="e">
        <f t="shared" si="2133"/>
        <v>#DIV/0!</v>
      </c>
      <c r="I991" s="35">
        <v>0</v>
      </c>
      <c r="J991" s="70">
        <v>0</v>
      </c>
      <c r="K991" s="35" t="e">
        <f t="shared" si="2134"/>
        <v>#DIV/0!</v>
      </c>
      <c r="L991" s="6" t="e">
        <f t="shared" si="2135"/>
        <v>#DIV/0!</v>
      </c>
      <c r="M991" s="68">
        <v>31860</v>
      </c>
      <c r="N991" s="26">
        <v>600</v>
      </c>
      <c r="O991" s="35">
        <f t="shared" si="2136"/>
        <v>53.1</v>
      </c>
      <c r="P991" s="11">
        <f t="shared" si="2137"/>
        <v>0.6275939698492462</v>
      </c>
      <c r="Q991" s="35">
        <v>0</v>
      </c>
      <c r="R991" s="66">
        <v>0</v>
      </c>
      <c r="S991" s="35" t="e">
        <f t="shared" si="2138"/>
        <v>#DIV/0!</v>
      </c>
      <c r="T991" s="6" t="e">
        <f t="shared" si="2139"/>
        <v>#DIV/0!</v>
      </c>
      <c r="U991" s="68">
        <v>0</v>
      </c>
      <c r="V991" s="66">
        <v>0</v>
      </c>
      <c r="W991" s="20" t="e">
        <f t="shared" si="2140"/>
        <v>#DIV/0!</v>
      </c>
      <c r="X991" s="6" t="e">
        <f t="shared" si="2141"/>
        <v>#DIV/0!</v>
      </c>
      <c r="Y991" s="68">
        <v>0</v>
      </c>
      <c r="Z991" s="70">
        <v>0</v>
      </c>
      <c r="AA991" s="35" t="e">
        <f t="shared" si="2142"/>
        <v>#DIV/0!</v>
      </c>
      <c r="AB991" s="11" t="e">
        <f t="shared" si="2143"/>
        <v>#DIV/0!</v>
      </c>
      <c r="AC991" s="20">
        <v>14770</v>
      </c>
      <c r="AD991" s="33">
        <v>552</v>
      </c>
      <c r="AE991" s="35">
        <f t="shared" si="2144"/>
        <v>26.757246376811594</v>
      </c>
      <c r="AF991" s="6">
        <f t="shared" si="2145"/>
        <v>0.31624644963950183</v>
      </c>
      <c r="AG991" s="68">
        <v>0</v>
      </c>
      <c r="AH991" s="66">
        <v>0</v>
      </c>
      <c r="AI991" s="35" t="e">
        <f t="shared" si="2146"/>
        <v>#DIV/0!</v>
      </c>
      <c r="AJ991" s="6" t="e">
        <f t="shared" si="2147"/>
        <v>#DIV/0!</v>
      </c>
      <c r="AK991" s="68">
        <v>0</v>
      </c>
      <c r="AL991" s="66">
        <v>0</v>
      </c>
      <c r="AM991" s="35" t="e">
        <f t="shared" si="2148"/>
        <v>#DIV/0!</v>
      </c>
      <c r="AN991" s="6" t="e">
        <f t="shared" si="2149"/>
        <v>#DIV/0!</v>
      </c>
      <c r="AO991" s="68">
        <v>0</v>
      </c>
      <c r="AP991" s="66">
        <v>0</v>
      </c>
      <c r="AQ991" s="35" t="e">
        <f t="shared" si="2150"/>
        <v>#DIV/0!</v>
      </c>
      <c r="AR991" s="6" t="e">
        <f t="shared" si="2151"/>
        <v>#DIV/0!</v>
      </c>
      <c r="AS991" s="68">
        <v>0</v>
      </c>
      <c r="AT991" s="66">
        <v>0</v>
      </c>
      <c r="AU991" s="35" t="e">
        <f t="shared" si="2152"/>
        <v>#DIV/0!</v>
      </c>
      <c r="AV991" s="6" t="e">
        <f t="shared" si="2153"/>
        <v>#DIV/0!</v>
      </c>
      <c r="AW991" s="68">
        <v>0</v>
      </c>
      <c r="AX991" s="66">
        <v>0</v>
      </c>
      <c r="AY991" s="35" t="e">
        <f t="shared" si="2154"/>
        <v>#DIV/0!</v>
      </c>
      <c r="AZ991" s="6" t="e">
        <f t="shared" si="2155"/>
        <v>#DIV/0!</v>
      </c>
      <c r="BA991" s="68">
        <v>0</v>
      </c>
      <c r="BB991" s="66">
        <v>0</v>
      </c>
      <c r="BC991" s="35" t="e">
        <f t="shared" si="2156"/>
        <v>#DIV/0!</v>
      </c>
      <c r="BD991" s="11" t="e">
        <f t="shared" si="2157"/>
        <v>#DIV/0!</v>
      </c>
    </row>
    <row r="992" spans="1:56" ht="15.75" thickBot="1" x14ac:dyDescent="0.3">
      <c r="A992" s="19" t="s">
        <v>4</v>
      </c>
      <c r="B992" s="8">
        <v>124160</v>
      </c>
      <c r="C992" s="35">
        <f>B992/F985</f>
        <v>105.578231292517</v>
      </c>
      <c r="D992" s="8">
        <v>5250</v>
      </c>
      <c r="E992" s="68">
        <v>0</v>
      </c>
      <c r="F992" s="70">
        <v>0</v>
      </c>
      <c r="G992" s="35" t="e">
        <f t="shared" si="2132"/>
        <v>#DIV/0!</v>
      </c>
      <c r="H992" s="11" t="e">
        <f t="shared" si="2133"/>
        <v>#DIV/0!</v>
      </c>
      <c r="I992" s="35">
        <v>0</v>
      </c>
      <c r="J992" s="70">
        <v>0</v>
      </c>
      <c r="K992" s="35" t="e">
        <f t="shared" si="2134"/>
        <v>#DIV/0!</v>
      </c>
      <c r="L992" s="6" t="e">
        <f t="shared" si="2135"/>
        <v>#DIV/0!</v>
      </c>
      <c r="M992" s="68">
        <v>42820</v>
      </c>
      <c r="N992" s="26">
        <v>600</v>
      </c>
      <c r="O992" s="35">
        <f t="shared" si="2136"/>
        <v>71.36666666666666</v>
      </c>
      <c r="P992" s="11">
        <f t="shared" si="2137"/>
        <v>0.67596005154639172</v>
      </c>
      <c r="Q992" s="35">
        <v>0</v>
      </c>
      <c r="R992" s="66">
        <v>0</v>
      </c>
      <c r="S992" s="35" t="e">
        <f t="shared" si="2138"/>
        <v>#DIV/0!</v>
      </c>
      <c r="T992" s="6" t="e">
        <f t="shared" si="2139"/>
        <v>#DIV/0!</v>
      </c>
      <c r="U992" s="68">
        <v>0</v>
      </c>
      <c r="V992" s="66">
        <v>0</v>
      </c>
      <c r="W992" s="20" t="e">
        <f t="shared" si="2140"/>
        <v>#DIV/0!</v>
      </c>
      <c r="X992" s="6" t="e">
        <f t="shared" si="2141"/>
        <v>#DIV/0!</v>
      </c>
      <c r="Y992" s="68">
        <v>0</v>
      </c>
      <c r="Z992" s="70">
        <v>0</v>
      </c>
      <c r="AA992" s="35" t="e">
        <f t="shared" si="2142"/>
        <v>#DIV/0!</v>
      </c>
      <c r="AB992" s="11" t="e">
        <f t="shared" si="2143"/>
        <v>#DIV/0!</v>
      </c>
      <c r="AC992" s="20">
        <v>16820</v>
      </c>
      <c r="AD992" s="33">
        <v>552</v>
      </c>
      <c r="AE992" s="35">
        <f t="shared" si="2144"/>
        <v>30.471014492753625</v>
      </c>
      <c r="AF992" s="6">
        <f t="shared" si="2145"/>
        <v>0.28861076871358138</v>
      </c>
      <c r="AG992" s="68">
        <v>0</v>
      </c>
      <c r="AH992" s="66">
        <v>0</v>
      </c>
      <c r="AI992" s="35" t="e">
        <f t="shared" si="2146"/>
        <v>#DIV/0!</v>
      </c>
      <c r="AJ992" s="6" t="e">
        <f t="shared" si="2147"/>
        <v>#DIV/0!</v>
      </c>
      <c r="AK992" s="68">
        <v>0</v>
      </c>
      <c r="AL992" s="66">
        <v>0</v>
      </c>
      <c r="AM992" s="35" t="e">
        <f t="shared" si="2148"/>
        <v>#DIV/0!</v>
      </c>
      <c r="AN992" s="6" t="e">
        <f t="shared" si="2149"/>
        <v>#DIV/0!</v>
      </c>
      <c r="AO992" s="68">
        <v>0</v>
      </c>
      <c r="AP992" s="66">
        <v>0</v>
      </c>
      <c r="AQ992" s="35" t="e">
        <f t="shared" si="2150"/>
        <v>#DIV/0!</v>
      </c>
      <c r="AR992" s="6" t="e">
        <f t="shared" si="2151"/>
        <v>#DIV/0!</v>
      </c>
      <c r="AS992" s="68">
        <v>0</v>
      </c>
      <c r="AT992" s="66">
        <v>0</v>
      </c>
      <c r="AU992" s="35" t="e">
        <f t="shared" si="2152"/>
        <v>#DIV/0!</v>
      </c>
      <c r="AV992" s="6" t="e">
        <f t="shared" si="2153"/>
        <v>#DIV/0!</v>
      </c>
      <c r="AW992" s="68">
        <v>0</v>
      </c>
      <c r="AX992" s="66">
        <v>0</v>
      </c>
      <c r="AY992" s="35" t="e">
        <f t="shared" si="2154"/>
        <v>#DIV/0!</v>
      </c>
      <c r="AZ992" s="6" t="e">
        <f t="shared" si="2155"/>
        <v>#DIV/0!</v>
      </c>
      <c r="BA992" s="68">
        <v>0</v>
      </c>
      <c r="BB992" s="66">
        <v>0</v>
      </c>
      <c r="BC992" s="35" t="e">
        <f t="shared" si="2156"/>
        <v>#DIV/0!</v>
      </c>
      <c r="BD992" s="11" t="e">
        <f t="shared" si="2157"/>
        <v>#DIV/0!</v>
      </c>
    </row>
    <row r="993" spans="1:56" ht="15.75" thickBot="1" x14ac:dyDescent="0.3">
      <c r="A993" s="19" t="s">
        <v>5</v>
      </c>
      <c r="B993" s="8">
        <v>163180</v>
      </c>
      <c r="C993" s="35">
        <f>B993/F985</f>
        <v>138.75850340136054</v>
      </c>
      <c r="D993" s="8">
        <v>7050</v>
      </c>
      <c r="E993" s="68">
        <v>0</v>
      </c>
      <c r="F993" s="70">
        <v>0</v>
      </c>
      <c r="G993" s="35" t="e">
        <f t="shared" si="2132"/>
        <v>#DIV/0!</v>
      </c>
      <c r="H993" s="11" t="e">
        <f t="shared" si="2133"/>
        <v>#DIV/0!</v>
      </c>
      <c r="I993" s="35">
        <v>0</v>
      </c>
      <c r="J993" s="70">
        <v>0</v>
      </c>
      <c r="K993" s="35" t="e">
        <f t="shared" si="2134"/>
        <v>#DIV/0!</v>
      </c>
      <c r="L993" s="6" t="e">
        <f t="shared" si="2135"/>
        <v>#DIV/0!</v>
      </c>
      <c r="M993" s="68">
        <v>47350</v>
      </c>
      <c r="N993" s="26">
        <v>600</v>
      </c>
      <c r="O993" s="35">
        <f t="shared" si="2136"/>
        <v>78.916666666666671</v>
      </c>
      <c r="P993" s="11">
        <f t="shared" si="2137"/>
        <v>0.56873391346978797</v>
      </c>
      <c r="Q993" s="35">
        <v>0</v>
      </c>
      <c r="R993" s="66">
        <v>0</v>
      </c>
      <c r="S993" s="35" t="e">
        <f t="shared" si="2138"/>
        <v>#DIV/0!</v>
      </c>
      <c r="T993" s="6" t="e">
        <f t="shared" si="2139"/>
        <v>#DIV/0!</v>
      </c>
      <c r="U993" s="68">
        <v>0</v>
      </c>
      <c r="V993" s="66">
        <v>0</v>
      </c>
      <c r="W993" s="20" t="e">
        <f t="shared" si="2140"/>
        <v>#DIV/0!</v>
      </c>
      <c r="X993" s="6" t="e">
        <f t="shared" si="2141"/>
        <v>#DIV/0!</v>
      </c>
      <c r="Y993" s="68">
        <v>0</v>
      </c>
      <c r="Z993" s="70">
        <v>0</v>
      </c>
      <c r="AA993" s="35" t="e">
        <f t="shared" si="2142"/>
        <v>#DIV/0!</v>
      </c>
      <c r="AB993" s="11" t="e">
        <f t="shared" si="2143"/>
        <v>#DIV/0!</v>
      </c>
      <c r="AC993" s="20">
        <v>18880</v>
      </c>
      <c r="AD993" s="33">
        <v>552</v>
      </c>
      <c r="AE993" s="35">
        <f t="shared" si="2144"/>
        <v>34.20289855072464</v>
      </c>
      <c r="AF993" s="6">
        <f t="shared" si="2145"/>
        <v>0.2464922704721913</v>
      </c>
      <c r="AG993" s="68">
        <v>0</v>
      </c>
      <c r="AH993" s="66">
        <v>0</v>
      </c>
      <c r="AI993" s="35" t="e">
        <f t="shared" si="2146"/>
        <v>#DIV/0!</v>
      </c>
      <c r="AJ993" s="6" t="e">
        <f t="shared" si="2147"/>
        <v>#DIV/0!</v>
      </c>
      <c r="AK993" s="68">
        <v>0</v>
      </c>
      <c r="AL993" s="66">
        <v>0</v>
      </c>
      <c r="AM993" s="35" t="e">
        <f t="shared" si="2148"/>
        <v>#DIV/0!</v>
      </c>
      <c r="AN993" s="6" t="e">
        <f t="shared" si="2149"/>
        <v>#DIV/0!</v>
      </c>
      <c r="AO993" s="68">
        <v>0</v>
      </c>
      <c r="AP993" s="66">
        <v>0</v>
      </c>
      <c r="AQ993" s="35" t="e">
        <f t="shared" si="2150"/>
        <v>#DIV/0!</v>
      </c>
      <c r="AR993" s="6" t="e">
        <f t="shared" si="2151"/>
        <v>#DIV/0!</v>
      </c>
      <c r="AS993" s="68">
        <v>0</v>
      </c>
      <c r="AT993" s="66">
        <v>0</v>
      </c>
      <c r="AU993" s="35" t="e">
        <f t="shared" si="2152"/>
        <v>#DIV/0!</v>
      </c>
      <c r="AV993" s="6" t="e">
        <f t="shared" si="2153"/>
        <v>#DIV/0!</v>
      </c>
      <c r="AW993" s="68">
        <v>0</v>
      </c>
      <c r="AX993" s="66">
        <v>0</v>
      </c>
      <c r="AY993" s="35" t="e">
        <f t="shared" si="2154"/>
        <v>#DIV/0!</v>
      </c>
      <c r="AZ993" s="6" t="e">
        <f t="shared" si="2155"/>
        <v>#DIV/0!</v>
      </c>
      <c r="BA993" s="68">
        <v>0</v>
      </c>
      <c r="BB993" s="66">
        <v>0</v>
      </c>
      <c r="BC993" s="35" t="e">
        <f t="shared" si="2156"/>
        <v>#DIV/0!</v>
      </c>
      <c r="BD993" s="11" t="e">
        <f t="shared" si="2157"/>
        <v>#DIV/0!</v>
      </c>
    </row>
    <row r="994" spans="1:56" x14ac:dyDescent="0.25">
      <c r="A994" s="19" t="s">
        <v>6</v>
      </c>
      <c r="B994" s="8">
        <v>192660</v>
      </c>
      <c r="C994" s="35">
        <f>B994/F985</f>
        <v>163.82653061224491</v>
      </c>
      <c r="D994" s="8">
        <v>10950</v>
      </c>
      <c r="E994" s="68">
        <v>0</v>
      </c>
      <c r="F994" s="70">
        <v>0</v>
      </c>
      <c r="G994" s="35" t="e">
        <f t="shared" si="2132"/>
        <v>#DIV/0!</v>
      </c>
      <c r="H994" s="11" t="e">
        <f t="shared" si="2133"/>
        <v>#DIV/0!</v>
      </c>
      <c r="I994" s="35">
        <v>0</v>
      </c>
      <c r="J994" s="70">
        <v>0</v>
      </c>
      <c r="K994" s="35" t="e">
        <f t="shared" si="2134"/>
        <v>#DIV/0!</v>
      </c>
      <c r="L994" s="6" t="e">
        <f t="shared" si="2135"/>
        <v>#DIV/0!</v>
      </c>
      <c r="M994" s="68">
        <v>0</v>
      </c>
      <c r="N994" s="26">
        <v>600</v>
      </c>
      <c r="O994" s="35">
        <f t="shared" si="2136"/>
        <v>0</v>
      </c>
      <c r="P994" s="11">
        <f t="shared" si="2137"/>
        <v>0</v>
      </c>
      <c r="Q994" s="35">
        <v>0</v>
      </c>
      <c r="R994" s="66">
        <v>0</v>
      </c>
      <c r="S994" s="35" t="e">
        <f t="shared" si="2138"/>
        <v>#DIV/0!</v>
      </c>
      <c r="T994" s="6" t="e">
        <f t="shared" si="2139"/>
        <v>#DIV/0!</v>
      </c>
      <c r="U994" s="68">
        <v>0</v>
      </c>
      <c r="V994" s="66">
        <v>0</v>
      </c>
      <c r="W994" s="20" t="e">
        <f t="shared" si="2140"/>
        <v>#DIV/0!</v>
      </c>
      <c r="X994" s="6" t="e">
        <f t="shared" si="2141"/>
        <v>#DIV/0!</v>
      </c>
      <c r="Y994" s="68">
        <v>0</v>
      </c>
      <c r="Z994" s="70">
        <v>0</v>
      </c>
      <c r="AA994" s="35" t="e">
        <f t="shared" si="2142"/>
        <v>#DIV/0!</v>
      </c>
      <c r="AB994" s="11" t="e">
        <f t="shared" si="2143"/>
        <v>#DIV/0!</v>
      </c>
      <c r="AC994" s="20">
        <v>0</v>
      </c>
      <c r="AD994" s="33">
        <v>552</v>
      </c>
      <c r="AE994" s="35">
        <f t="shared" si="2144"/>
        <v>0</v>
      </c>
      <c r="AF994" s="6">
        <f t="shared" si="2145"/>
        <v>0</v>
      </c>
      <c r="AG994" s="68">
        <v>0</v>
      </c>
      <c r="AH994" s="66">
        <v>0</v>
      </c>
      <c r="AI994" s="35" t="e">
        <f t="shared" si="2146"/>
        <v>#DIV/0!</v>
      </c>
      <c r="AJ994" s="6" t="e">
        <f t="shared" si="2147"/>
        <v>#DIV/0!</v>
      </c>
      <c r="AK994" s="68">
        <v>0</v>
      </c>
      <c r="AL994" s="66">
        <v>0</v>
      </c>
      <c r="AM994" s="35" t="e">
        <f t="shared" si="2148"/>
        <v>#DIV/0!</v>
      </c>
      <c r="AN994" s="6" t="e">
        <f t="shared" si="2149"/>
        <v>#DIV/0!</v>
      </c>
      <c r="AO994" s="68">
        <v>0</v>
      </c>
      <c r="AP994" s="66">
        <v>0</v>
      </c>
      <c r="AQ994" s="35" t="e">
        <f t="shared" si="2150"/>
        <v>#DIV/0!</v>
      </c>
      <c r="AR994" s="6" t="e">
        <f t="shared" si="2151"/>
        <v>#DIV/0!</v>
      </c>
      <c r="AS994" s="68">
        <v>0</v>
      </c>
      <c r="AT994" s="66">
        <v>0</v>
      </c>
      <c r="AU994" s="35" t="e">
        <f t="shared" si="2152"/>
        <v>#DIV/0!</v>
      </c>
      <c r="AV994" s="6" t="e">
        <f t="shared" si="2153"/>
        <v>#DIV/0!</v>
      </c>
      <c r="AW994" s="68">
        <v>0</v>
      </c>
      <c r="AX994" s="66">
        <v>0</v>
      </c>
      <c r="AY994" s="35" t="e">
        <f t="shared" si="2154"/>
        <v>#DIV/0!</v>
      </c>
      <c r="AZ994" s="6" t="e">
        <f t="shared" si="2155"/>
        <v>#DIV/0!</v>
      </c>
      <c r="BA994" s="68">
        <v>0</v>
      </c>
      <c r="BB994" s="66">
        <v>0</v>
      </c>
      <c r="BC994" s="35" t="e">
        <f t="shared" si="2156"/>
        <v>#DIV/0!</v>
      </c>
      <c r="BD994" s="11" t="e">
        <f t="shared" si="2157"/>
        <v>#DIV/0!</v>
      </c>
    </row>
    <row r="995" spans="1:56" ht="15.75" thickBot="1" x14ac:dyDescent="0.3">
      <c r="A995" s="21"/>
      <c r="B995" s="22"/>
      <c r="C995" s="23">
        <f>AVERAGE(Table1107980[MA $/Sq Ft])</f>
        <v>96.243926141885325</v>
      </c>
      <c r="D995" s="22">
        <f>AVERAGE(Table1107980[Basic Allowance])</f>
        <v>4442.8571428571431</v>
      </c>
      <c r="E995" s="16"/>
      <c r="F995" s="22"/>
      <c r="G995" s="15"/>
      <c r="H995" s="24" t="e">
        <f>AVERAGE(Table1107980[Bsmt % Base])</f>
        <v>#DIV/0!</v>
      </c>
      <c r="I995" s="15"/>
      <c r="J995" s="15"/>
      <c r="K995" s="15"/>
      <c r="L995" s="25" t="e">
        <f>AVERAGE(Table1107980[[#Headers],[#Data],[UnfBsmt % Base]])</f>
        <v>#DIV/0!</v>
      </c>
      <c r="M995" s="44"/>
      <c r="N995" s="15"/>
      <c r="O995" s="23">
        <f>AVERAGE(Table1107980[LowerVal/SqFt])</f>
        <v>46.083333333333329</v>
      </c>
      <c r="P995" s="24">
        <f>AVERAGE(Table1107980[Lower % Base])</f>
        <v>0.5492959863035215</v>
      </c>
      <c r="Q995" s="13"/>
      <c r="R995" s="13"/>
      <c r="S995" s="13"/>
      <c r="T995" s="25" t="e">
        <f>AVERAGE(Table1107980[Unf Lower % Base])</f>
        <v>#DIV/0!</v>
      </c>
      <c r="U995" s="12"/>
      <c r="V995" s="13"/>
      <c r="W995" s="13"/>
      <c r="X995" s="25" t="e">
        <f>AVERAGE(Table1107980[1/2 Story % Base])</f>
        <v>#DIV/0!</v>
      </c>
      <c r="Y995" s="12"/>
      <c r="Z995" s="13"/>
      <c r="AA995" s="13"/>
      <c r="AB995" s="24" t="e">
        <f>AVERAGE(Table1107980[2nd Story % Base])</f>
        <v>#DIV/0!</v>
      </c>
      <c r="AC995" s="13"/>
      <c r="AD995" s="13"/>
      <c r="AE995" s="23">
        <f>AVERAGE(Table1107980[AttGarVal/SqFt])</f>
        <v>21.645962732919255</v>
      </c>
      <c r="AF995" s="25">
        <f>AVERAGE(Table1107980[Att Gar % Base])</f>
        <v>0.26239863482493242</v>
      </c>
      <c r="AG995" s="12"/>
      <c r="AH995" s="13"/>
      <c r="AI995" s="13"/>
      <c r="AJ995" s="25" t="e">
        <f>AVERAGE(Table1107980[Porch % Base])</f>
        <v>#DIV/0!</v>
      </c>
      <c r="AK995" s="12"/>
      <c r="AL995" s="13"/>
      <c r="AM995" s="13"/>
      <c r="AN995" s="25" t="e">
        <f>AVERAGE(Table1107980[Cov Porch % Base])</f>
        <v>#DIV/0!</v>
      </c>
      <c r="AO995" s="12"/>
      <c r="AP995" s="13"/>
      <c r="AQ995" s="13"/>
      <c r="AR995" s="25" t="e">
        <f>AVERAGE(Table1107980[Deck % Base])</f>
        <v>#DIV/0!</v>
      </c>
      <c r="AS995" s="12"/>
      <c r="AT995" s="13"/>
      <c r="AU995" s="23" t="e">
        <f>AVERAGE(Table1107980[CovDeckVal/SqFt])</f>
        <v>#DIV/0!</v>
      </c>
      <c r="AV995" s="25" t="e">
        <f>AVERAGE(Table1107980[CovDeck % Base])</f>
        <v>#DIV/0!</v>
      </c>
      <c r="AW995" s="12"/>
      <c r="AX995" s="13"/>
      <c r="AY995" s="13"/>
      <c r="AZ995" s="25" t="e">
        <f>AVERAGE(Table1107980[CarP % Base])</f>
        <v>#DIV/0!</v>
      </c>
      <c r="BA995" s="12"/>
      <c r="BB995" s="13"/>
      <c r="BC995" s="13"/>
      <c r="BD995" s="24" t="e">
        <f>AVERAGE(Table1107980[EFP % Base])</f>
        <v>#DIV/0!</v>
      </c>
    </row>
    <row r="997" spans="1:56" ht="15.75" thickBot="1" x14ac:dyDescent="0.3">
      <c r="A997" s="82"/>
      <c r="B997" t="s">
        <v>79</v>
      </c>
      <c r="C997" s="78" t="s">
        <v>185</v>
      </c>
      <c r="E997" t="s">
        <v>33</v>
      </c>
      <c r="F997" s="79">
        <v>1173</v>
      </c>
      <c r="H997" t="s">
        <v>80</v>
      </c>
      <c r="I997" t="s">
        <v>103</v>
      </c>
    </row>
    <row r="998" spans="1:56" x14ac:dyDescent="0.25">
      <c r="A998" s="112"/>
      <c r="B998" s="113"/>
      <c r="C998" s="113"/>
      <c r="D998" s="114"/>
      <c r="E998" s="115" t="s">
        <v>27</v>
      </c>
      <c r="F998" s="116"/>
      <c r="G998" s="116"/>
      <c r="H998" s="117"/>
      <c r="I998" s="118" t="s">
        <v>28</v>
      </c>
      <c r="J998" s="119"/>
      <c r="K998" s="119"/>
      <c r="L998" s="120"/>
      <c r="M998" s="121" t="s">
        <v>7</v>
      </c>
      <c r="N998" s="122"/>
      <c r="O998" s="122"/>
      <c r="P998" s="123"/>
      <c r="Q998" s="124" t="s">
        <v>29</v>
      </c>
      <c r="R998" s="125"/>
      <c r="S998" s="125"/>
      <c r="T998" s="126"/>
      <c r="U998" s="127" t="s">
        <v>8</v>
      </c>
      <c r="V998" s="128"/>
      <c r="W998" s="128"/>
      <c r="X998" s="129"/>
      <c r="Y998" s="130" t="s">
        <v>0</v>
      </c>
      <c r="Z998" s="131"/>
      <c r="AA998" s="131"/>
      <c r="AB998" s="132"/>
      <c r="AC998" s="133" t="s">
        <v>34</v>
      </c>
      <c r="AD998" s="134"/>
      <c r="AE998" s="134"/>
      <c r="AF998" s="135"/>
      <c r="AG998" s="115" t="s">
        <v>9</v>
      </c>
      <c r="AH998" s="116"/>
      <c r="AI998" s="116"/>
      <c r="AJ998" s="117"/>
      <c r="AK998" s="136" t="s">
        <v>35</v>
      </c>
      <c r="AL998" s="137"/>
      <c r="AM998" s="137"/>
      <c r="AN998" s="138"/>
      <c r="AO998" s="139" t="s">
        <v>10</v>
      </c>
      <c r="AP998" s="140"/>
      <c r="AQ998" s="140"/>
      <c r="AR998" s="141"/>
      <c r="AS998" s="124" t="s">
        <v>36</v>
      </c>
      <c r="AT998" s="125"/>
      <c r="AU998" s="125"/>
      <c r="AV998" s="126"/>
      <c r="AW998" s="142" t="s">
        <v>11</v>
      </c>
      <c r="AX998" s="143"/>
      <c r="AY998" s="143"/>
      <c r="AZ998" s="144"/>
      <c r="BA998" s="148" t="s">
        <v>17</v>
      </c>
      <c r="BB998" s="149"/>
      <c r="BC998" s="149"/>
      <c r="BD998" s="150"/>
    </row>
    <row r="999" spans="1:56" s="1" customFormat="1" ht="15.75" thickBot="1" x14ac:dyDescent="0.3">
      <c r="A999" s="41" t="s">
        <v>13</v>
      </c>
      <c r="B999" s="42" t="s">
        <v>15</v>
      </c>
      <c r="C999" s="42" t="s">
        <v>32</v>
      </c>
      <c r="D999" s="43" t="s">
        <v>18</v>
      </c>
      <c r="E999" s="30" t="s">
        <v>30</v>
      </c>
      <c r="F999" s="31" t="s">
        <v>61</v>
      </c>
      <c r="G999" s="31" t="s">
        <v>38</v>
      </c>
      <c r="H999" s="32" t="s">
        <v>62</v>
      </c>
      <c r="I999" s="37" t="s">
        <v>31</v>
      </c>
      <c r="J999" s="38" t="s">
        <v>39</v>
      </c>
      <c r="K999" s="38" t="s">
        <v>40</v>
      </c>
      <c r="L999" s="39" t="s">
        <v>63</v>
      </c>
      <c r="M999" s="40" t="s">
        <v>19</v>
      </c>
      <c r="N999" s="7" t="s">
        <v>41</v>
      </c>
      <c r="O999" s="7" t="s">
        <v>37</v>
      </c>
      <c r="P999" s="7" t="s">
        <v>64</v>
      </c>
      <c r="Q999" s="27" t="s">
        <v>20</v>
      </c>
      <c r="R999" s="28" t="s">
        <v>60</v>
      </c>
      <c r="S999" s="28" t="s">
        <v>59</v>
      </c>
      <c r="T999" s="29" t="s">
        <v>65</v>
      </c>
      <c r="U999" s="48" t="s">
        <v>21</v>
      </c>
      <c r="V999" s="48" t="s">
        <v>42</v>
      </c>
      <c r="W999" s="48" t="s">
        <v>43</v>
      </c>
      <c r="X999" s="49" t="s">
        <v>66</v>
      </c>
      <c r="Y999" s="50" t="s">
        <v>22</v>
      </c>
      <c r="Z999" s="51" t="s">
        <v>44</v>
      </c>
      <c r="AA999" s="51" t="s">
        <v>45</v>
      </c>
      <c r="AB999" s="52" t="s">
        <v>67</v>
      </c>
      <c r="AC999" s="45" t="s">
        <v>23</v>
      </c>
      <c r="AD999" s="46" t="s">
        <v>46</v>
      </c>
      <c r="AE999" s="46" t="s">
        <v>47</v>
      </c>
      <c r="AF999" s="47" t="s">
        <v>68</v>
      </c>
      <c r="AG999" s="30" t="s">
        <v>24</v>
      </c>
      <c r="AH999" s="31" t="s">
        <v>48</v>
      </c>
      <c r="AI999" s="31" t="s">
        <v>49</v>
      </c>
      <c r="AJ999" s="32" t="s">
        <v>69</v>
      </c>
      <c r="AK999" s="53" t="s">
        <v>25</v>
      </c>
      <c r="AL999" s="54" t="s">
        <v>50</v>
      </c>
      <c r="AM999" s="54" t="s">
        <v>51</v>
      </c>
      <c r="AN999" s="55" t="s">
        <v>70</v>
      </c>
      <c r="AO999" s="56" t="s">
        <v>26</v>
      </c>
      <c r="AP999" s="57" t="s">
        <v>52</v>
      </c>
      <c r="AQ999" s="57" t="s">
        <v>53</v>
      </c>
      <c r="AR999" s="58" t="s">
        <v>71</v>
      </c>
      <c r="AS999" s="59" t="s">
        <v>55</v>
      </c>
      <c r="AT999" s="60" t="s">
        <v>54</v>
      </c>
      <c r="AU999" s="60" t="s">
        <v>56</v>
      </c>
      <c r="AV999" s="61" t="s">
        <v>76</v>
      </c>
      <c r="AW999" s="62" t="s">
        <v>72</v>
      </c>
      <c r="AX999" s="63" t="s">
        <v>73</v>
      </c>
      <c r="AY999" s="63" t="s">
        <v>74</v>
      </c>
      <c r="AZ999" s="64" t="s">
        <v>75</v>
      </c>
      <c r="BA999" s="71" t="s">
        <v>77</v>
      </c>
      <c r="BB999" s="72" t="s">
        <v>57</v>
      </c>
      <c r="BC999" s="72" t="s">
        <v>58</v>
      </c>
      <c r="BD999" s="73" t="s">
        <v>78</v>
      </c>
    </row>
    <row r="1000" spans="1:56" ht="15.75" thickBot="1" x14ac:dyDescent="0.3">
      <c r="A1000" s="17" t="s">
        <v>1</v>
      </c>
      <c r="B1000" s="14">
        <v>59770</v>
      </c>
      <c r="C1000" s="34">
        <f>B1000/F997</f>
        <v>50.954816709292416</v>
      </c>
      <c r="D1000" s="14">
        <v>1525</v>
      </c>
      <c r="E1000" s="67">
        <v>0</v>
      </c>
      <c r="F1000" s="69">
        <v>0</v>
      </c>
      <c r="G1000" s="34" t="e">
        <f t="shared" ref="G1000:G1006" si="2158">E1000/F1000</f>
        <v>#DIV/0!</v>
      </c>
      <c r="H1000" s="10" t="e">
        <f t="shared" ref="H1000:H1006" si="2159">G1000/C1000</f>
        <v>#DIV/0!</v>
      </c>
      <c r="I1000" s="34">
        <v>0</v>
      </c>
      <c r="J1000" s="69">
        <v>0</v>
      </c>
      <c r="K1000" s="34" t="e">
        <f t="shared" ref="K1000:K1006" si="2160">I1000/J1000</f>
        <v>#DIV/0!</v>
      </c>
      <c r="L1000" s="9" t="e">
        <f t="shared" ref="L1000:L1006" si="2161">K1000/C1000</f>
        <v>#DIV/0!</v>
      </c>
      <c r="M1000" s="67">
        <v>30770</v>
      </c>
      <c r="N1000" s="26">
        <v>1081</v>
      </c>
      <c r="O1000" s="34">
        <f t="shared" ref="O1000:O1006" si="2162">M1000/N1000</f>
        <v>28.464384828862165</v>
      </c>
      <c r="P1000" s="10">
        <f t="shared" ref="P1000:P1006" si="2163">O1000/C1000</f>
        <v>0.5586201004560033</v>
      </c>
      <c r="Q1000" s="35">
        <v>15900</v>
      </c>
      <c r="R1000" s="66">
        <v>1081</v>
      </c>
      <c r="S1000" s="35">
        <f t="shared" ref="S1000:S1006" si="2164">Q1000/R1000</f>
        <v>14.708603145235893</v>
      </c>
      <c r="T1000" s="6">
        <f t="shared" ref="T1000:T1006" si="2165">S1000/C1000</f>
        <v>0.28865972041762927</v>
      </c>
      <c r="U1000" s="67">
        <v>0</v>
      </c>
      <c r="V1000" s="65">
        <v>0</v>
      </c>
      <c r="W1000" s="18" t="e">
        <f t="shared" ref="W1000:W1006" si="2166">U1000/V1000</f>
        <v>#DIV/0!</v>
      </c>
      <c r="X1000" s="9" t="e">
        <f t="shared" ref="X1000:X1006" si="2167">W1000/C1000</f>
        <v>#DIV/0!</v>
      </c>
      <c r="Y1000" s="67">
        <v>0</v>
      </c>
      <c r="Z1000" s="69">
        <v>0</v>
      </c>
      <c r="AA1000" s="34" t="e">
        <f t="shared" ref="AA1000:AA1006" si="2168">Y1000/Z1000</f>
        <v>#DIV/0!</v>
      </c>
      <c r="AB1000" s="10" t="e">
        <f t="shared" ref="AB1000:AB1006" si="2169">AA1000/C1000</f>
        <v>#DIV/0!</v>
      </c>
      <c r="AC1000" s="18">
        <v>10930</v>
      </c>
      <c r="AD1000" s="33">
        <v>782</v>
      </c>
      <c r="AE1000" s="34">
        <f t="shared" ref="AE1000:AE1006" si="2170">AC1000/AD1000</f>
        <v>13.976982097186701</v>
      </c>
      <c r="AF1000" s="9">
        <f t="shared" ref="AF1000:AF1006" si="2171">AE1000/C1000</f>
        <v>0.27430148904132506</v>
      </c>
      <c r="AG1000" s="67">
        <v>0</v>
      </c>
      <c r="AH1000" s="65">
        <v>0</v>
      </c>
      <c r="AI1000" s="34" t="e">
        <f t="shared" ref="AI1000:AI1006" si="2172">AG1000/AH1000</f>
        <v>#DIV/0!</v>
      </c>
      <c r="AJ1000" s="9" t="e">
        <f t="shared" ref="AJ1000:AJ1006" si="2173">AI1000/C1000</f>
        <v>#DIV/0!</v>
      </c>
      <c r="AK1000" s="67">
        <v>0</v>
      </c>
      <c r="AL1000" s="65">
        <v>0</v>
      </c>
      <c r="AM1000" s="34" t="e">
        <f t="shared" ref="AM1000:AM1006" si="2174">AK1000/AL1000</f>
        <v>#DIV/0!</v>
      </c>
      <c r="AN1000" s="9" t="e">
        <f t="shared" ref="AN1000:AN1006" si="2175">AM1000/C1000</f>
        <v>#DIV/0!</v>
      </c>
      <c r="AO1000" s="67">
        <v>1310</v>
      </c>
      <c r="AP1000" s="65">
        <v>144</v>
      </c>
      <c r="AQ1000" s="34">
        <f t="shared" ref="AQ1000:AQ1006" si="2176">AO1000/AP1000</f>
        <v>9.0972222222222214</v>
      </c>
      <c r="AR1000" s="9">
        <f t="shared" ref="AR1000:AR1006" si="2177">AQ1000/C1000</f>
        <v>0.17853507891361325</v>
      </c>
      <c r="AS1000" s="67">
        <v>0</v>
      </c>
      <c r="AT1000" s="65">
        <v>0</v>
      </c>
      <c r="AU1000" s="34" t="e">
        <f t="shared" ref="AU1000:AU1006" si="2178">AS1000/AT1000</f>
        <v>#DIV/0!</v>
      </c>
      <c r="AV1000" s="9" t="e">
        <f t="shared" ref="AV1000:AV1006" si="2179">AU1000/C1000</f>
        <v>#DIV/0!</v>
      </c>
      <c r="AW1000" s="67">
        <v>0</v>
      </c>
      <c r="AX1000" s="65">
        <v>0</v>
      </c>
      <c r="AY1000" s="34" t="e">
        <f t="shared" ref="AY1000:AY1006" si="2180">AW1000/AX1000</f>
        <v>#DIV/0!</v>
      </c>
      <c r="AZ1000" s="9" t="e">
        <f t="shared" ref="AZ1000:AZ1006" si="2181">AY1000/C1000</f>
        <v>#DIV/0!</v>
      </c>
      <c r="BA1000" s="67">
        <v>0</v>
      </c>
      <c r="BB1000" s="65">
        <v>0</v>
      </c>
      <c r="BC1000" s="34" t="e">
        <f t="shared" ref="BC1000:BC1006" si="2182">BA1000/BB1000</f>
        <v>#DIV/0!</v>
      </c>
      <c r="BD1000" s="10" t="e">
        <f t="shared" ref="BD1000:BD1006" si="2183">BC1000/C1000</f>
        <v>#DIV/0!</v>
      </c>
    </row>
    <row r="1001" spans="1:56" ht="15.75" thickBot="1" x14ac:dyDescent="0.3">
      <c r="A1001" s="19" t="s">
        <v>16</v>
      </c>
      <c r="B1001" s="8">
        <v>70320</v>
      </c>
      <c r="C1001" s="35">
        <f>B1001/F997</f>
        <v>59.948849104859335</v>
      </c>
      <c r="D1001" s="8">
        <v>1525</v>
      </c>
      <c r="E1001" s="68">
        <v>0</v>
      </c>
      <c r="F1001" s="70">
        <v>0</v>
      </c>
      <c r="G1001" s="35" t="e">
        <f t="shared" si="2158"/>
        <v>#DIV/0!</v>
      </c>
      <c r="H1001" s="11" t="e">
        <f t="shared" si="2159"/>
        <v>#DIV/0!</v>
      </c>
      <c r="I1001" s="35">
        <v>0</v>
      </c>
      <c r="J1001" s="70">
        <v>0</v>
      </c>
      <c r="K1001" s="35" t="e">
        <f t="shared" si="2160"/>
        <v>#DIV/0!</v>
      </c>
      <c r="L1001" s="6" t="e">
        <f t="shared" si="2161"/>
        <v>#DIV/0!</v>
      </c>
      <c r="M1001" s="68">
        <v>38400</v>
      </c>
      <c r="N1001" s="26">
        <v>1081</v>
      </c>
      <c r="O1001" s="35">
        <f t="shared" si="2162"/>
        <v>35.522664199814983</v>
      </c>
      <c r="P1001" s="11">
        <f t="shared" si="2163"/>
        <v>0.5925495606709752</v>
      </c>
      <c r="Q1001" s="35">
        <v>19720</v>
      </c>
      <c r="R1001" s="66">
        <v>1081</v>
      </c>
      <c r="S1001" s="35">
        <f t="shared" si="2164"/>
        <v>18.242368177613322</v>
      </c>
      <c r="T1001" s="6">
        <f t="shared" si="2165"/>
        <v>0.30429888896957374</v>
      </c>
      <c r="U1001" s="68">
        <v>0</v>
      </c>
      <c r="V1001" s="66">
        <v>0</v>
      </c>
      <c r="W1001" s="20" t="e">
        <f t="shared" si="2166"/>
        <v>#DIV/0!</v>
      </c>
      <c r="X1001" s="6" t="e">
        <f t="shared" si="2167"/>
        <v>#DIV/0!</v>
      </c>
      <c r="Y1001" s="68">
        <v>0</v>
      </c>
      <c r="Z1001" s="70">
        <v>0</v>
      </c>
      <c r="AA1001" s="35" t="e">
        <f t="shared" si="2168"/>
        <v>#DIV/0!</v>
      </c>
      <c r="AB1001" s="11" t="e">
        <f t="shared" si="2169"/>
        <v>#DIV/0!</v>
      </c>
      <c r="AC1001" s="20">
        <v>14060</v>
      </c>
      <c r="AD1001" s="33">
        <v>782</v>
      </c>
      <c r="AE1001" s="35">
        <f t="shared" si="2170"/>
        <v>17.979539641943735</v>
      </c>
      <c r="AF1001" s="6">
        <f t="shared" si="2171"/>
        <v>0.29991467576791808</v>
      </c>
      <c r="AG1001" s="68">
        <v>0</v>
      </c>
      <c r="AH1001" s="66">
        <v>0</v>
      </c>
      <c r="AI1001" s="35" t="e">
        <f t="shared" si="2172"/>
        <v>#DIV/0!</v>
      </c>
      <c r="AJ1001" s="6" t="e">
        <f t="shared" si="2173"/>
        <v>#DIV/0!</v>
      </c>
      <c r="AK1001" s="68">
        <v>0</v>
      </c>
      <c r="AL1001" s="66">
        <v>0</v>
      </c>
      <c r="AM1001" s="35" t="e">
        <f t="shared" si="2174"/>
        <v>#DIV/0!</v>
      </c>
      <c r="AN1001" s="6" t="e">
        <f t="shared" si="2175"/>
        <v>#DIV/0!</v>
      </c>
      <c r="AO1001" s="68">
        <v>1840</v>
      </c>
      <c r="AP1001" s="65">
        <v>144</v>
      </c>
      <c r="AQ1001" s="35">
        <f t="shared" si="2176"/>
        <v>12.777777777777779</v>
      </c>
      <c r="AR1001" s="6">
        <f t="shared" si="2177"/>
        <v>0.21314467197573</v>
      </c>
      <c r="AS1001" s="68">
        <v>0</v>
      </c>
      <c r="AT1001" s="66">
        <v>0</v>
      </c>
      <c r="AU1001" s="35" t="e">
        <f t="shared" si="2178"/>
        <v>#DIV/0!</v>
      </c>
      <c r="AV1001" s="6" t="e">
        <f t="shared" si="2179"/>
        <v>#DIV/0!</v>
      </c>
      <c r="AW1001" s="68">
        <v>0</v>
      </c>
      <c r="AX1001" s="66">
        <v>0</v>
      </c>
      <c r="AY1001" s="35" t="e">
        <f t="shared" si="2180"/>
        <v>#DIV/0!</v>
      </c>
      <c r="AZ1001" s="6" t="e">
        <f t="shared" si="2181"/>
        <v>#DIV/0!</v>
      </c>
      <c r="BA1001" s="68">
        <v>0</v>
      </c>
      <c r="BB1001" s="66">
        <v>0</v>
      </c>
      <c r="BC1001" s="35" t="e">
        <f t="shared" si="2182"/>
        <v>#DIV/0!</v>
      </c>
      <c r="BD1001" s="11" t="e">
        <f t="shared" si="2183"/>
        <v>#DIV/0!</v>
      </c>
    </row>
    <row r="1002" spans="1:56" ht="15.75" thickBot="1" x14ac:dyDescent="0.3">
      <c r="A1002" s="19" t="s">
        <v>2</v>
      </c>
      <c r="B1002" s="8">
        <v>82250</v>
      </c>
      <c r="C1002" s="35">
        <f>B1002/F997</f>
        <v>70.119352088661557</v>
      </c>
      <c r="D1002" s="8">
        <v>2100</v>
      </c>
      <c r="E1002" s="68">
        <v>0</v>
      </c>
      <c r="F1002" s="70">
        <v>0</v>
      </c>
      <c r="G1002" s="35" t="e">
        <f t="shared" si="2158"/>
        <v>#DIV/0!</v>
      </c>
      <c r="H1002" s="11" t="e">
        <f t="shared" si="2159"/>
        <v>#DIV/0!</v>
      </c>
      <c r="I1002" s="35">
        <v>0</v>
      </c>
      <c r="J1002" s="70">
        <v>0</v>
      </c>
      <c r="K1002" s="35" t="e">
        <f t="shared" si="2160"/>
        <v>#DIV/0!</v>
      </c>
      <c r="L1002" s="6" t="e">
        <f t="shared" si="2161"/>
        <v>#DIV/0!</v>
      </c>
      <c r="M1002" s="68">
        <v>44140</v>
      </c>
      <c r="N1002" s="26">
        <v>1081</v>
      </c>
      <c r="O1002" s="35">
        <f t="shared" si="2162"/>
        <v>40.832562442183161</v>
      </c>
      <c r="P1002" s="11">
        <f t="shared" si="2163"/>
        <v>0.5823294315462717</v>
      </c>
      <c r="Q1002" s="35">
        <v>22590</v>
      </c>
      <c r="R1002" s="66">
        <v>1081</v>
      </c>
      <c r="S1002" s="35">
        <f t="shared" si="2164"/>
        <v>20.897317298797411</v>
      </c>
      <c r="T1002" s="6">
        <f t="shared" si="2165"/>
        <v>0.29802496281446034</v>
      </c>
      <c r="U1002" s="68">
        <v>0</v>
      </c>
      <c r="V1002" s="66">
        <v>0</v>
      </c>
      <c r="W1002" s="20" t="e">
        <f t="shared" si="2166"/>
        <v>#DIV/0!</v>
      </c>
      <c r="X1002" s="6" t="e">
        <f t="shared" si="2167"/>
        <v>#DIV/0!</v>
      </c>
      <c r="Y1002" s="68">
        <v>0</v>
      </c>
      <c r="Z1002" s="70">
        <v>0</v>
      </c>
      <c r="AA1002" s="35" t="e">
        <f t="shared" si="2168"/>
        <v>#DIV/0!</v>
      </c>
      <c r="AB1002" s="11" t="e">
        <f t="shared" si="2169"/>
        <v>#DIV/0!</v>
      </c>
      <c r="AC1002" s="20">
        <v>18430</v>
      </c>
      <c r="AD1002" s="33">
        <v>782</v>
      </c>
      <c r="AE1002" s="35">
        <f t="shared" si="2170"/>
        <v>23.56777493606138</v>
      </c>
      <c r="AF1002" s="6">
        <f t="shared" si="2171"/>
        <v>0.33610942249240117</v>
      </c>
      <c r="AG1002" s="68">
        <v>0</v>
      </c>
      <c r="AH1002" s="66">
        <v>0</v>
      </c>
      <c r="AI1002" s="35" t="e">
        <f t="shared" si="2172"/>
        <v>#DIV/0!</v>
      </c>
      <c r="AJ1002" s="6" t="e">
        <f t="shared" si="2173"/>
        <v>#DIV/0!</v>
      </c>
      <c r="AK1002" s="68">
        <v>0</v>
      </c>
      <c r="AL1002" s="66">
        <v>0</v>
      </c>
      <c r="AM1002" s="35" t="e">
        <f t="shared" si="2174"/>
        <v>#DIV/0!</v>
      </c>
      <c r="AN1002" s="6" t="e">
        <f t="shared" si="2175"/>
        <v>#DIV/0!</v>
      </c>
      <c r="AO1002" s="68">
        <v>1930</v>
      </c>
      <c r="AP1002" s="65">
        <v>144</v>
      </c>
      <c r="AQ1002" s="35">
        <f t="shared" si="2176"/>
        <v>13.402777777777779</v>
      </c>
      <c r="AR1002" s="6">
        <f t="shared" si="2177"/>
        <v>0.19114235055724416</v>
      </c>
      <c r="AS1002" s="68">
        <v>0</v>
      </c>
      <c r="AT1002" s="66">
        <v>0</v>
      </c>
      <c r="AU1002" s="35" t="e">
        <f t="shared" si="2178"/>
        <v>#DIV/0!</v>
      </c>
      <c r="AV1002" s="6" t="e">
        <f t="shared" si="2179"/>
        <v>#DIV/0!</v>
      </c>
      <c r="AW1002" s="68">
        <v>0</v>
      </c>
      <c r="AX1002" s="66">
        <v>0</v>
      </c>
      <c r="AY1002" s="35" t="e">
        <f t="shared" si="2180"/>
        <v>#DIV/0!</v>
      </c>
      <c r="AZ1002" s="6" t="e">
        <f t="shared" si="2181"/>
        <v>#DIV/0!</v>
      </c>
      <c r="BA1002" s="68">
        <v>0</v>
      </c>
      <c r="BB1002" s="66">
        <v>0</v>
      </c>
      <c r="BC1002" s="35" t="e">
        <f t="shared" si="2182"/>
        <v>#DIV/0!</v>
      </c>
      <c r="BD1002" s="11" t="e">
        <f t="shared" si="2183"/>
        <v>#DIV/0!</v>
      </c>
    </row>
    <row r="1003" spans="1:56" ht="15.75" thickBot="1" x14ac:dyDescent="0.3">
      <c r="A1003" s="19" t="s">
        <v>3</v>
      </c>
      <c r="B1003" s="8">
        <v>99290</v>
      </c>
      <c r="C1003" s="35">
        <f>B1003/F997</f>
        <v>84.646206308610402</v>
      </c>
      <c r="D1003" s="8">
        <v>2700</v>
      </c>
      <c r="E1003" s="68">
        <v>0</v>
      </c>
      <c r="F1003" s="70">
        <v>0</v>
      </c>
      <c r="G1003" s="35" t="e">
        <f t="shared" si="2158"/>
        <v>#DIV/0!</v>
      </c>
      <c r="H1003" s="11" t="e">
        <f t="shared" si="2159"/>
        <v>#DIV/0!</v>
      </c>
      <c r="I1003" s="35">
        <v>0</v>
      </c>
      <c r="J1003" s="70">
        <v>0</v>
      </c>
      <c r="K1003" s="35" t="e">
        <f t="shared" si="2160"/>
        <v>#DIV/0!</v>
      </c>
      <c r="L1003" s="6" t="e">
        <f t="shared" si="2161"/>
        <v>#DIV/0!</v>
      </c>
      <c r="M1003" s="68">
        <v>51020</v>
      </c>
      <c r="N1003" s="26">
        <v>1081</v>
      </c>
      <c r="O1003" s="35">
        <f t="shared" si="2162"/>
        <v>47.197039777983349</v>
      </c>
      <c r="P1003" s="11">
        <f t="shared" si="2163"/>
        <v>0.55758009527217711</v>
      </c>
      <c r="Q1003" s="35">
        <v>26310</v>
      </c>
      <c r="R1003" s="66">
        <v>1081</v>
      </c>
      <c r="S1003" s="35">
        <f t="shared" si="2164"/>
        <v>24.338575393154485</v>
      </c>
      <c r="T1003" s="6">
        <f t="shared" si="2165"/>
        <v>0.28753297347336298</v>
      </c>
      <c r="U1003" s="68">
        <v>0</v>
      </c>
      <c r="V1003" s="66">
        <v>0</v>
      </c>
      <c r="W1003" s="20" t="e">
        <f t="shared" si="2166"/>
        <v>#DIV/0!</v>
      </c>
      <c r="X1003" s="6" t="e">
        <f t="shared" si="2167"/>
        <v>#DIV/0!</v>
      </c>
      <c r="Y1003" s="68">
        <v>0</v>
      </c>
      <c r="Z1003" s="70">
        <v>0</v>
      </c>
      <c r="AA1003" s="35" t="e">
        <f t="shared" si="2168"/>
        <v>#DIV/0!</v>
      </c>
      <c r="AB1003" s="11" t="e">
        <f t="shared" si="2169"/>
        <v>#DIV/0!</v>
      </c>
      <c r="AC1003" s="20">
        <v>19620</v>
      </c>
      <c r="AD1003" s="33">
        <v>782</v>
      </c>
      <c r="AE1003" s="35">
        <f t="shared" si="2170"/>
        <v>25.089514066496164</v>
      </c>
      <c r="AF1003" s="6">
        <f t="shared" si="2171"/>
        <v>0.29640447174942092</v>
      </c>
      <c r="AG1003" s="68">
        <v>0</v>
      </c>
      <c r="AH1003" s="66">
        <v>0</v>
      </c>
      <c r="AI1003" s="35" t="e">
        <f t="shared" si="2172"/>
        <v>#DIV/0!</v>
      </c>
      <c r="AJ1003" s="6" t="e">
        <f t="shared" si="2173"/>
        <v>#DIV/0!</v>
      </c>
      <c r="AK1003" s="68">
        <v>0</v>
      </c>
      <c r="AL1003" s="66">
        <v>0</v>
      </c>
      <c r="AM1003" s="35" t="e">
        <f t="shared" si="2174"/>
        <v>#DIV/0!</v>
      </c>
      <c r="AN1003" s="6" t="e">
        <f t="shared" si="2175"/>
        <v>#DIV/0!</v>
      </c>
      <c r="AO1003" s="68">
        <v>2020</v>
      </c>
      <c r="AP1003" s="65">
        <v>144</v>
      </c>
      <c r="AQ1003" s="35">
        <f t="shared" si="2176"/>
        <v>14.027777777777779</v>
      </c>
      <c r="AR1003" s="6">
        <f t="shared" si="2177"/>
        <v>0.16572246281935074</v>
      </c>
      <c r="AS1003" s="68">
        <v>0</v>
      </c>
      <c r="AT1003" s="66">
        <v>0</v>
      </c>
      <c r="AU1003" s="35" t="e">
        <f t="shared" si="2178"/>
        <v>#DIV/0!</v>
      </c>
      <c r="AV1003" s="6" t="e">
        <f t="shared" si="2179"/>
        <v>#DIV/0!</v>
      </c>
      <c r="AW1003" s="68">
        <v>0</v>
      </c>
      <c r="AX1003" s="66">
        <v>0</v>
      </c>
      <c r="AY1003" s="35" t="e">
        <f t="shared" si="2180"/>
        <v>#DIV/0!</v>
      </c>
      <c r="AZ1003" s="6" t="e">
        <f t="shared" si="2181"/>
        <v>#DIV/0!</v>
      </c>
      <c r="BA1003" s="68">
        <v>0</v>
      </c>
      <c r="BB1003" s="66">
        <v>0</v>
      </c>
      <c r="BC1003" s="35" t="e">
        <f t="shared" si="2182"/>
        <v>#DIV/0!</v>
      </c>
      <c r="BD1003" s="11" t="e">
        <f t="shared" si="2183"/>
        <v>#DIV/0!</v>
      </c>
    </row>
    <row r="1004" spans="1:56" ht="15.75" thickBot="1" x14ac:dyDescent="0.3">
      <c r="A1004" s="19" t="s">
        <v>4</v>
      </c>
      <c r="B1004" s="8">
        <v>123900</v>
      </c>
      <c r="C1004" s="35">
        <f>B1004/F997</f>
        <v>105.62659846547315</v>
      </c>
      <c r="D1004" s="8">
        <v>5250</v>
      </c>
      <c r="E1004" s="68">
        <v>0</v>
      </c>
      <c r="F1004" s="70">
        <v>0</v>
      </c>
      <c r="G1004" s="35" t="e">
        <f t="shared" si="2158"/>
        <v>#DIV/0!</v>
      </c>
      <c r="H1004" s="11" t="e">
        <f t="shared" si="2159"/>
        <v>#DIV/0!</v>
      </c>
      <c r="I1004" s="35">
        <v>0</v>
      </c>
      <c r="J1004" s="70">
        <v>0</v>
      </c>
      <c r="K1004" s="35" t="e">
        <f t="shared" si="2160"/>
        <v>#DIV/0!</v>
      </c>
      <c r="L1004" s="6" t="e">
        <f t="shared" si="2161"/>
        <v>#DIV/0!</v>
      </c>
      <c r="M1004" s="68">
        <v>72310</v>
      </c>
      <c r="N1004" s="26">
        <v>1081</v>
      </c>
      <c r="O1004" s="35">
        <f t="shared" si="2162"/>
        <v>66.891766882516194</v>
      </c>
      <c r="P1004" s="11">
        <f t="shared" si="2163"/>
        <v>0.63328525063108554</v>
      </c>
      <c r="Q1004" s="35">
        <v>35120</v>
      </c>
      <c r="R1004" s="66">
        <v>1081</v>
      </c>
      <c r="S1004" s="35">
        <f t="shared" si="2164"/>
        <v>32.488436632747458</v>
      </c>
      <c r="T1004" s="6">
        <f t="shared" si="2165"/>
        <v>0.30757817732213694</v>
      </c>
      <c r="U1004" s="68">
        <v>0</v>
      </c>
      <c r="V1004" s="66">
        <v>0</v>
      </c>
      <c r="W1004" s="20" t="e">
        <f t="shared" si="2166"/>
        <v>#DIV/0!</v>
      </c>
      <c r="X1004" s="6" t="e">
        <f t="shared" si="2167"/>
        <v>#DIV/0!</v>
      </c>
      <c r="Y1004" s="68">
        <v>0</v>
      </c>
      <c r="Z1004" s="70">
        <v>0</v>
      </c>
      <c r="AA1004" s="35" t="e">
        <f t="shared" si="2168"/>
        <v>#DIV/0!</v>
      </c>
      <c r="AB1004" s="11" t="e">
        <f t="shared" si="2169"/>
        <v>#DIV/0!</v>
      </c>
      <c r="AC1004" s="20">
        <v>22290</v>
      </c>
      <c r="AD1004" s="33">
        <v>782</v>
      </c>
      <c r="AE1004" s="35">
        <f t="shared" si="2170"/>
        <v>28.503836317135551</v>
      </c>
      <c r="AF1004" s="6">
        <f t="shared" si="2171"/>
        <v>0.2698547215496368</v>
      </c>
      <c r="AG1004" s="68">
        <v>0</v>
      </c>
      <c r="AH1004" s="66">
        <v>0</v>
      </c>
      <c r="AI1004" s="35" t="e">
        <f t="shared" si="2172"/>
        <v>#DIV/0!</v>
      </c>
      <c r="AJ1004" s="6" t="e">
        <f t="shared" si="2173"/>
        <v>#DIV/0!</v>
      </c>
      <c r="AK1004" s="68">
        <v>0</v>
      </c>
      <c r="AL1004" s="66">
        <v>0</v>
      </c>
      <c r="AM1004" s="35" t="e">
        <f t="shared" si="2174"/>
        <v>#DIV/0!</v>
      </c>
      <c r="AN1004" s="6" t="e">
        <f t="shared" si="2175"/>
        <v>#DIV/0!</v>
      </c>
      <c r="AO1004" s="68">
        <v>2630</v>
      </c>
      <c r="AP1004" s="65">
        <v>144</v>
      </c>
      <c r="AQ1004" s="35">
        <f t="shared" si="2176"/>
        <v>18.263888888888889</v>
      </c>
      <c r="AR1004" s="6">
        <f t="shared" si="2177"/>
        <v>0.17290994081248318</v>
      </c>
      <c r="AS1004" s="68">
        <v>0</v>
      </c>
      <c r="AT1004" s="66">
        <v>0</v>
      </c>
      <c r="AU1004" s="35" t="e">
        <f t="shared" si="2178"/>
        <v>#DIV/0!</v>
      </c>
      <c r="AV1004" s="6" t="e">
        <f t="shared" si="2179"/>
        <v>#DIV/0!</v>
      </c>
      <c r="AW1004" s="68">
        <v>0</v>
      </c>
      <c r="AX1004" s="66">
        <v>0</v>
      </c>
      <c r="AY1004" s="35" t="e">
        <f t="shared" si="2180"/>
        <v>#DIV/0!</v>
      </c>
      <c r="AZ1004" s="6" t="e">
        <f t="shared" si="2181"/>
        <v>#DIV/0!</v>
      </c>
      <c r="BA1004" s="68">
        <v>0</v>
      </c>
      <c r="BB1004" s="66">
        <v>0</v>
      </c>
      <c r="BC1004" s="35" t="e">
        <f t="shared" si="2182"/>
        <v>#DIV/0!</v>
      </c>
      <c r="BD1004" s="11" t="e">
        <f t="shared" si="2183"/>
        <v>#DIV/0!</v>
      </c>
    </row>
    <row r="1005" spans="1:56" ht="15.75" thickBot="1" x14ac:dyDescent="0.3">
      <c r="A1005" s="19" t="s">
        <v>5</v>
      </c>
      <c r="B1005" s="8">
        <v>162850</v>
      </c>
      <c r="C1005" s="35">
        <f>B1005/F997</f>
        <v>138.83205456095482</v>
      </c>
      <c r="D1005" s="8">
        <v>7050</v>
      </c>
      <c r="E1005" s="68">
        <v>0</v>
      </c>
      <c r="F1005" s="70">
        <v>0</v>
      </c>
      <c r="G1005" s="35" t="e">
        <f t="shared" si="2158"/>
        <v>#DIV/0!</v>
      </c>
      <c r="H1005" s="11" t="e">
        <f t="shared" si="2159"/>
        <v>#DIV/0!</v>
      </c>
      <c r="I1005" s="35">
        <v>0</v>
      </c>
      <c r="J1005" s="70">
        <v>0</v>
      </c>
      <c r="K1005" s="35" t="e">
        <f t="shared" si="2160"/>
        <v>#DIV/0!</v>
      </c>
      <c r="L1005" s="6" t="e">
        <f t="shared" si="2161"/>
        <v>#DIV/0!</v>
      </c>
      <c r="M1005" s="68">
        <v>81930</v>
      </c>
      <c r="N1005" s="26">
        <v>1081</v>
      </c>
      <c r="O1005" s="35">
        <f t="shared" si="2162"/>
        <v>75.790934320074001</v>
      </c>
      <c r="P1005" s="11">
        <f t="shared" si="2163"/>
        <v>0.54591812070891499</v>
      </c>
      <c r="Q1005" s="35">
        <v>40900</v>
      </c>
      <c r="R1005" s="66">
        <v>1081</v>
      </c>
      <c r="S1005" s="35">
        <f t="shared" si="2164"/>
        <v>37.835337650323773</v>
      </c>
      <c r="T1005" s="6">
        <f t="shared" si="2165"/>
        <v>0.27252595065293084</v>
      </c>
      <c r="U1005" s="68">
        <v>0</v>
      </c>
      <c r="V1005" s="66">
        <v>0</v>
      </c>
      <c r="W1005" s="20" t="e">
        <f t="shared" si="2166"/>
        <v>#DIV/0!</v>
      </c>
      <c r="X1005" s="6" t="e">
        <f t="shared" si="2167"/>
        <v>#DIV/0!</v>
      </c>
      <c r="Y1005" s="68">
        <v>0</v>
      </c>
      <c r="Z1005" s="70">
        <v>0</v>
      </c>
      <c r="AA1005" s="35" t="e">
        <f t="shared" si="2168"/>
        <v>#DIV/0!</v>
      </c>
      <c r="AB1005" s="11" t="e">
        <f t="shared" si="2169"/>
        <v>#DIV/0!</v>
      </c>
      <c r="AC1005" s="20">
        <v>23230</v>
      </c>
      <c r="AD1005" s="33">
        <v>782</v>
      </c>
      <c r="AE1005" s="35">
        <f t="shared" si="2170"/>
        <v>29.705882352941178</v>
      </c>
      <c r="AF1005" s="6">
        <f t="shared" si="2171"/>
        <v>0.21396991096100706</v>
      </c>
      <c r="AG1005" s="68">
        <v>0</v>
      </c>
      <c r="AH1005" s="66">
        <v>0</v>
      </c>
      <c r="AI1005" s="35" t="e">
        <f t="shared" si="2172"/>
        <v>#DIV/0!</v>
      </c>
      <c r="AJ1005" s="6" t="e">
        <f t="shared" si="2173"/>
        <v>#DIV/0!</v>
      </c>
      <c r="AK1005" s="68">
        <v>0</v>
      </c>
      <c r="AL1005" s="66">
        <v>0</v>
      </c>
      <c r="AM1005" s="35" t="e">
        <f t="shared" si="2174"/>
        <v>#DIV/0!</v>
      </c>
      <c r="AN1005" s="6" t="e">
        <f t="shared" si="2175"/>
        <v>#DIV/0!</v>
      </c>
      <c r="AO1005" s="68">
        <v>3110</v>
      </c>
      <c r="AP1005" s="65">
        <v>144</v>
      </c>
      <c r="AQ1005" s="35">
        <f t="shared" si="2176"/>
        <v>21.597222222222221</v>
      </c>
      <c r="AR1005" s="6">
        <f t="shared" si="2177"/>
        <v>0.15556365776276737</v>
      </c>
      <c r="AS1005" s="68">
        <v>0</v>
      </c>
      <c r="AT1005" s="66">
        <v>0</v>
      </c>
      <c r="AU1005" s="35" t="e">
        <f t="shared" si="2178"/>
        <v>#DIV/0!</v>
      </c>
      <c r="AV1005" s="6" t="e">
        <f t="shared" si="2179"/>
        <v>#DIV/0!</v>
      </c>
      <c r="AW1005" s="68">
        <v>0</v>
      </c>
      <c r="AX1005" s="66">
        <v>0</v>
      </c>
      <c r="AY1005" s="35" t="e">
        <f t="shared" si="2180"/>
        <v>#DIV/0!</v>
      </c>
      <c r="AZ1005" s="6" t="e">
        <f t="shared" si="2181"/>
        <v>#DIV/0!</v>
      </c>
      <c r="BA1005" s="68">
        <v>0</v>
      </c>
      <c r="BB1005" s="66">
        <v>0</v>
      </c>
      <c r="BC1005" s="35" t="e">
        <f t="shared" si="2182"/>
        <v>#DIV/0!</v>
      </c>
      <c r="BD1005" s="11" t="e">
        <f t="shared" si="2183"/>
        <v>#DIV/0!</v>
      </c>
    </row>
    <row r="1006" spans="1:56" x14ac:dyDescent="0.25">
      <c r="A1006" s="19" t="s">
        <v>6</v>
      </c>
      <c r="B1006" s="8">
        <v>192170</v>
      </c>
      <c r="C1006" s="35">
        <f>B1006/F997</f>
        <v>163.82779198635976</v>
      </c>
      <c r="D1006" s="8">
        <v>10950</v>
      </c>
      <c r="E1006" s="68">
        <v>0</v>
      </c>
      <c r="F1006" s="70">
        <v>0</v>
      </c>
      <c r="G1006" s="35" t="e">
        <f t="shared" si="2158"/>
        <v>#DIV/0!</v>
      </c>
      <c r="H1006" s="11" t="e">
        <f t="shared" si="2159"/>
        <v>#DIV/0!</v>
      </c>
      <c r="I1006" s="35">
        <v>0</v>
      </c>
      <c r="J1006" s="70">
        <v>0</v>
      </c>
      <c r="K1006" s="35" t="e">
        <f t="shared" si="2160"/>
        <v>#DIV/0!</v>
      </c>
      <c r="L1006" s="6" t="e">
        <f t="shared" si="2161"/>
        <v>#DIV/0!</v>
      </c>
      <c r="M1006" s="68">
        <v>101220</v>
      </c>
      <c r="N1006" s="26">
        <v>1081</v>
      </c>
      <c r="O1006" s="35">
        <f t="shared" si="2162"/>
        <v>93.635522664199812</v>
      </c>
      <c r="P1006" s="11">
        <f t="shared" si="2163"/>
        <v>0.57154846274187632</v>
      </c>
      <c r="Q1006" s="35">
        <v>51990</v>
      </c>
      <c r="R1006" s="66">
        <v>1081</v>
      </c>
      <c r="S1006" s="35">
        <f t="shared" si="2164"/>
        <v>48.09435707678076</v>
      </c>
      <c r="T1006" s="6">
        <f t="shared" si="2165"/>
        <v>0.29356653406392169</v>
      </c>
      <c r="U1006" s="68">
        <v>0</v>
      </c>
      <c r="V1006" s="66">
        <v>0</v>
      </c>
      <c r="W1006" s="20" t="e">
        <f t="shared" si="2166"/>
        <v>#DIV/0!</v>
      </c>
      <c r="X1006" s="6" t="e">
        <f t="shared" si="2167"/>
        <v>#DIV/0!</v>
      </c>
      <c r="Y1006" s="68">
        <v>0</v>
      </c>
      <c r="Z1006" s="70">
        <v>0</v>
      </c>
      <c r="AA1006" s="35" t="e">
        <f t="shared" si="2168"/>
        <v>#DIV/0!</v>
      </c>
      <c r="AB1006" s="11" t="e">
        <f t="shared" si="2169"/>
        <v>#DIV/0!</v>
      </c>
      <c r="AC1006" s="20">
        <v>33860</v>
      </c>
      <c r="AD1006" s="33">
        <v>782</v>
      </c>
      <c r="AE1006" s="35">
        <f t="shared" si="2170"/>
        <v>43.29923273657289</v>
      </c>
      <c r="AF1006" s="6">
        <f t="shared" si="2171"/>
        <v>0.26429723682156425</v>
      </c>
      <c r="AG1006" s="68">
        <v>0</v>
      </c>
      <c r="AH1006" s="66">
        <v>0</v>
      </c>
      <c r="AI1006" s="35" t="e">
        <f t="shared" si="2172"/>
        <v>#DIV/0!</v>
      </c>
      <c r="AJ1006" s="6" t="e">
        <f t="shared" si="2173"/>
        <v>#DIV/0!</v>
      </c>
      <c r="AK1006" s="68">
        <v>0</v>
      </c>
      <c r="AL1006" s="66">
        <v>0</v>
      </c>
      <c r="AM1006" s="35" t="e">
        <f t="shared" si="2174"/>
        <v>#DIV/0!</v>
      </c>
      <c r="AN1006" s="6" t="e">
        <f t="shared" si="2175"/>
        <v>#DIV/0!</v>
      </c>
      <c r="AO1006" s="68">
        <v>3350</v>
      </c>
      <c r="AP1006" s="65">
        <v>144</v>
      </c>
      <c r="AQ1006" s="35">
        <f t="shared" si="2176"/>
        <v>23.263888888888889</v>
      </c>
      <c r="AR1006" s="6">
        <f t="shared" si="2177"/>
        <v>0.14200209016322354</v>
      </c>
      <c r="AS1006" s="68">
        <v>0</v>
      </c>
      <c r="AT1006" s="66">
        <v>0</v>
      </c>
      <c r="AU1006" s="35" t="e">
        <f t="shared" si="2178"/>
        <v>#DIV/0!</v>
      </c>
      <c r="AV1006" s="6" t="e">
        <f t="shared" si="2179"/>
        <v>#DIV/0!</v>
      </c>
      <c r="AW1006" s="68">
        <v>0</v>
      </c>
      <c r="AX1006" s="66">
        <v>0</v>
      </c>
      <c r="AY1006" s="35" t="e">
        <f t="shared" si="2180"/>
        <v>#DIV/0!</v>
      </c>
      <c r="AZ1006" s="6" t="e">
        <f t="shared" si="2181"/>
        <v>#DIV/0!</v>
      </c>
      <c r="BA1006" s="68">
        <v>0</v>
      </c>
      <c r="BB1006" s="66">
        <v>0</v>
      </c>
      <c r="BC1006" s="35" t="e">
        <f t="shared" si="2182"/>
        <v>#DIV/0!</v>
      </c>
      <c r="BD1006" s="11" t="e">
        <f t="shared" si="2183"/>
        <v>#DIV/0!</v>
      </c>
    </row>
    <row r="1007" spans="1:56" ht="15.75" thickBot="1" x14ac:dyDescent="0.3">
      <c r="A1007" s="21"/>
      <c r="B1007" s="22"/>
      <c r="C1007" s="23">
        <f>AVERAGE(Table1107981[MA $/Sq Ft])</f>
        <v>96.279381317744495</v>
      </c>
      <c r="D1007" s="22">
        <f>AVERAGE(Table1107981[Basic Allowance])</f>
        <v>4442.8571428571431</v>
      </c>
      <c r="E1007" s="16"/>
      <c r="F1007" s="22"/>
      <c r="G1007" s="15"/>
      <c r="H1007" s="24" t="e">
        <f>AVERAGE(Table1107981[Bsmt % Base])</f>
        <v>#DIV/0!</v>
      </c>
      <c r="I1007" s="15"/>
      <c r="J1007" s="15"/>
      <c r="K1007" s="15"/>
      <c r="L1007" s="25" t="e">
        <f>AVERAGE(Table1107981[[#Headers],[#Data],[UnfBsmt % Base]])</f>
        <v>#DIV/0!</v>
      </c>
      <c r="M1007" s="44"/>
      <c r="N1007" s="15"/>
      <c r="O1007" s="23">
        <f>AVERAGE(Table1107981[LowerVal/SqFt])</f>
        <v>55.476410730804801</v>
      </c>
      <c r="P1007" s="24">
        <f>AVERAGE(Table1107981[Lower % Base])</f>
        <v>0.57740443171818634</v>
      </c>
      <c r="Q1007" s="13"/>
      <c r="R1007" s="13"/>
      <c r="S1007" s="13"/>
      <c r="T1007" s="25">
        <f>AVERAGE(Table1107981[Unf Lower % Base])</f>
        <v>0.29316960110200224</v>
      </c>
      <c r="U1007" s="12"/>
      <c r="V1007" s="13"/>
      <c r="W1007" s="13"/>
      <c r="X1007" s="25" t="e">
        <f>AVERAGE(Table1107981[1/2 Story % Base])</f>
        <v>#DIV/0!</v>
      </c>
      <c r="Y1007" s="12"/>
      <c r="Z1007" s="13"/>
      <c r="AA1007" s="13"/>
      <c r="AB1007" s="24" t="e">
        <f>AVERAGE(Table1107981[2nd Story % Base])</f>
        <v>#DIV/0!</v>
      </c>
      <c r="AC1007" s="13"/>
      <c r="AD1007" s="13"/>
      <c r="AE1007" s="23">
        <f>AVERAGE(Table1107981[AttGarVal/SqFt])</f>
        <v>26.017537449762518</v>
      </c>
      <c r="AF1007" s="25">
        <f>AVERAGE(Table1107981[Att Gar % Base])</f>
        <v>0.27926456119761051</v>
      </c>
      <c r="AG1007" s="12"/>
      <c r="AH1007" s="13"/>
      <c r="AI1007" s="13"/>
      <c r="AJ1007" s="25" t="e">
        <f>AVERAGE(Table1107981[Porch % Base])</f>
        <v>#DIV/0!</v>
      </c>
      <c r="AK1007" s="12"/>
      <c r="AL1007" s="13"/>
      <c r="AM1007" s="13"/>
      <c r="AN1007" s="25" t="e">
        <f>AVERAGE(Table1107981[Cov Porch % Base])</f>
        <v>#DIV/0!</v>
      </c>
      <c r="AO1007" s="12"/>
      <c r="AP1007" s="13"/>
      <c r="AQ1007" s="13"/>
      <c r="AR1007" s="25">
        <f>AVERAGE(Table1107981[Deck % Base])</f>
        <v>0.17414575042920175</v>
      </c>
      <c r="AS1007" s="12"/>
      <c r="AT1007" s="13"/>
      <c r="AU1007" s="23" t="e">
        <f>AVERAGE(Table1107981[CovDeckVal/SqFt])</f>
        <v>#DIV/0!</v>
      </c>
      <c r="AV1007" s="25" t="e">
        <f>AVERAGE(Table1107981[CovDeck % Base])</f>
        <v>#DIV/0!</v>
      </c>
      <c r="AW1007" s="12"/>
      <c r="AX1007" s="13"/>
      <c r="AY1007" s="13"/>
      <c r="AZ1007" s="25" t="e">
        <f>AVERAGE(Table1107981[CarP % Base])</f>
        <v>#DIV/0!</v>
      </c>
      <c r="BA1007" s="12"/>
      <c r="BB1007" s="13"/>
      <c r="BC1007" s="13"/>
      <c r="BD1007" s="24" t="e">
        <f>AVERAGE(Table1107981[EFP % Base])</f>
        <v>#DIV/0!</v>
      </c>
    </row>
    <row r="1009" spans="1:56" ht="15.75" thickBot="1" x14ac:dyDescent="0.3">
      <c r="A1009" s="82"/>
      <c r="B1009" t="s">
        <v>79</v>
      </c>
      <c r="C1009" s="78" t="s">
        <v>186</v>
      </c>
      <c r="E1009" t="s">
        <v>33</v>
      </c>
      <c r="F1009" s="79">
        <v>922</v>
      </c>
      <c r="H1009" t="s">
        <v>80</v>
      </c>
      <c r="I1009" t="s">
        <v>103</v>
      </c>
    </row>
    <row r="1010" spans="1:56" x14ac:dyDescent="0.25">
      <c r="A1010" s="112"/>
      <c r="B1010" s="113"/>
      <c r="C1010" s="113"/>
      <c r="D1010" s="114"/>
      <c r="E1010" s="115" t="s">
        <v>27</v>
      </c>
      <c r="F1010" s="116"/>
      <c r="G1010" s="116"/>
      <c r="H1010" s="117"/>
      <c r="I1010" s="118" t="s">
        <v>28</v>
      </c>
      <c r="J1010" s="119"/>
      <c r="K1010" s="119"/>
      <c r="L1010" s="120"/>
      <c r="M1010" s="121" t="s">
        <v>7</v>
      </c>
      <c r="N1010" s="122"/>
      <c r="O1010" s="122"/>
      <c r="P1010" s="123"/>
      <c r="Q1010" s="124" t="s">
        <v>29</v>
      </c>
      <c r="R1010" s="125"/>
      <c r="S1010" s="125"/>
      <c r="T1010" s="126"/>
      <c r="U1010" s="127" t="s">
        <v>8</v>
      </c>
      <c r="V1010" s="128"/>
      <c r="W1010" s="128"/>
      <c r="X1010" s="129"/>
      <c r="Y1010" s="130" t="s">
        <v>0</v>
      </c>
      <c r="Z1010" s="131"/>
      <c r="AA1010" s="131"/>
      <c r="AB1010" s="132"/>
      <c r="AC1010" s="133" t="s">
        <v>34</v>
      </c>
      <c r="AD1010" s="134"/>
      <c r="AE1010" s="134"/>
      <c r="AF1010" s="135"/>
      <c r="AG1010" s="115" t="s">
        <v>9</v>
      </c>
      <c r="AH1010" s="116"/>
      <c r="AI1010" s="116"/>
      <c r="AJ1010" s="117"/>
      <c r="AK1010" s="136" t="s">
        <v>35</v>
      </c>
      <c r="AL1010" s="137"/>
      <c r="AM1010" s="137"/>
      <c r="AN1010" s="138"/>
      <c r="AO1010" s="139" t="s">
        <v>10</v>
      </c>
      <c r="AP1010" s="140"/>
      <c r="AQ1010" s="140"/>
      <c r="AR1010" s="141"/>
      <c r="AS1010" s="124" t="s">
        <v>36</v>
      </c>
      <c r="AT1010" s="125"/>
      <c r="AU1010" s="125"/>
      <c r="AV1010" s="126"/>
      <c r="AW1010" s="142" t="s">
        <v>11</v>
      </c>
      <c r="AX1010" s="143"/>
      <c r="AY1010" s="143"/>
      <c r="AZ1010" s="144"/>
      <c r="BA1010" s="148" t="s">
        <v>17</v>
      </c>
      <c r="BB1010" s="149"/>
      <c r="BC1010" s="149"/>
      <c r="BD1010" s="150"/>
    </row>
    <row r="1011" spans="1:56" s="1" customFormat="1" ht="15.75" thickBot="1" x14ac:dyDescent="0.3">
      <c r="A1011" s="41" t="s">
        <v>13</v>
      </c>
      <c r="B1011" s="42" t="s">
        <v>15</v>
      </c>
      <c r="C1011" s="42" t="s">
        <v>32</v>
      </c>
      <c r="D1011" s="43" t="s">
        <v>18</v>
      </c>
      <c r="E1011" s="30" t="s">
        <v>30</v>
      </c>
      <c r="F1011" s="31" t="s">
        <v>61</v>
      </c>
      <c r="G1011" s="31" t="s">
        <v>38</v>
      </c>
      <c r="H1011" s="32" t="s">
        <v>62</v>
      </c>
      <c r="I1011" s="37" t="s">
        <v>31</v>
      </c>
      <c r="J1011" s="38" t="s">
        <v>39</v>
      </c>
      <c r="K1011" s="38" t="s">
        <v>40</v>
      </c>
      <c r="L1011" s="39" t="s">
        <v>63</v>
      </c>
      <c r="M1011" s="40" t="s">
        <v>19</v>
      </c>
      <c r="N1011" s="7" t="s">
        <v>41</v>
      </c>
      <c r="O1011" s="7" t="s">
        <v>37</v>
      </c>
      <c r="P1011" s="7" t="s">
        <v>64</v>
      </c>
      <c r="Q1011" s="27" t="s">
        <v>20</v>
      </c>
      <c r="R1011" s="28" t="s">
        <v>60</v>
      </c>
      <c r="S1011" s="28" t="s">
        <v>59</v>
      </c>
      <c r="T1011" s="29" t="s">
        <v>65</v>
      </c>
      <c r="U1011" s="48" t="s">
        <v>21</v>
      </c>
      <c r="V1011" s="48" t="s">
        <v>42</v>
      </c>
      <c r="W1011" s="48" t="s">
        <v>43</v>
      </c>
      <c r="X1011" s="49" t="s">
        <v>66</v>
      </c>
      <c r="Y1011" s="50" t="s">
        <v>22</v>
      </c>
      <c r="Z1011" s="51" t="s">
        <v>44</v>
      </c>
      <c r="AA1011" s="51" t="s">
        <v>45</v>
      </c>
      <c r="AB1011" s="52" t="s">
        <v>67</v>
      </c>
      <c r="AC1011" s="45" t="s">
        <v>23</v>
      </c>
      <c r="AD1011" s="46" t="s">
        <v>46</v>
      </c>
      <c r="AE1011" s="46" t="s">
        <v>47</v>
      </c>
      <c r="AF1011" s="47" t="s">
        <v>68</v>
      </c>
      <c r="AG1011" s="30" t="s">
        <v>24</v>
      </c>
      <c r="AH1011" s="31" t="s">
        <v>48</v>
      </c>
      <c r="AI1011" s="31" t="s">
        <v>49</v>
      </c>
      <c r="AJ1011" s="32" t="s">
        <v>69</v>
      </c>
      <c r="AK1011" s="53" t="s">
        <v>25</v>
      </c>
      <c r="AL1011" s="54" t="s">
        <v>50</v>
      </c>
      <c r="AM1011" s="54" t="s">
        <v>51</v>
      </c>
      <c r="AN1011" s="55" t="s">
        <v>70</v>
      </c>
      <c r="AO1011" s="56" t="s">
        <v>26</v>
      </c>
      <c r="AP1011" s="57" t="s">
        <v>52</v>
      </c>
      <c r="AQ1011" s="57" t="s">
        <v>53</v>
      </c>
      <c r="AR1011" s="58" t="s">
        <v>71</v>
      </c>
      <c r="AS1011" s="59" t="s">
        <v>55</v>
      </c>
      <c r="AT1011" s="60" t="s">
        <v>54</v>
      </c>
      <c r="AU1011" s="60" t="s">
        <v>56</v>
      </c>
      <c r="AV1011" s="61" t="s">
        <v>76</v>
      </c>
      <c r="AW1011" s="62" t="s">
        <v>72</v>
      </c>
      <c r="AX1011" s="63" t="s">
        <v>73</v>
      </c>
      <c r="AY1011" s="63" t="s">
        <v>74</v>
      </c>
      <c r="AZ1011" s="64" t="s">
        <v>75</v>
      </c>
      <c r="BA1011" s="71" t="s">
        <v>77</v>
      </c>
      <c r="BB1011" s="72" t="s">
        <v>57</v>
      </c>
      <c r="BC1011" s="72" t="s">
        <v>58</v>
      </c>
      <c r="BD1011" s="73" t="s">
        <v>78</v>
      </c>
    </row>
    <row r="1012" spans="1:56" ht="15.75" thickBot="1" x14ac:dyDescent="0.3">
      <c r="A1012" s="17" t="s">
        <v>1</v>
      </c>
      <c r="B1012" s="14">
        <v>49000</v>
      </c>
      <c r="C1012" s="34">
        <f>B1012/F1009</f>
        <v>53.14533622559653</v>
      </c>
      <c r="D1012" s="14">
        <v>1525</v>
      </c>
      <c r="E1012" s="67">
        <v>0</v>
      </c>
      <c r="F1012" s="69">
        <v>0</v>
      </c>
      <c r="G1012" s="34" t="e">
        <f t="shared" ref="G1012:G1018" si="2184">E1012/F1012</f>
        <v>#DIV/0!</v>
      </c>
      <c r="H1012" s="10" t="e">
        <f t="shared" ref="H1012:H1018" si="2185">G1012/C1012</f>
        <v>#DIV/0!</v>
      </c>
      <c r="I1012" s="34">
        <v>0</v>
      </c>
      <c r="J1012" s="69">
        <v>0</v>
      </c>
      <c r="K1012" s="34" t="e">
        <f t="shared" ref="K1012:K1018" si="2186">I1012/J1012</f>
        <v>#DIV/0!</v>
      </c>
      <c r="L1012" s="9" t="e">
        <f t="shared" ref="L1012:L1018" si="2187">K1012/C1012</f>
        <v>#DIV/0!</v>
      </c>
      <c r="M1012" s="67">
        <v>26650</v>
      </c>
      <c r="N1012" s="26">
        <v>900</v>
      </c>
      <c r="O1012" s="34">
        <f t="shared" ref="O1012:O1018" si="2188">M1012/N1012</f>
        <v>29.611111111111111</v>
      </c>
      <c r="P1012" s="10">
        <f t="shared" ref="P1012:P1018" si="2189">O1012/C1012</f>
        <v>0.55717233560090706</v>
      </c>
      <c r="Q1012" s="35">
        <v>13870</v>
      </c>
      <c r="R1012" s="66">
        <v>900</v>
      </c>
      <c r="S1012" s="35">
        <f t="shared" ref="S1012:S1018" si="2190">Q1012/R1012</f>
        <v>15.411111111111111</v>
      </c>
      <c r="T1012" s="6">
        <f t="shared" ref="T1012:T1018" si="2191">S1012/C1012</f>
        <v>0.28998049886621313</v>
      </c>
      <c r="U1012" s="67">
        <v>0</v>
      </c>
      <c r="V1012" s="65">
        <v>0</v>
      </c>
      <c r="W1012" s="18" t="e">
        <f t="shared" ref="W1012:W1018" si="2192">U1012/V1012</f>
        <v>#DIV/0!</v>
      </c>
      <c r="X1012" s="9" t="e">
        <f t="shared" ref="X1012:X1018" si="2193">W1012/C1012</f>
        <v>#DIV/0!</v>
      </c>
      <c r="Y1012" s="67">
        <v>27190</v>
      </c>
      <c r="Z1012" s="69">
        <v>688</v>
      </c>
      <c r="AA1012" s="34">
        <f t="shared" ref="AA1012:AA1018" si="2194">Y1012/Z1012</f>
        <v>39.520348837209305</v>
      </c>
      <c r="AB1012" s="10">
        <f t="shared" ref="AB1012:AB1018" si="2195">AA1012/C1012</f>
        <v>0.74362778832463217</v>
      </c>
      <c r="AC1012" s="18">
        <v>9830</v>
      </c>
      <c r="AD1012" s="33">
        <v>688</v>
      </c>
      <c r="AE1012" s="34">
        <f t="shared" ref="AE1012:AE1018" si="2196">AC1012/AD1012</f>
        <v>14.287790697674419</v>
      </c>
      <c r="AF1012" s="9">
        <f t="shared" ref="AF1012:AF1018" si="2197">AE1012/C1012</f>
        <v>0.26884373516848598</v>
      </c>
      <c r="AG1012" s="67">
        <v>0</v>
      </c>
      <c r="AH1012" s="65">
        <v>0</v>
      </c>
      <c r="AI1012" s="34" t="e">
        <f t="shared" ref="AI1012:AI1018" si="2198">AG1012/AH1012</f>
        <v>#DIV/0!</v>
      </c>
      <c r="AJ1012" s="9" t="e">
        <f t="shared" ref="AJ1012:AJ1018" si="2199">AI1012/C1012</f>
        <v>#DIV/0!</v>
      </c>
      <c r="AK1012" s="67">
        <v>0</v>
      </c>
      <c r="AL1012" s="65">
        <v>0</v>
      </c>
      <c r="AM1012" s="34" t="e">
        <f t="shared" ref="AM1012:AM1018" si="2200">AK1012/AL1012</f>
        <v>#DIV/0!</v>
      </c>
      <c r="AN1012" s="9" t="e">
        <f t="shared" ref="AN1012:AN1018" si="2201">AM1012/C1012</f>
        <v>#DIV/0!</v>
      </c>
      <c r="AO1012" s="67">
        <v>1760</v>
      </c>
      <c r="AP1012" s="65">
        <v>255</v>
      </c>
      <c r="AQ1012" s="34">
        <f t="shared" ref="AQ1012:AQ1018" si="2202">AO1012/AP1012</f>
        <v>6.9019607843137258</v>
      </c>
      <c r="AR1012" s="9">
        <f t="shared" ref="AR1012:AR1018" si="2203">AQ1012/C1012</f>
        <v>0.12986954781912766</v>
      </c>
      <c r="AS1012" s="67">
        <v>0</v>
      </c>
      <c r="AT1012" s="65">
        <v>0</v>
      </c>
      <c r="AU1012" s="34" t="e">
        <f t="shared" ref="AU1012:AU1018" si="2204">AS1012/AT1012</f>
        <v>#DIV/0!</v>
      </c>
      <c r="AV1012" s="9" t="e">
        <f t="shared" ref="AV1012:AV1018" si="2205">AU1012/C1012</f>
        <v>#DIV/0!</v>
      </c>
      <c r="AW1012" s="67">
        <v>0</v>
      </c>
      <c r="AX1012" s="65">
        <v>0</v>
      </c>
      <c r="AY1012" s="34" t="e">
        <f t="shared" ref="AY1012:AY1018" si="2206">AW1012/AX1012</f>
        <v>#DIV/0!</v>
      </c>
      <c r="AZ1012" s="9" t="e">
        <f t="shared" ref="AZ1012:AZ1018" si="2207">AY1012/C1012</f>
        <v>#DIV/0!</v>
      </c>
      <c r="BA1012" s="67">
        <v>0</v>
      </c>
      <c r="BB1012" s="65">
        <v>0</v>
      </c>
      <c r="BC1012" s="34" t="e">
        <f t="shared" ref="BC1012:BC1018" si="2208">BA1012/BB1012</f>
        <v>#DIV/0!</v>
      </c>
      <c r="BD1012" s="10" t="e">
        <f t="shared" ref="BD1012:BD1018" si="2209">BC1012/C1012</f>
        <v>#DIV/0!</v>
      </c>
    </row>
    <row r="1013" spans="1:56" ht="15.75" thickBot="1" x14ac:dyDescent="0.3">
      <c r="A1013" s="19" t="s">
        <v>16</v>
      </c>
      <c r="B1013" s="8">
        <v>57660</v>
      </c>
      <c r="C1013" s="35">
        <f>B1013/F1009</f>
        <v>62.537960954446852</v>
      </c>
      <c r="D1013" s="8">
        <v>1525</v>
      </c>
      <c r="E1013" s="68">
        <v>0</v>
      </c>
      <c r="F1013" s="70">
        <v>0</v>
      </c>
      <c r="G1013" s="35" t="e">
        <f t="shared" si="2184"/>
        <v>#DIV/0!</v>
      </c>
      <c r="H1013" s="11" t="e">
        <f t="shared" si="2185"/>
        <v>#DIV/0!</v>
      </c>
      <c r="I1013" s="35">
        <v>0</v>
      </c>
      <c r="J1013" s="70">
        <v>0</v>
      </c>
      <c r="K1013" s="35" t="e">
        <f t="shared" si="2186"/>
        <v>#DIV/0!</v>
      </c>
      <c r="L1013" s="6" t="e">
        <f t="shared" si="2187"/>
        <v>#DIV/0!</v>
      </c>
      <c r="M1013" s="68">
        <v>33120</v>
      </c>
      <c r="N1013" s="26">
        <v>900</v>
      </c>
      <c r="O1013" s="35">
        <f t="shared" si="2188"/>
        <v>36.799999999999997</v>
      </c>
      <c r="P1013" s="11">
        <f t="shared" si="2189"/>
        <v>0.58844259451959757</v>
      </c>
      <c r="Q1013" s="35">
        <v>17340</v>
      </c>
      <c r="R1013" s="66">
        <v>900</v>
      </c>
      <c r="S1013" s="35">
        <f t="shared" si="2190"/>
        <v>19.266666666666666</v>
      </c>
      <c r="T1013" s="6">
        <f t="shared" si="2191"/>
        <v>0.30807954676841254</v>
      </c>
      <c r="U1013" s="68">
        <v>0</v>
      </c>
      <c r="V1013" s="66">
        <v>0</v>
      </c>
      <c r="W1013" s="20" t="e">
        <f t="shared" si="2192"/>
        <v>#DIV/0!</v>
      </c>
      <c r="X1013" s="6" t="e">
        <f t="shared" si="2193"/>
        <v>#DIV/0!</v>
      </c>
      <c r="Y1013" s="68">
        <v>37720</v>
      </c>
      <c r="Z1013" s="69">
        <v>688</v>
      </c>
      <c r="AA1013" s="35">
        <f t="shared" si="2194"/>
        <v>54.825581395348834</v>
      </c>
      <c r="AB1013" s="11">
        <f t="shared" si="2195"/>
        <v>0.87667683049794709</v>
      </c>
      <c r="AC1013" s="20">
        <v>12970</v>
      </c>
      <c r="AD1013" s="33">
        <v>688</v>
      </c>
      <c r="AE1013" s="35">
        <f t="shared" si="2196"/>
        <v>18.851744186046513</v>
      </c>
      <c r="AF1013" s="6">
        <f t="shared" si="2197"/>
        <v>0.30144481684937369</v>
      </c>
      <c r="AG1013" s="68">
        <v>0</v>
      </c>
      <c r="AH1013" s="66">
        <v>0</v>
      </c>
      <c r="AI1013" s="35" t="e">
        <f t="shared" si="2198"/>
        <v>#DIV/0!</v>
      </c>
      <c r="AJ1013" s="6" t="e">
        <f t="shared" si="2199"/>
        <v>#DIV/0!</v>
      </c>
      <c r="AK1013" s="68">
        <v>0</v>
      </c>
      <c r="AL1013" s="66">
        <v>0</v>
      </c>
      <c r="AM1013" s="35" t="e">
        <f t="shared" si="2200"/>
        <v>#DIV/0!</v>
      </c>
      <c r="AN1013" s="6" t="e">
        <f t="shared" si="2201"/>
        <v>#DIV/0!</v>
      </c>
      <c r="AO1013" s="68">
        <v>2400</v>
      </c>
      <c r="AP1013" s="65">
        <v>255</v>
      </c>
      <c r="AQ1013" s="35">
        <f t="shared" si="2202"/>
        <v>9.4117647058823533</v>
      </c>
      <c r="AR1013" s="6">
        <f t="shared" si="2203"/>
        <v>0.15049682724286387</v>
      </c>
      <c r="AS1013" s="68">
        <v>0</v>
      </c>
      <c r="AT1013" s="66">
        <v>0</v>
      </c>
      <c r="AU1013" s="35" t="e">
        <f t="shared" si="2204"/>
        <v>#DIV/0!</v>
      </c>
      <c r="AV1013" s="6" t="e">
        <f t="shared" si="2205"/>
        <v>#DIV/0!</v>
      </c>
      <c r="AW1013" s="68">
        <v>0</v>
      </c>
      <c r="AX1013" s="66">
        <v>0</v>
      </c>
      <c r="AY1013" s="35" t="e">
        <f t="shared" si="2206"/>
        <v>#DIV/0!</v>
      </c>
      <c r="AZ1013" s="6" t="e">
        <f t="shared" si="2207"/>
        <v>#DIV/0!</v>
      </c>
      <c r="BA1013" s="68">
        <v>0</v>
      </c>
      <c r="BB1013" s="66">
        <v>0</v>
      </c>
      <c r="BC1013" s="35" t="e">
        <f t="shared" si="2208"/>
        <v>#DIV/0!</v>
      </c>
      <c r="BD1013" s="11" t="e">
        <f t="shared" si="2209"/>
        <v>#DIV/0!</v>
      </c>
    </row>
    <row r="1014" spans="1:56" ht="15.75" thickBot="1" x14ac:dyDescent="0.3">
      <c r="A1014" s="19" t="s">
        <v>2</v>
      </c>
      <c r="B1014" s="8">
        <v>67530</v>
      </c>
      <c r="C1014" s="35">
        <f>B1014/F1009</f>
        <v>73.242950108459866</v>
      </c>
      <c r="D1014" s="8">
        <v>2100</v>
      </c>
      <c r="E1014" s="68">
        <v>0</v>
      </c>
      <c r="F1014" s="70">
        <v>0</v>
      </c>
      <c r="G1014" s="35" t="e">
        <f t="shared" si="2184"/>
        <v>#DIV/0!</v>
      </c>
      <c r="H1014" s="11" t="e">
        <f t="shared" si="2185"/>
        <v>#DIV/0!</v>
      </c>
      <c r="I1014" s="35">
        <v>0</v>
      </c>
      <c r="J1014" s="70">
        <v>0</v>
      </c>
      <c r="K1014" s="35" t="e">
        <f t="shared" si="2186"/>
        <v>#DIV/0!</v>
      </c>
      <c r="L1014" s="6" t="e">
        <f t="shared" si="2187"/>
        <v>#DIV/0!</v>
      </c>
      <c r="M1014" s="68">
        <v>37890</v>
      </c>
      <c r="N1014" s="26">
        <v>900</v>
      </c>
      <c r="O1014" s="35">
        <f t="shared" si="2188"/>
        <v>42.1</v>
      </c>
      <c r="P1014" s="11">
        <f t="shared" si="2189"/>
        <v>0.57479934843773139</v>
      </c>
      <c r="Q1014" s="35">
        <v>19850</v>
      </c>
      <c r="R1014" s="66">
        <v>900</v>
      </c>
      <c r="S1014" s="35">
        <f t="shared" si="2190"/>
        <v>22.055555555555557</v>
      </c>
      <c r="T1014" s="6">
        <f t="shared" si="2191"/>
        <v>0.30112871645523803</v>
      </c>
      <c r="U1014" s="68">
        <v>0</v>
      </c>
      <c r="V1014" s="66">
        <v>0</v>
      </c>
      <c r="W1014" s="20" t="e">
        <f t="shared" si="2192"/>
        <v>#DIV/0!</v>
      </c>
      <c r="X1014" s="6" t="e">
        <f t="shared" si="2193"/>
        <v>#DIV/0!</v>
      </c>
      <c r="Y1014" s="68">
        <v>44580</v>
      </c>
      <c r="Z1014" s="69">
        <v>688</v>
      </c>
      <c r="AA1014" s="35">
        <f t="shared" si="2194"/>
        <v>64.79651162790698</v>
      </c>
      <c r="AB1014" s="11">
        <f t="shared" si="2195"/>
        <v>0.88467916068310737</v>
      </c>
      <c r="AC1014" s="20">
        <v>16710</v>
      </c>
      <c r="AD1014" s="33">
        <v>688</v>
      </c>
      <c r="AE1014" s="35">
        <f t="shared" si="2196"/>
        <v>24.287790697674417</v>
      </c>
      <c r="AF1014" s="6">
        <f t="shared" si="2197"/>
        <v>0.33160584959656175</v>
      </c>
      <c r="AG1014" s="68">
        <v>0</v>
      </c>
      <c r="AH1014" s="66">
        <v>0</v>
      </c>
      <c r="AI1014" s="35" t="e">
        <f t="shared" si="2198"/>
        <v>#DIV/0!</v>
      </c>
      <c r="AJ1014" s="6" t="e">
        <f t="shared" si="2199"/>
        <v>#DIV/0!</v>
      </c>
      <c r="AK1014" s="68">
        <v>0</v>
      </c>
      <c r="AL1014" s="66">
        <v>0</v>
      </c>
      <c r="AM1014" s="35" t="e">
        <f t="shared" si="2200"/>
        <v>#DIV/0!</v>
      </c>
      <c r="AN1014" s="6" t="e">
        <f t="shared" si="2201"/>
        <v>#DIV/0!</v>
      </c>
      <c r="AO1014" s="68">
        <v>2530</v>
      </c>
      <c r="AP1014" s="65">
        <v>255</v>
      </c>
      <c r="AQ1014" s="35">
        <f t="shared" si="2202"/>
        <v>9.9215686274509807</v>
      </c>
      <c r="AR1014" s="6">
        <f t="shared" si="2203"/>
        <v>0.13546107321945514</v>
      </c>
      <c r="AS1014" s="68">
        <v>0</v>
      </c>
      <c r="AT1014" s="66">
        <v>0</v>
      </c>
      <c r="AU1014" s="35" t="e">
        <f t="shared" si="2204"/>
        <v>#DIV/0!</v>
      </c>
      <c r="AV1014" s="6" t="e">
        <f t="shared" si="2205"/>
        <v>#DIV/0!</v>
      </c>
      <c r="AW1014" s="68">
        <v>0</v>
      </c>
      <c r="AX1014" s="66">
        <v>0</v>
      </c>
      <c r="AY1014" s="35" t="e">
        <f t="shared" si="2206"/>
        <v>#DIV/0!</v>
      </c>
      <c r="AZ1014" s="6" t="e">
        <f t="shared" si="2207"/>
        <v>#DIV/0!</v>
      </c>
      <c r="BA1014" s="68">
        <v>0</v>
      </c>
      <c r="BB1014" s="66">
        <v>0</v>
      </c>
      <c r="BC1014" s="35" t="e">
        <f t="shared" si="2208"/>
        <v>#DIV/0!</v>
      </c>
      <c r="BD1014" s="11" t="e">
        <f t="shared" si="2209"/>
        <v>#DIV/0!</v>
      </c>
    </row>
    <row r="1015" spans="1:56" ht="15.75" thickBot="1" x14ac:dyDescent="0.3">
      <c r="A1015" s="19" t="s">
        <v>3</v>
      </c>
      <c r="B1015" s="8">
        <v>81170</v>
      </c>
      <c r="C1015" s="35">
        <f>B1015/F1009</f>
        <v>88.036876355748376</v>
      </c>
      <c r="D1015" s="8">
        <v>2700</v>
      </c>
      <c r="E1015" s="68">
        <v>0</v>
      </c>
      <c r="F1015" s="70">
        <v>0</v>
      </c>
      <c r="G1015" s="35" t="e">
        <f t="shared" si="2184"/>
        <v>#DIV/0!</v>
      </c>
      <c r="H1015" s="11" t="e">
        <f t="shared" si="2185"/>
        <v>#DIV/0!</v>
      </c>
      <c r="I1015" s="35">
        <v>0</v>
      </c>
      <c r="J1015" s="70">
        <v>0</v>
      </c>
      <c r="K1015" s="35" t="e">
        <f t="shared" si="2186"/>
        <v>#DIV/0!</v>
      </c>
      <c r="L1015" s="6" t="e">
        <f t="shared" si="2187"/>
        <v>#DIV/0!</v>
      </c>
      <c r="M1015" s="68">
        <v>43680</v>
      </c>
      <c r="N1015" s="26">
        <v>900</v>
      </c>
      <c r="O1015" s="35">
        <f t="shared" si="2188"/>
        <v>48.533333333333331</v>
      </c>
      <c r="P1015" s="11">
        <f t="shared" si="2189"/>
        <v>0.55128413617510574</v>
      </c>
      <c r="Q1015" s="35">
        <v>22990</v>
      </c>
      <c r="R1015" s="66">
        <v>900</v>
      </c>
      <c r="S1015" s="35">
        <f t="shared" si="2190"/>
        <v>25.544444444444444</v>
      </c>
      <c r="T1015" s="6">
        <f t="shared" si="2191"/>
        <v>0.29015618797311538</v>
      </c>
      <c r="U1015" s="68">
        <v>0</v>
      </c>
      <c r="V1015" s="66">
        <v>0</v>
      </c>
      <c r="W1015" s="20" t="e">
        <f t="shared" si="2192"/>
        <v>#DIV/0!</v>
      </c>
      <c r="X1015" s="6" t="e">
        <f t="shared" si="2193"/>
        <v>#DIV/0!</v>
      </c>
      <c r="Y1015" s="68">
        <v>48160</v>
      </c>
      <c r="Z1015" s="69">
        <v>688</v>
      </c>
      <c r="AA1015" s="35">
        <f t="shared" si="2194"/>
        <v>70</v>
      </c>
      <c r="AB1015" s="11">
        <f t="shared" si="2195"/>
        <v>0.79512135025255637</v>
      </c>
      <c r="AC1015" s="20">
        <v>17800</v>
      </c>
      <c r="AD1015" s="33">
        <v>688</v>
      </c>
      <c r="AE1015" s="35">
        <f t="shared" si="2196"/>
        <v>25.872093023255815</v>
      </c>
      <c r="AF1015" s="6">
        <f t="shared" si="2197"/>
        <v>0.29387790769301292</v>
      </c>
      <c r="AG1015" s="68">
        <v>0</v>
      </c>
      <c r="AH1015" s="66">
        <v>0</v>
      </c>
      <c r="AI1015" s="35" t="e">
        <f t="shared" si="2198"/>
        <v>#DIV/0!</v>
      </c>
      <c r="AJ1015" s="6" t="e">
        <f t="shared" si="2199"/>
        <v>#DIV/0!</v>
      </c>
      <c r="AK1015" s="68">
        <v>0</v>
      </c>
      <c r="AL1015" s="66">
        <v>0</v>
      </c>
      <c r="AM1015" s="35" t="e">
        <f t="shared" si="2200"/>
        <v>#DIV/0!</v>
      </c>
      <c r="AN1015" s="6" t="e">
        <f t="shared" si="2201"/>
        <v>#DIV/0!</v>
      </c>
      <c r="AO1015" s="68">
        <v>2650</v>
      </c>
      <c r="AP1015" s="65">
        <v>255</v>
      </c>
      <c r="AQ1015" s="35">
        <f t="shared" si="2202"/>
        <v>10.392156862745098</v>
      </c>
      <c r="AR1015" s="6">
        <f t="shared" si="2203"/>
        <v>0.11804322566774646</v>
      </c>
      <c r="AS1015" s="68">
        <v>0</v>
      </c>
      <c r="AT1015" s="66">
        <v>0</v>
      </c>
      <c r="AU1015" s="35" t="e">
        <f t="shared" si="2204"/>
        <v>#DIV/0!</v>
      </c>
      <c r="AV1015" s="6" t="e">
        <f t="shared" si="2205"/>
        <v>#DIV/0!</v>
      </c>
      <c r="AW1015" s="68">
        <v>0</v>
      </c>
      <c r="AX1015" s="66">
        <v>0</v>
      </c>
      <c r="AY1015" s="35" t="e">
        <f t="shared" si="2206"/>
        <v>#DIV/0!</v>
      </c>
      <c r="AZ1015" s="6" t="e">
        <f t="shared" si="2207"/>
        <v>#DIV/0!</v>
      </c>
      <c r="BA1015" s="68">
        <v>0</v>
      </c>
      <c r="BB1015" s="66">
        <v>0</v>
      </c>
      <c r="BC1015" s="35" t="e">
        <f t="shared" si="2208"/>
        <v>#DIV/0!</v>
      </c>
      <c r="BD1015" s="11" t="e">
        <f t="shared" si="2209"/>
        <v>#DIV/0!</v>
      </c>
    </row>
    <row r="1016" spans="1:56" ht="15.75" thickBot="1" x14ac:dyDescent="0.3">
      <c r="A1016" s="19" t="s">
        <v>4</v>
      </c>
      <c r="B1016" s="8">
        <v>101390</v>
      </c>
      <c r="C1016" s="35">
        <f>B1016/F1009</f>
        <v>109.96746203904556</v>
      </c>
      <c r="D1016" s="8">
        <v>5250</v>
      </c>
      <c r="E1016" s="68">
        <v>0</v>
      </c>
      <c r="F1016" s="70">
        <v>0</v>
      </c>
      <c r="G1016" s="35" t="e">
        <f t="shared" si="2184"/>
        <v>#DIV/0!</v>
      </c>
      <c r="H1016" s="11" t="e">
        <f t="shared" si="2185"/>
        <v>#DIV/0!</v>
      </c>
      <c r="I1016" s="35">
        <v>0</v>
      </c>
      <c r="J1016" s="70">
        <v>0</v>
      </c>
      <c r="K1016" s="35" t="e">
        <f t="shared" si="2186"/>
        <v>#DIV/0!</v>
      </c>
      <c r="L1016" s="6" t="e">
        <f t="shared" si="2187"/>
        <v>#DIV/0!</v>
      </c>
      <c r="M1016" s="68">
        <v>62050</v>
      </c>
      <c r="N1016" s="26">
        <v>900</v>
      </c>
      <c r="O1016" s="35">
        <f t="shared" si="2188"/>
        <v>68.944444444444443</v>
      </c>
      <c r="P1016" s="11">
        <f t="shared" si="2189"/>
        <v>0.62695312928077496</v>
      </c>
      <c r="Q1016" s="35">
        <v>30680</v>
      </c>
      <c r="R1016" s="66">
        <v>900</v>
      </c>
      <c r="S1016" s="35">
        <f t="shared" si="2190"/>
        <v>34.088888888888889</v>
      </c>
      <c r="T1016" s="6">
        <f t="shared" si="2191"/>
        <v>0.30999068503358868</v>
      </c>
      <c r="U1016" s="68">
        <v>0</v>
      </c>
      <c r="V1016" s="66">
        <v>0</v>
      </c>
      <c r="W1016" s="20" t="e">
        <f t="shared" si="2192"/>
        <v>#DIV/0!</v>
      </c>
      <c r="X1016" s="6" t="e">
        <f t="shared" si="2193"/>
        <v>#DIV/0!</v>
      </c>
      <c r="Y1016" s="68">
        <v>60370</v>
      </c>
      <c r="Z1016" s="69">
        <v>688</v>
      </c>
      <c r="AA1016" s="35">
        <f t="shared" si="2194"/>
        <v>87.747093023255815</v>
      </c>
      <c r="AB1016" s="11">
        <f t="shared" si="2195"/>
        <v>0.79793687511038425</v>
      </c>
      <c r="AC1016" s="20">
        <v>20230</v>
      </c>
      <c r="AD1016" s="33">
        <v>688</v>
      </c>
      <c r="AE1016" s="35">
        <f t="shared" si="2196"/>
        <v>29.404069767441861</v>
      </c>
      <c r="AF1016" s="6">
        <f t="shared" si="2197"/>
        <v>0.26738881867621456</v>
      </c>
      <c r="AG1016" s="68">
        <v>0</v>
      </c>
      <c r="AH1016" s="66">
        <v>0</v>
      </c>
      <c r="AI1016" s="35" t="e">
        <f t="shared" si="2198"/>
        <v>#DIV/0!</v>
      </c>
      <c r="AJ1016" s="6" t="e">
        <f t="shared" si="2199"/>
        <v>#DIV/0!</v>
      </c>
      <c r="AK1016" s="68">
        <v>0</v>
      </c>
      <c r="AL1016" s="66">
        <v>0</v>
      </c>
      <c r="AM1016" s="35" t="e">
        <f t="shared" si="2200"/>
        <v>#DIV/0!</v>
      </c>
      <c r="AN1016" s="6" t="e">
        <f t="shared" si="2201"/>
        <v>#DIV/0!</v>
      </c>
      <c r="AO1016" s="68">
        <v>3520</v>
      </c>
      <c r="AP1016" s="65">
        <v>255</v>
      </c>
      <c r="AQ1016" s="35">
        <f t="shared" si="2202"/>
        <v>13.803921568627452</v>
      </c>
      <c r="AR1016" s="6">
        <f t="shared" si="2203"/>
        <v>0.12552732701720593</v>
      </c>
      <c r="AS1016" s="68">
        <v>0</v>
      </c>
      <c r="AT1016" s="66">
        <v>0</v>
      </c>
      <c r="AU1016" s="35" t="e">
        <f t="shared" si="2204"/>
        <v>#DIV/0!</v>
      </c>
      <c r="AV1016" s="6" t="e">
        <f t="shared" si="2205"/>
        <v>#DIV/0!</v>
      </c>
      <c r="AW1016" s="68">
        <v>0</v>
      </c>
      <c r="AX1016" s="66">
        <v>0</v>
      </c>
      <c r="AY1016" s="35" t="e">
        <f t="shared" si="2206"/>
        <v>#DIV/0!</v>
      </c>
      <c r="AZ1016" s="6" t="e">
        <f t="shared" si="2207"/>
        <v>#DIV/0!</v>
      </c>
      <c r="BA1016" s="68">
        <v>0</v>
      </c>
      <c r="BB1016" s="66">
        <v>0</v>
      </c>
      <c r="BC1016" s="35" t="e">
        <f t="shared" si="2208"/>
        <v>#DIV/0!</v>
      </c>
      <c r="BD1016" s="11" t="e">
        <f t="shared" si="2209"/>
        <v>#DIV/0!</v>
      </c>
    </row>
    <row r="1017" spans="1:56" ht="15.75" thickBot="1" x14ac:dyDescent="0.3">
      <c r="A1017" s="19" t="s">
        <v>5</v>
      </c>
      <c r="B1017" s="8">
        <v>131890</v>
      </c>
      <c r="C1017" s="35">
        <f>B1017/F1009</f>
        <v>143.04772234273318</v>
      </c>
      <c r="D1017" s="8">
        <v>7050</v>
      </c>
      <c r="E1017" s="68">
        <v>0</v>
      </c>
      <c r="F1017" s="70">
        <v>0</v>
      </c>
      <c r="G1017" s="35" t="e">
        <f t="shared" si="2184"/>
        <v>#DIV/0!</v>
      </c>
      <c r="H1017" s="11" t="e">
        <f t="shared" si="2185"/>
        <v>#DIV/0!</v>
      </c>
      <c r="I1017" s="35">
        <v>0</v>
      </c>
      <c r="J1017" s="70">
        <v>0</v>
      </c>
      <c r="K1017" s="35" t="e">
        <f t="shared" si="2186"/>
        <v>#DIV/0!</v>
      </c>
      <c r="L1017" s="6" t="e">
        <f t="shared" si="2187"/>
        <v>#DIV/0!</v>
      </c>
      <c r="M1017" s="68">
        <v>69530</v>
      </c>
      <c r="N1017" s="26">
        <v>900</v>
      </c>
      <c r="O1017" s="35">
        <f t="shared" si="2188"/>
        <v>77.25555555555556</v>
      </c>
      <c r="P1017" s="11">
        <f t="shared" si="2189"/>
        <v>0.5400684071743288</v>
      </c>
      <c r="Q1017" s="35">
        <v>34900</v>
      </c>
      <c r="R1017" s="66">
        <v>900</v>
      </c>
      <c r="S1017" s="35">
        <f t="shared" si="2190"/>
        <v>38.777777777777779</v>
      </c>
      <c r="T1017" s="6">
        <f t="shared" si="2191"/>
        <v>0.27108280469414753</v>
      </c>
      <c r="U1017" s="68">
        <v>0</v>
      </c>
      <c r="V1017" s="66">
        <v>0</v>
      </c>
      <c r="W1017" s="20" t="e">
        <f t="shared" si="2192"/>
        <v>#DIV/0!</v>
      </c>
      <c r="X1017" s="6" t="e">
        <f t="shared" si="2193"/>
        <v>#DIV/0!</v>
      </c>
      <c r="Y1017" s="68">
        <v>78870</v>
      </c>
      <c r="Z1017" s="69">
        <v>688</v>
      </c>
      <c r="AA1017" s="35">
        <f t="shared" si="2194"/>
        <v>114.63662790697674</v>
      </c>
      <c r="AB1017" s="11">
        <f t="shared" si="2195"/>
        <v>0.80138729949376419</v>
      </c>
      <c r="AC1017" s="20">
        <v>21850</v>
      </c>
      <c r="AD1017" s="33">
        <v>688</v>
      </c>
      <c r="AE1017" s="35">
        <f t="shared" si="2196"/>
        <v>31.75872093023256</v>
      </c>
      <c r="AF1017" s="6">
        <f t="shared" si="2197"/>
        <v>0.22201486615872637</v>
      </c>
      <c r="AG1017" s="68">
        <v>0</v>
      </c>
      <c r="AH1017" s="66">
        <v>0</v>
      </c>
      <c r="AI1017" s="35" t="e">
        <f t="shared" si="2198"/>
        <v>#DIV/0!</v>
      </c>
      <c r="AJ1017" s="6" t="e">
        <f t="shared" si="2199"/>
        <v>#DIV/0!</v>
      </c>
      <c r="AK1017" s="68">
        <v>0</v>
      </c>
      <c r="AL1017" s="66">
        <v>0</v>
      </c>
      <c r="AM1017" s="35" t="e">
        <f t="shared" si="2200"/>
        <v>#DIV/0!</v>
      </c>
      <c r="AN1017" s="6" t="e">
        <f t="shared" si="2201"/>
        <v>#DIV/0!</v>
      </c>
      <c r="AO1017" s="68">
        <v>4290</v>
      </c>
      <c r="AP1017" s="65">
        <v>255</v>
      </c>
      <c r="AQ1017" s="35">
        <f t="shared" si="2202"/>
        <v>16.823529411764707</v>
      </c>
      <c r="AR1017" s="6">
        <f t="shared" si="2203"/>
        <v>0.11760781043026053</v>
      </c>
      <c r="AS1017" s="68">
        <v>0</v>
      </c>
      <c r="AT1017" s="66">
        <v>0</v>
      </c>
      <c r="AU1017" s="35" t="e">
        <f t="shared" si="2204"/>
        <v>#DIV/0!</v>
      </c>
      <c r="AV1017" s="6" t="e">
        <f t="shared" si="2205"/>
        <v>#DIV/0!</v>
      </c>
      <c r="AW1017" s="68">
        <v>0</v>
      </c>
      <c r="AX1017" s="66">
        <v>0</v>
      </c>
      <c r="AY1017" s="35" t="e">
        <f t="shared" si="2206"/>
        <v>#DIV/0!</v>
      </c>
      <c r="AZ1017" s="6" t="e">
        <f t="shared" si="2207"/>
        <v>#DIV/0!</v>
      </c>
      <c r="BA1017" s="68">
        <v>0</v>
      </c>
      <c r="BB1017" s="66">
        <v>0</v>
      </c>
      <c r="BC1017" s="35" t="e">
        <f t="shared" si="2208"/>
        <v>#DIV/0!</v>
      </c>
      <c r="BD1017" s="11" t="e">
        <f t="shared" si="2209"/>
        <v>#DIV/0!</v>
      </c>
    </row>
    <row r="1018" spans="1:56" x14ac:dyDescent="0.25">
      <c r="A1018" s="19" t="s">
        <v>6</v>
      </c>
      <c r="B1018" s="8">
        <v>151050</v>
      </c>
      <c r="C1018" s="35">
        <f>B1018/F1009</f>
        <v>163.82863340563992</v>
      </c>
      <c r="D1018" s="8">
        <v>10950</v>
      </c>
      <c r="E1018" s="68">
        <v>0</v>
      </c>
      <c r="F1018" s="70">
        <v>0</v>
      </c>
      <c r="G1018" s="35" t="e">
        <f t="shared" si="2184"/>
        <v>#DIV/0!</v>
      </c>
      <c r="H1018" s="11" t="e">
        <f t="shared" si="2185"/>
        <v>#DIV/0!</v>
      </c>
      <c r="I1018" s="35">
        <v>0</v>
      </c>
      <c r="J1018" s="70">
        <v>0</v>
      </c>
      <c r="K1018" s="35" t="e">
        <f t="shared" si="2186"/>
        <v>#DIV/0!</v>
      </c>
      <c r="L1018" s="6" t="e">
        <f t="shared" si="2187"/>
        <v>#DIV/0!</v>
      </c>
      <c r="M1018" s="68">
        <v>84500</v>
      </c>
      <c r="N1018" s="26">
        <v>900</v>
      </c>
      <c r="O1018" s="35">
        <f t="shared" si="2188"/>
        <v>93.888888888888886</v>
      </c>
      <c r="P1018" s="11">
        <f t="shared" si="2189"/>
        <v>0.5730920592886829</v>
      </c>
      <c r="Q1018" s="35">
        <v>43280</v>
      </c>
      <c r="R1018" s="66">
        <v>900</v>
      </c>
      <c r="S1018" s="35">
        <f t="shared" si="2190"/>
        <v>48.088888888888889</v>
      </c>
      <c r="T1018" s="6">
        <f t="shared" si="2191"/>
        <v>0.29353164882857036</v>
      </c>
      <c r="U1018" s="68">
        <v>0</v>
      </c>
      <c r="V1018" s="66">
        <v>0</v>
      </c>
      <c r="W1018" s="20" t="e">
        <f t="shared" si="2192"/>
        <v>#DIV/0!</v>
      </c>
      <c r="X1018" s="6" t="e">
        <f t="shared" si="2193"/>
        <v>#DIV/0!</v>
      </c>
      <c r="Y1018" s="68">
        <v>86370</v>
      </c>
      <c r="Z1018" s="69">
        <v>688</v>
      </c>
      <c r="AA1018" s="35">
        <f t="shared" si="2194"/>
        <v>125.53779069767442</v>
      </c>
      <c r="AB1018" s="11">
        <f t="shared" si="2195"/>
        <v>0.76627502829033967</v>
      </c>
      <c r="AC1018" s="20">
        <v>31580</v>
      </c>
      <c r="AD1018" s="33">
        <v>688</v>
      </c>
      <c r="AE1018" s="35">
        <f t="shared" si="2196"/>
        <v>45.901162790697676</v>
      </c>
      <c r="AF1018" s="6">
        <f t="shared" si="2197"/>
        <v>0.28017790197301062</v>
      </c>
      <c r="AG1018" s="68">
        <v>0</v>
      </c>
      <c r="AH1018" s="66">
        <v>0</v>
      </c>
      <c r="AI1018" s="35" t="e">
        <f t="shared" si="2198"/>
        <v>#DIV/0!</v>
      </c>
      <c r="AJ1018" s="6" t="e">
        <f t="shared" si="2199"/>
        <v>#DIV/0!</v>
      </c>
      <c r="AK1018" s="68">
        <v>0</v>
      </c>
      <c r="AL1018" s="66">
        <v>0</v>
      </c>
      <c r="AM1018" s="35" t="e">
        <f t="shared" si="2200"/>
        <v>#DIV/0!</v>
      </c>
      <c r="AN1018" s="6" t="e">
        <f t="shared" si="2201"/>
        <v>#DIV/0!</v>
      </c>
      <c r="AO1018" s="68">
        <v>4580</v>
      </c>
      <c r="AP1018" s="65">
        <v>255</v>
      </c>
      <c r="AQ1018" s="35">
        <f t="shared" si="2202"/>
        <v>17.96078431372549</v>
      </c>
      <c r="AR1018" s="6">
        <f t="shared" si="2203"/>
        <v>0.10963153351376963</v>
      </c>
      <c r="AS1018" s="68">
        <v>0</v>
      </c>
      <c r="AT1018" s="66">
        <v>0</v>
      </c>
      <c r="AU1018" s="35" t="e">
        <f t="shared" si="2204"/>
        <v>#DIV/0!</v>
      </c>
      <c r="AV1018" s="6" t="e">
        <f t="shared" si="2205"/>
        <v>#DIV/0!</v>
      </c>
      <c r="AW1018" s="68">
        <v>0</v>
      </c>
      <c r="AX1018" s="66">
        <v>0</v>
      </c>
      <c r="AY1018" s="35" t="e">
        <f t="shared" si="2206"/>
        <v>#DIV/0!</v>
      </c>
      <c r="AZ1018" s="6" t="e">
        <f t="shared" si="2207"/>
        <v>#DIV/0!</v>
      </c>
      <c r="BA1018" s="68">
        <v>0</v>
      </c>
      <c r="BB1018" s="66">
        <v>0</v>
      </c>
      <c r="BC1018" s="35" t="e">
        <f t="shared" si="2208"/>
        <v>#DIV/0!</v>
      </c>
      <c r="BD1018" s="11" t="e">
        <f t="shared" si="2209"/>
        <v>#DIV/0!</v>
      </c>
    </row>
    <row r="1019" spans="1:56" ht="15.75" thickBot="1" x14ac:dyDescent="0.3">
      <c r="A1019" s="21"/>
      <c r="B1019" s="22"/>
      <c r="C1019" s="23">
        <f>AVERAGE(Table1107982[MA $/Sq Ft])</f>
        <v>99.115277347381479</v>
      </c>
      <c r="D1019" s="22">
        <f>AVERAGE(Table1107982[Basic Allowance])</f>
        <v>4442.8571428571431</v>
      </c>
      <c r="E1019" s="16"/>
      <c r="F1019" s="22"/>
      <c r="G1019" s="15"/>
      <c r="H1019" s="24" t="e">
        <f>AVERAGE(Table1107982[Bsmt % Base])</f>
        <v>#DIV/0!</v>
      </c>
      <c r="I1019" s="15"/>
      <c r="J1019" s="15"/>
      <c r="K1019" s="15"/>
      <c r="L1019" s="25" t="e">
        <f>AVERAGE(Table1107982[[#Headers],[#Data],[UnfBsmt % Base]])</f>
        <v>#DIV/0!</v>
      </c>
      <c r="M1019" s="44"/>
      <c r="N1019" s="15"/>
      <c r="O1019" s="23">
        <f>AVERAGE(Table1107982[LowerVal/SqFt])</f>
        <v>56.733333333333334</v>
      </c>
      <c r="P1019" s="24">
        <f>AVERAGE(Table1107982[Lower % Base])</f>
        <v>0.57311600149673259</v>
      </c>
      <c r="Q1019" s="13"/>
      <c r="R1019" s="13"/>
      <c r="S1019" s="13"/>
      <c r="T1019" s="25">
        <f>AVERAGE(Table1107982[Unf Lower % Base])</f>
        <v>0.29485001265989796</v>
      </c>
      <c r="U1019" s="12"/>
      <c r="V1019" s="13"/>
      <c r="W1019" s="13"/>
      <c r="X1019" s="25" t="e">
        <f>AVERAGE(Table1107982[1/2 Story % Base])</f>
        <v>#DIV/0!</v>
      </c>
      <c r="Y1019" s="12"/>
      <c r="Z1019" s="13"/>
      <c r="AA1019" s="13"/>
      <c r="AB1019" s="24">
        <f>AVERAGE(Table1107982[2nd Story % Base])</f>
        <v>0.80938633323610454</v>
      </c>
      <c r="AC1019" s="13"/>
      <c r="AD1019" s="13"/>
      <c r="AE1019" s="23">
        <f>AVERAGE(Table1107982[AttGarVal/SqFt])</f>
        <v>27.194767441860467</v>
      </c>
      <c r="AF1019" s="25">
        <f>AVERAGE(Table1107982[Att Gar % Base])</f>
        <v>0.280764842302198</v>
      </c>
      <c r="AG1019" s="12"/>
      <c r="AH1019" s="13"/>
      <c r="AI1019" s="13"/>
      <c r="AJ1019" s="25" t="e">
        <f>AVERAGE(Table1107982[Porch % Base])</f>
        <v>#DIV/0!</v>
      </c>
      <c r="AK1019" s="12"/>
      <c r="AL1019" s="13"/>
      <c r="AM1019" s="13"/>
      <c r="AN1019" s="25" t="e">
        <f>AVERAGE(Table1107982[Cov Porch % Base])</f>
        <v>#DIV/0!</v>
      </c>
      <c r="AO1019" s="12"/>
      <c r="AP1019" s="13"/>
      <c r="AQ1019" s="13"/>
      <c r="AR1019" s="25">
        <f>AVERAGE(Table1107982[Deck % Base])</f>
        <v>0.12666247784434703</v>
      </c>
      <c r="AS1019" s="12"/>
      <c r="AT1019" s="13"/>
      <c r="AU1019" s="23" t="e">
        <f>AVERAGE(Table1107982[CovDeckVal/SqFt])</f>
        <v>#DIV/0!</v>
      </c>
      <c r="AV1019" s="25" t="e">
        <f>AVERAGE(Table1107982[CovDeck % Base])</f>
        <v>#DIV/0!</v>
      </c>
      <c r="AW1019" s="12"/>
      <c r="AX1019" s="13"/>
      <c r="AY1019" s="13"/>
      <c r="AZ1019" s="25" t="e">
        <f>AVERAGE(Table1107982[CarP % Base])</f>
        <v>#DIV/0!</v>
      </c>
      <c r="BA1019" s="12"/>
      <c r="BB1019" s="13"/>
      <c r="BC1019" s="13"/>
      <c r="BD1019" s="24" t="e">
        <f>AVERAGE(Table1107982[EFP % Base])</f>
        <v>#DIV/0!</v>
      </c>
    </row>
    <row r="1021" spans="1:56" ht="15.75" thickBot="1" x14ac:dyDescent="0.3">
      <c r="A1021" s="82"/>
      <c r="B1021" t="s">
        <v>79</v>
      </c>
      <c r="C1021" s="78" t="s">
        <v>187</v>
      </c>
      <c r="E1021" t="s">
        <v>33</v>
      </c>
      <c r="F1021" s="79">
        <v>1664</v>
      </c>
      <c r="H1021" t="s">
        <v>80</v>
      </c>
      <c r="I1021" t="s">
        <v>103</v>
      </c>
    </row>
    <row r="1022" spans="1:56" x14ac:dyDescent="0.25">
      <c r="A1022" s="112"/>
      <c r="B1022" s="113"/>
      <c r="C1022" s="113"/>
      <c r="D1022" s="114"/>
      <c r="E1022" s="115" t="s">
        <v>27</v>
      </c>
      <c r="F1022" s="116"/>
      <c r="G1022" s="116"/>
      <c r="H1022" s="117"/>
      <c r="I1022" s="118" t="s">
        <v>28</v>
      </c>
      <c r="J1022" s="119"/>
      <c r="K1022" s="119"/>
      <c r="L1022" s="120"/>
      <c r="M1022" s="121" t="s">
        <v>7</v>
      </c>
      <c r="N1022" s="122"/>
      <c r="O1022" s="122"/>
      <c r="P1022" s="123"/>
      <c r="Q1022" s="124" t="s">
        <v>29</v>
      </c>
      <c r="R1022" s="125"/>
      <c r="S1022" s="125"/>
      <c r="T1022" s="126"/>
      <c r="U1022" s="127" t="s">
        <v>8</v>
      </c>
      <c r="V1022" s="128"/>
      <c r="W1022" s="128"/>
      <c r="X1022" s="129"/>
      <c r="Y1022" s="130" t="s">
        <v>0</v>
      </c>
      <c r="Z1022" s="131"/>
      <c r="AA1022" s="131"/>
      <c r="AB1022" s="132"/>
      <c r="AC1022" s="133" t="s">
        <v>34</v>
      </c>
      <c r="AD1022" s="134"/>
      <c r="AE1022" s="134"/>
      <c r="AF1022" s="135"/>
      <c r="AG1022" s="115" t="s">
        <v>9</v>
      </c>
      <c r="AH1022" s="116"/>
      <c r="AI1022" s="116"/>
      <c r="AJ1022" s="117"/>
      <c r="AK1022" s="136" t="s">
        <v>35</v>
      </c>
      <c r="AL1022" s="137"/>
      <c r="AM1022" s="137"/>
      <c r="AN1022" s="138"/>
      <c r="AO1022" s="139" t="s">
        <v>10</v>
      </c>
      <c r="AP1022" s="140"/>
      <c r="AQ1022" s="140"/>
      <c r="AR1022" s="141"/>
      <c r="AS1022" s="124" t="s">
        <v>36</v>
      </c>
      <c r="AT1022" s="125"/>
      <c r="AU1022" s="125"/>
      <c r="AV1022" s="126"/>
      <c r="AW1022" s="142" t="s">
        <v>11</v>
      </c>
      <c r="AX1022" s="143"/>
      <c r="AY1022" s="143"/>
      <c r="AZ1022" s="144"/>
      <c r="BA1022" s="148" t="s">
        <v>17</v>
      </c>
      <c r="BB1022" s="149"/>
      <c r="BC1022" s="149"/>
      <c r="BD1022" s="150"/>
    </row>
    <row r="1023" spans="1:56" s="1" customFormat="1" ht="15.75" thickBot="1" x14ac:dyDescent="0.3">
      <c r="A1023" s="41" t="s">
        <v>13</v>
      </c>
      <c r="B1023" s="42" t="s">
        <v>15</v>
      </c>
      <c r="C1023" s="42" t="s">
        <v>32</v>
      </c>
      <c r="D1023" s="43" t="s">
        <v>18</v>
      </c>
      <c r="E1023" s="30" t="s">
        <v>30</v>
      </c>
      <c r="F1023" s="31" t="s">
        <v>61</v>
      </c>
      <c r="G1023" s="31" t="s">
        <v>38</v>
      </c>
      <c r="H1023" s="32" t="s">
        <v>62</v>
      </c>
      <c r="I1023" s="37" t="s">
        <v>31</v>
      </c>
      <c r="J1023" s="38" t="s">
        <v>39</v>
      </c>
      <c r="K1023" s="38" t="s">
        <v>40</v>
      </c>
      <c r="L1023" s="39" t="s">
        <v>63</v>
      </c>
      <c r="M1023" s="40" t="s">
        <v>19</v>
      </c>
      <c r="N1023" s="7" t="s">
        <v>41</v>
      </c>
      <c r="O1023" s="7" t="s">
        <v>37</v>
      </c>
      <c r="P1023" s="7" t="s">
        <v>64</v>
      </c>
      <c r="Q1023" s="27" t="s">
        <v>20</v>
      </c>
      <c r="R1023" s="28" t="s">
        <v>60</v>
      </c>
      <c r="S1023" s="28" t="s">
        <v>59</v>
      </c>
      <c r="T1023" s="29" t="s">
        <v>65</v>
      </c>
      <c r="U1023" s="48" t="s">
        <v>21</v>
      </c>
      <c r="V1023" s="48" t="s">
        <v>42</v>
      </c>
      <c r="W1023" s="48" t="s">
        <v>43</v>
      </c>
      <c r="X1023" s="49" t="s">
        <v>66</v>
      </c>
      <c r="Y1023" s="50" t="s">
        <v>22</v>
      </c>
      <c r="Z1023" s="51" t="s">
        <v>44</v>
      </c>
      <c r="AA1023" s="51" t="s">
        <v>45</v>
      </c>
      <c r="AB1023" s="52" t="s">
        <v>67</v>
      </c>
      <c r="AC1023" s="45" t="s">
        <v>23</v>
      </c>
      <c r="AD1023" s="46" t="s">
        <v>46</v>
      </c>
      <c r="AE1023" s="46" t="s">
        <v>47</v>
      </c>
      <c r="AF1023" s="47" t="s">
        <v>68</v>
      </c>
      <c r="AG1023" s="30" t="s">
        <v>24</v>
      </c>
      <c r="AH1023" s="31" t="s">
        <v>48</v>
      </c>
      <c r="AI1023" s="31" t="s">
        <v>49</v>
      </c>
      <c r="AJ1023" s="32" t="s">
        <v>69</v>
      </c>
      <c r="AK1023" s="53" t="s">
        <v>25</v>
      </c>
      <c r="AL1023" s="54" t="s">
        <v>50</v>
      </c>
      <c r="AM1023" s="54" t="s">
        <v>51</v>
      </c>
      <c r="AN1023" s="55" t="s">
        <v>70</v>
      </c>
      <c r="AO1023" s="56" t="s">
        <v>26</v>
      </c>
      <c r="AP1023" s="57" t="s">
        <v>52</v>
      </c>
      <c r="AQ1023" s="57" t="s">
        <v>53</v>
      </c>
      <c r="AR1023" s="58" t="s">
        <v>71</v>
      </c>
      <c r="AS1023" s="59" t="s">
        <v>55</v>
      </c>
      <c r="AT1023" s="60" t="s">
        <v>54</v>
      </c>
      <c r="AU1023" s="60" t="s">
        <v>56</v>
      </c>
      <c r="AV1023" s="61" t="s">
        <v>76</v>
      </c>
      <c r="AW1023" s="62" t="s">
        <v>72</v>
      </c>
      <c r="AX1023" s="63" t="s">
        <v>73</v>
      </c>
      <c r="AY1023" s="63" t="s">
        <v>74</v>
      </c>
      <c r="AZ1023" s="64" t="s">
        <v>75</v>
      </c>
      <c r="BA1023" s="71" t="s">
        <v>77</v>
      </c>
      <c r="BB1023" s="72" t="s">
        <v>57</v>
      </c>
      <c r="BC1023" s="72" t="s">
        <v>58</v>
      </c>
      <c r="BD1023" s="73" t="s">
        <v>78</v>
      </c>
    </row>
    <row r="1024" spans="1:56" ht="15.75" thickBot="1" x14ac:dyDescent="0.3">
      <c r="A1024" s="17" t="s">
        <v>1</v>
      </c>
      <c r="B1024" s="14">
        <v>80570</v>
      </c>
      <c r="C1024" s="34">
        <f>B1024/F1021</f>
        <v>48.419471153846153</v>
      </c>
      <c r="D1024" s="14">
        <v>1525</v>
      </c>
      <c r="E1024" s="67">
        <v>0</v>
      </c>
      <c r="F1024" s="69">
        <v>0</v>
      </c>
      <c r="G1024" s="34" t="e">
        <f t="shared" ref="G1024:G1030" si="2210">E1024/F1024</f>
        <v>#DIV/0!</v>
      </c>
      <c r="H1024" s="10" t="e">
        <f t="shared" ref="H1024:H1030" si="2211">G1024/C1024</f>
        <v>#DIV/0!</v>
      </c>
      <c r="I1024" s="34">
        <v>0</v>
      </c>
      <c r="J1024" s="69">
        <v>0</v>
      </c>
      <c r="K1024" s="34" t="e">
        <f t="shared" ref="K1024:K1030" si="2212">I1024/J1024</f>
        <v>#DIV/0!</v>
      </c>
      <c r="L1024" s="9" t="e">
        <f t="shared" ref="L1024:L1030" si="2213">K1024/C1024</f>
        <v>#DIV/0!</v>
      </c>
      <c r="M1024" s="67">
        <v>42500</v>
      </c>
      <c r="N1024" s="26">
        <v>1584</v>
      </c>
      <c r="O1024" s="34">
        <f t="shared" ref="O1024:O1030" si="2214">M1024/N1024</f>
        <v>26.83080808080808</v>
      </c>
      <c r="P1024" s="10">
        <f t="shared" ref="P1024:P1030" si="2215">O1024/C1024</f>
        <v>0.55413261321167484</v>
      </c>
      <c r="Q1024" s="35">
        <v>21440</v>
      </c>
      <c r="R1024" s="66">
        <v>1584</v>
      </c>
      <c r="S1024" s="35">
        <f t="shared" ref="S1024:S1030" si="2216">Q1024/R1024</f>
        <v>13.535353535353535</v>
      </c>
      <c r="T1024" s="6">
        <f t="shared" ref="T1024:T1030" si="2217">S1024/C1024</f>
        <v>0.27954360534725431</v>
      </c>
      <c r="U1024" s="67">
        <v>0</v>
      </c>
      <c r="V1024" s="65">
        <v>0</v>
      </c>
      <c r="W1024" s="18" t="e">
        <f t="shared" ref="W1024:W1030" si="2218">U1024/V1024</f>
        <v>#DIV/0!</v>
      </c>
      <c r="X1024" s="9" t="e">
        <f t="shared" ref="X1024:X1030" si="2219">W1024/C1024</f>
        <v>#DIV/0!</v>
      </c>
      <c r="Y1024" s="67">
        <v>0</v>
      </c>
      <c r="Z1024" s="69">
        <v>0</v>
      </c>
      <c r="AA1024" s="34" t="e">
        <f t="shared" ref="AA1024:AA1030" si="2220">Y1024/Z1024</f>
        <v>#DIV/0!</v>
      </c>
      <c r="AB1024" s="10" t="e">
        <f t="shared" ref="AB1024:AB1030" si="2221">AA1024/C1024</f>
        <v>#DIV/0!</v>
      </c>
      <c r="AC1024" s="18">
        <v>8410</v>
      </c>
      <c r="AD1024" s="33">
        <v>572</v>
      </c>
      <c r="AE1024" s="34">
        <f t="shared" ref="AE1024:AE1030" si="2222">AC1024/AD1024</f>
        <v>14.702797202797203</v>
      </c>
      <c r="AF1024" s="9">
        <f t="shared" ref="AF1024:AF1030" si="2223">AE1024/C1024</f>
        <v>0.30365464249043744</v>
      </c>
      <c r="AG1024" s="67">
        <v>0</v>
      </c>
      <c r="AH1024" s="65">
        <v>0</v>
      </c>
      <c r="AI1024" s="34" t="e">
        <f t="shared" ref="AI1024:AI1030" si="2224">AG1024/AH1024</f>
        <v>#DIV/0!</v>
      </c>
      <c r="AJ1024" s="9" t="e">
        <f t="shared" ref="AJ1024:AJ1030" si="2225">AI1024/C1024</f>
        <v>#DIV/0!</v>
      </c>
      <c r="AK1024" s="67">
        <v>0</v>
      </c>
      <c r="AL1024" s="65">
        <v>0</v>
      </c>
      <c r="AM1024" s="34" t="e">
        <f t="shared" ref="AM1024:AM1030" si="2226">AK1024/AL1024</f>
        <v>#DIV/0!</v>
      </c>
      <c r="AN1024" s="9" t="e">
        <f t="shared" ref="AN1024:AN1030" si="2227">AM1024/C1024</f>
        <v>#DIV/0!</v>
      </c>
      <c r="AO1024" s="67">
        <v>3860</v>
      </c>
      <c r="AP1024" s="65">
        <v>431</v>
      </c>
      <c r="AQ1024" s="34">
        <f t="shared" ref="AQ1024:AQ1030" si="2228">AO1024/AP1024</f>
        <v>8.9559164733178651</v>
      </c>
      <c r="AR1024" s="9">
        <f t="shared" ref="AR1024:AR1030" si="2229">AQ1024/C1024</f>
        <v>0.18496518569692103</v>
      </c>
      <c r="AS1024" s="67">
        <v>0</v>
      </c>
      <c r="AT1024" s="65">
        <v>0</v>
      </c>
      <c r="AU1024" s="34" t="e">
        <f t="shared" ref="AU1024:AU1030" si="2230">AS1024/AT1024</f>
        <v>#DIV/0!</v>
      </c>
      <c r="AV1024" s="9" t="e">
        <f t="shared" ref="AV1024:AV1030" si="2231">AU1024/C1024</f>
        <v>#DIV/0!</v>
      </c>
      <c r="AW1024" s="67">
        <v>0</v>
      </c>
      <c r="AX1024" s="65">
        <v>0</v>
      </c>
      <c r="AY1024" s="34" t="e">
        <f t="shared" ref="AY1024:AY1030" si="2232">AW1024/AX1024</f>
        <v>#DIV/0!</v>
      </c>
      <c r="AZ1024" s="9" t="e">
        <f t="shared" ref="AZ1024:AZ1030" si="2233">AY1024/C1024</f>
        <v>#DIV/0!</v>
      </c>
      <c r="BA1024" s="67">
        <v>0</v>
      </c>
      <c r="BB1024" s="65">
        <v>0</v>
      </c>
      <c r="BC1024" s="34" t="e">
        <f t="shared" ref="BC1024:BC1030" si="2234">BA1024/BB1024</f>
        <v>#DIV/0!</v>
      </c>
      <c r="BD1024" s="10" t="e">
        <f t="shared" ref="BD1024:BD1030" si="2235">BC1024/C1024</f>
        <v>#DIV/0!</v>
      </c>
    </row>
    <row r="1025" spans="1:56" ht="15.75" thickBot="1" x14ac:dyDescent="0.3">
      <c r="A1025" s="19" t="s">
        <v>16</v>
      </c>
      <c r="B1025" s="8">
        <v>94790</v>
      </c>
      <c r="C1025" s="35">
        <f>B1025/F1021</f>
        <v>56.965144230769234</v>
      </c>
      <c r="D1025" s="8">
        <v>1525</v>
      </c>
      <c r="E1025" s="68">
        <v>0</v>
      </c>
      <c r="F1025" s="70">
        <v>0</v>
      </c>
      <c r="G1025" s="35" t="e">
        <f t="shared" si="2210"/>
        <v>#DIV/0!</v>
      </c>
      <c r="H1025" s="11" t="e">
        <f t="shared" si="2211"/>
        <v>#DIV/0!</v>
      </c>
      <c r="I1025" s="35">
        <v>0</v>
      </c>
      <c r="J1025" s="70">
        <v>0</v>
      </c>
      <c r="K1025" s="35" t="e">
        <f t="shared" si="2212"/>
        <v>#DIV/0!</v>
      </c>
      <c r="L1025" s="6" t="e">
        <f t="shared" si="2213"/>
        <v>#DIV/0!</v>
      </c>
      <c r="M1025" s="68">
        <v>52910</v>
      </c>
      <c r="N1025" s="26">
        <v>1584</v>
      </c>
      <c r="O1025" s="35">
        <f t="shared" si="2214"/>
        <v>33.402777777777779</v>
      </c>
      <c r="P1025" s="11">
        <f t="shared" si="2215"/>
        <v>0.58637221460304068</v>
      </c>
      <c r="Q1025" s="35">
        <v>26230</v>
      </c>
      <c r="R1025" s="66">
        <v>1584</v>
      </c>
      <c r="S1025" s="35">
        <f t="shared" si="2216"/>
        <v>16.559343434343436</v>
      </c>
      <c r="T1025" s="6">
        <f t="shared" si="2217"/>
        <v>0.29069255696537055</v>
      </c>
      <c r="U1025" s="68">
        <v>0</v>
      </c>
      <c r="V1025" s="66">
        <v>0</v>
      </c>
      <c r="W1025" s="20" t="e">
        <f t="shared" si="2218"/>
        <v>#DIV/0!</v>
      </c>
      <c r="X1025" s="6" t="e">
        <f t="shared" si="2219"/>
        <v>#DIV/0!</v>
      </c>
      <c r="Y1025" s="68">
        <v>0</v>
      </c>
      <c r="Z1025" s="70">
        <v>0</v>
      </c>
      <c r="AA1025" s="35" t="e">
        <f t="shared" si="2220"/>
        <v>#DIV/0!</v>
      </c>
      <c r="AB1025" s="11" t="e">
        <f t="shared" si="2221"/>
        <v>#DIV/0!</v>
      </c>
      <c r="AC1025" s="20">
        <v>11400</v>
      </c>
      <c r="AD1025" s="33">
        <v>572</v>
      </c>
      <c r="AE1025" s="35">
        <f t="shared" si="2222"/>
        <v>19.93006993006993</v>
      </c>
      <c r="AF1025" s="6">
        <f t="shared" si="2223"/>
        <v>0.34986429331824415</v>
      </c>
      <c r="AG1025" s="68">
        <v>0</v>
      </c>
      <c r="AH1025" s="66">
        <v>0</v>
      </c>
      <c r="AI1025" s="35" t="e">
        <f t="shared" si="2224"/>
        <v>#DIV/0!</v>
      </c>
      <c r="AJ1025" s="6" t="e">
        <f t="shared" si="2225"/>
        <v>#DIV/0!</v>
      </c>
      <c r="AK1025" s="68">
        <v>0</v>
      </c>
      <c r="AL1025" s="66">
        <v>0</v>
      </c>
      <c r="AM1025" s="35" t="e">
        <f t="shared" si="2226"/>
        <v>#DIV/0!</v>
      </c>
      <c r="AN1025" s="6" t="e">
        <f t="shared" si="2227"/>
        <v>#DIV/0!</v>
      </c>
      <c r="AO1025" s="68">
        <v>5390</v>
      </c>
      <c r="AP1025" s="65">
        <v>431</v>
      </c>
      <c r="AQ1025" s="35">
        <f t="shared" si="2228"/>
        <v>12.505800464037122</v>
      </c>
      <c r="AR1025" s="6">
        <f t="shared" si="2229"/>
        <v>0.21953425437448856</v>
      </c>
      <c r="AS1025" s="68">
        <v>0</v>
      </c>
      <c r="AT1025" s="66">
        <v>0</v>
      </c>
      <c r="AU1025" s="35" t="e">
        <f t="shared" si="2230"/>
        <v>#DIV/0!</v>
      </c>
      <c r="AV1025" s="6" t="e">
        <f t="shared" si="2231"/>
        <v>#DIV/0!</v>
      </c>
      <c r="AW1025" s="68">
        <v>0</v>
      </c>
      <c r="AX1025" s="66">
        <v>0</v>
      </c>
      <c r="AY1025" s="35" t="e">
        <f t="shared" si="2232"/>
        <v>#DIV/0!</v>
      </c>
      <c r="AZ1025" s="6" t="e">
        <f t="shared" si="2233"/>
        <v>#DIV/0!</v>
      </c>
      <c r="BA1025" s="68">
        <v>0</v>
      </c>
      <c r="BB1025" s="66">
        <v>0</v>
      </c>
      <c r="BC1025" s="35" t="e">
        <f t="shared" si="2234"/>
        <v>#DIV/0!</v>
      </c>
      <c r="BD1025" s="11" t="e">
        <f t="shared" si="2235"/>
        <v>#DIV/0!</v>
      </c>
    </row>
    <row r="1026" spans="1:56" ht="15.75" thickBot="1" x14ac:dyDescent="0.3">
      <c r="A1026" s="19" t="s">
        <v>2</v>
      </c>
      <c r="B1026" s="8">
        <v>110650</v>
      </c>
      <c r="C1026" s="35">
        <f>B1026/F1021</f>
        <v>66.496394230769226</v>
      </c>
      <c r="D1026" s="8">
        <v>2100</v>
      </c>
      <c r="E1026" s="68">
        <v>0</v>
      </c>
      <c r="F1026" s="70">
        <v>0</v>
      </c>
      <c r="G1026" s="35" t="e">
        <f t="shared" si="2210"/>
        <v>#DIV/0!</v>
      </c>
      <c r="H1026" s="11" t="e">
        <f t="shared" si="2211"/>
        <v>#DIV/0!</v>
      </c>
      <c r="I1026" s="35">
        <v>0</v>
      </c>
      <c r="J1026" s="70">
        <v>0</v>
      </c>
      <c r="K1026" s="35" t="e">
        <f t="shared" si="2212"/>
        <v>#DIV/0!</v>
      </c>
      <c r="L1026" s="6" t="e">
        <f t="shared" si="2213"/>
        <v>#DIV/0!</v>
      </c>
      <c r="M1026" s="68">
        <v>61390</v>
      </c>
      <c r="N1026" s="26">
        <v>1584</v>
      </c>
      <c r="O1026" s="35">
        <f t="shared" si="2214"/>
        <v>38.756313131313128</v>
      </c>
      <c r="P1026" s="11">
        <f t="shared" si="2215"/>
        <v>0.58283330366475417</v>
      </c>
      <c r="Q1026" s="35">
        <v>30070</v>
      </c>
      <c r="R1026" s="66">
        <v>1584</v>
      </c>
      <c r="S1026" s="35">
        <f t="shared" si="2216"/>
        <v>18.983585858585858</v>
      </c>
      <c r="T1026" s="6">
        <f t="shared" si="2217"/>
        <v>0.28548293600259261</v>
      </c>
      <c r="U1026" s="68">
        <v>0</v>
      </c>
      <c r="V1026" s="66">
        <v>0</v>
      </c>
      <c r="W1026" s="20" t="e">
        <f t="shared" si="2218"/>
        <v>#DIV/0!</v>
      </c>
      <c r="X1026" s="6" t="e">
        <f t="shared" si="2219"/>
        <v>#DIV/0!</v>
      </c>
      <c r="Y1026" s="68">
        <v>0</v>
      </c>
      <c r="Z1026" s="70">
        <v>0</v>
      </c>
      <c r="AA1026" s="35" t="e">
        <f t="shared" si="2220"/>
        <v>#DIV/0!</v>
      </c>
      <c r="AB1026" s="11" t="e">
        <f t="shared" si="2221"/>
        <v>#DIV/0!</v>
      </c>
      <c r="AC1026" s="20">
        <v>14350</v>
      </c>
      <c r="AD1026" s="33">
        <v>572</v>
      </c>
      <c r="AE1026" s="35">
        <f t="shared" si="2222"/>
        <v>25.087412587412587</v>
      </c>
      <c r="AF1026" s="6">
        <f t="shared" si="2223"/>
        <v>0.37727478125128378</v>
      </c>
      <c r="AG1026" s="68">
        <v>0</v>
      </c>
      <c r="AH1026" s="66">
        <v>0</v>
      </c>
      <c r="AI1026" s="35" t="e">
        <f t="shared" si="2224"/>
        <v>#DIV/0!</v>
      </c>
      <c r="AJ1026" s="6" t="e">
        <f t="shared" si="2225"/>
        <v>#DIV/0!</v>
      </c>
      <c r="AK1026" s="68">
        <v>0</v>
      </c>
      <c r="AL1026" s="66">
        <v>0</v>
      </c>
      <c r="AM1026" s="35" t="e">
        <f t="shared" si="2226"/>
        <v>#DIV/0!</v>
      </c>
      <c r="AN1026" s="6" t="e">
        <f t="shared" si="2227"/>
        <v>#DIV/0!</v>
      </c>
      <c r="AO1026" s="68">
        <v>5660</v>
      </c>
      <c r="AP1026" s="65">
        <v>431</v>
      </c>
      <c r="AQ1026" s="35">
        <f t="shared" si="2228"/>
        <v>13.132250580046403</v>
      </c>
      <c r="AR1026" s="6">
        <f t="shared" si="2229"/>
        <v>0.1974881605530702</v>
      </c>
      <c r="AS1026" s="68">
        <v>0</v>
      </c>
      <c r="AT1026" s="66">
        <v>0</v>
      </c>
      <c r="AU1026" s="35" t="e">
        <f t="shared" si="2230"/>
        <v>#DIV/0!</v>
      </c>
      <c r="AV1026" s="6" t="e">
        <f t="shared" si="2231"/>
        <v>#DIV/0!</v>
      </c>
      <c r="AW1026" s="68">
        <v>0</v>
      </c>
      <c r="AX1026" s="66">
        <v>0</v>
      </c>
      <c r="AY1026" s="35" t="e">
        <f t="shared" si="2232"/>
        <v>#DIV/0!</v>
      </c>
      <c r="AZ1026" s="6" t="e">
        <f t="shared" si="2233"/>
        <v>#DIV/0!</v>
      </c>
      <c r="BA1026" s="68">
        <v>0</v>
      </c>
      <c r="BB1026" s="66">
        <v>0</v>
      </c>
      <c r="BC1026" s="35" t="e">
        <f t="shared" si="2234"/>
        <v>#DIV/0!</v>
      </c>
      <c r="BD1026" s="11" t="e">
        <f t="shared" si="2235"/>
        <v>#DIV/0!</v>
      </c>
    </row>
    <row r="1027" spans="1:56" ht="15.75" thickBot="1" x14ac:dyDescent="0.3">
      <c r="A1027" s="19" t="s">
        <v>3</v>
      </c>
      <c r="B1027" s="8">
        <v>133940</v>
      </c>
      <c r="C1027" s="35">
        <f>B1027/F1021</f>
        <v>80.492788461538467</v>
      </c>
      <c r="D1027" s="8">
        <v>2700</v>
      </c>
      <c r="E1027" s="68">
        <v>0</v>
      </c>
      <c r="F1027" s="70">
        <v>0</v>
      </c>
      <c r="G1027" s="35" t="e">
        <f t="shared" si="2210"/>
        <v>#DIV/0!</v>
      </c>
      <c r="H1027" s="11" t="e">
        <f t="shared" si="2211"/>
        <v>#DIV/0!</v>
      </c>
      <c r="I1027" s="35">
        <v>0</v>
      </c>
      <c r="J1027" s="70">
        <v>0</v>
      </c>
      <c r="K1027" s="35" t="e">
        <f t="shared" si="2212"/>
        <v>#DIV/0!</v>
      </c>
      <c r="L1027" s="6" t="e">
        <f t="shared" si="2213"/>
        <v>#DIV/0!</v>
      </c>
      <c r="M1027" s="68">
        <v>70750</v>
      </c>
      <c r="N1027" s="26">
        <v>1584</v>
      </c>
      <c r="O1027" s="35">
        <f t="shared" si="2214"/>
        <v>44.665404040404042</v>
      </c>
      <c r="P1027" s="11">
        <f t="shared" si="2215"/>
        <v>0.55489944992707418</v>
      </c>
      <c r="Q1027" s="35">
        <v>34890</v>
      </c>
      <c r="R1027" s="66">
        <v>1584</v>
      </c>
      <c r="S1027" s="35">
        <f t="shared" si="2216"/>
        <v>22.026515151515152</v>
      </c>
      <c r="T1027" s="6">
        <f t="shared" si="2217"/>
        <v>0.27364582060714654</v>
      </c>
      <c r="U1027" s="68">
        <v>0</v>
      </c>
      <c r="V1027" s="66">
        <v>0</v>
      </c>
      <c r="W1027" s="20" t="e">
        <f t="shared" si="2218"/>
        <v>#DIV/0!</v>
      </c>
      <c r="X1027" s="6" t="e">
        <f t="shared" si="2219"/>
        <v>#DIV/0!</v>
      </c>
      <c r="Y1027" s="68">
        <v>0</v>
      </c>
      <c r="Z1027" s="70">
        <v>0</v>
      </c>
      <c r="AA1027" s="35" t="e">
        <f t="shared" si="2220"/>
        <v>#DIV/0!</v>
      </c>
      <c r="AB1027" s="11" t="e">
        <f t="shared" si="2221"/>
        <v>#DIV/0!</v>
      </c>
      <c r="AC1027" s="20">
        <v>15270</v>
      </c>
      <c r="AD1027" s="33">
        <v>572</v>
      </c>
      <c r="AE1027" s="35">
        <f t="shared" si="2222"/>
        <v>26.695804195804197</v>
      </c>
      <c r="AF1027" s="6">
        <f t="shared" si="2223"/>
        <v>0.33165460789770179</v>
      </c>
      <c r="AG1027" s="68">
        <v>0</v>
      </c>
      <c r="AH1027" s="66">
        <v>0</v>
      </c>
      <c r="AI1027" s="35" t="e">
        <f t="shared" si="2224"/>
        <v>#DIV/0!</v>
      </c>
      <c r="AJ1027" s="6" t="e">
        <f t="shared" si="2225"/>
        <v>#DIV/0!</v>
      </c>
      <c r="AK1027" s="68">
        <v>0</v>
      </c>
      <c r="AL1027" s="66">
        <v>0</v>
      </c>
      <c r="AM1027" s="35" t="e">
        <f t="shared" si="2226"/>
        <v>#DIV/0!</v>
      </c>
      <c r="AN1027" s="6" t="e">
        <f t="shared" si="2227"/>
        <v>#DIV/0!</v>
      </c>
      <c r="AO1027" s="68">
        <v>5930</v>
      </c>
      <c r="AP1027" s="65">
        <v>431</v>
      </c>
      <c r="AQ1027" s="35">
        <f t="shared" si="2228"/>
        <v>13.758700696055685</v>
      </c>
      <c r="AR1027" s="6">
        <f t="shared" si="2229"/>
        <v>0.17093084932235822</v>
      </c>
      <c r="AS1027" s="68">
        <v>0</v>
      </c>
      <c r="AT1027" s="66">
        <v>0</v>
      </c>
      <c r="AU1027" s="35" t="e">
        <f t="shared" si="2230"/>
        <v>#DIV/0!</v>
      </c>
      <c r="AV1027" s="6" t="e">
        <f t="shared" si="2231"/>
        <v>#DIV/0!</v>
      </c>
      <c r="AW1027" s="68">
        <v>0</v>
      </c>
      <c r="AX1027" s="66">
        <v>0</v>
      </c>
      <c r="AY1027" s="35" t="e">
        <f t="shared" si="2232"/>
        <v>#DIV/0!</v>
      </c>
      <c r="AZ1027" s="6" t="e">
        <f t="shared" si="2233"/>
        <v>#DIV/0!</v>
      </c>
      <c r="BA1027" s="68">
        <v>0</v>
      </c>
      <c r="BB1027" s="66">
        <v>0</v>
      </c>
      <c r="BC1027" s="35" t="e">
        <f t="shared" si="2234"/>
        <v>#DIV/0!</v>
      </c>
      <c r="BD1027" s="11" t="e">
        <f t="shared" si="2235"/>
        <v>#DIV/0!</v>
      </c>
    </row>
    <row r="1028" spans="1:56" ht="15.75" thickBot="1" x14ac:dyDescent="0.3">
      <c r="A1028" s="19" t="s">
        <v>4</v>
      </c>
      <c r="B1028" s="8">
        <v>166020</v>
      </c>
      <c r="C1028" s="35">
        <f>B1028/F1021</f>
        <v>99.771634615384613</v>
      </c>
      <c r="D1028" s="8">
        <v>5250</v>
      </c>
      <c r="E1028" s="68">
        <v>0</v>
      </c>
      <c r="F1028" s="70">
        <v>0</v>
      </c>
      <c r="G1028" s="35" t="e">
        <f t="shared" si="2210"/>
        <v>#DIV/0!</v>
      </c>
      <c r="H1028" s="11" t="e">
        <f t="shared" si="2211"/>
        <v>#DIV/0!</v>
      </c>
      <c r="I1028" s="35">
        <v>0</v>
      </c>
      <c r="J1028" s="70">
        <v>0</v>
      </c>
      <c r="K1028" s="35" t="e">
        <f t="shared" si="2212"/>
        <v>#DIV/0!</v>
      </c>
      <c r="L1028" s="6" t="e">
        <f t="shared" si="2213"/>
        <v>#DIV/0!</v>
      </c>
      <c r="M1028" s="68">
        <v>99770</v>
      </c>
      <c r="N1028" s="26">
        <v>1584</v>
      </c>
      <c r="O1028" s="35">
        <f t="shared" si="2214"/>
        <v>62.986111111111114</v>
      </c>
      <c r="P1028" s="11">
        <f t="shared" si="2215"/>
        <v>0.63130278815136065</v>
      </c>
      <c r="Q1028" s="35">
        <v>46530</v>
      </c>
      <c r="R1028" s="66">
        <v>1584</v>
      </c>
      <c r="S1028" s="35">
        <f t="shared" si="2216"/>
        <v>29.375</v>
      </c>
      <c r="T1028" s="6">
        <f t="shared" si="2217"/>
        <v>0.2944223587519576</v>
      </c>
      <c r="U1028" s="68">
        <v>0</v>
      </c>
      <c r="V1028" s="66">
        <v>0</v>
      </c>
      <c r="W1028" s="20" t="e">
        <f t="shared" si="2218"/>
        <v>#DIV/0!</v>
      </c>
      <c r="X1028" s="6" t="e">
        <f t="shared" si="2219"/>
        <v>#DIV/0!</v>
      </c>
      <c r="Y1028" s="68">
        <v>0</v>
      </c>
      <c r="Z1028" s="70">
        <v>0</v>
      </c>
      <c r="AA1028" s="35" t="e">
        <f t="shared" si="2220"/>
        <v>#DIV/0!</v>
      </c>
      <c r="AB1028" s="11" t="e">
        <f t="shared" si="2221"/>
        <v>#DIV/0!</v>
      </c>
      <c r="AC1028" s="20">
        <v>17380</v>
      </c>
      <c r="AD1028" s="33">
        <v>572</v>
      </c>
      <c r="AE1028" s="35">
        <f t="shared" si="2222"/>
        <v>30.384615384615383</v>
      </c>
      <c r="AF1028" s="6">
        <f t="shared" si="2223"/>
        <v>0.30454162149138658</v>
      </c>
      <c r="AG1028" s="68">
        <v>0</v>
      </c>
      <c r="AH1028" s="66">
        <v>0</v>
      </c>
      <c r="AI1028" s="35" t="e">
        <f t="shared" si="2224"/>
        <v>#DIV/0!</v>
      </c>
      <c r="AJ1028" s="6" t="e">
        <f t="shared" si="2225"/>
        <v>#DIV/0!</v>
      </c>
      <c r="AK1028" s="68">
        <v>0</v>
      </c>
      <c r="AL1028" s="66">
        <v>0</v>
      </c>
      <c r="AM1028" s="35" t="e">
        <f t="shared" si="2226"/>
        <v>#DIV/0!</v>
      </c>
      <c r="AN1028" s="6" t="e">
        <f t="shared" si="2227"/>
        <v>#DIV/0!</v>
      </c>
      <c r="AO1028" s="68">
        <v>7710</v>
      </c>
      <c r="AP1028" s="65">
        <v>431</v>
      </c>
      <c r="AQ1028" s="35">
        <f t="shared" si="2228"/>
        <v>17.888631090487237</v>
      </c>
      <c r="AR1028" s="6">
        <f t="shared" si="2229"/>
        <v>0.17929576035761211</v>
      </c>
      <c r="AS1028" s="68">
        <v>0</v>
      </c>
      <c r="AT1028" s="66">
        <v>0</v>
      </c>
      <c r="AU1028" s="35" t="e">
        <f t="shared" si="2230"/>
        <v>#DIV/0!</v>
      </c>
      <c r="AV1028" s="6" t="e">
        <f t="shared" si="2231"/>
        <v>#DIV/0!</v>
      </c>
      <c r="AW1028" s="68">
        <v>0</v>
      </c>
      <c r="AX1028" s="66">
        <v>0</v>
      </c>
      <c r="AY1028" s="35" t="e">
        <f t="shared" si="2232"/>
        <v>#DIV/0!</v>
      </c>
      <c r="AZ1028" s="6" t="e">
        <f t="shared" si="2233"/>
        <v>#DIV/0!</v>
      </c>
      <c r="BA1028" s="68">
        <v>0</v>
      </c>
      <c r="BB1028" s="66">
        <v>0</v>
      </c>
      <c r="BC1028" s="35" t="e">
        <f t="shared" si="2234"/>
        <v>#DIV/0!</v>
      </c>
      <c r="BD1028" s="11" t="e">
        <f t="shared" si="2235"/>
        <v>#DIV/0!</v>
      </c>
    </row>
    <row r="1029" spans="1:56" ht="15.75" thickBot="1" x14ac:dyDescent="0.3">
      <c r="A1029" s="19" t="s">
        <v>5</v>
      </c>
      <c r="B1029" s="8">
        <v>219940</v>
      </c>
      <c r="C1029" s="35">
        <f>B1029/F1021</f>
        <v>132.17548076923077</v>
      </c>
      <c r="D1029" s="8">
        <v>7050</v>
      </c>
      <c r="E1029" s="68">
        <v>0</v>
      </c>
      <c r="F1029" s="70">
        <v>0</v>
      </c>
      <c r="G1029" s="35" t="e">
        <f t="shared" si="2210"/>
        <v>#DIV/0!</v>
      </c>
      <c r="H1029" s="11" t="e">
        <f t="shared" si="2211"/>
        <v>#DIV/0!</v>
      </c>
      <c r="I1029" s="35">
        <v>0</v>
      </c>
      <c r="J1029" s="70">
        <v>0</v>
      </c>
      <c r="K1029" s="35" t="e">
        <f t="shared" si="2212"/>
        <v>#DIV/0!</v>
      </c>
      <c r="L1029" s="6" t="e">
        <f t="shared" si="2213"/>
        <v>#DIV/0!</v>
      </c>
      <c r="M1029" s="68">
        <v>112640</v>
      </c>
      <c r="N1029" s="26">
        <v>1584</v>
      </c>
      <c r="O1029" s="35">
        <f t="shared" si="2214"/>
        <v>71.111111111111114</v>
      </c>
      <c r="P1029" s="11">
        <f t="shared" si="2215"/>
        <v>0.5380053145807443</v>
      </c>
      <c r="Q1029" s="35">
        <v>54100</v>
      </c>
      <c r="R1029" s="66">
        <v>1584</v>
      </c>
      <c r="S1029" s="35">
        <f t="shared" si="2216"/>
        <v>34.154040404040401</v>
      </c>
      <c r="T1029" s="6">
        <f t="shared" si="2217"/>
        <v>0.25839921447814507</v>
      </c>
      <c r="U1029" s="68">
        <v>0</v>
      </c>
      <c r="V1029" s="66">
        <v>0</v>
      </c>
      <c r="W1029" s="20" t="e">
        <f t="shared" si="2218"/>
        <v>#DIV/0!</v>
      </c>
      <c r="X1029" s="6" t="e">
        <f t="shared" si="2219"/>
        <v>#DIV/0!</v>
      </c>
      <c r="Y1029" s="68">
        <v>0</v>
      </c>
      <c r="Z1029" s="70">
        <v>0</v>
      </c>
      <c r="AA1029" s="35" t="e">
        <f t="shared" si="2220"/>
        <v>#DIV/0!</v>
      </c>
      <c r="AB1029" s="11" t="e">
        <f t="shared" si="2221"/>
        <v>#DIV/0!</v>
      </c>
      <c r="AC1029" s="20">
        <v>19440</v>
      </c>
      <c r="AD1029" s="33">
        <v>572</v>
      </c>
      <c r="AE1029" s="35">
        <f t="shared" si="2222"/>
        <v>33.986013986013987</v>
      </c>
      <c r="AF1029" s="6">
        <f t="shared" si="2223"/>
        <v>0.25712797705159257</v>
      </c>
      <c r="AG1029" s="68">
        <v>0</v>
      </c>
      <c r="AH1029" s="66">
        <v>0</v>
      </c>
      <c r="AI1029" s="35" t="e">
        <f t="shared" si="2224"/>
        <v>#DIV/0!</v>
      </c>
      <c r="AJ1029" s="6" t="e">
        <f t="shared" si="2225"/>
        <v>#DIV/0!</v>
      </c>
      <c r="AK1029" s="68">
        <v>0</v>
      </c>
      <c r="AL1029" s="66">
        <v>0</v>
      </c>
      <c r="AM1029" s="35" t="e">
        <f t="shared" si="2226"/>
        <v>#DIV/0!</v>
      </c>
      <c r="AN1029" s="6" t="e">
        <f t="shared" si="2227"/>
        <v>#DIV/0!</v>
      </c>
      <c r="AO1029" s="68">
        <v>9160</v>
      </c>
      <c r="AP1029" s="65">
        <v>431</v>
      </c>
      <c r="AQ1029" s="35">
        <f t="shared" si="2228"/>
        <v>21.252900232018561</v>
      </c>
      <c r="AR1029" s="6">
        <f t="shared" si="2229"/>
        <v>0.16079306168081697</v>
      </c>
      <c r="AS1029" s="68">
        <v>0</v>
      </c>
      <c r="AT1029" s="66">
        <v>0</v>
      </c>
      <c r="AU1029" s="35" t="e">
        <f t="shared" si="2230"/>
        <v>#DIV/0!</v>
      </c>
      <c r="AV1029" s="6" t="e">
        <f t="shared" si="2231"/>
        <v>#DIV/0!</v>
      </c>
      <c r="AW1029" s="68">
        <v>0</v>
      </c>
      <c r="AX1029" s="66">
        <v>0</v>
      </c>
      <c r="AY1029" s="35" t="e">
        <f t="shared" si="2232"/>
        <v>#DIV/0!</v>
      </c>
      <c r="AZ1029" s="6" t="e">
        <f t="shared" si="2233"/>
        <v>#DIV/0!</v>
      </c>
      <c r="BA1029" s="68">
        <v>0</v>
      </c>
      <c r="BB1029" s="66">
        <v>0</v>
      </c>
      <c r="BC1029" s="35" t="e">
        <f t="shared" si="2234"/>
        <v>#DIV/0!</v>
      </c>
      <c r="BD1029" s="11" t="e">
        <f t="shared" si="2235"/>
        <v>#DIV/0!</v>
      </c>
    </row>
    <row r="1030" spans="1:56" x14ac:dyDescent="0.25">
      <c r="A1030" s="19" t="s">
        <v>6</v>
      </c>
      <c r="B1030" s="8">
        <v>268030</v>
      </c>
      <c r="C1030" s="35">
        <f>B1030/F1021</f>
        <v>161.07572115384616</v>
      </c>
      <c r="D1030" s="8">
        <v>10950</v>
      </c>
      <c r="E1030" s="68">
        <v>0</v>
      </c>
      <c r="F1030" s="70">
        <v>0</v>
      </c>
      <c r="G1030" s="35" t="e">
        <f t="shared" si="2210"/>
        <v>#DIV/0!</v>
      </c>
      <c r="H1030" s="11" t="e">
        <f t="shared" si="2211"/>
        <v>#DIV/0!</v>
      </c>
      <c r="I1030" s="35">
        <v>0</v>
      </c>
      <c r="J1030" s="70">
        <v>0</v>
      </c>
      <c r="K1030" s="35" t="e">
        <f t="shared" si="2212"/>
        <v>#DIV/0!</v>
      </c>
      <c r="L1030" s="6" t="e">
        <f t="shared" si="2213"/>
        <v>#DIV/0!</v>
      </c>
      <c r="M1030" s="68">
        <v>146530</v>
      </c>
      <c r="N1030" s="26">
        <v>1584</v>
      </c>
      <c r="O1030" s="35">
        <f t="shared" si="2214"/>
        <v>92.506313131313135</v>
      </c>
      <c r="P1030" s="11">
        <f t="shared" si="2215"/>
        <v>0.57430326847929358</v>
      </c>
      <c r="Q1030" s="35">
        <v>74980</v>
      </c>
      <c r="R1030" s="66">
        <v>1584</v>
      </c>
      <c r="S1030" s="35">
        <f t="shared" si="2216"/>
        <v>47.335858585858588</v>
      </c>
      <c r="T1030" s="6">
        <f t="shared" si="2217"/>
        <v>0.2938733301752367</v>
      </c>
      <c r="U1030" s="68">
        <v>0</v>
      </c>
      <c r="V1030" s="66">
        <v>0</v>
      </c>
      <c r="W1030" s="20" t="e">
        <f t="shared" si="2218"/>
        <v>#DIV/0!</v>
      </c>
      <c r="X1030" s="6" t="e">
        <f t="shared" si="2219"/>
        <v>#DIV/0!</v>
      </c>
      <c r="Y1030" s="68">
        <v>0</v>
      </c>
      <c r="Z1030" s="70">
        <v>0</v>
      </c>
      <c r="AA1030" s="35" t="e">
        <f t="shared" si="2220"/>
        <v>#DIV/0!</v>
      </c>
      <c r="AB1030" s="11" t="e">
        <f t="shared" si="2221"/>
        <v>#DIV/0!</v>
      </c>
      <c r="AC1030" s="20">
        <v>27870</v>
      </c>
      <c r="AD1030" s="33">
        <v>572</v>
      </c>
      <c r="AE1030" s="35">
        <f t="shared" si="2222"/>
        <v>48.723776223776227</v>
      </c>
      <c r="AF1030" s="6">
        <f t="shared" si="2223"/>
        <v>0.30248988410388256</v>
      </c>
      <c r="AG1030" s="68">
        <v>0</v>
      </c>
      <c r="AH1030" s="66">
        <v>0</v>
      </c>
      <c r="AI1030" s="35" t="e">
        <f t="shared" si="2224"/>
        <v>#DIV/0!</v>
      </c>
      <c r="AJ1030" s="6" t="e">
        <f t="shared" si="2225"/>
        <v>#DIV/0!</v>
      </c>
      <c r="AK1030" s="68">
        <v>0</v>
      </c>
      <c r="AL1030" s="66">
        <v>0</v>
      </c>
      <c r="AM1030" s="35" t="e">
        <f t="shared" si="2226"/>
        <v>#DIV/0!</v>
      </c>
      <c r="AN1030" s="6" t="e">
        <f t="shared" si="2227"/>
        <v>#DIV/0!</v>
      </c>
      <c r="AO1030" s="68">
        <v>9860</v>
      </c>
      <c r="AP1030" s="65">
        <v>431</v>
      </c>
      <c r="AQ1030" s="35">
        <f t="shared" si="2228"/>
        <v>22.877030162412993</v>
      </c>
      <c r="AR1030" s="6">
        <f t="shared" si="2229"/>
        <v>0.14202655743855247</v>
      </c>
      <c r="AS1030" s="68">
        <v>0</v>
      </c>
      <c r="AT1030" s="66">
        <v>0</v>
      </c>
      <c r="AU1030" s="35" t="e">
        <f t="shared" si="2230"/>
        <v>#DIV/0!</v>
      </c>
      <c r="AV1030" s="6" t="e">
        <f t="shared" si="2231"/>
        <v>#DIV/0!</v>
      </c>
      <c r="AW1030" s="68">
        <v>0</v>
      </c>
      <c r="AX1030" s="66">
        <v>0</v>
      </c>
      <c r="AY1030" s="35" t="e">
        <f t="shared" si="2232"/>
        <v>#DIV/0!</v>
      </c>
      <c r="AZ1030" s="6" t="e">
        <f t="shared" si="2233"/>
        <v>#DIV/0!</v>
      </c>
      <c r="BA1030" s="68">
        <v>0</v>
      </c>
      <c r="BB1030" s="66">
        <v>0</v>
      </c>
      <c r="BC1030" s="35" t="e">
        <f t="shared" si="2234"/>
        <v>#DIV/0!</v>
      </c>
      <c r="BD1030" s="11" t="e">
        <f t="shared" si="2235"/>
        <v>#DIV/0!</v>
      </c>
    </row>
    <row r="1031" spans="1:56" ht="15.75" thickBot="1" x14ac:dyDescent="0.3">
      <c r="A1031" s="21"/>
      <c r="B1031" s="22"/>
      <c r="C1031" s="23">
        <f>AVERAGE(Table1107983[MA $/Sq Ft])</f>
        <v>92.199519230769241</v>
      </c>
      <c r="D1031" s="22">
        <f>AVERAGE(Table1107983[Basic Allowance])</f>
        <v>4442.8571428571431</v>
      </c>
      <c r="E1031" s="16"/>
      <c r="F1031" s="22"/>
      <c r="G1031" s="15"/>
      <c r="H1031" s="24" t="e">
        <f>AVERAGE(Table1107983[Bsmt % Base])</f>
        <v>#DIV/0!</v>
      </c>
      <c r="I1031" s="15"/>
      <c r="J1031" s="15"/>
      <c r="K1031" s="15"/>
      <c r="L1031" s="25" t="e">
        <f>AVERAGE(Table1107983[[#Headers],[#Data],[UnfBsmt % Base]])</f>
        <v>#DIV/0!</v>
      </c>
      <c r="M1031" s="44"/>
      <c r="N1031" s="15"/>
      <c r="O1031" s="23">
        <f>AVERAGE(Table1107983[LowerVal/SqFt])</f>
        <v>52.894119769119776</v>
      </c>
      <c r="P1031" s="24">
        <f>AVERAGE(Table1107983[Lower % Base])</f>
        <v>0.57454985037399176</v>
      </c>
      <c r="Q1031" s="13"/>
      <c r="R1031" s="13"/>
      <c r="S1031" s="13"/>
      <c r="T1031" s="25">
        <f>AVERAGE(Table1107983[Unf Lower % Base])</f>
        <v>0.28229426033252908</v>
      </c>
      <c r="U1031" s="12"/>
      <c r="V1031" s="13"/>
      <c r="W1031" s="13"/>
      <c r="X1031" s="25" t="e">
        <f>AVERAGE(Table1107983[1/2 Story % Base])</f>
        <v>#DIV/0!</v>
      </c>
      <c r="Y1031" s="12"/>
      <c r="Z1031" s="13"/>
      <c r="AA1031" s="13"/>
      <c r="AB1031" s="24" t="e">
        <f>AVERAGE(Table1107983[2nd Story % Base])</f>
        <v>#DIV/0!</v>
      </c>
      <c r="AC1031" s="13"/>
      <c r="AD1031" s="13"/>
      <c r="AE1031" s="23">
        <f>AVERAGE(Table1107983[AttGarVal/SqFt])</f>
        <v>28.501498501498499</v>
      </c>
      <c r="AF1031" s="25">
        <f>AVERAGE(Table1107983[Att Gar % Base])</f>
        <v>0.31808682965778978</v>
      </c>
      <c r="AG1031" s="12"/>
      <c r="AH1031" s="13"/>
      <c r="AI1031" s="13"/>
      <c r="AJ1031" s="25" t="e">
        <f>AVERAGE(Table1107983[Porch % Base])</f>
        <v>#DIV/0!</v>
      </c>
      <c r="AK1031" s="12"/>
      <c r="AL1031" s="13"/>
      <c r="AM1031" s="13"/>
      <c r="AN1031" s="25" t="e">
        <f>AVERAGE(Table1107983[Cov Porch % Base])</f>
        <v>#DIV/0!</v>
      </c>
      <c r="AO1031" s="12"/>
      <c r="AP1031" s="13"/>
      <c r="AQ1031" s="13"/>
      <c r="AR1031" s="25">
        <f>AVERAGE(Table1107983[Deck % Base])</f>
        <v>0.17929054706054565</v>
      </c>
      <c r="AS1031" s="12"/>
      <c r="AT1031" s="13"/>
      <c r="AU1031" s="23" t="e">
        <f>AVERAGE(Table1107983[CovDeckVal/SqFt])</f>
        <v>#DIV/0!</v>
      </c>
      <c r="AV1031" s="25" t="e">
        <f>AVERAGE(Table1107983[CovDeck % Base])</f>
        <v>#DIV/0!</v>
      </c>
      <c r="AW1031" s="12"/>
      <c r="AX1031" s="13"/>
      <c r="AY1031" s="13"/>
      <c r="AZ1031" s="25" t="e">
        <f>AVERAGE(Table1107983[CarP % Base])</f>
        <v>#DIV/0!</v>
      </c>
      <c r="BA1031" s="12"/>
      <c r="BB1031" s="13"/>
      <c r="BC1031" s="13"/>
      <c r="BD1031" s="24" t="e">
        <f>AVERAGE(Table1107983[EFP % Base])</f>
        <v>#DIV/0!</v>
      </c>
    </row>
    <row r="1033" spans="1:56" ht="15.75" thickBot="1" x14ac:dyDescent="0.3">
      <c r="A1033" s="82"/>
      <c r="B1033" t="s">
        <v>79</v>
      </c>
      <c r="C1033" s="78" t="s">
        <v>188</v>
      </c>
      <c r="E1033" t="s">
        <v>33</v>
      </c>
      <c r="F1033" s="79">
        <v>960</v>
      </c>
      <c r="H1033" t="s">
        <v>80</v>
      </c>
      <c r="I1033" t="s">
        <v>95</v>
      </c>
    </row>
    <row r="1034" spans="1:56" x14ac:dyDescent="0.25">
      <c r="A1034" s="112"/>
      <c r="B1034" s="113"/>
      <c r="C1034" s="113"/>
      <c r="D1034" s="114"/>
      <c r="E1034" s="115" t="s">
        <v>27</v>
      </c>
      <c r="F1034" s="116"/>
      <c r="G1034" s="116"/>
      <c r="H1034" s="117"/>
      <c r="I1034" s="118" t="s">
        <v>28</v>
      </c>
      <c r="J1034" s="119"/>
      <c r="K1034" s="119"/>
      <c r="L1034" s="120"/>
      <c r="M1034" s="121" t="s">
        <v>7</v>
      </c>
      <c r="N1034" s="122"/>
      <c r="O1034" s="122"/>
      <c r="P1034" s="123"/>
      <c r="Q1034" s="124" t="s">
        <v>29</v>
      </c>
      <c r="R1034" s="125"/>
      <c r="S1034" s="125"/>
      <c r="T1034" s="126"/>
      <c r="U1034" s="127" t="s">
        <v>8</v>
      </c>
      <c r="V1034" s="128"/>
      <c r="W1034" s="128"/>
      <c r="X1034" s="129"/>
      <c r="Y1034" s="130" t="s">
        <v>0</v>
      </c>
      <c r="Z1034" s="131"/>
      <c r="AA1034" s="131"/>
      <c r="AB1034" s="132"/>
      <c r="AC1034" s="133" t="s">
        <v>34</v>
      </c>
      <c r="AD1034" s="134"/>
      <c r="AE1034" s="134"/>
      <c r="AF1034" s="135"/>
      <c r="AG1034" s="115" t="s">
        <v>9</v>
      </c>
      <c r="AH1034" s="116"/>
      <c r="AI1034" s="116"/>
      <c r="AJ1034" s="117"/>
      <c r="AK1034" s="136" t="s">
        <v>35</v>
      </c>
      <c r="AL1034" s="137"/>
      <c r="AM1034" s="137"/>
      <c r="AN1034" s="138"/>
      <c r="AO1034" s="139" t="s">
        <v>10</v>
      </c>
      <c r="AP1034" s="140"/>
      <c r="AQ1034" s="140"/>
      <c r="AR1034" s="141"/>
      <c r="AS1034" s="124" t="s">
        <v>36</v>
      </c>
      <c r="AT1034" s="125"/>
      <c r="AU1034" s="125"/>
      <c r="AV1034" s="126"/>
      <c r="AW1034" s="142" t="s">
        <v>11</v>
      </c>
      <c r="AX1034" s="143"/>
      <c r="AY1034" s="143"/>
      <c r="AZ1034" s="144"/>
      <c r="BA1034" s="145" t="s">
        <v>189</v>
      </c>
      <c r="BB1034" s="149"/>
      <c r="BC1034" s="149"/>
      <c r="BD1034" s="150"/>
    </row>
    <row r="1035" spans="1:56" s="1" customFormat="1" ht="15.75" thickBot="1" x14ac:dyDescent="0.3">
      <c r="A1035" s="41" t="s">
        <v>13</v>
      </c>
      <c r="B1035" s="42" t="s">
        <v>15</v>
      </c>
      <c r="C1035" s="42" t="s">
        <v>32</v>
      </c>
      <c r="D1035" s="43" t="s">
        <v>18</v>
      </c>
      <c r="E1035" s="30" t="s">
        <v>30</v>
      </c>
      <c r="F1035" s="31" t="s">
        <v>61</v>
      </c>
      <c r="G1035" s="31" t="s">
        <v>38</v>
      </c>
      <c r="H1035" s="32" t="s">
        <v>62</v>
      </c>
      <c r="I1035" s="37" t="s">
        <v>31</v>
      </c>
      <c r="J1035" s="38" t="s">
        <v>39</v>
      </c>
      <c r="K1035" s="38" t="s">
        <v>40</v>
      </c>
      <c r="L1035" s="39" t="s">
        <v>63</v>
      </c>
      <c r="M1035" s="40" t="s">
        <v>19</v>
      </c>
      <c r="N1035" s="7" t="s">
        <v>41</v>
      </c>
      <c r="O1035" s="7" t="s">
        <v>37</v>
      </c>
      <c r="P1035" s="7" t="s">
        <v>64</v>
      </c>
      <c r="Q1035" s="27" t="s">
        <v>20</v>
      </c>
      <c r="R1035" s="28" t="s">
        <v>60</v>
      </c>
      <c r="S1035" s="28" t="s">
        <v>59</v>
      </c>
      <c r="T1035" s="29" t="s">
        <v>65</v>
      </c>
      <c r="U1035" s="48" t="s">
        <v>21</v>
      </c>
      <c r="V1035" s="48" t="s">
        <v>42</v>
      </c>
      <c r="W1035" s="48" t="s">
        <v>43</v>
      </c>
      <c r="X1035" s="49" t="s">
        <v>66</v>
      </c>
      <c r="Y1035" s="50" t="s">
        <v>22</v>
      </c>
      <c r="Z1035" s="51" t="s">
        <v>44</v>
      </c>
      <c r="AA1035" s="51" t="s">
        <v>45</v>
      </c>
      <c r="AB1035" s="52" t="s">
        <v>67</v>
      </c>
      <c r="AC1035" s="45" t="s">
        <v>23</v>
      </c>
      <c r="AD1035" s="46" t="s">
        <v>46</v>
      </c>
      <c r="AE1035" s="46" t="s">
        <v>47</v>
      </c>
      <c r="AF1035" s="47" t="s">
        <v>68</v>
      </c>
      <c r="AG1035" s="30" t="s">
        <v>24</v>
      </c>
      <c r="AH1035" s="31" t="s">
        <v>48</v>
      </c>
      <c r="AI1035" s="31" t="s">
        <v>49</v>
      </c>
      <c r="AJ1035" s="32" t="s">
        <v>69</v>
      </c>
      <c r="AK1035" s="53" t="s">
        <v>25</v>
      </c>
      <c r="AL1035" s="54" t="s">
        <v>50</v>
      </c>
      <c r="AM1035" s="54" t="s">
        <v>51</v>
      </c>
      <c r="AN1035" s="55" t="s">
        <v>70</v>
      </c>
      <c r="AO1035" s="56" t="s">
        <v>26</v>
      </c>
      <c r="AP1035" s="57" t="s">
        <v>52</v>
      </c>
      <c r="AQ1035" s="57" t="s">
        <v>53</v>
      </c>
      <c r="AR1035" s="58" t="s">
        <v>71</v>
      </c>
      <c r="AS1035" s="59" t="s">
        <v>55</v>
      </c>
      <c r="AT1035" s="60" t="s">
        <v>54</v>
      </c>
      <c r="AU1035" s="60" t="s">
        <v>56</v>
      </c>
      <c r="AV1035" s="61" t="s">
        <v>76</v>
      </c>
      <c r="AW1035" s="62" t="s">
        <v>72</v>
      </c>
      <c r="AX1035" s="63" t="s">
        <v>73</v>
      </c>
      <c r="AY1035" s="63" t="s">
        <v>74</v>
      </c>
      <c r="AZ1035" s="64" t="s">
        <v>75</v>
      </c>
      <c r="BA1035" s="71" t="s">
        <v>77</v>
      </c>
      <c r="BB1035" s="72" t="s">
        <v>57</v>
      </c>
      <c r="BC1035" s="72" t="s">
        <v>58</v>
      </c>
      <c r="BD1035" s="73" t="s">
        <v>78</v>
      </c>
    </row>
    <row r="1036" spans="1:56" ht="15.75" thickBot="1" x14ac:dyDescent="0.3">
      <c r="A1036" s="17" t="s">
        <v>1</v>
      </c>
      <c r="B1036" s="14">
        <v>50630</v>
      </c>
      <c r="C1036" s="34">
        <f>B1036/F1033</f>
        <v>52.739583333333336</v>
      </c>
      <c r="D1036" s="14">
        <v>1525</v>
      </c>
      <c r="E1036" s="67">
        <v>23710</v>
      </c>
      <c r="F1036" s="69">
        <v>960</v>
      </c>
      <c r="G1036" s="34">
        <f t="shared" ref="G1036:G1042" si="2236">E1036/F1036</f>
        <v>24.697916666666668</v>
      </c>
      <c r="H1036" s="10">
        <f t="shared" ref="H1036:H1042" si="2237">G1036/C1036</f>
        <v>0.46829942721706497</v>
      </c>
      <c r="I1036" s="34">
        <v>11180</v>
      </c>
      <c r="J1036" s="69">
        <v>960</v>
      </c>
      <c r="K1036" s="34">
        <f t="shared" ref="K1036:K1042" si="2238">I1036/J1036</f>
        <v>11.645833333333334</v>
      </c>
      <c r="L1036" s="9">
        <f t="shared" ref="L1036:L1042" si="2239">K1036/C1036</f>
        <v>0.2208176970175785</v>
      </c>
      <c r="M1036" s="67">
        <v>0</v>
      </c>
      <c r="N1036" s="26">
        <v>0</v>
      </c>
      <c r="O1036" s="34" t="e">
        <f t="shared" ref="O1036:O1042" si="2240">M1036/N1036</f>
        <v>#DIV/0!</v>
      </c>
      <c r="P1036" s="10" t="e">
        <f t="shared" ref="P1036:P1042" si="2241">O1036/C1036</f>
        <v>#DIV/0!</v>
      </c>
      <c r="Q1036" s="35">
        <v>0</v>
      </c>
      <c r="R1036" s="66">
        <v>0</v>
      </c>
      <c r="S1036" s="35" t="e">
        <f t="shared" ref="S1036:S1042" si="2242">Q1036/R1036</f>
        <v>#DIV/0!</v>
      </c>
      <c r="T1036" s="6" t="e">
        <f t="shared" ref="T1036:T1042" si="2243">S1036/C1036</f>
        <v>#DIV/0!</v>
      </c>
      <c r="U1036" s="67">
        <v>0</v>
      </c>
      <c r="V1036" s="65">
        <v>0</v>
      </c>
      <c r="W1036" s="18" t="e">
        <f t="shared" ref="W1036:W1042" si="2244">U1036/V1036</f>
        <v>#DIV/0!</v>
      </c>
      <c r="X1036" s="9" t="e">
        <f t="shared" ref="X1036:X1042" si="2245">W1036/C1036</f>
        <v>#DIV/0!</v>
      </c>
      <c r="Y1036" s="67">
        <v>0</v>
      </c>
      <c r="Z1036" s="69">
        <v>0</v>
      </c>
      <c r="AA1036" s="34" t="e">
        <f t="shared" ref="AA1036:AA1042" si="2246">Y1036/Z1036</f>
        <v>#DIV/0!</v>
      </c>
      <c r="AB1036" s="10" t="e">
        <f t="shared" ref="AB1036:AB1042" si="2247">AA1036/C1036</f>
        <v>#DIV/0!</v>
      </c>
      <c r="AC1036" s="18">
        <v>8460</v>
      </c>
      <c r="AD1036" s="33">
        <v>576</v>
      </c>
      <c r="AE1036" s="34">
        <f t="shared" ref="AE1036:AE1042" si="2248">AC1036/AD1036</f>
        <v>14.6875</v>
      </c>
      <c r="AF1036" s="9">
        <f t="shared" ref="AF1036:AF1042" si="2249">AE1036/C1036</f>
        <v>0.27849101323326092</v>
      </c>
      <c r="AG1036" s="67">
        <v>0</v>
      </c>
      <c r="AH1036" s="65">
        <v>0</v>
      </c>
      <c r="AI1036" s="34" t="e">
        <f t="shared" ref="AI1036:AI1042" si="2250">AG1036/AH1036</f>
        <v>#DIV/0!</v>
      </c>
      <c r="AJ1036" s="9" t="e">
        <f t="shared" ref="AJ1036:AJ1042" si="2251">AI1036/C1036</f>
        <v>#DIV/0!</v>
      </c>
      <c r="AK1036" s="67">
        <v>0</v>
      </c>
      <c r="AL1036" s="65">
        <v>0</v>
      </c>
      <c r="AM1036" s="34" t="e">
        <f t="shared" ref="AM1036:AM1042" si="2252">AK1036/AL1036</f>
        <v>#DIV/0!</v>
      </c>
      <c r="AN1036" s="9" t="e">
        <f t="shared" ref="AN1036:AN1042" si="2253">AM1036/C1036</f>
        <v>#DIV/0!</v>
      </c>
      <c r="AO1036" s="67">
        <v>0</v>
      </c>
      <c r="AP1036" s="65">
        <v>0</v>
      </c>
      <c r="AQ1036" s="34" t="e">
        <f t="shared" ref="AQ1036:AQ1042" si="2254">AO1036/AP1036</f>
        <v>#DIV/0!</v>
      </c>
      <c r="AR1036" s="9" t="e">
        <f t="shared" ref="AR1036:AR1042" si="2255">AQ1036/C1036</f>
        <v>#DIV/0!</v>
      </c>
      <c r="AS1036" s="67">
        <v>0</v>
      </c>
      <c r="AT1036" s="65">
        <v>0</v>
      </c>
      <c r="AU1036" s="34" t="e">
        <f t="shared" ref="AU1036:AU1042" si="2256">AS1036/AT1036</f>
        <v>#DIV/0!</v>
      </c>
      <c r="AV1036" s="9" t="e">
        <f t="shared" ref="AV1036:AV1042" si="2257">AU1036/C1036</f>
        <v>#DIV/0!</v>
      </c>
      <c r="AW1036" s="67">
        <v>0</v>
      </c>
      <c r="AX1036" s="65">
        <v>0</v>
      </c>
      <c r="AY1036" s="34" t="e">
        <f t="shared" ref="AY1036:AY1042" si="2258">AW1036/AX1036</f>
        <v>#DIV/0!</v>
      </c>
      <c r="AZ1036" s="9" t="e">
        <f t="shared" ref="AZ1036:AZ1042" si="2259">AY1036/C1036</f>
        <v>#DIV/0!</v>
      </c>
      <c r="BA1036" s="67">
        <v>8750</v>
      </c>
      <c r="BB1036" s="65">
        <v>0</v>
      </c>
      <c r="BC1036" s="34" t="e">
        <f t="shared" ref="BC1036:BC1042" si="2260">BA1036/BB1036</f>
        <v>#DIV/0!</v>
      </c>
      <c r="BD1036" s="10" t="e">
        <f t="shared" ref="BD1036:BD1042" si="2261">BC1036/C1036</f>
        <v>#DIV/0!</v>
      </c>
    </row>
    <row r="1037" spans="1:56" ht="15.75" thickBot="1" x14ac:dyDescent="0.3">
      <c r="A1037" s="19" t="s">
        <v>16</v>
      </c>
      <c r="B1037" s="8">
        <v>59560</v>
      </c>
      <c r="C1037" s="35">
        <f>B1037/F1033</f>
        <v>62.041666666666664</v>
      </c>
      <c r="D1037" s="8">
        <v>1525</v>
      </c>
      <c r="E1037" s="68">
        <v>31720</v>
      </c>
      <c r="F1037" s="69">
        <v>960</v>
      </c>
      <c r="G1037" s="35">
        <f t="shared" si="2236"/>
        <v>33.041666666666664</v>
      </c>
      <c r="H1037" s="11">
        <f t="shared" si="2237"/>
        <v>0.53257219610476825</v>
      </c>
      <c r="I1037" s="35">
        <v>14970</v>
      </c>
      <c r="J1037" s="69">
        <v>960</v>
      </c>
      <c r="K1037" s="35">
        <f t="shared" si="2238"/>
        <v>15.59375</v>
      </c>
      <c r="L1037" s="6">
        <f t="shared" si="2239"/>
        <v>0.25134318334452654</v>
      </c>
      <c r="M1037" s="68">
        <v>0</v>
      </c>
      <c r="N1037" s="5">
        <v>0</v>
      </c>
      <c r="O1037" s="35" t="e">
        <f t="shared" si="2240"/>
        <v>#DIV/0!</v>
      </c>
      <c r="P1037" s="11" t="e">
        <f t="shared" si="2241"/>
        <v>#DIV/0!</v>
      </c>
      <c r="Q1037" s="35">
        <v>0</v>
      </c>
      <c r="R1037" s="66">
        <v>0</v>
      </c>
      <c r="S1037" s="35" t="e">
        <f t="shared" si="2242"/>
        <v>#DIV/0!</v>
      </c>
      <c r="T1037" s="6" t="e">
        <f t="shared" si="2243"/>
        <v>#DIV/0!</v>
      </c>
      <c r="U1037" s="68">
        <v>0</v>
      </c>
      <c r="V1037" s="66">
        <v>0</v>
      </c>
      <c r="W1037" s="20" t="e">
        <f t="shared" si="2244"/>
        <v>#DIV/0!</v>
      </c>
      <c r="X1037" s="6" t="e">
        <f t="shared" si="2245"/>
        <v>#DIV/0!</v>
      </c>
      <c r="Y1037" s="68">
        <v>0</v>
      </c>
      <c r="Z1037" s="70">
        <v>0</v>
      </c>
      <c r="AA1037" s="35" t="e">
        <f t="shared" si="2246"/>
        <v>#DIV/0!</v>
      </c>
      <c r="AB1037" s="11" t="e">
        <f t="shared" si="2247"/>
        <v>#DIV/0!</v>
      </c>
      <c r="AC1037" s="20">
        <v>11460</v>
      </c>
      <c r="AD1037" s="33">
        <v>576</v>
      </c>
      <c r="AE1037" s="35">
        <f t="shared" si="2248"/>
        <v>19.895833333333332</v>
      </c>
      <c r="AF1037" s="6">
        <f t="shared" si="2249"/>
        <v>0.32068502350570854</v>
      </c>
      <c r="AG1037" s="68">
        <v>0</v>
      </c>
      <c r="AH1037" s="66">
        <v>0</v>
      </c>
      <c r="AI1037" s="35" t="e">
        <f t="shared" si="2250"/>
        <v>#DIV/0!</v>
      </c>
      <c r="AJ1037" s="6" t="e">
        <f t="shared" si="2251"/>
        <v>#DIV/0!</v>
      </c>
      <c r="AK1037" s="68">
        <v>0</v>
      </c>
      <c r="AL1037" s="66">
        <v>0</v>
      </c>
      <c r="AM1037" s="35" t="e">
        <f t="shared" si="2252"/>
        <v>#DIV/0!</v>
      </c>
      <c r="AN1037" s="6" t="e">
        <f t="shared" si="2253"/>
        <v>#DIV/0!</v>
      </c>
      <c r="AO1037" s="68">
        <v>0</v>
      </c>
      <c r="AP1037" s="66">
        <v>0</v>
      </c>
      <c r="AQ1037" s="35" t="e">
        <f t="shared" si="2254"/>
        <v>#DIV/0!</v>
      </c>
      <c r="AR1037" s="6" t="e">
        <f t="shared" si="2255"/>
        <v>#DIV/0!</v>
      </c>
      <c r="AS1037" s="68">
        <v>0</v>
      </c>
      <c r="AT1037" s="66">
        <v>0</v>
      </c>
      <c r="AU1037" s="35" t="e">
        <f t="shared" si="2256"/>
        <v>#DIV/0!</v>
      </c>
      <c r="AV1037" s="6" t="e">
        <f t="shared" si="2257"/>
        <v>#DIV/0!</v>
      </c>
      <c r="AW1037" s="68">
        <v>0</v>
      </c>
      <c r="AX1037" s="66">
        <v>0</v>
      </c>
      <c r="AY1037" s="35" t="e">
        <f t="shared" si="2258"/>
        <v>#DIV/0!</v>
      </c>
      <c r="AZ1037" s="6" t="e">
        <f t="shared" si="2259"/>
        <v>#DIV/0!</v>
      </c>
      <c r="BA1037" s="68">
        <v>8750</v>
      </c>
      <c r="BB1037" s="66">
        <v>0</v>
      </c>
      <c r="BC1037" s="35" t="e">
        <f t="shared" si="2260"/>
        <v>#DIV/0!</v>
      </c>
      <c r="BD1037" s="11" t="e">
        <f t="shared" si="2261"/>
        <v>#DIV/0!</v>
      </c>
    </row>
    <row r="1038" spans="1:56" ht="15.75" thickBot="1" x14ac:dyDescent="0.3">
      <c r="A1038" s="19" t="s">
        <v>2</v>
      </c>
      <c r="B1038" s="8">
        <v>69750</v>
      </c>
      <c r="C1038" s="35">
        <f>B1038/F1033</f>
        <v>72.65625</v>
      </c>
      <c r="D1038" s="8">
        <v>2100</v>
      </c>
      <c r="E1038" s="68">
        <v>36220</v>
      </c>
      <c r="F1038" s="69">
        <v>960</v>
      </c>
      <c r="G1038" s="35">
        <f t="shared" si="2236"/>
        <v>37.729166666666664</v>
      </c>
      <c r="H1038" s="11">
        <f t="shared" si="2237"/>
        <v>0.51928315412186377</v>
      </c>
      <c r="I1038" s="35">
        <v>17010</v>
      </c>
      <c r="J1038" s="69">
        <v>960</v>
      </c>
      <c r="K1038" s="35">
        <f t="shared" si="2238"/>
        <v>17.71875</v>
      </c>
      <c r="L1038" s="6">
        <f t="shared" si="2239"/>
        <v>0.24387096774193548</v>
      </c>
      <c r="M1038" s="68">
        <v>0</v>
      </c>
      <c r="N1038" s="5">
        <v>0</v>
      </c>
      <c r="O1038" s="35" t="e">
        <f t="shared" si="2240"/>
        <v>#DIV/0!</v>
      </c>
      <c r="P1038" s="11" t="e">
        <f t="shared" si="2241"/>
        <v>#DIV/0!</v>
      </c>
      <c r="Q1038" s="35">
        <v>0</v>
      </c>
      <c r="R1038" s="66">
        <v>0</v>
      </c>
      <c r="S1038" s="35" t="e">
        <f t="shared" si="2242"/>
        <v>#DIV/0!</v>
      </c>
      <c r="T1038" s="6" t="e">
        <f t="shared" si="2243"/>
        <v>#DIV/0!</v>
      </c>
      <c r="U1038" s="68">
        <v>0</v>
      </c>
      <c r="V1038" s="66">
        <v>0</v>
      </c>
      <c r="W1038" s="20" t="e">
        <f t="shared" si="2244"/>
        <v>#DIV/0!</v>
      </c>
      <c r="X1038" s="6" t="e">
        <f t="shared" si="2245"/>
        <v>#DIV/0!</v>
      </c>
      <c r="Y1038" s="68">
        <v>0</v>
      </c>
      <c r="Z1038" s="70">
        <v>0</v>
      </c>
      <c r="AA1038" s="35" t="e">
        <f t="shared" si="2246"/>
        <v>#DIV/0!</v>
      </c>
      <c r="AB1038" s="11" t="e">
        <f t="shared" si="2247"/>
        <v>#DIV/0!</v>
      </c>
      <c r="AC1038" s="20">
        <v>14440</v>
      </c>
      <c r="AD1038" s="33">
        <v>576</v>
      </c>
      <c r="AE1038" s="35">
        <f t="shared" si="2248"/>
        <v>25.069444444444443</v>
      </c>
      <c r="AF1038" s="6">
        <f t="shared" si="2249"/>
        <v>0.34504181600955791</v>
      </c>
      <c r="AG1038" s="68">
        <v>0</v>
      </c>
      <c r="AH1038" s="66">
        <v>0</v>
      </c>
      <c r="AI1038" s="35" t="e">
        <f t="shared" si="2250"/>
        <v>#DIV/0!</v>
      </c>
      <c r="AJ1038" s="6" t="e">
        <f t="shared" si="2251"/>
        <v>#DIV/0!</v>
      </c>
      <c r="AK1038" s="68">
        <v>0</v>
      </c>
      <c r="AL1038" s="66">
        <v>0</v>
      </c>
      <c r="AM1038" s="35" t="e">
        <f t="shared" si="2252"/>
        <v>#DIV/0!</v>
      </c>
      <c r="AN1038" s="6" t="e">
        <f t="shared" si="2253"/>
        <v>#DIV/0!</v>
      </c>
      <c r="AO1038" s="68">
        <v>0</v>
      </c>
      <c r="AP1038" s="66">
        <v>0</v>
      </c>
      <c r="AQ1038" s="35" t="e">
        <f t="shared" si="2254"/>
        <v>#DIV/0!</v>
      </c>
      <c r="AR1038" s="6" t="e">
        <f t="shared" si="2255"/>
        <v>#DIV/0!</v>
      </c>
      <c r="AS1038" s="68">
        <v>0</v>
      </c>
      <c r="AT1038" s="66">
        <v>0</v>
      </c>
      <c r="AU1038" s="35" t="e">
        <f t="shared" si="2256"/>
        <v>#DIV/0!</v>
      </c>
      <c r="AV1038" s="6" t="e">
        <f t="shared" si="2257"/>
        <v>#DIV/0!</v>
      </c>
      <c r="AW1038" s="68">
        <v>0</v>
      </c>
      <c r="AX1038" s="66">
        <v>0</v>
      </c>
      <c r="AY1038" s="35" t="e">
        <f t="shared" si="2258"/>
        <v>#DIV/0!</v>
      </c>
      <c r="AZ1038" s="6" t="e">
        <f t="shared" si="2259"/>
        <v>#DIV/0!</v>
      </c>
      <c r="BA1038" s="68">
        <v>8750</v>
      </c>
      <c r="BB1038" s="66">
        <v>0</v>
      </c>
      <c r="BC1038" s="35" t="e">
        <f t="shared" si="2260"/>
        <v>#DIV/0!</v>
      </c>
      <c r="BD1038" s="11" t="e">
        <f t="shared" si="2261"/>
        <v>#DIV/0!</v>
      </c>
    </row>
    <row r="1039" spans="1:56" ht="15.75" thickBot="1" x14ac:dyDescent="0.3">
      <c r="A1039" s="19" t="s">
        <v>3</v>
      </c>
      <c r="B1039" s="8">
        <v>84010</v>
      </c>
      <c r="C1039" s="35">
        <f>B1039/F1033</f>
        <v>87.510416666666671</v>
      </c>
      <c r="D1039" s="8">
        <v>2700</v>
      </c>
      <c r="E1039" s="68">
        <v>41580</v>
      </c>
      <c r="F1039" s="69">
        <v>960</v>
      </c>
      <c r="G1039" s="35">
        <f t="shared" si="2236"/>
        <v>43.3125</v>
      </c>
      <c r="H1039" s="11">
        <f t="shared" si="2237"/>
        <v>0.49494107844304247</v>
      </c>
      <c r="I1039" s="35">
        <v>19550</v>
      </c>
      <c r="J1039" s="69">
        <v>960</v>
      </c>
      <c r="K1039" s="35">
        <f t="shared" si="2238"/>
        <v>20.364583333333332</v>
      </c>
      <c r="L1039" s="6">
        <f t="shared" si="2239"/>
        <v>0.2327103916200452</v>
      </c>
      <c r="M1039" s="68">
        <v>0</v>
      </c>
      <c r="N1039" s="5">
        <v>0</v>
      </c>
      <c r="O1039" s="35" t="e">
        <f t="shared" si="2240"/>
        <v>#DIV/0!</v>
      </c>
      <c r="P1039" s="11" t="e">
        <f t="shared" si="2241"/>
        <v>#DIV/0!</v>
      </c>
      <c r="Q1039" s="35">
        <v>0</v>
      </c>
      <c r="R1039" s="66">
        <v>0</v>
      </c>
      <c r="S1039" s="35" t="e">
        <f t="shared" si="2242"/>
        <v>#DIV/0!</v>
      </c>
      <c r="T1039" s="6" t="e">
        <f t="shared" si="2243"/>
        <v>#DIV/0!</v>
      </c>
      <c r="U1039" s="68">
        <v>0</v>
      </c>
      <c r="V1039" s="66">
        <v>0</v>
      </c>
      <c r="W1039" s="20" t="e">
        <f t="shared" si="2244"/>
        <v>#DIV/0!</v>
      </c>
      <c r="X1039" s="6" t="e">
        <f t="shared" si="2245"/>
        <v>#DIV/0!</v>
      </c>
      <c r="Y1039" s="68">
        <v>0</v>
      </c>
      <c r="Z1039" s="70">
        <v>0</v>
      </c>
      <c r="AA1039" s="35" t="e">
        <f t="shared" si="2246"/>
        <v>#DIV/0!</v>
      </c>
      <c r="AB1039" s="11" t="e">
        <f t="shared" si="2247"/>
        <v>#DIV/0!</v>
      </c>
      <c r="AC1039" s="20">
        <v>15370</v>
      </c>
      <c r="AD1039" s="33">
        <v>576</v>
      </c>
      <c r="AE1039" s="35">
        <f t="shared" si="2248"/>
        <v>26.684027777777779</v>
      </c>
      <c r="AF1039" s="6">
        <f t="shared" si="2249"/>
        <v>0.30492401698210531</v>
      </c>
      <c r="AG1039" s="68">
        <v>0</v>
      </c>
      <c r="AH1039" s="66">
        <v>0</v>
      </c>
      <c r="AI1039" s="35" t="e">
        <f t="shared" si="2250"/>
        <v>#DIV/0!</v>
      </c>
      <c r="AJ1039" s="6" t="e">
        <f t="shared" si="2251"/>
        <v>#DIV/0!</v>
      </c>
      <c r="AK1039" s="68">
        <v>0</v>
      </c>
      <c r="AL1039" s="66">
        <v>0</v>
      </c>
      <c r="AM1039" s="35" t="e">
        <f t="shared" si="2252"/>
        <v>#DIV/0!</v>
      </c>
      <c r="AN1039" s="6" t="e">
        <f t="shared" si="2253"/>
        <v>#DIV/0!</v>
      </c>
      <c r="AO1039" s="68">
        <v>0</v>
      </c>
      <c r="AP1039" s="66">
        <v>0</v>
      </c>
      <c r="AQ1039" s="35" t="e">
        <f t="shared" si="2254"/>
        <v>#DIV/0!</v>
      </c>
      <c r="AR1039" s="6" t="e">
        <f t="shared" si="2255"/>
        <v>#DIV/0!</v>
      </c>
      <c r="AS1039" s="68">
        <v>0</v>
      </c>
      <c r="AT1039" s="66">
        <v>0</v>
      </c>
      <c r="AU1039" s="35" t="e">
        <f t="shared" si="2256"/>
        <v>#DIV/0!</v>
      </c>
      <c r="AV1039" s="6" t="e">
        <f t="shared" si="2257"/>
        <v>#DIV/0!</v>
      </c>
      <c r="AW1039" s="68">
        <v>0</v>
      </c>
      <c r="AX1039" s="66">
        <v>0</v>
      </c>
      <c r="AY1039" s="35" t="e">
        <f t="shared" si="2258"/>
        <v>#DIV/0!</v>
      </c>
      <c r="AZ1039" s="6" t="e">
        <f t="shared" si="2259"/>
        <v>#DIV/0!</v>
      </c>
      <c r="BA1039" s="68">
        <v>8750</v>
      </c>
      <c r="BB1039" s="66">
        <v>0</v>
      </c>
      <c r="BC1039" s="35" t="e">
        <f t="shared" si="2260"/>
        <v>#DIV/0!</v>
      </c>
      <c r="BD1039" s="11" t="e">
        <f t="shared" si="2261"/>
        <v>#DIV/0!</v>
      </c>
    </row>
    <row r="1040" spans="1:56" ht="15.75" thickBot="1" x14ac:dyDescent="0.3">
      <c r="A1040" s="19" t="s">
        <v>4</v>
      </c>
      <c r="B1040" s="8">
        <v>104850</v>
      </c>
      <c r="C1040" s="35">
        <f>B1040/F1033</f>
        <v>109.21875</v>
      </c>
      <c r="D1040" s="8">
        <v>5250</v>
      </c>
      <c r="E1040" s="68">
        <v>59390</v>
      </c>
      <c r="F1040" s="69">
        <v>960</v>
      </c>
      <c r="G1040" s="35">
        <f t="shared" si="2236"/>
        <v>61.864583333333336</v>
      </c>
      <c r="H1040" s="11">
        <f t="shared" si="2237"/>
        <v>0.5664282308059132</v>
      </c>
      <c r="I1040" s="35">
        <v>26070</v>
      </c>
      <c r="J1040" s="69">
        <v>960</v>
      </c>
      <c r="K1040" s="35">
        <f t="shared" si="2238"/>
        <v>27.15625</v>
      </c>
      <c r="L1040" s="6">
        <f t="shared" si="2239"/>
        <v>0.2486409155937053</v>
      </c>
      <c r="M1040" s="68">
        <v>0</v>
      </c>
      <c r="N1040" s="5">
        <v>0</v>
      </c>
      <c r="O1040" s="35" t="e">
        <f t="shared" si="2240"/>
        <v>#DIV/0!</v>
      </c>
      <c r="P1040" s="11" t="e">
        <f t="shared" si="2241"/>
        <v>#DIV/0!</v>
      </c>
      <c r="Q1040" s="35">
        <v>0</v>
      </c>
      <c r="R1040" s="66">
        <v>0</v>
      </c>
      <c r="S1040" s="35" t="e">
        <f t="shared" si="2242"/>
        <v>#DIV/0!</v>
      </c>
      <c r="T1040" s="6" t="e">
        <f t="shared" si="2243"/>
        <v>#DIV/0!</v>
      </c>
      <c r="U1040" s="68">
        <v>0</v>
      </c>
      <c r="V1040" s="66">
        <v>0</v>
      </c>
      <c r="W1040" s="20" t="e">
        <f t="shared" si="2244"/>
        <v>#DIV/0!</v>
      </c>
      <c r="X1040" s="6" t="e">
        <f t="shared" si="2245"/>
        <v>#DIV/0!</v>
      </c>
      <c r="Y1040" s="68">
        <v>0</v>
      </c>
      <c r="Z1040" s="70">
        <v>0</v>
      </c>
      <c r="AA1040" s="35" t="e">
        <f t="shared" si="2246"/>
        <v>#DIV/0!</v>
      </c>
      <c r="AB1040" s="11" t="e">
        <f t="shared" si="2247"/>
        <v>#DIV/0!</v>
      </c>
      <c r="AC1040" s="20">
        <v>17490</v>
      </c>
      <c r="AD1040" s="33">
        <v>576</v>
      </c>
      <c r="AE1040" s="35">
        <f t="shared" si="2248"/>
        <v>30.364583333333332</v>
      </c>
      <c r="AF1040" s="6">
        <f t="shared" si="2249"/>
        <v>0.27801621363853124</v>
      </c>
      <c r="AG1040" s="68">
        <v>0</v>
      </c>
      <c r="AH1040" s="66">
        <v>0</v>
      </c>
      <c r="AI1040" s="35" t="e">
        <f t="shared" si="2250"/>
        <v>#DIV/0!</v>
      </c>
      <c r="AJ1040" s="6" t="e">
        <f t="shared" si="2251"/>
        <v>#DIV/0!</v>
      </c>
      <c r="AK1040" s="68">
        <v>0</v>
      </c>
      <c r="AL1040" s="66">
        <v>0</v>
      </c>
      <c r="AM1040" s="35" t="e">
        <f t="shared" si="2252"/>
        <v>#DIV/0!</v>
      </c>
      <c r="AN1040" s="6" t="e">
        <f t="shared" si="2253"/>
        <v>#DIV/0!</v>
      </c>
      <c r="AO1040" s="68">
        <v>0</v>
      </c>
      <c r="AP1040" s="66">
        <v>0</v>
      </c>
      <c r="AQ1040" s="35" t="e">
        <f t="shared" si="2254"/>
        <v>#DIV/0!</v>
      </c>
      <c r="AR1040" s="6" t="e">
        <f t="shared" si="2255"/>
        <v>#DIV/0!</v>
      </c>
      <c r="AS1040" s="68">
        <v>0</v>
      </c>
      <c r="AT1040" s="66">
        <v>0</v>
      </c>
      <c r="AU1040" s="35" t="e">
        <f t="shared" si="2256"/>
        <v>#DIV/0!</v>
      </c>
      <c r="AV1040" s="6" t="e">
        <f t="shared" si="2257"/>
        <v>#DIV/0!</v>
      </c>
      <c r="AW1040" s="68">
        <v>0</v>
      </c>
      <c r="AX1040" s="66">
        <v>0</v>
      </c>
      <c r="AY1040" s="35" t="e">
        <f t="shared" si="2258"/>
        <v>#DIV/0!</v>
      </c>
      <c r="AZ1040" s="6" t="e">
        <f t="shared" si="2259"/>
        <v>#DIV/0!</v>
      </c>
      <c r="BA1040" s="68">
        <v>8750</v>
      </c>
      <c r="BB1040" s="66">
        <v>0</v>
      </c>
      <c r="BC1040" s="35" t="e">
        <f t="shared" si="2260"/>
        <v>#DIV/0!</v>
      </c>
      <c r="BD1040" s="11" t="e">
        <f t="shared" si="2261"/>
        <v>#DIV/0!</v>
      </c>
    </row>
    <row r="1041" spans="1:56" ht="15.75" thickBot="1" x14ac:dyDescent="0.3">
      <c r="A1041" s="19" t="s">
        <v>5</v>
      </c>
      <c r="B1041" s="8">
        <v>137330</v>
      </c>
      <c r="C1041" s="35">
        <f>B1041/F1033</f>
        <v>143.05208333333334</v>
      </c>
      <c r="D1041" s="8">
        <v>7050</v>
      </c>
      <c r="E1041" s="68">
        <v>66900</v>
      </c>
      <c r="F1041" s="69">
        <v>960</v>
      </c>
      <c r="G1041" s="35">
        <f t="shared" si="2236"/>
        <v>69.6875</v>
      </c>
      <c r="H1041" s="11">
        <f t="shared" si="2237"/>
        <v>0.4871477463045219</v>
      </c>
      <c r="I1041" s="35">
        <v>30130</v>
      </c>
      <c r="J1041" s="69">
        <v>960</v>
      </c>
      <c r="K1041" s="35">
        <f t="shared" si="2238"/>
        <v>31.385416666666668</v>
      </c>
      <c r="L1041" s="6">
        <f t="shared" si="2239"/>
        <v>0.21939852909051191</v>
      </c>
      <c r="M1041" s="68">
        <v>0</v>
      </c>
      <c r="N1041" s="5">
        <v>0</v>
      </c>
      <c r="O1041" s="35" t="e">
        <f t="shared" si="2240"/>
        <v>#DIV/0!</v>
      </c>
      <c r="P1041" s="11" t="e">
        <f t="shared" si="2241"/>
        <v>#DIV/0!</v>
      </c>
      <c r="Q1041" s="35">
        <v>0</v>
      </c>
      <c r="R1041" s="66">
        <v>0</v>
      </c>
      <c r="S1041" s="35" t="e">
        <f t="shared" si="2242"/>
        <v>#DIV/0!</v>
      </c>
      <c r="T1041" s="6" t="e">
        <f t="shared" si="2243"/>
        <v>#DIV/0!</v>
      </c>
      <c r="U1041" s="68">
        <v>0</v>
      </c>
      <c r="V1041" s="66">
        <v>0</v>
      </c>
      <c r="W1041" s="20" t="e">
        <f t="shared" si="2244"/>
        <v>#DIV/0!</v>
      </c>
      <c r="X1041" s="6" t="e">
        <f t="shared" si="2245"/>
        <v>#DIV/0!</v>
      </c>
      <c r="Y1041" s="68">
        <v>0</v>
      </c>
      <c r="Z1041" s="70">
        <v>0</v>
      </c>
      <c r="AA1041" s="35" t="e">
        <f t="shared" si="2246"/>
        <v>#DIV/0!</v>
      </c>
      <c r="AB1041" s="11" t="e">
        <f t="shared" si="2247"/>
        <v>#DIV/0!</v>
      </c>
      <c r="AC1041" s="20">
        <v>19550</v>
      </c>
      <c r="AD1041" s="33">
        <v>576</v>
      </c>
      <c r="AE1041" s="35">
        <f t="shared" si="2248"/>
        <v>33.940972222222221</v>
      </c>
      <c r="AF1041" s="6">
        <f t="shared" si="2249"/>
        <v>0.23726304036505738</v>
      </c>
      <c r="AG1041" s="68">
        <v>0</v>
      </c>
      <c r="AH1041" s="66">
        <v>0</v>
      </c>
      <c r="AI1041" s="35" t="e">
        <f t="shared" si="2250"/>
        <v>#DIV/0!</v>
      </c>
      <c r="AJ1041" s="6" t="e">
        <f t="shared" si="2251"/>
        <v>#DIV/0!</v>
      </c>
      <c r="AK1041" s="68">
        <v>0</v>
      </c>
      <c r="AL1041" s="66">
        <v>0</v>
      </c>
      <c r="AM1041" s="35" t="e">
        <f t="shared" si="2252"/>
        <v>#DIV/0!</v>
      </c>
      <c r="AN1041" s="6" t="e">
        <f t="shared" si="2253"/>
        <v>#DIV/0!</v>
      </c>
      <c r="AO1041" s="68">
        <v>0</v>
      </c>
      <c r="AP1041" s="66">
        <v>0</v>
      </c>
      <c r="AQ1041" s="35" t="e">
        <f t="shared" si="2254"/>
        <v>#DIV/0!</v>
      </c>
      <c r="AR1041" s="6" t="e">
        <f t="shared" si="2255"/>
        <v>#DIV/0!</v>
      </c>
      <c r="AS1041" s="68">
        <v>0</v>
      </c>
      <c r="AT1041" s="66">
        <v>0</v>
      </c>
      <c r="AU1041" s="35" t="e">
        <f t="shared" si="2256"/>
        <v>#DIV/0!</v>
      </c>
      <c r="AV1041" s="6" t="e">
        <f t="shared" si="2257"/>
        <v>#DIV/0!</v>
      </c>
      <c r="AW1041" s="68">
        <v>0</v>
      </c>
      <c r="AX1041" s="66">
        <v>0</v>
      </c>
      <c r="AY1041" s="35" t="e">
        <f t="shared" si="2258"/>
        <v>#DIV/0!</v>
      </c>
      <c r="AZ1041" s="6" t="e">
        <f t="shared" si="2259"/>
        <v>#DIV/0!</v>
      </c>
      <c r="BA1041" s="68">
        <v>8750</v>
      </c>
      <c r="BB1041" s="66">
        <v>0</v>
      </c>
      <c r="BC1041" s="35" t="e">
        <f t="shared" si="2260"/>
        <v>#DIV/0!</v>
      </c>
      <c r="BD1041" s="11" t="e">
        <f t="shared" si="2261"/>
        <v>#DIV/0!</v>
      </c>
    </row>
    <row r="1042" spans="1:56" x14ac:dyDescent="0.25">
      <c r="A1042" s="19" t="s">
        <v>6</v>
      </c>
      <c r="B1042" s="8">
        <v>157280</v>
      </c>
      <c r="C1042" s="35">
        <f>B1042/F1033</f>
        <v>163.83333333333334</v>
      </c>
      <c r="D1042" s="8">
        <v>10950</v>
      </c>
      <c r="E1042" s="68">
        <v>81460</v>
      </c>
      <c r="F1042" s="69">
        <v>960</v>
      </c>
      <c r="G1042" s="35">
        <f t="shared" si="2236"/>
        <v>84.854166666666671</v>
      </c>
      <c r="H1042" s="11">
        <f t="shared" si="2237"/>
        <v>0.51792980671414035</v>
      </c>
      <c r="I1042" s="35">
        <v>37570</v>
      </c>
      <c r="J1042" s="69">
        <v>960</v>
      </c>
      <c r="K1042" s="35">
        <f t="shared" si="2238"/>
        <v>39.135416666666664</v>
      </c>
      <c r="L1042" s="6">
        <f t="shared" si="2239"/>
        <v>0.23887334689725329</v>
      </c>
      <c r="M1042" s="68">
        <v>0</v>
      </c>
      <c r="N1042" s="5">
        <v>0</v>
      </c>
      <c r="O1042" s="35" t="e">
        <f t="shared" si="2240"/>
        <v>#DIV/0!</v>
      </c>
      <c r="P1042" s="11" t="e">
        <f t="shared" si="2241"/>
        <v>#DIV/0!</v>
      </c>
      <c r="Q1042" s="35">
        <v>0</v>
      </c>
      <c r="R1042" s="66">
        <v>0</v>
      </c>
      <c r="S1042" s="35" t="e">
        <f t="shared" si="2242"/>
        <v>#DIV/0!</v>
      </c>
      <c r="T1042" s="6" t="e">
        <f t="shared" si="2243"/>
        <v>#DIV/0!</v>
      </c>
      <c r="U1042" s="68">
        <v>0</v>
      </c>
      <c r="V1042" s="66">
        <v>0</v>
      </c>
      <c r="W1042" s="20" t="e">
        <f t="shared" si="2244"/>
        <v>#DIV/0!</v>
      </c>
      <c r="X1042" s="6" t="e">
        <f t="shared" si="2245"/>
        <v>#DIV/0!</v>
      </c>
      <c r="Y1042" s="68">
        <v>0</v>
      </c>
      <c r="Z1042" s="70">
        <v>0</v>
      </c>
      <c r="AA1042" s="35" t="e">
        <f t="shared" si="2246"/>
        <v>#DIV/0!</v>
      </c>
      <c r="AB1042" s="11" t="e">
        <f t="shared" si="2247"/>
        <v>#DIV/0!</v>
      </c>
      <c r="AC1042" s="20">
        <v>28040</v>
      </c>
      <c r="AD1042" s="33">
        <v>576</v>
      </c>
      <c r="AE1042" s="35">
        <f t="shared" si="2248"/>
        <v>48.680555555555557</v>
      </c>
      <c r="AF1042" s="6">
        <f t="shared" si="2249"/>
        <v>0.29713462190573076</v>
      </c>
      <c r="AG1042" s="68">
        <v>0</v>
      </c>
      <c r="AH1042" s="66">
        <v>0</v>
      </c>
      <c r="AI1042" s="35" t="e">
        <f t="shared" si="2250"/>
        <v>#DIV/0!</v>
      </c>
      <c r="AJ1042" s="6" t="e">
        <f t="shared" si="2251"/>
        <v>#DIV/0!</v>
      </c>
      <c r="AK1042" s="68">
        <v>0</v>
      </c>
      <c r="AL1042" s="66">
        <v>0</v>
      </c>
      <c r="AM1042" s="35" t="e">
        <f t="shared" si="2252"/>
        <v>#DIV/0!</v>
      </c>
      <c r="AN1042" s="6" t="e">
        <f t="shared" si="2253"/>
        <v>#DIV/0!</v>
      </c>
      <c r="AO1042" s="68">
        <v>0</v>
      </c>
      <c r="AP1042" s="66">
        <v>0</v>
      </c>
      <c r="AQ1042" s="35" t="e">
        <f t="shared" si="2254"/>
        <v>#DIV/0!</v>
      </c>
      <c r="AR1042" s="6" t="e">
        <f t="shared" si="2255"/>
        <v>#DIV/0!</v>
      </c>
      <c r="AS1042" s="68">
        <v>0</v>
      </c>
      <c r="AT1042" s="66">
        <v>0</v>
      </c>
      <c r="AU1042" s="35" t="e">
        <f t="shared" si="2256"/>
        <v>#DIV/0!</v>
      </c>
      <c r="AV1042" s="6" t="e">
        <f t="shared" si="2257"/>
        <v>#DIV/0!</v>
      </c>
      <c r="AW1042" s="68">
        <v>0</v>
      </c>
      <c r="AX1042" s="66">
        <v>0</v>
      </c>
      <c r="AY1042" s="35" t="e">
        <f t="shared" si="2258"/>
        <v>#DIV/0!</v>
      </c>
      <c r="AZ1042" s="6" t="e">
        <f t="shared" si="2259"/>
        <v>#DIV/0!</v>
      </c>
      <c r="BA1042" s="68">
        <v>8750</v>
      </c>
      <c r="BB1042" s="66">
        <v>0</v>
      </c>
      <c r="BC1042" s="35" t="e">
        <f t="shared" si="2260"/>
        <v>#DIV/0!</v>
      </c>
      <c r="BD1042" s="11" t="e">
        <f t="shared" si="2261"/>
        <v>#DIV/0!</v>
      </c>
    </row>
    <row r="1043" spans="1:56" ht="15.75" thickBot="1" x14ac:dyDescent="0.3">
      <c r="A1043" s="21"/>
      <c r="B1043" s="22"/>
      <c r="C1043" s="23">
        <f>AVERAGE(Table1107984[MA $/Sq Ft])</f>
        <v>98.72172619047619</v>
      </c>
      <c r="D1043" s="22">
        <f>AVERAGE(Table1107984[Basic Allowance])</f>
        <v>4442.8571428571431</v>
      </c>
      <c r="E1043" s="16"/>
      <c r="F1043" s="22"/>
      <c r="G1043" s="15"/>
      <c r="H1043" s="24">
        <f>AVERAGE(Table1107984[Bsmt % Base])</f>
        <v>0.51237166281590218</v>
      </c>
      <c r="I1043" s="15"/>
      <c r="J1043" s="15"/>
      <c r="K1043" s="15"/>
      <c r="L1043" s="25">
        <f>AVERAGE(Table1107984[[#Headers],[#Data],[UnfBsmt % Base]])</f>
        <v>0.23652214732936513</v>
      </c>
      <c r="M1043" s="44"/>
      <c r="N1043" s="15"/>
      <c r="O1043" s="23" t="e">
        <f>AVERAGE(Table1107984[LowerVal/SqFt])</f>
        <v>#DIV/0!</v>
      </c>
      <c r="P1043" s="24" t="e">
        <f>AVERAGE(Table1107984[Lower % Base])</f>
        <v>#DIV/0!</v>
      </c>
      <c r="Q1043" s="13"/>
      <c r="R1043" s="13"/>
      <c r="S1043" s="13"/>
      <c r="T1043" s="25" t="e">
        <f>AVERAGE(Table1107984[Unf Lower % Base])</f>
        <v>#DIV/0!</v>
      </c>
      <c r="U1043" s="12"/>
      <c r="V1043" s="13"/>
      <c r="W1043" s="13"/>
      <c r="X1043" s="25" t="e">
        <f>AVERAGE(Table1107984[1/2 Story % Base])</f>
        <v>#DIV/0!</v>
      </c>
      <c r="Y1043" s="12"/>
      <c r="Z1043" s="13"/>
      <c r="AA1043" s="13"/>
      <c r="AB1043" s="24" t="e">
        <f>AVERAGE(Table1107984[2nd Story % Base])</f>
        <v>#DIV/0!</v>
      </c>
      <c r="AC1043" s="13"/>
      <c r="AD1043" s="13"/>
      <c r="AE1043" s="23">
        <f>AVERAGE(Table1107984[AttGarVal/SqFt])</f>
        <v>28.474702380952376</v>
      </c>
      <c r="AF1043" s="25">
        <f>AVERAGE(Table1107984[Att Gar % Base])</f>
        <v>0.29450796366285031</v>
      </c>
      <c r="AG1043" s="12"/>
      <c r="AH1043" s="13"/>
      <c r="AI1043" s="13"/>
      <c r="AJ1043" s="25" t="e">
        <f>AVERAGE(Table1107984[Porch % Base])</f>
        <v>#DIV/0!</v>
      </c>
      <c r="AK1043" s="12"/>
      <c r="AL1043" s="13"/>
      <c r="AM1043" s="13"/>
      <c r="AN1043" s="25" t="e">
        <f>AVERAGE(Table1107984[Cov Porch % Base])</f>
        <v>#DIV/0!</v>
      </c>
      <c r="AO1043" s="12"/>
      <c r="AP1043" s="13"/>
      <c r="AQ1043" s="13"/>
      <c r="AR1043" s="25" t="e">
        <f>AVERAGE(Table1107984[Deck % Base])</f>
        <v>#DIV/0!</v>
      </c>
      <c r="AS1043" s="12"/>
      <c r="AT1043" s="13"/>
      <c r="AU1043" s="23" t="e">
        <f>AVERAGE(Table1107984[CovDeckVal/SqFt])</f>
        <v>#DIV/0!</v>
      </c>
      <c r="AV1043" s="25" t="e">
        <f>AVERAGE(Table1107984[CovDeck % Base])</f>
        <v>#DIV/0!</v>
      </c>
      <c r="AW1043" s="12"/>
      <c r="AX1043" s="13"/>
      <c r="AY1043" s="13"/>
      <c r="AZ1043" s="25" t="e">
        <f>AVERAGE(Table1107984[CarP % Base])</f>
        <v>#DIV/0!</v>
      </c>
      <c r="BA1043" s="12"/>
      <c r="BB1043" s="13"/>
      <c r="BC1043" s="13"/>
      <c r="BD1043" s="24" t="e">
        <f>AVERAGE(Table1107984[EFP % Base])</f>
        <v>#DIV/0!</v>
      </c>
    </row>
    <row r="1045" spans="1:56" ht="15.75" thickBot="1" x14ac:dyDescent="0.3">
      <c r="A1045" s="82"/>
      <c r="B1045" t="s">
        <v>79</v>
      </c>
      <c r="C1045" s="78" t="s">
        <v>190</v>
      </c>
      <c r="E1045" t="s">
        <v>33</v>
      </c>
      <c r="F1045" s="79">
        <v>1526</v>
      </c>
      <c r="H1045" t="s">
        <v>80</v>
      </c>
      <c r="I1045" t="s">
        <v>103</v>
      </c>
    </row>
    <row r="1046" spans="1:56" x14ac:dyDescent="0.25">
      <c r="A1046" s="112"/>
      <c r="B1046" s="113"/>
      <c r="C1046" s="113"/>
      <c r="D1046" s="114"/>
      <c r="E1046" s="115" t="s">
        <v>27</v>
      </c>
      <c r="F1046" s="116"/>
      <c r="G1046" s="116"/>
      <c r="H1046" s="117"/>
      <c r="I1046" s="118" t="s">
        <v>28</v>
      </c>
      <c r="J1046" s="119"/>
      <c r="K1046" s="119"/>
      <c r="L1046" s="120"/>
      <c r="M1046" s="121" t="s">
        <v>7</v>
      </c>
      <c r="N1046" s="122"/>
      <c r="O1046" s="122"/>
      <c r="P1046" s="123"/>
      <c r="Q1046" s="124" t="s">
        <v>29</v>
      </c>
      <c r="R1046" s="125"/>
      <c r="S1046" s="125"/>
      <c r="T1046" s="126"/>
      <c r="U1046" s="127" t="s">
        <v>8</v>
      </c>
      <c r="V1046" s="128"/>
      <c r="W1046" s="128"/>
      <c r="X1046" s="129"/>
      <c r="Y1046" s="130" t="s">
        <v>0</v>
      </c>
      <c r="Z1046" s="131"/>
      <c r="AA1046" s="131"/>
      <c r="AB1046" s="132"/>
      <c r="AC1046" s="133" t="s">
        <v>34</v>
      </c>
      <c r="AD1046" s="134"/>
      <c r="AE1046" s="134"/>
      <c r="AF1046" s="135"/>
      <c r="AG1046" s="115" t="s">
        <v>9</v>
      </c>
      <c r="AH1046" s="116"/>
      <c r="AI1046" s="116"/>
      <c r="AJ1046" s="117"/>
      <c r="AK1046" s="136" t="s">
        <v>35</v>
      </c>
      <c r="AL1046" s="137"/>
      <c r="AM1046" s="137"/>
      <c r="AN1046" s="138"/>
      <c r="AO1046" s="139" t="s">
        <v>10</v>
      </c>
      <c r="AP1046" s="140"/>
      <c r="AQ1046" s="140"/>
      <c r="AR1046" s="141"/>
      <c r="AS1046" s="124" t="s">
        <v>36</v>
      </c>
      <c r="AT1046" s="125"/>
      <c r="AU1046" s="125"/>
      <c r="AV1046" s="126"/>
      <c r="AW1046" s="142" t="s">
        <v>11</v>
      </c>
      <c r="AX1046" s="143"/>
      <c r="AY1046" s="143"/>
      <c r="AZ1046" s="144"/>
      <c r="BA1046" s="148" t="s">
        <v>17</v>
      </c>
      <c r="BB1046" s="149"/>
      <c r="BC1046" s="149"/>
      <c r="BD1046" s="150"/>
    </row>
    <row r="1047" spans="1:56" s="1" customFormat="1" ht="15.75" thickBot="1" x14ac:dyDescent="0.3">
      <c r="A1047" s="41" t="s">
        <v>13</v>
      </c>
      <c r="B1047" s="42" t="s">
        <v>15</v>
      </c>
      <c r="C1047" s="42" t="s">
        <v>32</v>
      </c>
      <c r="D1047" s="43" t="s">
        <v>18</v>
      </c>
      <c r="E1047" s="30" t="s">
        <v>30</v>
      </c>
      <c r="F1047" s="31" t="s">
        <v>61</v>
      </c>
      <c r="G1047" s="31" t="s">
        <v>38</v>
      </c>
      <c r="H1047" s="32" t="s">
        <v>62</v>
      </c>
      <c r="I1047" s="37" t="s">
        <v>31</v>
      </c>
      <c r="J1047" s="38" t="s">
        <v>39</v>
      </c>
      <c r="K1047" s="38" t="s">
        <v>40</v>
      </c>
      <c r="L1047" s="39" t="s">
        <v>63</v>
      </c>
      <c r="M1047" s="40" t="s">
        <v>19</v>
      </c>
      <c r="N1047" s="7" t="s">
        <v>41</v>
      </c>
      <c r="O1047" s="7" t="s">
        <v>37</v>
      </c>
      <c r="P1047" s="7" t="s">
        <v>64</v>
      </c>
      <c r="Q1047" s="27" t="s">
        <v>20</v>
      </c>
      <c r="R1047" s="28" t="s">
        <v>60</v>
      </c>
      <c r="S1047" s="28" t="s">
        <v>59</v>
      </c>
      <c r="T1047" s="29" t="s">
        <v>65</v>
      </c>
      <c r="U1047" s="48" t="s">
        <v>21</v>
      </c>
      <c r="V1047" s="48" t="s">
        <v>42</v>
      </c>
      <c r="W1047" s="48" t="s">
        <v>43</v>
      </c>
      <c r="X1047" s="49" t="s">
        <v>66</v>
      </c>
      <c r="Y1047" s="50" t="s">
        <v>22</v>
      </c>
      <c r="Z1047" s="51" t="s">
        <v>44</v>
      </c>
      <c r="AA1047" s="51" t="s">
        <v>45</v>
      </c>
      <c r="AB1047" s="52" t="s">
        <v>67</v>
      </c>
      <c r="AC1047" s="45" t="s">
        <v>23</v>
      </c>
      <c r="AD1047" s="46" t="s">
        <v>46</v>
      </c>
      <c r="AE1047" s="46" t="s">
        <v>47</v>
      </c>
      <c r="AF1047" s="47" t="s">
        <v>68</v>
      </c>
      <c r="AG1047" s="30" t="s">
        <v>24</v>
      </c>
      <c r="AH1047" s="31" t="s">
        <v>48</v>
      </c>
      <c r="AI1047" s="31" t="s">
        <v>49</v>
      </c>
      <c r="AJ1047" s="32" t="s">
        <v>69</v>
      </c>
      <c r="AK1047" s="53" t="s">
        <v>25</v>
      </c>
      <c r="AL1047" s="54" t="s">
        <v>50</v>
      </c>
      <c r="AM1047" s="54" t="s">
        <v>51</v>
      </c>
      <c r="AN1047" s="55" t="s">
        <v>70</v>
      </c>
      <c r="AO1047" s="56" t="s">
        <v>26</v>
      </c>
      <c r="AP1047" s="57" t="s">
        <v>52</v>
      </c>
      <c r="AQ1047" s="57" t="s">
        <v>53</v>
      </c>
      <c r="AR1047" s="58" t="s">
        <v>71</v>
      </c>
      <c r="AS1047" s="59" t="s">
        <v>55</v>
      </c>
      <c r="AT1047" s="60" t="s">
        <v>54</v>
      </c>
      <c r="AU1047" s="60" t="s">
        <v>56</v>
      </c>
      <c r="AV1047" s="61" t="s">
        <v>76</v>
      </c>
      <c r="AW1047" s="62" t="s">
        <v>72</v>
      </c>
      <c r="AX1047" s="63" t="s">
        <v>73</v>
      </c>
      <c r="AY1047" s="63" t="s">
        <v>74</v>
      </c>
      <c r="AZ1047" s="64" t="s">
        <v>75</v>
      </c>
      <c r="BA1047" s="71" t="s">
        <v>77</v>
      </c>
      <c r="BB1047" s="72" t="s">
        <v>57</v>
      </c>
      <c r="BC1047" s="72" t="s">
        <v>58</v>
      </c>
      <c r="BD1047" s="73" t="s">
        <v>78</v>
      </c>
    </row>
    <row r="1048" spans="1:56" ht="15.75" thickBot="1" x14ac:dyDescent="0.3">
      <c r="A1048" s="17" t="s">
        <v>1</v>
      </c>
      <c r="B1048" s="14">
        <v>74730</v>
      </c>
      <c r="C1048" s="34">
        <f>B1048/F1045</f>
        <v>48.971166448230669</v>
      </c>
      <c r="D1048" s="14">
        <v>1525</v>
      </c>
      <c r="E1048" s="67">
        <v>0</v>
      </c>
      <c r="F1048" s="69">
        <v>0</v>
      </c>
      <c r="G1048" s="34" t="e">
        <f t="shared" ref="G1048:G1054" si="2262">E1048/F1048</f>
        <v>#DIV/0!</v>
      </c>
      <c r="H1048" s="10" t="e">
        <f t="shared" ref="H1048:H1054" si="2263">G1048/C1048</f>
        <v>#DIV/0!</v>
      </c>
      <c r="I1048" s="34">
        <v>0</v>
      </c>
      <c r="J1048" s="69">
        <v>0</v>
      </c>
      <c r="K1048" s="34" t="e">
        <f t="shared" ref="K1048:K1054" si="2264">I1048/J1048</f>
        <v>#DIV/0!</v>
      </c>
      <c r="L1048" s="9" t="e">
        <f t="shared" ref="L1048:L1054" si="2265">K1048/C1048</f>
        <v>#DIV/0!</v>
      </c>
      <c r="M1048" s="67">
        <v>32330</v>
      </c>
      <c r="N1048" s="26">
        <v>1152</v>
      </c>
      <c r="O1048" s="34">
        <f t="shared" ref="O1048:O1054" si="2266">M1048/N1048</f>
        <v>28.064236111111111</v>
      </c>
      <c r="P1048" s="10">
        <f t="shared" ref="P1048:P1054" si="2267">O1048/C1048</f>
        <v>0.57307673364854217</v>
      </c>
      <c r="Q1048" s="35">
        <v>16680</v>
      </c>
      <c r="R1048" s="66">
        <v>1152</v>
      </c>
      <c r="S1048" s="35">
        <f t="shared" ref="S1048:S1054" si="2268">Q1048/R1048</f>
        <v>14.479166666666666</v>
      </c>
      <c r="T1048" s="6">
        <f t="shared" ref="T1048:T1054" si="2269">S1048/C1048</f>
        <v>0.29566717962442568</v>
      </c>
      <c r="U1048" s="67">
        <v>0</v>
      </c>
      <c r="V1048" s="65">
        <v>0</v>
      </c>
      <c r="W1048" s="18" t="e">
        <f t="shared" ref="W1048:W1054" si="2270">U1048/V1048</f>
        <v>#DIV/0!</v>
      </c>
      <c r="X1048" s="9" t="e">
        <f t="shared" ref="X1048:X1054" si="2271">W1048/C1048</f>
        <v>#DIV/0!</v>
      </c>
      <c r="Y1048" s="67">
        <v>0</v>
      </c>
      <c r="Z1048" s="69">
        <v>0</v>
      </c>
      <c r="AA1048" s="34" t="e">
        <f t="shared" ref="AA1048:AA1054" si="2272">Y1048/Z1048</f>
        <v>#DIV/0!</v>
      </c>
      <c r="AB1048" s="10" t="e">
        <f t="shared" ref="AB1048:AB1054" si="2273">AA1048/C1048</f>
        <v>#DIV/0!</v>
      </c>
      <c r="AC1048" s="18">
        <v>11500</v>
      </c>
      <c r="AD1048" s="33">
        <v>832</v>
      </c>
      <c r="AE1048" s="34">
        <f t="shared" ref="AE1048:AE1054" si="2274">AC1048/AD1048</f>
        <v>13.822115384615385</v>
      </c>
      <c r="AF1048" s="9">
        <f t="shared" ref="AF1048:AF1054" si="2275">AE1048/C1048</f>
        <v>0.28225007462763385</v>
      </c>
      <c r="AG1048" s="67">
        <v>0</v>
      </c>
      <c r="AH1048" s="65">
        <v>0</v>
      </c>
      <c r="AI1048" s="34" t="e">
        <f t="shared" ref="AI1048:AI1054" si="2276">AG1048/AH1048</f>
        <v>#DIV/0!</v>
      </c>
      <c r="AJ1048" s="9" t="e">
        <f t="shared" ref="AJ1048:AJ1054" si="2277">AI1048/C1048</f>
        <v>#DIV/0!</v>
      </c>
      <c r="AK1048" s="67">
        <v>0</v>
      </c>
      <c r="AL1048" s="65">
        <v>0</v>
      </c>
      <c r="AM1048" s="34" t="e">
        <f t="shared" ref="AM1048:AM1054" si="2278">AK1048/AL1048</f>
        <v>#DIV/0!</v>
      </c>
      <c r="AN1048" s="9" t="e">
        <f t="shared" ref="AN1048:AN1054" si="2279">AM1048/C1048</f>
        <v>#DIV/0!</v>
      </c>
      <c r="AO1048" s="67">
        <v>1730</v>
      </c>
      <c r="AP1048" s="65">
        <v>240</v>
      </c>
      <c r="AQ1048" s="34">
        <f t="shared" ref="AQ1048:AQ1054" si="2280">AO1048/AP1048</f>
        <v>7.208333333333333</v>
      </c>
      <c r="AR1048" s="9">
        <f t="shared" ref="AR1048:AR1054" si="2281">AQ1048/C1048</f>
        <v>0.14719545920870689</v>
      </c>
      <c r="AS1048" s="67">
        <v>0</v>
      </c>
      <c r="AT1048" s="65">
        <v>0</v>
      </c>
      <c r="AU1048" s="34" t="e">
        <f t="shared" ref="AU1048:AU1054" si="2282">AS1048/AT1048</f>
        <v>#DIV/0!</v>
      </c>
      <c r="AV1048" s="9" t="e">
        <f t="shared" ref="AV1048:AV1054" si="2283">AU1048/C1048</f>
        <v>#DIV/0!</v>
      </c>
      <c r="AW1048" s="67">
        <v>0</v>
      </c>
      <c r="AX1048" s="65">
        <v>0</v>
      </c>
      <c r="AY1048" s="34" t="e">
        <f t="shared" ref="AY1048:AY1054" si="2284">AW1048/AX1048</f>
        <v>#DIV/0!</v>
      </c>
      <c r="AZ1048" s="9" t="e">
        <f t="shared" ref="AZ1048:AZ1054" si="2285">AY1048/C1048</f>
        <v>#DIV/0!</v>
      </c>
      <c r="BA1048" s="67">
        <v>0</v>
      </c>
      <c r="BB1048" s="65">
        <v>0</v>
      </c>
      <c r="BC1048" s="34" t="e">
        <f t="shared" ref="BC1048:BC1054" si="2286">BA1048/BB1048</f>
        <v>#DIV/0!</v>
      </c>
      <c r="BD1048" s="10" t="e">
        <f t="shared" ref="BD1048:BD1054" si="2287">BC1048/C1048</f>
        <v>#DIV/0!</v>
      </c>
    </row>
    <row r="1049" spans="1:56" ht="15.75" thickBot="1" x14ac:dyDescent="0.3">
      <c r="A1049" s="19" t="s">
        <v>16</v>
      </c>
      <c r="B1049" s="8">
        <v>87920</v>
      </c>
      <c r="C1049" s="35">
        <f>B1049/F1045</f>
        <v>57.61467889908257</v>
      </c>
      <c r="D1049" s="8">
        <v>1525</v>
      </c>
      <c r="E1049" s="68">
        <v>0</v>
      </c>
      <c r="F1049" s="70">
        <v>0</v>
      </c>
      <c r="G1049" s="35" t="e">
        <f t="shared" si="2262"/>
        <v>#DIV/0!</v>
      </c>
      <c r="H1049" s="11" t="e">
        <f t="shared" si="2263"/>
        <v>#DIV/0!</v>
      </c>
      <c r="I1049" s="35">
        <v>0</v>
      </c>
      <c r="J1049" s="70">
        <v>0</v>
      </c>
      <c r="K1049" s="35" t="e">
        <f t="shared" si="2264"/>
        <v>#DIV/0!</v>
      </c>
      <c r="L1049" s="6" t="e">
        <f t="shared" si="2265"/>
        <v>#DIV/0!</v>
      </c>
      <c r="M1049" s="68">
        <v>40440</v>
      </c>
      <c r="N1049" s="26">
        <v>1152</v>
      </c>
      <c r="O1049" s="35">
        <f t="shared" si="2266"/>
        <v>35.104166666666664</v>
      </c>
      <c r="P1049" s="11">
        <f t="shared" si="2267"/>
        <v>0.60929206475583864</v>
      </c>
      <c r="Q1049" s="35">
        <v>20650</v>
      </c>
      <c r="R1049" s="66">
        <v>1152</v>
      </c>
      <c r="S1049" s="35">
        <f t="shared" si="2268"/>
        <v>17.925347222222221</v>
      </c>
      <c r="T1049" s="6">
        <f t="shared" si="2269"/>
        <v>0.31112465720099081</v>
      </c>
      <c r="U1049" s="68">
        <v>0</v>
      </c>
      <c r="V1049" s="66">
        <v>0</v>
      </c>
      <c r="W1049" s="20" t="e">
        <f t="shared" si="2270"/>
        <v>#DIV/0!</v>
      </c>
      <c r="X1049" s="6" t="e">
        <f t="shared" si="2271"/>
        <v>#DIV/0!</v>
      </c>
      <c r="Y1049" s="68">
        <v>0</v>
      </c>
      <c r="Z1049" s="70">
        <v>0</v>
      </c>
      <c r="AA1049" s="35" t="e">
        <f t="shared" si="2272"/>
        <v>#DIV/0!</v>
      </c>
      <c r="AB1049" s="11" t="e">
        <f t="shared" si="2273"/>
        <v>#DIV/0!</v>
      </c>
      <c r="AC1049" s="20">
        <v>14710</v>
      </c>
      <c r="AD1049" s="33">
        <v>832</v>
      </c>
      <c r="AE1049" s="35">
        <f t="shared" si="2274"/>
        <v>17.68028846153846</v>
      </c>
      <c r="AF1049" s="6">
        <f t="shared" si="2275"/>
        <v>0.30687124877511018</v>
      </c>
      <c r="AG1049" s="68">
        <v>0</v>
      </c>
      <c r="AH1049" s="66">
        <v>0</v>
      </c>
      <c r="AI1049" s="35" t="e">
        <f t="shared" si="2276"/>
        <v>#DIV/0!</v>
      </c>
      <c r="AJ1049" s="6" t="e">
        <f t="shared" si="2277"/>
        <v>#DIV/0!</v>
      </c>
      <c r="AK1049" s="68">
        <v>0</v>
      </c>
      <c r="AL1049" s="66">
        <v>0</v>
      </c>
      <c r="AM1049" s="35" t="e">
        <f t="shared" si="2278"/>
        <v>#DIV/0!</v>
      </c>
      <c r="AN1049" s="6" t="e">
        <f t="shared" si="2279"/>
        <v>#DIV/0!</v>
      </c>
      <c r="AO1049" s="68">
        <v>2370</v>
      </c>
      <c r="AP1049" s="65">
        <v>240</v>
      </c>
      <c r="AQ1049" s="35">
        <f t="shared" si="2280"/>
        <v>9.875</v>
      </c>
      <c r="AR1049" s="6">
        <f t="shared" si="2281"/>
        <v>0.17139729299363057</v>
      </c>
      <c r="AS1049" s="68">
        <v>0</v>
      </c>
      <c r="AT1049" s="66">
        <v>0</v>
      </c>
      <c r="AU1049" s="35" t="e">
        <f t="shared" si="2282"/>
        <v>#DIV/0!</v>
      </c>
      <c r="AV1049" s="6" t="e">
        <f t="shared" si="2283"/>
        <v>#DIV/0!</v>
      </c>
      <c r="AW1049" s="68">
        <v>0</v>
      </c>
      <c r="AX1049" s="66">
        <v>0</v>
      </c>
      <c r="AY1049" s="35" t="e">
        <f t="shared" si="2284"/>
        <v>#DIV/0!</v>
      </c>
      <c r="AZ1049" s="6" t="e">
        <f t="shared" si="2285"/>
        <v>#DIV/0!</v>
      </c>
      <c r="BA1049" s="68">
        <v>0</v>
      </c>
      <c r="BB1049" s="66">
        <v>0</v>
      </c>
      <c r="BC1049" s="35" t="e">
        <f t="shared" si="2286"/>
        <v>#DIV/0!</v>
      </c>
      <c r="BD1049" s="11" t="e">
        <f t="shared" si="2287"/>
        <v>#DIV/0!</v>
      </c>
    </row>
    <row r="1050" spans="1:56" ht="15.75" thickBot="1" x14ac:dyDescent="0.3">
      <c r="A1050" s="19" t="s">
        <v>2</v>
      </c>
      <c r="B1050" s="8">
        <v>102700</v>
      </c>
      <c r="C1050" s="35">
        <f>B1050/F1045</f>
        <v>67.300131061598947</v>
      </c>
      <c r="D1050" s="8">
        <v>2100</v>
      </c>
      <c r="E1050" s="68">
        <v>0</v>
      </c>
      <c r="F1050" s="70">
        <v>0</v>
      </c>
      <c r="G1050" s="35" t="e">
        <f t="shared" si="2262"/>
        <v>#DIV/0!</v>
      </c>
      <c r="H1050" s="11" t="e">
        <f t="shared" si="2263"/>
        <v>#DIV/0!</v>
      </c>
      <c r="I1050" s="35">
        <v>0</v>
      </c>
      <c r="J1050" s="70">
        <v>0</v>
      </c>
      <c r="K1050" s="35" t="e">
        <f t="shared" si="2264"/>
        <v>#DIV/0!</v>
      </c>
      <c r="L1050" s="6" t="e">
        <f t="shared" si="2265"/>
        <v>#DIV/0!</v>
      </c>
      <c r="M1050" s="68">
        <v>46570</v>
      </c>
      <c r="N1050" s="26">
        <v>1152</v>
      </c>
      <c r="O1050" s="35">
        <f t="shared" si="2266"/>
        <v>40.425347222222221</v>
      </c>
      <c r="P1050" s="11">
        <f t="shared" si="2267"/>
        <v>0.60067263740127663</v>
      </c>
      <c r="Q1050" s="35">
        <v>23650</v>
      </c>
      <c r="R1050" s="66">
        <v>1152</v>
      </c>
      <c r="S1050" s="35">
        <f t="shared" si="2268"/>
        <v>20.529513888888889</v>
      </c>
      <c r="T1050" s="6">
        <f t="shared" si="2269"/>
        <v>0.30504418884561291</v>
      </c>
      <c r="U1050" s="68">
        <v>0</v>
      </c>
      <c r="V1050" s="66">
        <v>0</v>
      </c>
      <c r="W1050" s="20" t="e">
        <f t="shared" si="2270"/>
        <v>#DIV/0!</v>
      </c>
      <c r="X1050" s="6" t="e">
        <f t="shared" si="2271"/>
        <v>#DIV/0!</v>
      </c>
      <c r="Y1050" s="68">
        <v>0</v>
      </c>
      <c r="Z1050" s="70">
        <v>0</v>
      </c>
      <c r="AA1050" s="35" t="e">
        <f t="shared" si="2272"/>
        <v>#DIV/0!</v>
      </c>
      <c r="AB1050" s="11" t="e">
        <f t="shared" si="2273"/>
        <v>#DIV/0!</v>
      </c>
      <c r="AC1050" s="20">
        <v>19340</v>
      </c>
      <c r="AD1050" s="33">
        <v>832</v>
      </c>
      <c r="AE1050" s="35">
        <f t="shared" si="2274"/>
        <v>23.245192307692307</v>
      </c>
      <c r="AF1050" s="6">
        <f t="shared" si="2275"/>
        <v>0.34539594412403568</v>
      </c>
      <c r="AG1050" s="68">
        <v>0</v>
      </c>
      <c r="AH1050" s="66">
        <v>0</v>
      </c>
      <c r="AI1050" s="35" t="e">
        <f t="shared" si="2276"/>
        <v>#DIV/0!</v>
      </c>
      <c r="AJ1050" s="6" t="e">
        <f t="shared" si="2277"/>
        <v>#DIV/0!</v>
      </c>
      <c r="AK1050" s="68">
        <v>0</v>
      </c>
      <c r="AL1050" s="66">
        <v>0</v>
      </c>
      <c r="AM1050" s="35" t="e">
        <f t="shared" si="2278"/>
        <v>#DIV/0!</v>
      </c>
      <c r="AN1050" s="6" t="e">
        <f t="shared" si="2279"/>
        <v>#DIV/0!</v>
      </c>
      <c r="AO1050" s="68">
        <v>2490</v>
      </c>
      <c r="AP1050" s="65">
        <v>240</v>
      </c>
      <c r="AQ1050" s="35">
        <f t="shared" si="2280"/>
        <v>10.375</v>
      </c>
      <c r="AR1050" s="6">
        <f t="shared" si="2281"/>
        <v>0.15416017526777021</v>
      </c>
      <c r="AS1050" s="68">
        <v>0</v>
      </c>
      <c r="AT1050" s="66">
        <v>0</v>
      </c>
      <c r="AU1050" s="35" t="e">
        <f t="shared" si="2282"/>
        <v>#DIV/0!</v>
      </c>
      <c r="AV1050" s="6" t="e">
        <f t="shared" si="2283"/>
        <v>#DIV/0!</v>
      </c>
      <c r="AW1050" s="68">
        <v>0</v>
      </c>
      <c r="AX1050" s="66">
        <v>0</v>
      </c>
      <c r="AY1050" s="35" t="e">
        <f t="shared" si="2284"/>
        <v>#DIV/0!</v>
      </c>
      <c r="AZ1050" s="6" t="e">
        <f t="shared" si="2285"/>
        <v>#DIV/0!</v>
      </c>
      <c r="BA1050" s="68">
        <v>0</v>
      </c>
      <c r="BB1050" s="66">
        <v>0</v>
      </c>
      <c r="BC1050" s="35" t="e">
        <f t="shared" si="2286"/>
        <v>#DIV/0!</v>
      </c>
      <c r="BD1050" s="11" t="e">
        <f t="shared" si="2287"/>
        <v>#DIV/0!</v>
      </c>
    </row>
    <row r="1051" spans="1:56" ht="15.75" thickBot="1" x14ac:dyDescent="0.3">
      <c r="A1051" s="19" t="s">
        <v>3</v>
      </c>
      <c r="B1051" s="8">
        <v>124270</v>
      </c>
      <c r="C1051" s="35">
        <f>B1051/F1045</f>
        <v>81.43512450851901</v>
      </c>
      <c r="D1051" s="8">
        <v>2700</v>
      </c>
      <c r="E1051" s="68">
        <v>0</v>
      </c>
      <c r="F1051" s="70">
        <v>0</v>
      </c>
      <c r="G1051" s="35" t="e">
        <f t="shared" si="2262"/>
        <v>#DIV/0!</v>
      </c>
      <c r="H1051" s="11" t="e">
        <f t="shared" si="2263"/>
        <v>#DIV/0!</v>
      </c>
      <c r="I1051" s="35">
        <v>0</v>
      </c>
      <c r="J1051" s="70">
        <v>0</v>
      </c>
      <c r="K1051" s="35" t="e">
        <f t="shared" si="2264"/>
        <v>#DIV/0!</v>
      </c>
      <c r="L1051" s="6" t="e">
        <f t="shared" si="2265"/>
        <v>#DIV/0!</v>
      </c>
      <c r="M1051" s="68">
        <v>53790</v>
      </c>
      <c r="N1051" s="26">
        <v>1152</v>
      </c>
      <c r="O1051" s="35">
        <f t="shared" si="2266"/>
        <v>46.692708333333336</v>
      </c>
      <c r="P1051" s="11">
        <f t="shared" si="2267"/>
        <v>0.57337308213298999</v>
      </c>
      <c r="Q1051" s="35">
        <v>27520</v>
      </c>
      <c r="R1051" s="66">
        <v>1152</v>
      </c>
      <c r="S1051" s="35">
        <f t="shared" si="2268"/>
        <v>23.888888888888889</v>
      </c>
      <c r="T1051" s="6">
        <f t="shared" si="2269"/>
        <v>0.29334871203383311</v>
      </c>
      <c r="U1051" s="68">
        <v>0</v>
      </c>
      <c r="V1051" s="66">
        <v>0</v>
      </c>
      <c r="W1051" s="20" t="e">
        <f t="shared" si="2270"/>
        <v>#DIV/0!</v>
      </c>
      <c r="X1051" s="6" t="e">
        <f t="shared" si="2271"/>
        <v>#DIV/0!</v>
      </c>
      <c r="Y1051" s="68">
        <v>0</v>
      </c>
      <c r="Z1051" s="70">
        <v>0</v>
      </c>
      <c r="AA1051" s="35" t="e">
        <f t="shared" si="2272"/>
        <v>#DIV/0!</v>
      </c>
      <c r="AB1051" s="11" t="e">
        <f t="shared" si="2273"/>
        <v>#DIV/0!</v>
      </c>
      <c r="AC1051" s="20">
        <v>20580</v>
      </c>
      <c r="AD1051" s="33">
        <v>832</v>
      </c>
      <c r="AE1051" s="35">
        <f t="shared" si="2274"/>
        <v>24.735576923076923</v>
      </c>
      <c r="AF1051" s="6">
        <f t="shared" si="2275"/>
        <v>0.30374579854039901</v>
      </c>
      <c r="AG1051" s="68">
        <v>0</v>
      </c>
      <c r="AH1051" s="66">
        <v>0</v>
      </c>
      <c r="AI1051" s="35" t="e">
        <f t="shared" si="2276"/>
        <v>#DIV/0!</v>
      </c>
      <c r="AJ1051" s="6" t="e">
        <f t="shared" si="2277"/>
        <v>#DIV/0!</v>
      </c>
      <c r="AK1051" s="68">
        <v>0</v>
      </c>
      <c r="AL1051" s="66">
        <v>0</v>
      </c>
      <c r="AM1051" s="35" t="e">
        <f t="shared" si="2278"/>
        <v>#DIV/0!</v>
      </c>
      <c r="AN1051" s="6" t="e">
        <f t="shared" si="2279"/>
        <v>#DIV/0!</v>
      </c>
      <c r="AO1051" s="68">
        <v>2610</v>
      </c>
      <c r="AP1051" s="65">
        <v>240</v>
      </c>
      <c r="AQ1051" s="35">
        <f t="shared" si="2280"/>
        <v>10.875</v>
      </c>
      <c r="AR1051" s="6">
        <f t="shared" si="2281"/>
        <v>0.13354188460609961</v>
      </c>
      <c r="AS1051" s="68">
        <v>0</v>
      </c>
      <c r="AT1051" s="66">
        <v>0</v>
      </c>
      <c r="AU1051" s="35" t="e">
        <f t="shared" si="2282"/>
        <v>#DIV/0!</v>
      </c>
      <c r="AV1051" s="6" t="e">
        <f t="shared" si="2283"/>
        <v>#DIV/0!</v>
      </c>
      <c r="AW1051" s="68">
        <v>0</v>
      </c>
      <c r="AX1051" s="66">
        <v>0</v>
      </c>
      <c r="AY1051" s="35" t="e">
        <f t="shared" si="2284"/>
        <v>#DIV/0!</v>
      </c>
      <c r="AZ1051" s="6" t="e">
        <f t="shared" si="2285"/>
        <v>#DIV/0!</v>
      </c>
      <c r="BA1051" s="68">
        <v>0</v>
      </c>
      <c r="BB1051" s="66">
        <v>0</v>
      </c>
      <c r="BC1051" s="35" t="e">
        <f t="shared" si="2286"/>
        <v>#DIV/0!</v>
      </c>
      <c r="BD1051" s="11" t="e">
        <f t="shared" si="2287"/>
        <v>#DIV/0!</v>
      </c>
    </row>
    <row r="1052" spans="1:56" ht="15.75" thickBot="1" x14ac:dyDescent="0.3">
      <c r="A1052" s="19" t="s">
        <v>4</v>
      </c>
      <c r="B1052" s="8">
        <v>154290</v>
      </c>
      <c r="C1052" s="35">
        <f>B1052/F1045</f>
        <v>101.10747051114024</v>
      </c>
      <c r="D1052" s="8">
        <v>5250</v>
      </c>
      <c r="E1052" s="68">
        <v>0</v>
      </c>
      <c r="F1052" s="70">
        <v>0</v>
      </c>
      <c r="G1052" s="35" t="e">
        <f t="shared" si="2262"/>
        <v>#DIV/0!</v>
      </c>
      <c r="H1052" s="11" t="e">
        <f t="shared" si="2263"/>
        <v>#DIV/0!</v>
      </c>
      <c r="I1052" s="35">
        <v>0</v>
      </c>
      <c r="J1052" s="70">
        <v>0</v>
      </c>
      <c r="K1052" s="35" t="e">
        <f t="shared" si="2264"/>
        <v>#DIV/0!</v>
      </c>
      <c r="L1052" s="6" t="e">
        <f t="shared" si="2265"/>
        <v>#DIV/0!</v>
      </c>
      <c r="M1052" s="68">
        <v>76150</v>
      </c>
      <c r="N1052" s="26">
        <v>1152</v>
      </c>
      <c r="O1052" s="35">
        <f t="shared" si="2266"/>
        <v>66.102430555555557</v>
      </c>
      <c r="P1052" s="11">
        <f t="shared" si="2267"/>
        <v>0.65378384229553299</v>
      </c>
      <c r="Q1052" s="35">
        <v>36730</v>
      </c>
      <c r="R1052" s="66">
        <v>1152</v>
      </c>
      <c r="S1052" s="35">
        <f t="shared" si="2268"/>
        <v>31.883680555555557</v>
      </c>
      <c r="T1052" s="6">
        <f t="shared" si="2269"/>
        <v>0.31534445866730043</v>
      </c>
      <c r="U1052" s="68">
        <v>0</v>
      </c>
      <c r="V1052" s="66">
        <v>0</v>
      </c>
      <c r="W1052" s="20" t="e">
        <f t="shared" si="2270"/>
        <v>#DIV/0!</v>
      </c>
      <c r="X1052" s="6" t="e">
        <f t="shared" si="2271"/>
        <v>#DIV/0!</v>
      </c>
      <c r="Y1052" s="68">
        <v>0</v>
      </c>
      <c r="Z1052" s="70">
        <v>0</v>
      </c>
      <c r="AA1052" s="35" t="e">
        <f t="shared" si="2272"/>
        <v>#DIV/0!</v>
      </c>
      <c r="AB1052" s="11" t="e">
        <f t="shared" si="2273"/>
        <v>#DIV/0!</v>
      </c>
      <c r="AC1052" s="20">
        <v>23380</v>
      </c>
      <c r="AD1052" s="33">
        <v>832</v>
      </c>
      <c r="AE1052" s="35">
        <f t="shared" si="2274"/>
        <v>28.10096153846154</v>
      </c>
      <c r="AF1052" s="6">
        <f t="shared" si="2275"/>
        <v>0.27793160482009405</v>
      </c>
      <c r="AG1052" s="68">
        <v>0</v>
      </c>
      <c r="AH1052" s="66">
        <v>0</v>
      </c>
      <c r="AI1052" s="35" t="e">
        <f t="shared" si="2276"/>
        <v>#DIV/0!</v>
      </c>
      <c r="AJ1052" s="6" t="e">
        <f t="shared" si="2277"/>
        <v>#DIV/0!</v>
      </c>
      <c r="AK1052" s="68">
        <v>0</v>
      </c>
      <c r="AL1052" s="66">
        <v>0</v>
      </c>
      <c r="AM1052" s="35" t="e">
        <f t="shared" si="2278"/>
        <v>#DIV/0!</v>
      </c>
      <c r="AN1052" s="6" t="e">
        <f t="shared" si="2279"/>
        <v>#DIV/0!</v>
      </c>
      <c r="AO1052" s="68">
        <v>3460</v>
      </c>
      <c r="AP1052" s="65">
        <v>240</v>
      </c>
      <c r="AQ1052" s="35">
        <f t="shared" si="2280"/>
        <v>14.416666666666666</v>
      </c>
      <c r="AR1052" s="6">
        <f t="shared" si="2281"/>
        <v>0.14258755158035732</v>
      </c>
      <c r="AS1052" s="68">
        <v>0</v>
      </c>
      <c r="AT1052" s="66">
        <v>0</v>
      </c>
      <c r="AU1052" s="35" t="e">
        <f t="shared" si="2282"/>
        <v>#DIV/0!</v>
      </c>
      <c r="AV1052" s="6" t="e">
        <f t="shared" si="2283"/>
        <v>#DIV/0!</v>
      </c>
      <c r="AW1052" s="68">
        <v>0</v>
      </c>
      <c r="AX1052" s="66">
        <v>0</v>
      </c>
      <c r="AY1052" s="35" t="e">
        <f t="shared" si="2284"/>
        <v>#DIV/0!</v>
      </c>
      <c r="AZ1052" s="6" t="e">
        <f t="shared" si="2285"/>
        <v>#DIV/0!</v>
      </c>
      <c r="BA1052" s="68">
        <v>0</v>
      </c>
      <c r="BB1052" s="66">
        <v>0</v>
      </c>
      <c r="BC1052" s="35" t="e">
        <f t="shared" si="2286"/>
        <v>#DIV/0!</v>
      </c>
      <c r="BD1052" s="11" t="e">
        <f t="shared" si="2287"/>
        <v>#DIV/0!</v>
      </c>
    </row>
    <row r="1053" spans="1:56" ht="15.75" thickBot="1" x14ac:dyDescent="0.3">
      <c r="A1053" s="19" t="s">
        <v>5</v>
      </c>
      <c r="B1053" s="8">
        <v>203630</v>
      </c>
      <c r="C1053" s="35">
        <f>B1053/F1045</f>
        <v>133.44036697247705</v>
      </c>
      <c r="D1053" s="8">
        <v>7050</v>
      </c>
      <c r="E1053" s="68">
        <v>0</v>
      </c>
      <c r="F1053" s="70">
        <v>0</v>
      </c>
      <c r="G1053" s="35" t="e">
        <f t="shared" si="2262"/>
        <v>#DIV/0!</v>
      </c>
      <c r="H1053" s="11" t="e">
        <f t="shared" si="2263"/>
        <v>#DIV/0!</v>
      </c>
      <c r="I1053" s="35">
        <v>0</v>
      </c>
      <c r="J1053" s="70">
        <v>0</v>
      </c>
      <c r="K1053" s="35" t="e">
        <f t="shared" si="2264"/>
        <v>#DIV/0!</v>
      </c>
      <c r="L1053" s="6" t="e">
        <f t="shared" si="2265"/>
        <v>#DIV/0!</v>
      </c>
      <c r="M1053" s="68">
        <v>86140</v>
      </c>
      <c r="N1053" s="26">
        <v>1152</v>
      </c>
      <c r="O1053" s="35">
        <f t="shared" si="2266"/>
        <v>74.774305555555557</v>
      </c>
      <c r="P1053" s="11">
        <f t="shared" si="2267"/>
        <v>0.56035746342767667</v>
      </c>
      <c r="Q1053" s="35">
        <v>42640</v>
      </c>
      <c r="R1053" s="66">
        <v>1152</v>
      </c>
      <c r="S1053" s="35">
        <f t="shared" si="2268"/>
        <v>37.013888888888886</v>
      </c>
      <c r="T1053" s="6">
        <f t="shared" si="2269"/>
        <v>0.27738149803292467</v>
      </c>
      <c r="U1053" s="68">
        <v>0</v>
      </c>
      <c r="V1053" s="66">
        <v>0</v>
      </c>
      <c r="W1053" s="20" t="e">
        <f t="shared" si="2270"/>
        <v>#DIV/0!</v>
      </c>
      <c r="X1053" s="6" t="e">
        <f t="shared" si="2271"/>
        <v>#DIV/0!</v>
      </c>
      <c r="Y1053" s="68">
        <v>0</v>
      </c>
      <c r="Z1053" s="70">
        <v>0</v>
      </c>
      <c r="AA1053" s="35" t="e">
        <f t="shared" si="2272"/>
        <v>#DIV/0!</v>
      </c>
      <c r="AB1053" s="11" t="e">
        <f t="shared" si="2273"/>
        <v>#DIV/0!</v>
      </c>
      <c r="AC1053" s="20">
        <v>24190</v>
      </c>
      <c r="AD1053" s="33">
        <v>832</v>
      </c>
      <c r="AE1053" s="35">
        <f t="shared" si="2274"/>
        <v>29.07451923076923</v>
      </c>
      <c r="AF1053" s="6">
        <f t="shared" si="2275"/>
        <v>0.21788398736018194</v>
      </c>
      <c r="AG1053" s="68">
        <v>0</v>
      </c>
      <c r="AH1053" s="66">
        <v>0</v>
      </c>
      <c r="AI1053" s="35" t="e">
        <f t="shared" si="2276"/>
        <v>#DIV/0!</v>
      </c>
      <c r="AJ1053" s="6" t="e">
        <f t="shared" si="2277"/>
        <v>#DIV/0!</v>
      </c>
      <c r="AK1053" s="68">
        <v>0</v>
      </c>
      <c r="AL1053" s="66">
        <v>0</v>
      </c>
      <c r="AM1053" s="35" t="e">
        <f t="shared" si="2278"/>
        <v>#DIV/0!</v>
      </c>
      <c r="AN1053" s="6" t="e">
        <f t="shared" si="2279"/>
        <v>#DIV/0!</v>
      </c>
      <c r="AO1053" s="68">
        <v>4200</v>
      </c>
      <c r="AP1053" s="65">
        <v>240</v>
      </c>
      <c r="AQ1053" s="35">
        <f t="shared" si="2280"/>
        <v>17.5</v>
      </c>
      <c r="AR1053" s="6">
        <f t="shared" si="2281"/>
        <v>0.13114472327260229</v>
      </c>
      <c r="AS1053" s="68">
        <v>0</v>
      </c>
      <c r="AT1053" s="66">
        <v>0</v>
      </c>
      <c r="AU1053" s="35" t="e">
        <f t="shared" si="2282"/>
        <v>#DIV/0!</v>
      </c>
      <c r="AV1053" s="6" t="e">
        <f t="shared" si="2283"/>
        <v>#DIV/0!</v>
      </c>
      <c r="AW1053" s="68">
        <v>0</v>
      </c>
      <c r="AX1053" s="66">
        <v>0</v>
      </c>
      <c r="AY1053" s="35" t="e">
        <f t="shared" si="2284"/>
        <v>#DIV/0!</v>
      </c>
      <c r="AZ1053" s="6" t="e">
        <f t="shared" si="2285"/>
        <v>#DIV/0!</v>
      </c>
      <c r="BA1053" s="68">
        <v>0</v>
      </c>
      <c r="BB1053" s="66">
        <v>0</v>
      </c>
      <c r="BC1053" s="35" t="e">
        <f t="shared" si="2286"/>
        <v>#DIV/0!</v>
      </c>
      <c r="BD1053" s="11" t="e">
        <f t="shared" si="2287"/>
        <v>#DIV/0!</v>
      </c>
    </row>
    <row r="1054" spans="1:56" x14ac:dyDescent="0.25">
      <c r="A1054" s="19" t="s">
        <v>6</v>
      </c>
      <c r="B1054" s="8">
        <v>248000</v>
      </c>
      <c r="C1054" s="35">
        <f>B1054/F1045</f>
        <v>162.51638269986893</v>
      </c>
      <c r="D1054" s="8">
        <v>10950</v>
      </c>
      <c r="E1054" s="68">
        <v>0</v>
      </c>
      <c r="F1054" s="70">
        <v>0</v>
      </c>
      <c r="G1054" s="35" t="e">
        <f t="shared" si="2262"/>
        <v>#DIV/0!</v>
      </c>
      <c r="H1054" s="11" t="e">
        <f t="shared" si="2263"/>
        <v>#DIV/0!</v>
      </c>
      <c r="I1054" s="35">
        <v>0</v>
      </c>
      <c r="J1054" s="70">
        <v>0</v>
      </c>
      <c r="K1054" s="35" t="e">
        <f t="shared" si="2264"/>
        <v>#DIV/0!</v>
      </c>
      <c r="L1054" s="6" t="e">
        <f t="shared" si="2265"/>
        <v>#DIV/0!</v>
      </c>
      <c r="M1054" s="68">
        <v>107750</v>
      </c>
      <c r="N1054" s="26">
        <v>1152</v>
      </c>
      <c r="O1054" s="35">
        <f t="shared" si="2266"/>
        <v>93.532986111111114</v>
      </c>
      <c r="P1054" s="11">
        <f t="shared" si="2267"/>
        <v>0.57552958389336928</v>
      </c>
      <c r="Q1054" s="35">
        <v>55400</v>
      </c>
      <c r="R1054" s="66">
        <v>1152</v>
      </c>
      <c r="S1054" s="35">
        <f t="shared" si="2268"/>
        <v>48.090277777777779</v>
      </c>
      <c r="T1054" s="6">
        <f t="shared" si="2269"/>
        <v>0.29591033826164875</v>
      </c>
      <c r="U1054" s="68">
        <v>0</v>
      </c>
      <c r="V1054" s="66">
        <v>0</v>
      </c>
      <c r="W1054" s="20" t="e">
        <f t="shared" si="2270"/>
        <v>#DIV/0!</v>
      </c>
      <c r="X1054" s="6" t="e">
        <f t="shared" si="2271"/>
        <v>#DIV/0!</v>
      </c>
      <c r="Y1054" s="68">
        <v>0</v>
      </c>
      <c r="Z1054" s="70">
        <v>0</v>
      </c>
      <c r="AA1054" s="35" t="e">
        <f t="shared" si="2272"/>
        <v>#DIV/0!</v>
      </c>
      <c r="AB1054" s="11" t="e">
        <f t="shared" si="2273"/>
        <v>#DIV/0!</v>
      </c>
      <c r="AC1054" s="20">
        <v>35320</v>
      </c>
      <c r="AD1054" s="33">
        <v>832</v>
      </c>
      <c r="AE1054" s="35">
        <f t="shared" si="2274"/>
        <v>42.45192307692308</v>
      </c>
      <c r="AF1054" s="6">
        <f t="shared" si="2275"/>
        <v>0.26121626861042185</v>
      </c>
      <c r="AG1054" s="68">
        <v>0</v>
      </c>
      <c r="AH1054" s="66">
        <v>0</v>
      </c>
      <c r="AI1054" s="35" t="e">
        <f t="shared" si="2276"/>
        <v>#DIV/0!</v>
      </c>
      <c r="AJ1054" s="6" t="e">
        <f t="shared" si="2277"/>
        <v>#DIV/0!</v>
      </c>
      <c r="AK1054" s="68">
        <v>0</v>
      </c>
      <c r="AL1054" s="66">
        <v>0</v>
      </c>
      <c r="AM1054" s="35" t="e">
        <f t="shared" si="2278"/>
        <v>#DIV/0!</v>
      </c>
      <c r="AN1054" s="6" t="e">
        <f t="shared" si="2279"/>
        <v>#DIV/0!</v>
      </c>
      <c r="AO1054" s="68">
        <v>4480</v>
      </c>
      <c r="AP1054" s="65">
        <v>240</v>
      </c>
      <c r="AQ1054" s="35">
        <f t="shared" si="2280"/>
        <v>18.666666666666668</v>
      </c>
      <c r="AR1054" s="6">
        <f t="shared" si="2281"/>
        <v>0.11486021505376345</v>
      </c>
      <c r="AS1054" s="68">
        <v>0</v>
      </c>
      <c r="AT1054" s="66">
        <v>0</v>
      </c>
      <c r="AU1054" s="35" t="e">
        <f t="shared" si="2282"/>
        <v>#DIV/0!</v>
      </c>
      <c r="AV1054" s="6" t="e">
        <f t="shared" si="2283"/>
        <v>#DIV/0!</v>
      </c>
      <c r="AW1054" s="68">
        <v>0</v>
      </c>
      <c r="AX1054" s="66">
        <v>0</v>
      </c>
      <c r="AY1054" s="35" t="e">
        <f t="shared" si="2284"/>
        <v>#DIV/0!</v>
      </c>
      <c r="AZ1054" s="6" t="e">
        <f t="shared" si="2285"/>
        <v>#DIV/0!</v>
      </c>
      <c r="BA1054" s="68">
        <v>0</v>
      </c>
      <c r="BB1054" s="66">
        <v>0</v>
      </c>
      <c r="BC1054" s="35" t="e">
        <f t="shared" si="2286"/>
        <v>#DIV/0!</v>
      </c>
      <c r="BD1054" s="11" t="e">
        <f t="shared" si="2287"/>
        <v>#DIV/0!</v>
      </c>
    </row>
    <row r="1055" spans="1:56" ht="15.75" thickBot="1" x14ac:dyDescent="0.3">
      <c r="A1055" s="21"/>
      <c r="B1055" s="22"/>
      <c r="C1055" s="23">
        <f>AVERAGE(Table1107985[MA $/Sq Ft])</f>
        <v>93.197903014416767</v>
      </c>
      <c r="D1055" s="22">
        <f>AVERAGE(Table1107985[Basic Allowance])</f>
        <v>4442.8571428571431</v>
      </c>
      <c r="E1055" s="16"/>
      <c r="F1055" s="22"/>
      <c r="G1055" s="15"/>
      <c r="H1055" s="24" t="e">
        <f>AVERAGE(Table1107985[Bsmt % Base])</f>
        <v>#DIV/0!</v>
      </c>
      <c r="I1055" s="15"/>
      <c r="J1055" s="15"/>
      <c r="K1055" s="15"/>
      <c r="L1055" s="25" t="e">
        <f>AVERAGE(Table1107985[[#Headers],[#Data],[UnfBsmt % Base]])</f>
        <v>#DIV/0!</v>
      </c>
      <c r="M1055" s="44"/>
      <c r="N1055" s="15"/>
      <c r="O1055" s="23">
        <f>AVERAGE(Table1107985[LowerVal/SqFt])</f>
        <v>54.956597222222221</v>
      </c>
      <c r="P1055" s="24">
        <f>AVERAGE(Table1107985[Lower % Base])</f>
        <v>0.59229791536503229</v>
      </c>
      <c r="Q1055" s="13"/>
      <c r="R1055" s="13"/>
      <c r="S1055" s="13"/>
      <c r="T1055" s="25">
        <f>AVERAGE(Table1107985[Unf Lower % Base])</f>
        <v>0.2991172903809623</v>
      </c>
      <c r="U1055" s="12"/>
      <c r="V1055" s="13"/>
      <c r="W1055" s="13"/>
      <c r="X1055" s="25" t="e">
        <f>AVERAGE(Table1107985[1/2 Story % Base])</f>
        <v>#DIV/0!</v>
      </c>
      <c r="Y1055" s="12"/>
      <c r="Z1055" s="13"/>
      <c r="AA1055" s="13"/>
      <c r="AB1055" s="24" t="e">
        <f>AVERAGE(Table1107985[2nd Story % Base])</f>
        <v>#DIV/0!</v>
      </c>
      <c r="AC1055" s="13"/>
      <c r="AD1055" s="13"/>
      <c r="AE1055" s="23">
        <f>AVERAGE(Table1107985[AttGarVal/SqFt])</f>
        <v>25.587225274725274</v>
      </c>
      <c r="AF1055" s="25">
        <f>AVERAGE(Table1107985[Att Gar % Base])</f>
        <v>0.28504213240826809</v>
      </c>
      <c r="AG1055" s="12"/>
      <c r="AH1055" s="13"/>
      <c r="AI1055" s="13"/>
      <c r="AJ1055" s="25" t="e">
        <f>AVERAGE(Table1107985[Porch % Base])</f>
        <v>#DIV/0!</v>
      </c>
      <c r="AK1055" s="12"/>
      <c r="AL1055" s="13"/>
      <c r="AM1055" s="13"/>
      <c r="AN1055" s="25" t="e">
        <f>AVERAGE(Table1107985[Cov Porch % Base])</f>
        <v>#DIV/0!</v>
      </c>
      <c r="AO1055" s="12"/>
      <c r="AP1055" s="13"/>
      <c r="AQ1055" s="13"/>
      <c r="AR1055" s="25">
        <f>AVERAGE(Table1107985[Deck % Base])</f>
        <v>0.1421267574261329</v>
      </c>
      <c r="AS1055" s="12"/>
      <c r="AT1055" s="13"/>
      <c r="AU1055" s="23" t="e">
        <f>AVERAGE(Table1107985[CovDeckVal/SqFt])</f>
        <v>#DIV/0!</v>
      </c>
      <c r="AV1055" s="25" t="e">
        <f>AVERAGE(Table1107985[CovDeck % Base])</f>
        <v>#DIV/0!</v>
      </c>
      <c r="AW1055" s="12"/>
      <c r="AX1055" s="13"/>
      <c r="AY1055" s="13"/>
      <c r="AZ1055" s="25" t="e">
        <f>AVERAGE(Table1107985[CarP % Base])</f>
        <v>#DIV/0!</v>
      </c>
      <c r="BA1055" s="12"/>
      <c r="BB1055" s="13"/>
      <c r="BC1055" s="13"/>
      <c r="BD1055" s="24" t="e">
        <f>AVERAGE(Table1107985[EFP % Base])</f>
        <v>#DIV/0!</v>
      </c>
    </row>
    <row r="1057" spans="1:56" ht="15.75" thickBot="1" x14ac:dyDescent="0.3">
      <c r="A1057" s="82"/>
      <c r="B1057" t="s">
        <v>79</v>
      </c>
      <c r="C1057" s="78" t="s">
        <v>191</v>
      </c>
      <c r="E1057" t="s">
        <v>33</v>
      </c>
      <c r="F1057" s="79">
        <v>1630</v>
      </c>
      <c r="H1057" t="s">
        <v>80</v>
      </c>
      <c r="I1057" t="s">
        <v>203</v>
      </c>
    </row>
    <row r="1058" spans="1:56" x14ac:dyDescent="0.25">
      <c r="A1058" s="112"/>
      <c r="B1058" s="113"/>
      <c r="C1058" s="113"/>
      <c r="D1058" s="114"/>
      <c r="E1058" s="115" t="s">
        <v>27</v>
      </c>
      <c r="F1058" s="116"/>
      <c r="G1058" s="116"/>
      <c r="H1058" s="117"/>
      <c r="I1058" s="118" t="s">
        <v>28</v>
      </c>
      <c r="J1058" s="119"/>
      <c r="K1058" s="119"/>
      <c r="L1058" s="120"/>
      <c r="M1058" s="121" t="s">
        <v>7</v>
      </c>
      <c r="N1058" s="122"/>
      <c r="O1058" s="122"/>
      <c r="P1058" s="123"/>
      <c r="Q1058" s="124" t="s">
        <v>29</v>
      </c>
      <c r="R1058" s="125"/>
      <c r="S1058" s="125"/>
      <c r="T1058" s="126"/>
      <c r="U1058" s="127" t="s">
        <v>8</v>
      </c>
      <c r="V1058" s="128"/>
      <c r="W1058" s="128"/>
      <c r="X1058" s="129"/>
      <c r="Y1058" s="130" t="s">
        <v>0</v>
      </c>
      <c r="Z1058" s="131"/>
      <c r="AA1058" s="131"/>
      <c r="AB1058" s="132"/>
      <c r="AC1058" s="133" t="s">
        <v>34</v>
      </c>
      <c r="AD1058" s="134"/>
      <c r="AE1058" s="134"/>
      <c r="AF1058" s="135"/>
      <c r="AG1058" s="115" t="s">
        <v>9</v>
      </c>
      <c r="AH1058" s="116"/>
      <c r="AI1058" s="116"/>
      <c r="AJ1058" s="117"/>
      <c r="AK1058" s="136" t="s">
        <v>35</v>
      </c>
      <c r="AL1058" s="137"/>
      <c r="AM1058" s="137"/>
      <c r="AN1058" s="138"/>
      <c r="AO1058" s="139" t="s">
        <v>10</v>
      </c>
      <c r="AP1058" s="140"/>
      <c r="AQ1058" s="140"/>
      <c r="AR1058" s="141"/>
      <c r="AS1058" s="124" t="s">
        <v>36</v>
      </c>
      <c r="AT1058" s="125"/>
      <c r="AU1058" s="125"/>
      <c r="AV1058" s="126"/>
      <c r="AW1058" s="142" t="s">
        <v>11</v>
      </c>
      <c r="AX1058" s="143"/>
      <c r="AY1058" s="143"/>
      <c r="AZ1058" s="144"/>
      <c r="BA1058" s="145" t="s">
        <v>130</v>
      </c>
      <c r="BB1058" s="146"/>
      <c r="BC1058" s="146"/>
      <c r="BD1058" s="147"/>
    </row>
    <row r="1059" spans="1:56" s="1" customFormat="1" ht="15.75" thickBot="1" x14ac:dyDescent="0.3">
      <c r="A1059" s="41" t="s">
        <v>13</v>
      </c>
      <c r="B1059" s="42" t="s">
        <v>15</v>
      </c>
      <c r="C1059" s="42" t="s">
        <v>32</v>
      </c>
      <c r="D1059" s="43" t="s">
        <v>18</v>
      </c>
      <c r="E1059" s="30" t="s">
        <v>30</v>
      </c>
      <c r="F1059" s="31" t="s">
        <v>61</v>
      </c>
      <c r="G1059" s="31" t="s">
        <v>38</v>
      </c>
      <c r="H1059" s="32" t="s">
        <v>62</v>
      </c>
      <c r="I1059" s="37" t="s">
        <v>31</v>
      </c>
      <c r="J1059" s="38" t="s">
        <v>39</v>
      </c>
      <c r="K1059" s="38" t="s">
        <v>40</v>
      </c>
      <c r="L1059" s="39" t="s">
        <v>63</v>
      </c>
      <c r="M1059" s="40" t="s">
        <v>19</v>
      </c>
      <c r="N1059" s="7" t="s">
        <v>41</v>
      </c>
      <c r="O1059" s="7" t="s">
        <v>37</v>
      </c>
      <c r="P1059" s="7" t="s">
        <v>64</v>
      </c>
      <c r="Q1059" s="27" t="s">
        <v>20</v>
      </c>
      <c r="R1059" s="28" t="s">
        <v>60</v>
      </c>
      <c r="S1059" s="28" t="s">
        <v>59</v>
      </c>
      <c r="T1059" s="29" t="s">
        <v>65</v>
      </c>
      <c r="U1059" s="48" t="s">
        <v>21</v>
      </c>
      <c r="V1059" s="48" t="s">
        <v>42</v>
      </c>
      <c r="W1059" s="48" t="s">
        <v>43</v>
      </c>
      <c r="X1059" s="49" t="s">
        <v>66</v>
      </c>
      <c r="Y1059" s="50" t="s">
        <v>22</v>
      </c>
      <c r="Z1059" s="51" t="s">
        <v>44</v>
      </c>
      <c r="AA1059" s="51" t="s">
        <v>45</v>
      </c>
      <c r="AB1059" s="52" t="s">
        <v>67</v>
      </c>
      <c r="AC1059" s="45" t="s">
        <v>23</v>
      </c>
      <c r="AD1059" s="46" t="s">
        <v>46</v>
      </c>
      <c r="AE1059" s="46" t="s">
        <v>47</v>
      </c>
      <c r="AF1059" s="47" t="s">
        <v>68</v>
      </c>
      <c r="AG1059" s="30" t="s">
        <v>24</v>
      </c>
      <c r="AH1059" s="31" t="s">
        <v>48</v>
      </c>
      <c r="AI1059" s="31" t="s">
        <v>49</v>
      </c>
      <c r="AJ1059" s="32" t="s">
        <v>69</v>
      </c>
      <c r="AK1059" s="53" t="s">
        <v>25</v>
      </c>
      <c r="AL1059" s="54" t="s">
        <v>50</v>
      </c>
      <c r="AM1059" s="54" t="s">
        <v>51</v>
      </c>
      <c r="AN1059" s="55" t="s">
        <v>70</v>
      </c>
      <c r="AO1059" s="56" t="s">
        <v>26</v>
      </c>
      <c r="AP1059" s="57" t="s">
        <v>52</v>
      </c>
      <c r="AQ1059" s="57" t="s">
        <v>53</v>
      </c>
      <c r="AR1059" s="58" t="s">
        <v>71</v>
      </c>
      <c r="AS1059" s="59" t="s">
        <v>55</v>
      </c>
      <c r="AT1059" s="60" t="s">
        <v>54</v>
      </c>
      <c r="AU1059" s="60" t="s">
        <v>56</v>
      </c>
      <c r="AV1059" s="61" t="s">
        <v>76</v>
      </c>
      <c r="AW1059" s="62" t="s">
        <v>72</v>
      </c>
      <c r="AX1059" s="63" t="s">
        <v>73</v>
      </c>
      <c r="AY1059" s="63" t="s">
        <v>74</v>
      </c>
      <c r="AZ1059" s="64" t="s">
        <v>75</v>
      </c>
      <c r="BA1059" s="71" t="s">
        <v>77</v>
      </c>
      <c r="BB1059" s="72" t="s">
        <v>57</v>
      </c>
      <c r="BC1059" s="72" t="s">
        <v>58</v>
      </c>
      <c r="BD1059" s="73" t="s">
        <v>78</v>
      </c>
    </row>
    <row r="1060" spans="1:56" ht="15.75" thickBot="1" x14ac:dyDescent="0.3">
      <c r="A1060" s="17" t="s">
        <v>1</v>
      </c>
      <c r="B1060" s="14">
        <v>79120</v>
      </c>
      <c r="C1060" s="34">
        <f>B1060/F1057</f>
        <v>48.539877300613497</v>
      </c>
      <c r="D1060" s="14">
        <v>1525</v>
      </c>
      <c r="E1060" s="67">
        <v>0</v>
      </c>
      <c r="F1060" s="69">
        <v>0</v>
      </c>
      <c r="G1060" s="34" t="e">
        <f t="shared" ref="G1060:G1066" si="2288">E1060/F1060</f>
        <v>#DIV/0!</v>
      </c>
      <c r="H1060" s="10" t="e">
        <f t="shared" ref="H1060:H1066" si="2289">G1060/C1060</f>
        <v>#DIV/0!</v>
      </c>
      <c r="I1060" s="34">
        <v>6510</v>
      </c>
      <c r="J1060" s="69">
        <v>442</v>
      </c>
      <c r="K1060" s="34">
        <f t="shared" ref="K1060:K1066" si="2290">I1060/J1060</f>
        <v>14.728506787330316</v>
      </c>
      <c r="L1060" s="9">
        <f t="shared" ref="L1060:L1066" si="2291">K1060/C1060</f>
        <v>0.30343106753473731</v>
      </c>
      <c r="M1060" s="67">
        <v>0</v>
      </c>
      <c r="N1060" s="26">
        <v>0</v>
      </c>
      <c r="O1060" s="34" t="e">
        <f t="shared" ref="O1060:O1066" si="2292">M1060/N1060</f>
        <v>#DIV/0!</v>
      </c>
      <c r="P1060" s="10" t="e">
        <f t="shared" ref="P1060:P1066" si="2293">O1060/C1060</f>
        <v>#DIV/0!</v>
      </c>
      <c r="Q1060" s="35">
        <v>0</v>
      </c>
      <c r="R1060" s="66">
        <v>0</v>
      </c>
      <c r="S1060" s="35" t="e">
        <f t="shared" ref="S1060:S1066" si="2294">Q1060/R1060</f>
        <v>#DIV/0!</v>
      </c>
      <c r="T1060" s="6" t="e">
        <f t="shared" ref="T1060:T1066" si="2295">S1060/C1060</f>
        <v>#DIV/0!</v>
      </c>
      <c r="U1060" s="67">
        <v>0</v>
      </c>
      <c r="V1060" s="65">
        <v>0</v>
      </c>
      <c r="W1060" s="18" t="e">
        <f t="shared" ref="W1060:W1066" si="2296">U1060/V1060</f>
        <v>#DIV/0!</v>
      </c>
      <c r="X1060" s="9" t="e">
        <f t="shared" ref="X1060:X1066" si="2297">W1060/C1060</f>
        <v>#DIV/0!</v>
      </c>
      <c r="Y1060" s="67">
        <v>51380</v>
      </c>
      <c r="Z1060" s="69">
        <v>0</v>
      </c>
      <c r="AA1060" s="34" t="e">
        <f t="shared" ref="AA1060:AA1066" si="2298">Y1060/Z1060</f>
        <v>#DIV/0!</v>
      </c>
      <c r="AB1060" s="10" t="e">
        <f t="shared" ref="AB1060:AB1066" si="2299">AA1060/C1060</f>
        <v>#DIV/0!</v>
      </c>
      <c r="AC1060" s="18">
        <v>0</v>
      </c>
      <c r="AD1060" s="33">
        <v>0</v>
      </c>
      <c r="AE1060" s="34" t="e">
        <f t="shared" ref="AE1060:AE1066" si="2300">AC1060/AD1060</f>
        <v>#DIV/0!</v>
      </c>
      <c r="AF1060" s="9" t="e">
        <f t="shared" ref="AF1060:AF1066" si="2301">AE1060/C1060</f>
        <v>#DIV/0!</v>
      </c>
      <c r="AG1060" s="67">
        <v>0</v>
      </c>
      <c r="AH1060" s="65">
        <v>0</v>
      </c>
      <c r="AI1060" s="34" t="e">
        <f t="shared" ref="AI1060:AI1066" si="2302">AG1060/AH1060</f>
        <v>#DIV/0!</v>
      </c>
      <c r="AJ1060" s="9" t="e">
        <f t="shared" ref="AJ1060:AJ1066" si="2303">AI1060/C1060</f>
        <v>#DIV/0!</v>
      </c>
      <c r="AK1060" s="67">
        <v>0</v>
      </c>
      <c r="AL1060" s="65">
        <v>0</v>
      </c>
      <c r="AM1060" s="34" t="e">
        <f t="shared" ref="AM1060:AM1066" si="2304">AK1060/AL1060</f>
        <v>#DIV/0!</v>
      </c>
      <c r="AN1060" s="9" t="e">
        <f t="shared" ref="AN1060:AN1066" si="2305">AM1060/C1060</f>
        <v>#DIV/0!</v>
      </c>
      <c r="AO1060" s="67">
        <v>2240</v>
      </c>
      <c r="AP1060" s="65">
        <v>374</v>
      </c>
      <c r="AQ1060" s="34">
        <f t="shared" ref="AQ1060:AQ1066" si="2306">AO1060/AP1060</f>
        <v>5.9893048128342246</v>
      </c>
      <c r="AR1060" s="9">
        <f t="shared" ref="AR1060:AR1066" si="2307">AQ1060/C1060</f>
        <v>0.12338936861627636</v>
      </c>
      <c r="AS1060" s="67">
        <v>2260</v>
      </c>
      <c r="AT1060" s="65">
        <v>152</v>
      </c>
      <c r="AU1060" s="34">
        <f t="shared" ref="AU1060:AU1066" si="2308">AS1060/AT1060</f>
        <v>14.868421052631579</v>
      </c>
      <c r="AV1060" s="9">
        <f t="shared" ref="AV1060:AV1066" si="2309">AU1060/C1060</f>
        <v>0.30631352775264753</v>
      </c>
      <c r="AW1060" s="67">
        <v>0</v>
      </c>
      <c r="AX1060" s="65">
        <v>0</v>
      </c>
      <c r="AY1060" s="34" t="e">
        <f t="shared" ref="AY1060:AY1066" si="2310">AW1060/AX1060</f>
        <v>#DIV/0!</v>
      </c>
      <c r="AZ1060" s="9" t="e">
        <f t="shared" ref="AZ1060:AZ1066" si="2311">AY1060/C1060</f>
        <v>#DIV/0!</v>
      </c>
      <c r="BA1060" s="67">
        <v>3160</v>
      </c>
      <c r="BB1060" s="65">
        <v>152</v>
      </c>
      <c r="BC1060" s="34">
        <f t="shared" ref="BC1060:BC1066" si="2312">BA1060/BB1060</f>
        <v>20.789473684210527</v>
      </c>
      <c r="BD1060" s="10">
        <f t="shared" ref="BD1060:BD1066" si="2313">BC1060/C1060</f>
        <v>0.42829679101697621</v>
      </c>
    </row>
    <row r="1061" spans="1:56" ht="15.75" thickBot="1" x14ac:dyDescent="0.3">
      <c r="A1061" s="19" t="s">
        <v>16</v>
      </c>
      <c r="B1061" s="8">
        <v>93080</v>
      </c>
      <c r="C1061" s="35">
        <f>B1061/F1057</f>
        <v>57.104294478527606</v>
      </c>
      <c r="D1061" s="8">
        <v>1525</v>
      </c>
      <c r="E1061" s="68">
        <v>0</v>
      </c>
      <c r="F1061" s="70">
        <v>0</v>
      </c>
      <c r="G1061" s="35" t="e">
        <f t="shared" si="2288"/>
        <v>#DIV/0!</v>
      </c>
      <c r="H1061" s="11" t="e">
        <f t="shared" si="2289"/>
        <v>#DIV/0!</v>
      </c>
      <c r="I1061" s="35">
        <v>8630</v>
      </c>
      <c r="J1061" s="69">
        <v>442</v>
      </c>
      <c r="K1061" s="35">
        <f t="shared" si="2290"/>
        <v>19.524886877828056</v>
      </c>
      <c r="L1061" s="6">
        <f t="shared" si="2291"/>
        <v>0.34191626139728976</v>
      </c>
      <c r="M1061" s="68">
        <v>0</v>
      </c>
      <c r="N1061" s="5">
        <v>0</v>
      </c>
      <c r="O1061" s="35" t="e">
        <f t="shared" si="2292"/>
        <v>#DIV/0!</v>
      </c>
      <c r="P1061" s="11" t="e">
        <f t="shared" si="2293"/>
        <v>#DIV/0!</v>
      </c>
      <c r="Q1061" s="35">
        <v>0</v>
      </c>
      <c r="R1061" s="66">
        <v>0</v>
      </c>
      <c r="S1061" s="35" t="e">
        <f t="shared" si="2294"/>
        <v>#DIV/0!</v>
      </c>
      <c r="T1061" s="6" t="e">
        <f t="shared" si="2295"/>
        <v>#DIV/0!</v>
      </c>
      <c r="U1061" s="68">
        <v>0</v>
      </c>
      <c r="V1061" s="66">
        <v>0</v>
      </c>
      <c r="W1061" s="20" t="e">
        <f t="shared" si="2296"/>
        <v>#DIV/0!</v>
      </c>
      <c r="X1061" s="6" t="e">
        <f t="shared" si="2297"/>
        <v>#DIV/0!</v>
      </c>
      <c r="Y1061" s="68">
        <v>70070</v>
      </c>
      <c r="Z1061" s="70">
        <v>0</v>
      </c>
      <c r="AA1061" s="35" t="e">
        <f t="shared" si="2298"/>
        <v>#DIV/0!</v>
      </c>
      <c r="AB1061" s="11" t="e">
        <f t="shared" si="2299"/>
        <v>#DIV/0!</v>
      </c>
      <c r="AC1061" s="20">
        <v>0</v>
      </c>
      <c r="AD1061" s="36">
        <v>0</v>
      </c>
      <c r="AE1061" s="35" t="e">
        <f t="shared" si="2300"/>
        <v>#DIV/0!</v>
      </c>
      <c r="AF1061" s="6" t="e">
        <f t="shared" si="2301"/>
        <v>#DIV/0!</v>
      </c>
      <c r="AG1061" s="68">
        <v>0</v>
      </c>
      <c r="AH1061" s="66">
        <v>0</v>
      </c>
      <c r="AI1061" s="35" t="e">
        <f t="shared" si="2302"/>
        <v>#DIV/0!</v>
      </c>
      <c r="AJ1061" s="6" t="e">
        <f t="shared" si="2303"/>
        <v>#DIV/0!</v>
      </c>
      <c r="AK1061" s="68">
        <v>0</v>
      </c>
      <c r="AL1061" s="66">
        <v>0</v>
      </c>
      <c r="AM1061" s="35" t="e">
        <f t="shared" si="2304"/>
        <v>#DIV/0!</v>
      </c>
      <c r="AN1061" s="6" t="e">
        <f t="shared" si="2305"/>
        <v>#DIV/0!</v>
      </c>
      <c r="AO1061" s="68">
        <v>3010</v>
      </c>
      <c r="AP1061" s="65">
        <v>374</v>
      </c>
      <c r="AQ1061" s="35">
        <f t="shared" si="2306"/>
        <v>8.0481283422459899</v>
      </c>
      <c r="AR1061" s="6">
        <f t="shared" si="2307"/>
        <v>0.14093735708918095</v>
      </c>
      <c r="AS1061" s="68">
        <v>3200</v>
      </c>
      <c r="AT1061" s="65">
        <v>152</v>
      </c>
      <c r="AU1061" s="35">
        <f t="shared" si="2308"/>
        <v>21.05263157894737</v>
      </c>
      <c r="AV1061" s="6">
        <f t="shared" si="2309"/>
        <v>0.36866984823468213</v>
      </c>
      <c r="AW1061" s="68">
        <v>0</v>
      </c>
      <c r="AX1061" s="66">
        <v>0</v>
      </c>
      <c r="AY1061" s="35" t="e">
        <f t="shared" si="2310"/>
        <v>#DIV/0!</v>
      </c>
      <c r="AZ1061" s="6" t="e">
        <f t="shared" si="2311"/>
        <v>#DIV/0!</v>
      </c>
      <c r="BA1061" s="68">
        <v>5210</v>
      </c>
      <c r="BB1061" s="65">
        <v>152</v>
      </c>
      <c r="BC1061" s="35">
        <f t="shared" si="2312"/>
        <v>34.276315789473685</v>
      </c>
      <c r="BD1061" s="11">
        <f t="shared" si="2313"/>
        <v>0.60024059665709184</v>
      </c>
    </row>
    <row r="1062" spans="1:56" ht="15.75" thickBot="1" x14ac:dyDescent="0.3">
      <c r="A1062" s="19" t="s">
        <v>2</v>
      </c>
      <c r="B1062" s="8">
        <v>108670</v>
      </c>
      <c r="C1062" s="35">
        <f>B1062/F1057</f>
        <v>66.668711656441715</v>
      </c>
      <c r="D1062" s="8">
        <v>2100</v>
      </c>
      <c r="E1062" s="68">
        <v>0</v>
      </c>
      <c r="F1062" s="70">
        <v>0</v>
      </c>
      <c r="G1062" s="35" t="e">
        <f t="shared" si="2288"/>
        <v>#DIV/0!</v>
      </c>
      <c r="H1062" s="11" t="e">
        <f t="shared" si="2289"/>
        <v>#DIV/0!</v>
      </c>
      <c r="I1062" s="35">
        <v>9850</v>
      </c>
      <c r="J1062" s="69">
        <v>442</v>
      </c>
      <c r="K1062" s="35">
        <f t="shared" si="2290"/>
        <v>22.285067873303166</v>
      </c>
      <c r="L1062" s="6">
        <f t="shared" si="2291"/>
        <v>0.33426576454848772</v>
      </c>
      <c r="M1062" s="68">
        <v>0</v>
      </c>
      <c r="N1062" s="5">
        <v>0</v>
      </c>
      <c r="O1062" s="35" t="e">
        <f t="shared" si="2292"/>
        <v>#DIV/0!</v>
      </c>
      <c r="P1062" s="11" t="e">
        <f t="shared" si="2293"/>
        <v>#DIV/0!</v>
      </c>
      <c r="Q1062" s="35">
        <v>0</v>
      </c>
      <c r="R1062" s="66">
        <v>0</v>
      </c>
      <c r="S1062" s="35" t="e">
        <f t="shared" si="2294"/>
        <v>#DIV/0!</v>
      </c>
      <c r="T1062" s="6" t="e">
        <f t="shared" si="2295"/>
        <v>#DIV/0!</v>
      </c>
      <c r="U1062" s="68">
        <v>0</v>
      </c>
      <c r="V1062" s="66">
        <v>0</v>
      </c>
      <c r="W1062" s="20" t="e">
        <f t="shared" si="2296"/>
        <v>#DIV/0!</v>
      </c>
      <c r="X1062" s="6" t="e">
        <f t="shared" si="2297"/>
        <v>#DIV/0!</v>
      </c>
      <c r="Y1062" s="68">
        <v>80280</v>
      </c>
      <c r="Z1062" s="70">
        <v>0</v>
      </c>
      <c r="AA1062" s="35" t="e">
        <f t="shared" si="2298"/>
        <v>#DIV/0!</v>
      </c>
      <c r="AB1062" s="11" t="e">
        <f t="shared" si="2299"/>
        <v>#DIV/0!</v>
      </c>
      <c r="AC1062" s="20">
        <v>0</v>
      </c>
      <c r="AD1062" s="36">
        <v>0</v>
      </c>
      <c r="AE1062" s="35" t="e">
        <f t="shared" si="2300"/>
        <v>#DIV/0!</v>
      </c>
      <c r="AF1062" s="6" t="e">
        <f t="shared" si="2301"/>
        <v>#DIV/0!</v>
      </c>
      <c r="AG1062" s="68">
        <v>0</v>
      </c>
      <c r="AH1062" s="66">
        <v>0</v>
      </c>
      <c r="AI1062" s="35" t="e">
        <f t="shared" si="2302"/>
        <v>#DIV/0!</v>
      </c>
      <c r="AJ1062" s="6" t="e">
        <f t="shared" si="2303"/>
        <v>#DIV/0!</v>
      </c>
      <c r="AK1062" s="68">
        <v>0</v>
      </c>
      <c r="AL1062" s="66">
        <v>0</v>
      </c>
      <c r="AM1062" s="35" t="e">
        <f t="shared" si="2304"/>
        <v>#DIV/0!</v>
      </c>
      <c r="AN1062" s="6" t="e">
        <f t="shared" si="2305"/>
        <v>#DIV/0!</v>
      </c>
      <c r="AO1062" s="68">
        <v>3180</v>
      </c>
      <c r="AP1062" s="65">
        <v>374</v>
      </c>
      <c r="AQ1062" s="35">
        <f t="shared" si="2306"/>
        <v>8.5026737967914432</v>
      </c>
      <c r="AR1062" s="6">
        <f t="shared" si="2307"/>
        <v>0.12753619479865697</v>
      </c>
      <c r="AS1062" s="68">
        <v>3560</v>
      </c>
      <c r="AT1062" s="65">
        <v>152</v>
      </c>
      <c r="AU1062" s="35">
        <f t="shared" si="2308"/>
        <v>23.421052631578949</v>
      </c>
      <c r="AV1062" s="6">
        <f t="shared" si="2309"/>
        <v>0.35130501324628405</v>
      </c>
      <c r="AW1062" s="68">
        <v>0</v>
      </c>
      <c r="AX1062" s="66">
        <v>0</v>
      </c>
      <c r="AY1062" s="35" t="e">
        <f t="shared" si="2310"/>
        <v>#DIV/0!</v>
      </c>
      <c r="AZ1062" s="6" t="e">
        <f t="shared" si="2311"/>
        <v>#DIV/0!</v>
      </c>
      <c r="BA1062" s="68">
        <v>5360</v>
      </c>
      <c r="BB1062" s="65">
        <v>152</v>
      </c>
      <c r="BC1062" s="35">
        <f t="shared" si="2312"/>
        <v>35.263157894736842</v>
      </c>
      <c r="BD1062" s="11">
        <f t="shared" si="2313"/>
        <v>0.528931143539349</v>
      </c>
    </row>
    <row r="1063" spans="1:56" ht="15.75" thickBot="1" x14ac:dyDescent="0.3">
      <c r="A1063" s="19" t="s">
        <v>3</v>
      </c>
      <c r="B1063" s="8">
        <v>131530</v>
      </c>
      <c r="C1063" s="35">
        <f>B1063/F1057</f>
        <v>80.693251533742327</v>
      </c>
      <c r="D1063" s="8">
        <v>2700</v>
      </c>
      <c r="E1063" s="68">
        <v>0</v>
      </c>
      <c r="F1063" s="70">
        <v>0</v>
      </c>
      <c r="G1063" s="35" t="e">
        <f t="shared" si="2288"/>
        <v>#DIV/0!</v>
      </c>
      <c r="H1063" s="11" t="e">
        <f t="shared" si="2289"/>
        <v>#DIV/0!</v>
      </c>
      <c r="I1063" s="35">
        <v>9910</v>
      </c>
      <c r="J1063" s="69">
        <v>442</v>
      </c>
      <c r="K1063" s="35">
        <f t="shared" si="2290"/>
        <v>22.420814479638008</v>
      </c>
      <c r="L1063" s="6">
        <f t="shared" si="2291"/>
        <v>0.27785241087059953</v>
      </c>
      <c r="M1063" s="68">
        <v>0</v>
      </c>
      <c r="N1063" s="5">
        <v>0</v>
      </c>
      <c r="O1063" s="35" t="e">
        <f t="shared" si="2292"/>
        <v>#DIV/0!</v>
      </c>
      <c r="P1063" s="11" t="e">
        <f t="shared" si="2293"/>
        <v>#DIV/0!</v>
      </c>
      <c r="Q1063" s="35">
        <v>0</v>
      </c>
      <c r="R1063" s="66">
        <v>0</v>
      </c>
      <c r="S1063" s="35" t="e">
        <f t="shared" si="2294"/>
        <v>#DIV/0!</v>
      </c>
      <c r="T1063" s="6" t="e">
        <f t="shared" si="2295"/>
        <v>#DIV/0!</v>
      </c>
      <c r="U1063" s="68">
        <v>0</v>
      </c>
      <c r="V1063" s="66">
        <v>0</v>
      </c>
      <c r="W1063" s="20" t="e">
        <f t="shared" si="2296"/>
        <v>#DIV/0!</v>
      </c>
      <c r="X1063" s="6" t="e">
        <f t="shared" si="2297"/>
        <v>#DIV/0!</v>
      </c>
      <c r="Y1063" s="68">
        <v>91020</v>
      </c>
      <c r="Z1063" s="70">
        <v>0</v>
      </c>
      <c r="AA1063" s="35" t="e">
        <f t="shared" si="2298"/>
        <v>#DIV/0!</v>
      </c>
      <c r="AB1063" s="11" t="e">
        <f t="shared" si="2299"/>
        <v>#DIV/0!</v>
      </c>
      <c r="AC1063" s="20">
        <v>0</v>
      </c>
      <c r="AD1063" s="36">
        <v>0</v>
      </c>
      <c r="AE1063" s="35" t="e">
        <f t="shared" si="2300"/>
        <v>#DIV/0!</v>
      </c>
      <c r="AF1063" s="6" t="e">
        <f t="shared" si="2301"/>
        <v>#DIV/0!</v>
      </c>
      <c r="AG1063" s="68">
        <v>0</v>
      </c>
      <c r="AH1063" s="66">
        <v>0</v>
      </c>
      <c r="AI1063" s="35" t="e">
        <f t="shared" si="2302"/>
        <v>#DIV/0!</v>
      </c>
      <c r="AJ1063" s="6" t="e">
        <f t="shared" si="2303"/>
        <v>#DIV/0!</v>
      </c>
      <c r="AK1063" s="68">
        <v>0</v>
      </c>
      <c r="AL1063" s="66">
        <v>0</v>
      </c>
      <c r="AM1063" s="35" t="e">
        <f t="shared" si="2304"/>
        <v>#DIV/0!</v>
      </c>
      <c r="AN1063" s="6" t="e">
        <f t="shared" si="2305"/>
        <v>#DIV/0!</v>
      </c>
      <c r="AO1063" s="68">
        <v>3350</v>
      </c>
      <c r="AP1063" s="65">
        <v>374</v>
      </c>
      <c r="AQ1063" s="35">
        <f t="shared" si="2306"/>
        <v>8.9572192513368982</v>
      </c>
      <c r="AR1063" s="6">
        <f t="shared" si="2307"/>
        <v>0.1110033253225815</v>
      </c>
      <c r="AS1063" s="68">
        <v>4240</v>
      </c>
      <c r="AT1063" s="65">
        <v>152</v>
      </c>
      <c r="AU1063" s="35">
        <f t="shared" si="2308"/>
        <v>27.894736842105264</v>
      </c>
      <c r="AV1063" s="6">
        <f t="shared" si="2309"/>
        <v>0.3456885961577707</v>
      </c>
      <c r="AW1063" s="68">
        <v>0</v>
      </c>
      <c r="AX1063" s="66">
        <v>0</v>
      </c>
      <c r="AY1063" s="35" t="e">
        <f t="shared" si="2310"/>
        <v>#DIV/0!</v>
      </c>
      <c r="AZ1063" s="6" t="e">
        <f t="shared" si="2311"/>
        <v>#DIV/0!</v>
      </c>
      <c r="BA1063" s="68">
        <v>6410</v>
      </c>
      <c r="BB1063" s="65">
        <v>152</v>
      </c>
      <c r="BC1063" s="35">
        <f t="shared" si="2312"/>
        <v>42.171052631578945</v>
      </c>
      <c r="BD1063" s="11">
        <f t="shared" si="2313"/>
        <v>0.52260941070078071</v>
      </c>
    </row>
    <row r="1064" spans="1:56" ht="15.75" thickBot="1" x14ac:dyDescent="0.3">
      <c r="A1064" s="19" t="s">
        <v>4</v>
      </c>
      <c r="B1064" s="8">
        <v>163110</v>
      </c>
      <c r="C1064" s="35">
        <f>B1064/F1057</f>
        <v>100.06748466257669</v>
      </c>
      <c r="D1064" s="8">
        <v>5250</v>
      </c>
      <c r="E1064" s="68">
        <v>0</v>
      </c>
      <c r="F1064" s="70">
        <v>0</v>
      </c>
      <c r="G1064" s="35" t="e">
        <f t="shared" si="2288"/>
        <v>#DIV/0!</v>
      </c>
      <c r="H1064" s="11" t="e">
        <f t="shared" si="2289"/>
        <v>#DIV/0!</v>
      </c>
      <c r="I1064" s="35">
        <v>12410</v>
      </c>
      <c r="J1064" s="69">
        <v>442</v>
      </c>
      <c r="K1064" s="35">
        <f t="shared" si="2290"/>
        <v>28.076923076923077</v>
      </c>
      <c r="L1064" s="6">
        <f t="shared" si="2291"/>
        <v>0.28057988238234699</v>
      </c>
      <c r="M1064" s="68">
        <v>0</v>
      </c>
      <c r="N1064" s="5">
        <v>0</v>
      </c>
      <c r="O1064" s="35" t="e">
        <f t="shared" si="2292"/>
        <v>#DIV/0!</v>
      </c>
      <c r="P1064" s="11" t="e">
        <f t="shared" si="2293"/>
        <v>#DIV/0!</v>
      </c>
      <c r="Q1064" s="35">
        <v>0</v>
      </c>
      <c r="R1064" s="66">
        <v>0</v>
      </c>
      <c r="S1064" s="35" t="e">
        <f t="shared" si="2294"/>
        <v>#DIV/0!</v>
      </c>
      <c r="T1064" s="6" t="e">
        <f t="shared" si="2295"/>
        <v>#DIV/0!</v>
      </c>
      <c r="U1064" s="68">
        <v>0</v>
      </c>
      <c r="V1064" s="66">
        <v>0</v>
      </c>
      <c r="W1064" s="20" t="e">
        <f t="shared" si="2296"/>
        <v>#DIV/0!</v>
      </c>
      <c r="X1064" s="6" t="e">
        <f t="shared" si="2297"/>
        <v>#DIV/0!</v>
      </c>
      <c r="Y1064" s="68">
        <v>116430</v>
      </c>
      <c r="Z1064" s="70">
        <v>0</v>
      </c>
      <c r="AA1064" s="35" t="e">
        <f t="shared" si="2298"/>
        <v>#DIV/0!</v>
      </c>
      <c r="AB1064" s="11" t="e">
        <f t="shared" si="2299"/>
        <v>#DIV/0!</v>
      </c>
      <c r="AC1064" s="20">
        <v>0</v>
      </c>
      <c r="AD1064" s="36">
        <v>0</v>
      </c>
      <c r="AE1064" s="35" t="e">
        <f t="shared" si="2300"/>
        <v>#DIV/0!</v>
      </c>
      <c r="AF1064" s="6" t="e">
        <f t="shared" si="2301"/>
        <v>#DIV/0!</v>
      </c>
      <c r="AG1064" s="68">
        <v>0</v>
      </c>
      <c r="AH1064" s="66">
        <v>0</v>
      </c>
      <c r="AI1064" s="35" t="e">
        <f t="shared" si="2302"/>
        <v>#DIV/0!</v>
      </c>
      <c r="AJ1064" s="6" t="e">
        <f t="shared" si="2303"/>
        <v>#DIV/0!</v>
      </c>
      <c r="AK1064" s="68">
        <v>0</v>
      </c>
      <c r="AL1064" s="66">
        <v>0</v>
      </c>
      <c r="AM1064" s="35" t="e">
        <f t="shared" si="2304"/>
        <v>#DIV/0!</v>
      </c>
      <c r="AN1064" s="6" t="e">
        <f t="shared" si="2305"/>
        <v>#DIV/0!</v>
      </c>
      <c r="AO1064" s="68">
        <v>4490</v>
      </c>
      <c r="AP1064" s="65">
        <v>374</v>
      </c>
      <c r="AQ1064" s="35">
        <f t="shared" si="2306"/>
        <v>12.005347593582888</v>
      </c>
      <c r="AR1064" s="6">
        <f t="shared" si="2307"/>
        <v>0.11997251289032007</v>
      </c>
      <c r="AS1064" s="68">
        <v>5020</v>
      </c>
      <c r="AT1064" s="65">
        <v>152</v>
      </c>
      <c r="AU1064" s="35">
        <f t="shared" si="2308"/>
        <v>33.026315789473685</v>
      </c>
      <c r="AV1064" s="6">
        <f t="shared" si="2309"/>
        <v>0.33004043122335913</v>
      </c>
      <c r="AW1064" s="68">
        <v>0</v>
      </c>
      <c r="AX1064" s="66">
        <v>0</v>
      </c>
      <c r="AY1064" s="35" t="e">
        <f t="shared" si="2310"/>
        <v>#DIV/0!</v>
      </c>
      <c r="AZ1064" s="6" t="e">
        <f t="shared" si="2311"/>
        <v>#DIV/0!</v>
      </c>
      <c r="BA1064" s="68">
        <v>7880</v>
      </c>
      <c r="BB1064" s="65">
        <v>152</v>
      </c>
      <c r="BC1064" s="35">
        <f t="shared" si="2312"/>
        <v>51.842105263157897</v>
      </c>
      <c r="BD1064" s="11">
        <f t="shared" si="2313"/>
        <v>0.51807143387252386</v>
      </c>
    </row>
    <row r="1065" spans="1:56" ht="15.75" thickBot="1" x14ac:dyDescent="0.3">
      <c r="A1065" s="19" t="s">
        <v>5</v>
      </c>
      <c r="B1065" s="8">
        <v>215320</v>
      </c>
      <c r="C1065" s="35">
        <f>B1065/F1057</f>
        <v>132.09815950920245</v>
      </c>
      <c r="D1065" s="8">
        <v>7050</v>
      </c>
      <c r="E1065" s="68">
        <v>0</v>
      </c>
      <c r="F1065" s="70">
        <v>0</v>
      </c>
      <c r="G1065" s="35" t="e">
        <f t="shared" si="2288"/>
        <v>#DIV/0!</v>
      </c>
      <c r="H1065" s="11" t="e">
        <f t="shared" si="2289"/>
        <v>#DIV/0!</v>
      </c>
      <c r="I1065" s="35">
        <v>13870</v>
      </c>
      <c r="J1065" s="69">
        <v>442</v>
      </c>
      <c r="K1065" s="35">
        <f t="shared" si="2290"/>
        <v>31.380090497737555</v>
      </c>
      <c r="L1065" s="6">
        <f t="shared" si="2291"/>
        <v>0.23755130740902944</v>
      </c>
      <c r="M1065" s="68">
        <v>0</v>
      </c>
      <c r="N1065" s="5">
        <v>0</v>
      </c>
      <c r="O1065" s="35" t="e">
        <f t="shared" si="2292"/>
        <v>#DIV/0!</v>
      </c>
      <c r="P1065" s="11" t="e">
        <f t="shared" si="2293"/>
        <v>#DIV/0!</v>
      </c>
      <c r="Q1065" s="35">
        <v>0</v>
      </c>
      <c r="R1065" s="66">
        <v>0</v>
      </c>
      <c r="S1065" s="35" t="e">
        <f t="shared" si="2294"/>
        <v>#DIV/0!</v>
      </c>
      <c r="T1065" s="6" t="e">
        <f t="shared" si="2295"/>
        <v>#DIV/0!</v>
      </c>
      <c r="U1065" s="68">
        <v>0</v>
      </c>
      <c r="V1065" s="66">
        <v>0</v>
      </c>
      <c r="W1065" s="20" t="e">
        <f t="shared" si="2296"/>
        <v>#DIV/0!</v>
      </c>
      <c r="X1065" s="6" t="e">
        <f t="shared" si="2297"/>
        <v>#DIV/0!</v>
      </c>
      <c r="Y1065" s="68">
        <v>158110</v>
      </c>
      <c r="Z1065" s="70">
        <v>0</v>
      </c>
      <c r="AA1065" s="35" t="e">
        <f t="shared" si="2298"/>
        <v>#DIV/0!</v>
      </c>
      <c r="AB1065" s="11" t="e">
        <f t="shared" si="2299"/>
        <v>#DIV/0!</v>
      </c>
      <c r="AC1065" s="20">
        <v>0</v>
      </c>
      <c r="AD1065" s="36">
        <v>0</v>
      </c>
      <c r="AE1065" s="35" t="e">
        <f t="shared" si="2300"/>
        <v>#DIV/0!</v>
      </c>
      <c r="AF1065" s="6" t="e">
        <f t="shared" si="2301"/>
        <v>#DIV/0!</v>
      </c>
      <c r="AG1065" s="68">
        <v>0</v>
      </c>
      <c r="AH1065" s="66">
        <v>0</v>
      </c>
      <c r="AI1065" s="35" t="e">
        <f t="shared" si="2302"/>
        <v>#DIV/0!</v>
      </c>
      <c r="AJ1065" s="6" t="e">
        <f t="shared" si="2303"/>
        <v>#DIV/0!</v>
      </c>
      <c r="AK1065" s="68">
        <v>0</v>
      </c>
      <c r="AL1065" s="66">
        <v>0</v>
      </c>
      <c r="AM1065" s="35" t="e">
        <f t="shared" si="2304"/>
        <v>#DIV/0!</v>
      </c>
      <c r="AN1065" s="6" t="e">
        <f t="shared" si="2305"/>
        <v>#DIV/0!</v>
      </c>
      <c r="AO1065" s="68">
        <v>5570</v>
      </c>
      <c r="AP1065" s="65">
        <v>374</v>
      </c>
      <c r="AQ1065" s="35">
        <f t="shared" si="2306"/>
        <v>14.893048128342246</v>
      </c>
      <c r="AR1065" s="6">
        <f t="shared" si="2307"/>
        <v>0.11274228334199267</v>
      </c>
      <c r="AS1065" s="68">
        <v>5840</v>
      </c>
      <c r="AT1065" s="65">
        <v>152</v>
      </c>
      <c r="AU1065" s="35">
        <f t="shared" si="2308"/>
        <v>38.421052631578945</v>
      </c>
      <c r="AV1065" s="6">
        <f t="shared" si="2309"/>
        <v>0.29085229328196954</v>
      </c>
      <c r="AW1065" s="68">
        <v>0</v>
      </c>
      <c r="AX1065" s="66">
        <v>0</v>
      </c>
      <c r="AY1065" s="35" t="e">
        <f t="shared" si="2310"/>
        <v>#DIV/0!</v>
      </c>
      <c r="AZ1065" s="6" t="e">
        <f t="shared" si="2311"/>
        <v>#DIV/0!</v>
      </c>
      <c r="BA1065" s="68">
        <v>9580</v>
      </c>
      <c r="BB1065" s="65">
        <v>152</v>
      </c>
      <c r="BC1065" s="35">
        <f t="shared" si="2312"/>
        <v>63.026315789473685</v>
      </c>
      <c r="BD1065" s="11">
        <f t="shared" si="2313"/>
        <v>0.47711728932213504</v>
      </c>
    </row>
    <row r="1066" spans="1:56" x14ac:dyDescent="0.25">
      <c r="A1066" s="19" t="s">
        <v>6</v>
      </c>
      <c r="B1066" s="8">
        <v>263130</v>
      </c>
      <c r="C1066" s="35">
        <f>B1066/F1057</f>
        <v>161.42944785276075</v>
      </c>
      <c r="D1066" s="8">
        <v>10950</v>
      </c>
      <c r="E1066" s="68">
        <v>0</v>
      </c>
      <c r="F1066" s="70">
        <v>0</v>
      </c>
      <c r="G1066" s="35" t="e">
        <f t="shared" si="2288"/>
        <v>#DIV/0!</v>
      </c>
      <c r="H1066" s="11" t="e">
        <f t="shared" si="2289"/>
        <v>#DIV/0!</v>
      </c>
      <c r="I1066" s="35">
        <v>17300</v>
      </c>
      <c r="J1066" s="69">
        <v>442</v>
      </c>
      <c r="K1066" s="35">
        <f t="shared" si="2290"/>
        <v>39.140271493212673</v>
      </c>
      <c r="L1066" s="6">
        <f t="shared" si="2291"/>
        <v>0.24246054244645859</v>
      </c>
      <c r="M1066" s="68">
        <v>0</v>
      </c>
      <c r="N1066" s="5">
        <v>0</v>
      </c>
      <c r="O1066" s="35" t="e">
        <f t="shared" si="2292"/>
        <v>#DIV/0!</v>
      </c>
      <c r="P1066" s="11" t="e">
        <f t="shared" si="2293"/>
        <v>#DIV/0!</v>
      </c>
      <c r="Q1066" s="35">
        <v>0</v>
      </c>
      <c r="R1066" s="66">
        <v>0</v>
      </c>
      <c r="S1066" s="35" t="e">
        <f t="shared" si="2294"/>
        <v>#DIV/0!</v>
      </c>
      <c r="T1066" s="6" t="e">
        <f t="shared" si="2295"/>
        <v>#DIV/0!</v>
      </c>
      <c r="U1066" s="68">
        <v>0</v>
      </c>
      <c r="V1066" s="66">
        <v>0</v>
      </c>
      <c r="W1066" s="20" t="e">
        <f t="shared" si="2296"/>
        <v>#DIV/0!</v>
      </c>
      <c r="X1066" s="6" t="e">
        <f t="shared" si="2297"/>
        <v>#DIV/0!</v>
      </c>
      <c r="Y1066" s="68">
        <v>184830</v>
      </c>
      <c r="Z1066" s="70">
        <v>0</v>
      </c>
      <c r="AA1066" s="35" t="e">
        <f t="shared" si="2298"/>
        <v>#DIV/0!</v>
      </c>
      <c r="AB1066" s="11" t="e">
        <f t="shared" si="2299"/>
        <v>#DIV/0!</v>
      </c>
      <c r="AC1066" s="20">
        <v>0</v>
      </c>
      <c r="AD1066" s="36">
        <v>0</v>
      </c>
      <c r="AE1066" s="35" t="e">
        <f t="shared" si="2300"/>
        <v>#DIV/0!</v>
      </c>
      <c r="AF1066" s="6" t="e">
        <f t="shared" si="2301"/>
        <v>#DIV/0!</v>
      </c>
      <c r="AG1066" s="68">
        <v>0</v>
      </c>
      <c r="AH1066" s="66">
        <v>0</v>
      </c>
      <c r="AI1066" s="35" t="e">
        <f t="shared" si="2302"/>
        <v>#DIV/0!</v>
      </c>
      <c r="AJ1066" s="6" t="e">
        <f t="shared" si="2303"/>
        <v>#DIV/0!</v>
      </c>
      <c r="AK1066" s="68">
        <v>0</v>
      </c>
      <c r="AL1066" s="66">
        <v>0</v>
      </c>
      <c r="AM1066" s="35" t="e">
        <f t="shared" si="2304"/>
        <v>#DIV/0!</v>
      </c>
      <c r="AN1066" s="6" t="e">
        <f t="shared" si="2305"/>
        <v>#DIV/0!</v>
      </c>
      <c r="AO1066" s="68">
        <v>5910</v>
      </c>
      <c r="AP1066" s="65">
        <v>374</v>
      </c>
      <c r="AQ1066" s="35">
        <f t="shared" si="2306"/>
        <v>15.802139037433156</v>
      </c>
      <c r="AR1066" s="6">
        <f t="shared" si="2307"/>
        <v>9.788882541335478E-2</v>
      </c>
      <c r="AS1066" s="68">
        <v>6650</v>
      </c>
      <c r="AT1066" s="65">
        <v>152</v>
      </c>
      <c r="AU1066" s="35">
        <f t="shared" si="2308"/>
        <v>43.75</v>
      </c>
      <c r="AV1066" s="6">
        <f t="shared" si="2309"/>
        <v>0.27101622772013834</v>
      </c>
      <c r="AW1066" s="68">
        <v>0</v>
      </c>
      <c r="AX1066" s="66">
        <v>0</v>
      </c>
      <c r="AY1066" s="35" t="e">
        <f t="shared" si="2310"/>
        <v>#DIV/0!</v>
      </c>
      <c r="AZ1066" s="6" t="e">
        <f t="shared" si="2311"/>
        <v>#DIV/0!</v>
      </c>
      <c r="BA1066" s="68">
        <v>11180</v>
      </c>
      <c r="BB1066" s="65">
        <v>152</v>
      </c>
      <c r="BC1066" s="35">
        <f t="shared" si="2312"/>
        <v>73.55263157894737</v>
      </c>
      <c r="BD1066" s="11">
        <f t="shared" si="2313"/>
        <v>0.45563329712949568</v>
      </c>
    </row>
    <row r="1067" spans="1:56" ht="15.75" thickBot="1" x14ac:dyDescent="0.3">
      <c r="A1067" s="21"/>
      <c r="B1067" s="22"/>
      <c r="C1067" s="23">
        <f>AVERAGE(Table1107986[MA $/Sq Ft])</f>
        <v>92.371603856266447</v>
      </c>
      <c r="D1067" s="22">
        <f>AVERAGE(Table1107986[Basic Allowance])</f>
        <v>4442.8571428571431</v>
      </c>
      <c r="E1067" s="16"/>
      <c r="F1067" s="22"/>
      <c r="G1067" s="15"/>
      <c r="H1067" s="24" t="e">
        <f>AVERAGE(Table1107986[Bsmt % Base])</f>
        <v>#DIV/0!</v>
      </c>
      <c r="I1067" s="15"/>
      <c r="J1067" s="15"/>
      <c r="K1067" s="15"/>
      <c r="L1067" s="25">
        <f>AVERAGE(Table1107986[[#Headers],[#Data],[UnfBsmt % Base]])</f>
        <v>0.28829389094127844</v>
      </c>
      <c r="M1067" s="44"/>
      <c r="N1067" s="15"/>
      <c r="O1067" s="23" t="e">
        <f>AVERAGE(Table1107986[LowerVal/SqFt])</f>
        <v>#DIV/0!</v>
      </c>
      <c r="P1067" s="24" t="e">
        <f>AVERAGE(Table1107986[Lower % Base])</f>
        <v>#DIV/0!</v>
      </c>
      <c r="Q1067" s="13"/>
      <c r="R1067" s="13"/>
      <c r="S1067" s="13"/>
      <c r="T1067" s="25" t="e">
        <f>AVERAGE(Table1107986[Unf Lower % Base])</f>
        <v>#DIV/0!</v>
      </c>
      <c r="U1067" s="12"/>
      <c r="V1067" s="13"/>
      <c r="W1067" s="13"/>
      <c r="X1067" s="25" t="e">
        <f>AVERAGE(Table1107986[1/2 Story % Base])</f>
        <v>#DIV/0!</v>
      </c>
      <c r="Y1067" s="12"/>
      <c r="Z1067" s="13"/>
      <c r="AA1067" s="13"/>
      <c r="AB1067" s="24" t="e">
        <f>AVERAGE(Table1107986[2nd Story % Base])</f>
        <v>#DIV/0!</v>
      </c>
      <c r="AC1067" s="13"/>
      <c r="AD1067" s="13"/>
      <c r="AE1067" s="23" t="e">
        <f>AVERAGE(Table1107986[AttGarVal/SqFt])</f>
        <v>#DIV/0!</v>
      </c>
      <c r="AF1067" s="25" t="e">
        <f>AVERAGE(Table1107986[Att Gar % Base])</f>
        <v>#DIV/0!</v>
      </c>
      <c r="AG1067" s="12"/>
      <c r="AH1067" s="13"/>
      <c r="AI1067" s="13"/>
      <c r="AJ1067" s="25" t="e">
        <f>AVERAGE(Table1107986[Porch % Base])</f>
        <v>#DIV/0!</v>
      </c>
      <c r="AK1067" s="12"/>
      <c r="AL1067" s="13"/>
      <c r="AM1067" s="13"/>
      <c r="AN1067" s="25" t="e">
        <f>AVERAGE(Table1107986[Cov Porch % Base])</f>
        <v>#DIV/0!</v>
      </c>
      <c r="AO1067" s="12"/>
      <c r="AP1067" s="13"/>
      <c r="AQ1067" s="13"/>
      <c r="AR1067" s="25">
        <f>AVERAGE(Table1107986[Deck % Base])</f>
        <v>0.11906712392462333</v>
      </c>
      <c r="AS1067" s="12"/>
      <c r="AT1067" s="13"/>
      <c r="AU1067" s="23">
        <f>AVERAGE(Table1107986[CovDeckVal/SqFt])</f>
        <v>28.919172932330827</v>
      </c>
      <c r="AV1067" s="25">
        <f>AVERAGE(Table1107986[CovDeck % Base])</f>
        <v>0.32341227680240736</v>
      </c>
      <c r="AW1067" s="12"/>
      <c r="AX1067" s="13"/>
      <c r="AY1067" s="13"/>
      <c r="AZ1067" s="25" t="e">
        <f>AVERAGE(Table1107986[CarP % Base])</f>
        <v>#DIV/0!</v>
      </c>
      <c r="BA1067" s="12"/>
      <c r="BB1067" s="13"/>
      <c r="BC1067" s="13"/>
      <c r="BD1067" s="24">
        <f>AVERAGE(Table1107986[EFP % Base])</f>
        <v>0.50441428031976454</v>
      </c>
    </row>
    <row r="1069" spans="1:56" ht="15.75" thickBot="1" x14ac:dyDescent="0.3">
      <c r="A1069" s="84"/>
      <c r="B1069" s="74" t="s">
        <v>79</v>
      </c>
      <c r="C1069" s="86" t="s">
        <v>204</v>
      </c>
      <c r="D1069" s="74"/>
      <c r="E1069" s="74" t="s">
        <v>33</v>
      </c>
      <c r="F1069" s="75">
        <v>761</v>
      </c>
      <c r="G1069" s="74"/>
      <c r="H1069" s="74" t="s">
        <v>205</v>
      </c>
      <c r="I1069" s="74"/>
      <c r="J1069" s="74" t="s">
        <v>83</v>
      </c>
      <c r="K1069" s="75">
        <v>1968</v>
      </c>
      <c r="L1069" s="74"/>
      <c r="M1069" s="74"/>
      <c r="N1069" s="74"/>
      <c r="O1069" s="74"/>
      <c r="P1069" s="74"/>
      <c r="Q1069" s="74"/>
      <c r="R1069" s="74"/>
      <c r="S1069" s="74"/>
      <c r="T1069" s="74"/>
      <c r="U1069" s="74"/>
      <c r="V1069" s="74"/>
      <c r="W1069" s="74"/>
      <c r="X1069" s="74"/>
      <c r="Y1069" s="74"/>
      <c r="Z1069" s="74"/>
      <c r="AA1069" s="74"/>
      <c r="AB1069" s="74"/>
      <c r="AC1069" s="74"/>
      <c r="AD1069" s="74"/>
      <c r="AE1069" s="74"/>
      <c r="AF1069" s="74"/>
      <c r="AG1069" s="74"/>
      <c r="AH1069" s="74"/>
      <c r="AI1069" s="74"/>
      <c r="AJ1069" s="74"/>
      <c r="AK1069" s="74"/>
      <c r="AL1069" s="74"/>
      <c r="AM1069" s="74"/>
      <c r="AN1069" s="74"/>
      <c r="AO1069" s="74"/>
      <c r="AP1069" s="74"/>
      <c r="AQ1069" s="74"/>
      <c r="AR1069" s="74"/>
      <c r="AS1069" s="74"/>
      <c r="AT1069" s="74"/>
      <c r="AU1069" s="74"/>
      <c r="AV1069" s="74"/>
      <c r="AW1069" s="74"/>
      <c r="AX1069" s="74"/>
      <c r="AY1069" s="74"/>
      <c r="AZ1069" s="74"/>
      <c r="BA1069" s="74"/>
      <c r="BB1069" s="74"/>
      <c r="BC1069" s="74"/>
      <c r="BD1069" s="76"/>
    </row>
    <row r="1070" spans="1:56" x14ac:dyDescent="0.25">
      <c r="A1070" s="112"/>
      <c r="B1070" s="113"/>
      <c r="C1070" s="113"/>
      <c r="D1070" s="114"/>
      <c r="E1070" s="115" t="s">
        <v>27</v>
      </c>
      <c r="F1070" s="116"/>
      <c r="G1070" s="116"/>
      <c r="H1070" s="117"/>
      <c r="I1070" s="118" t="s">
        <v>28</v>
      </c>
      <c r="J1070" s="119"/>
      <c r="K1070" s="119"/>
      <c r="L1070" s="120"/>
      <c r="M1070" s="121" t="s">
        <v>7</v>
      </c>
      <c r="N1070" s="122"/>
      <c r="O1070" s="122"/>
      <c r="P1070" s="122"/>
      <c r="Q1070" s="124" t="s">
        <v>29</v>
      </c>
      <c r="R1070" s="125"/>
      <c r="S1070" s="125"/>
      <c r="T1070" s="126"/>
      <c r="U1070" s="128" t="s">
        <v>8</v>
      </c>
      <c r="V1070" s="128"/>
      <c r="W1070" s="128"/>
      <c r="X1070" s="129"/>
      <c r="Y1070" s="130" t="s">
        <v>0</v>
      </c>
      <c r="Z1070" s="131"/>
      <c r="AA1070" s="131"/>
      <c r="AB1070" s="132"/>
      <c r="AC1070" s="133" t="s">
        <v>34</v>
      </c>
      <c r="AD1070" s="134"/>
      <c r="AE1070" s="134"/>
      <c r="AF1070" s="135"/>
      <c r="AG1070" s="115" t="s">
        <v>9</v>
      </c>
      <c r="AH1070" s="116"/>
      <c r="AI1070" s="116"/>
      <c r="AJ1070" s="117"/>
      <c r="AK1070" s="136" t="s">
        <v>35</v>
      </c>
      <c r="AL1070" s="137"/>
      <c r="AM1070" s="137"/>
      <c r="AN1070" s="138"/>
      <c r="AO1070" s="139" t="s">
        <v>10</v>
      </c>
      <c r="AP1070" s="140"/>
      <c r="AQ1070" s="140"/>
      <c r="AR1070" s="141"/>
      <c r="AS1070" s="124" t="s">
        <v>36</v>
      </c>
      <c r="AT1070" s="125"/>
      <c r="AU1070" s="125"/>
      <c r="AV1070" s="126"/>
      <c r="AW1070" s="142" t="s">
        <v>11</v>
      </c>
      <c r="AX1070" s="143"/>
      <c r="AY1070" s="143"/>
      <c r="AZ1070" s="144"/>
      <c r="BA1070" s="148" t="s">
        <v>17</v>
      </c>
      <c r="BB1070" s="149"/>
      <c r="BC1070" s="149"/>
      <c r="BD1070" s="150"/>
    </row>
    <row r="1071" spans="1:56" ht="15.75" thickBot="1" x14ac:dyDescent="0.3">
      <c r="A1071" s="41" t="s">
        <v>13</v>
      </c>
      <c r="B1071" s="42" t="s">
        <v>15</v>
      </c>
      <c r="C1071" s="42" t="s">
        <v>32</v>
      </c>
      <c r="D1071" s="43" t="s">
        <v>18</v>
      </c>
      <c r="E1071" s="30" t="s">
        <v>30</v>
      </c>
      <c r="F1071" s="31" t="s">
        <v>61</v>
      </c>
      <c r="G1071" s="31" t="s">
        <v>38</v>
      </c>
      <c r="H1071" s="32" t="s">
        <v>62</v>
      </c>
      <c r="I1071" s="37" t="s">
        <v>31</v>
      </c>
      <c r="J1071" s="38" t="s">
        <v>39</v>
      </c>
      <c r="K1071" s="38" t="s">
        <v>40</v>
      </c>
      <c r="L1071" s="39" t="s">
        <v>63</v>
      </c>
      <c r="M1071" s="40" t="s">
        <v>19</v>
      </c>
      <c r="N1071" s="7" t="s">
        <v>41</v>
      </c>
      <c r="O1071" s="7" t="s">
        <v>37</v>
      </c>
      <c r="P1071" s="7" t="s">
        <v>64</v>
      </c>
      <c r="Q1071" s="27" t="s">
        <v>20</v>
      </c>
      <c r="R1071" s="28" t="s">
        <v>60</v>
      </c>
      <c r="S1071" s="28" t="s">
        <v>59</v>
      </c>
      <c r="T1071" s="29" t="s">
        <v>65</v>
      </c>
      <c r="U1071" s="48" t="s">
        <v>21</v>
      </c>
      <c r="V1071" s="48" t="s">
        <v>42</v>
      </c>
      <c r="W1071" s="48" t="s">
        <v>43</v>
      </c>
      <c r="X1071" s="49" t="s">
        <v>66</v>
      </c>
      <c r="Y1071" s="50" t="s">
        <v>22</v>
      </c>
      <c r="Z1071" s="51" t="s">
        <v>44</v>
      </c>
      <c r="AA1071" s="51" t="s">
        <v>45</v>
      </c>
      <c r="AB1071" s="52" t="s">
        <v>67</v>
      </c>
      <c r="AC1071" s="45" t="s">
        <v>23</v>
      </c>
      <c r="AD1071" s="46" t="s">
        <v>46</v>
      </c>
      <c r="AE1071" s="46" t="s">
        <v>47</v>
      </c>
      <c r="AF1071" s="47" t="s">
        <v>68</v>
      </c>
      <c r="AG1071" s="30" t="s">
        <v>24</v>
      </c>
      <c r="AH1071" s="31" t="s">
        <v>48</v>
      </c>
      <c r="AI1071" s="31" t="s">
        <v>49</v>
      </c>
      <c r="AJ1071" s="32" t="s">
        <v>69</v>
      </c>
      <c r="AK1071" s="53" t="s">
        <v>25</v>
      </c>
      <c r="AL1071" s="54" t="s">
        <v>50</v>
      </c>
      <c r="AM1071" s="54" t="s">
        <v>51</v>
      </c>
      <c r="AN1071" s="55" t="s">
        <v>70</v>
      </c>
      <c r="AO1071" s="56" t="s">
        <v>26</v>
      </c>
      <c r="AP1071" s="57" t="s">
        <v>52</v>
      </c>
      <c r="AQ1071" s="57" t="s">
        <v>53</v>
      </c>
      <c r="AR1071" s="58" t="s">
        <v>71</v>
      </c>
      <c r="AS1071" s="59" t="s">
        <v>55</v>
      </c>
      <c r="AT1071" s="60" t="s">
        <v>54</v>
      </c>
      <c r="AU1071" s="60" t="s">
        <v>56</v>
      </c>
      <c r="AV1071" s="61" t="s">
        <v>76</v>
      </c>
      <c r="AW1071" s="62" t="s">
        <v>72</v>
      </c>
      <c r="AX1071" s="63" t="s">
        <v>73</v>
      </c>
      <c r="AY1071" s="63" t="s">
        <v>74</v>
      </c>
      <c r="AZ1071" s="64" t="s">
        <v>75</v>
      </c>
      <c r="BA1071" s="71" t="s">
        <v>77</v>
      </c>
      <c r="BB1071" s="72" t="s">
        <v>57</v>
      </c>
      <c r="BC1071" s="72" t="s">
        <v>58</v>
      </c>
      <c r="BD1071" s="73" t="s">
        <v>78</v>
      </c>
    </row>
    <row r="1072" spans="1:56" x14ac:dyDescent="0.25">
      <c r="A1072" s="17" t="s">
        <v>1</v>
      </c>
      <c r="B1072" s="14">
        <v>41950</v>
      </c>
      <c r="C1072" s="34">
        <f>B1072/F1069</f>
        <v>55.124835742444155</v>
      </c>
      <c r="D1072" s="14">
        <v>1525</v>
      </c>
      <c r="E1072" s="67">
        <v>0</v>
      </c>
      <c r="F1072" s="69">
        <v>0</v>
      </c>
      <c r="G1072" s="34" t="e">
        <f t="shared" ref="G1072:G1078" si="2314">E1072/F1072</f>
        <v>#DIV/0!</v>
      </c>
      <c r="H1072" s="10" t="e">
        <f t="shared" ref="H1072:H1078" si="2315">G1072/C1072</f>
        <v>#DIV/0!</v>
      </c>
      <c r="I1072" s="34">
        <v>0</v>
      </c>
      <c r="J1072" s="69">
        <v>0</v>
      </c>
      <c r="K1072" s="34" t="e">
        <f t="shared" ref="K1072:K1078" si="2316">I1072/J1072</f>
        <v>#DIV/0!</v>
      </c>
      <c r="L1072" s="9" t="e">
        <f t="shared" ref="L1072:L1078" si="2317">K1072/C1072</f>
        <v>#DIV/0!</v>
      </c>
      <c r="M1072" s="67">
        <v>0</v>
      </c>
      <c r="N1072" s="26">
        <v>0</v>
      </c>
      <c r="O1072" s="34" t="e">
        <f t="shared" ref="O1072:O1078" si="2318">M1072/N1072</f>
        <v>#DIV/0!</v>
      </c>
      <c r="P1072" s="10" t="e">
        <f t="shared" ref="P1072:P1078" si="2319">O1072/C1072</f>
        <v>#DIV/0!</v>
      </c>
      <c r="Q1072" s="35">
        <v>0</v>
      </c>
      <c r="R1072" s="66">
        <v>0</v>
      </c>
      <c r="S1072" s="35" t="e">
        <f t="shared" ref="S1072:S1078" si="2320">Q1072/R1072</f>
        <v>#DIV/0!</v>
      </c>
      <c r="T1072" s="6" t="e">
        <f t="shared" ref="T1072:T1078" si="2321">S1072/C1072</f>
        <v>#DIV/0!</v>
      </c>
      <c r="U1072" s="67">
        <v>0</v>
      </c>
      <c r="V1072" s="65">
        <v>0</v>
      </c>
      <c r="W1072" s="34" t="e">
        <f t="shared" ref="W1072:W1078" si="2322">U1072/V1072</f>
        <v>#DIV/0!</v>
      </c>
      <c r="X1072" s="9" t="e">
        <f t="shared" ref="X1072:X1078" si="2323">W1072/C1072</f>
        <v>#DIV/0!</v>
      </c>
      <c r="Y1072" s="67">
        <v>0</v>
      </c>
      <c r="Z1072" s="69">
        <v>0</v>
      </c>
      <c r="AA1072" s="34" t="e">
        <f t="shared" ref="AA1072:AA1078" si="2324">Y1072/Z1072</f>
        <v>#DIV/0!</v>
      </c>
      <c r="AB1072" s="10" t="e">
        <f t="shared" ref="AB1072:AB1078" si="2325">AA1072/C1072</f>
        <v>#DIV/0!</v>
      </c>
      <c r="AC1072" s="34">
        <v>0</v>
      </c>
      <c r="AD1072" s="33">
        <v>0</v>
      </c>
      <c r="AE1072" s="34" t="e">
        <f t="shared" ref="AE1072:AE1078" si="2326">AC1072/AD1072</f>
        <v>#DIV/0!</v>
      </c>
      <c r="AF1072" s="9" t="e">
        <f t="shared" ref="AF1072:AF1078" si="2327">AE1072/C1072</f>
        <v>#DIV/0!</v>
      </c>
      <c r="AG1072" s="67">
        <v>0</v>
      </c>
      <c r="AH1072" s="65">
        <v>0</v>
      </c>
      <c r="AI1072" s="34" t="e">
        <f t="shared" ref="AI1072:AI1078" si="2328">AG1072/AH1072</f>
        <v>#DIV/0!</v>
      </c>
      <c r="AJ1072" s="9" t="e">
        <f t="shared" ref="AJ1072:AJ1078" si="2329">AI1072/C1072</f>
        <v>#DIV/0!</v>
      </c>
      <c r="AK1072" s="67">
        <v>810</v>
      </c>
      <c r="AL1072" s="65">
        <v>96</v>
      </c>
      <c r="AM1072" s="34">
        <f t="shared" ref="AM1072:AM1078" si="2330">AK1072/AL1072</f>
        <v>8.4375</v>
      </c>
      <c r="AN1072" s="9">
        <f t="shared" ref="AN1072:AN1078" si="2331">AM1072/C1072</f>
        <v>0.15306168057210964</v>
      </c>
      <c r="AO1072" s="67">
        <v>0</v>
      </c>
      <c r="AP1072" s="65">
        <v>0</v>
      </c>
      <c r="AQ1072" s="34" t="e">
        <f t="shared" ref="AQ1072:AQ1078" si="2332">AO1072/AP1072</f>
        <v>#DIV/0!</v>
      </c>
      <c r="AR1072" s="9" t="e">
        <f t="shared" ref="AR1072:AR1078" si="2333">AQ1072/C1072</f>
        <v>#DIV/0!</v>
      </c>
      <c r="AS1072" s="67">
        <v>0</v>
      </c>
      <c r="AT1072" s="65">
        <v>0</v>
      </c>
      <c r="AU1072" s="34" t="e">
        <f t="shared" ref="AU1072:AU1078" si="2334">AS1072/AT1072</f>
        <v>#DIV/0!</v>
      </c>
      <c r="AV1072" s="9" t="e">
        <f t="shared" ref="AV1072:AV1078" si="2335">AU1072/C1072</f>
        <v>#DIV/0!</v>
      </c>
      <c r="AW1072" s="67">
        <v>0</v>
      </c>
      <c r="AX1072" s="65">
        <v>0</v>
      </c>
      <c r="AY1072" s="34" t="e">
        <f t="shared" ref="AY1072:AY1078" si="2336">AW1072/AX1072</f>
        <v>#DIV/0!</v>
      </c>
      <c r="AZ1072" s="9" t="e">
        <f t="shared" ref="AZ1072:AZ1078" si="2337">AY1072/C1072</f>
        <v>#DIV/0!</v>
      </c>
      <c r="BA1072" s="67">
        <v>0</v>
      </c>
      <c r="BB1072" s="65">
        <v>0</v>
      </c>
      <c r="BC1072" s="34" t="e">
        <f t="shared" ref="BC1072:BC1078" si="2338">BA1072/BB1072</f>
        <v>#DIV/0!</v>
      </c>
      <c r="BD1072" s="10" t="e">
        <f t="shared" ref="BD1072:BD1078" si="2339">BC1072/C1072</f>
        <v>#DIV/0!</v>
      </c>
    </row>
    <row r="1073" spans="1:56" x14ac:dyDescent="0.25">
      <c r="A1073" s="19" t="s">
        <v>16</v>
      </c>
      <c r="B1073" s="8">
        <v>49350</v>
      </c>
      <c r="C1073" s="35">
        <f>B1073/F1069</f>
        <v>64.848883048620237</v>
      </c>
      <c r="D1073" s="8">
        <v>1525</v>
      </c>
      <c r="E1073" s="68">
        <v>0</v>
      </c>
      <c r="F1073" s="70">
        <v>0</v>
      </c>
      <c r="G1073" s="35" t="e">
        <f t="shared" si="2314"/>
        <v>#DIV/0!</v>
      </c>
      <c r="H1073" s="11" t="e">
        <f t="shared" si="2315"/>
        <v>#DIV/0!</v>
      </c>
      <c r="I1073" s="35">
        <v>0</v>
      </c>
      <c r="J1073" s="70">
        <v>0</v>
      </c>
      <c r="K1073" s="35" t="e">
        <f t="shared" si="2316"/>
        <v>#DIV/0!</v>
      </c>
      <c r="L1073" s="6" t="e">
        <f t="shared" si="2317"/>
        <v>#DIV/0!</v>
      </c>
      <c r="M1073" s="68">
        <v>0</v>
      </c>
      <c r="N1073" s="5">
        <v>0</v>
      </c>
      <c r="O1073" s="35" t="e">
        <f t="shared" si="2318"/>
        <v>#DIV/0!</v>
      </c>
      <c r="P1073" s="11" t="e">
        <f t="shared" si="2319"/>
        <v>#DIV/0!</v>
      </c>
      <c r="Q1073" s="35">
        <v>0</v>
      </c>
      <c r="R1073" s="66">
        <v>0</v>
      </c>
      <c r="S1073" s="35" t="e">
        <f t="shared" si="2320"/>
        <v>#DIV/0!</v>
      </c>
      <c r="T1073" s="6" t="e">
        <f t="shared" si="2321"/>
        <v>#DIV/0!</v>
      </c>
      <c r="U1073" s="68">
        <v>0</v>
      </c>
      <c r="V1073" s="66">
        <v>0</v>
      </c>
      <c r="W1073" s="35" t="e">
        <f t="shared" si="2322"/>
        <v>#DIV/0!</v>
      </c>
      <c r="X1073" s="6" t="e">
        <f t="shared" si="2323"/>
        <v>#DIV/0!</v>
      </c>
      <c r="Y1073" s="68">
        <v>0</v>
      </c>
      <c r="Z1073" s="70">
        <v>0</v>
      </c>
      <c r="AA1073" s="35" t="e">
        <f t="shared" si="2324"/>
        <v>#DIV/0!</v>
      </c>
      <c r="AB1073" s="11" t="e">
        <f t="shared" si="2325"/>
        <v>#DIV/0!</v>
      </c>
      <c r="AC1073" s="35">
        <v>0</v>
      </c>
      <c r="AD1073" s="36">
        <v>0</v>
      </c>
      <c r="AE1073" s="35" t="e">
        <f t="shared" si="2326"/>
        <v>#DIV/0!</v>
      </c>
      <c r="AF1073" s="6" t="e">
        <f t="shared" si="2327"/>
        <v>#DIV/0!</v>
      </c>
      <c r="AG1073" s="68">
        <v>0</v>
      </c>
      <c r="AH1073" s="66">
        <v>0</v>
      </c>
      <c r="AI1073" s="35" t="e">
        <f t="shared" si="2328"/>
        <v>#DIV/0!</v>
      </c>
      <c r="AJ1073" s="6" t="e">
        <f t="shared" si="2329"/>
        <v>#DIV/0!</v>
      </c>
      <c r="AK1073" s="68">
        <v>1120</v>
      </c>
      <c r="AL1073" s="66">
        <v>96</v>
      </c>
      <c r="AM1073" s="35">
        <f t="shared" si="2330"/>
        <v>11.666666666666666</v>
      </c>
      <c r="AN1073" s="6">
        <f t="shared" si="2331"/>
        <v>0.17990543735224584</v>
      </c>
      <c r="AO1073" s="68">
        <v>0</v>
      </c>
      <c r="AP1073" s="66">
        <v>0</v>
      </c>
      <c r="AQ1073" s="35" t="e">
        <f t="shared" si="2332"/>
        <v>#DIV/0!</v>
      </c>
      <c r="AR1073" s="6" t="e">
        <f t="shared" si="2333"/>
        <v>#DIV/0!</v>
      </c>
      <c r="AS1073" s="68">
        <v>0</v>
      </c>
      <c r="AT1073" s="66">
        <v>0</v>
      </c>
      <c r="AU1073" s="35" t="e">
        <f t="shared" si="2334"/>
        <v>#DIV/0!</v>
      </c>
      <c r="AV1073" s="6" t="e">
        <f t="shared" si="2335"/>
        <v>#DIV/0!</v>
      </c>
      <c r="AW1073" s="68">
        <v>0</v>
      </c>
      <c r="AX1073" s="66">
        <v>0</v>
      </c>
      <c r="AY1073" s="35" t="e">
        <f t="shared" si="2336"/>
        <v>#DIV/0!</v>
      </c>
      <c r="AZ1073" s="6" t="e">
        <f t="shared" si="2337"/>
        <v>#DIV/0!</v>
      </c>
      <c r="BA1073" s="68">
        <v>0</v>
      </c>
      <c r="BB1073" s="66">
        <v>0</v>
      </c>
      <c r="BC1073" s="35" t="e">
        <f t="shared" si="2338"/>
        <v>#DIV/0!</v>
      </c>
      <c r="BD1073" s="11" t="e">
        <f t="shared" si="2339"/>
        <v>#DIV/0!</v>
      </c>
    </row>
    <row r="1074" spans="1:56" x14ac:dyDescent="0.25">
      <c r="A1074" s="19" t="s">
        <v>2</v>
      </c>
      <c r="B1074" s="8">
        <v>57800</v>
      </c>
      <c r="C1074" s="35">
        <f>B1074/F1069</f>
        <v>75.952693823915894</v>
      </c>
      <c r="D1074" s="8">
        <v>2100</v>
      </c>
      <c r="E1074" s="68">
        <v>0</v>
      </c>
      <c r="F1074" s="70">
        <v>0</v>
      </c>
      <c r="G1074" s="35" t="e">
        <f t="shared" si="2314"/>
        <v>#DIV/0!</v>
      </c>
      <c r="H1074" s="11" t="e">
        <f t="shared" si="2315"/>
        <v>#DIV/0!</v>
      </c>
      <c r="I1074" s="35">
        <v>0</v>
      </c>
      <c r="J1074" s="70">
        <v>0</v>
      </c>
      <c r="K1074" s="35" t="e">
        <f t="shared" si="2316"/>
        <v>#DIV/0!</v>
      </c>
      <c r="L1074" s="6" t="e">
        <f t="shared" si="2317"/>
        <v>#DIV/0!</v>
      </c>
      <c r="M1074" s="68">
        <v>0</v>
      </c>
      <c r="N1074" s="5">
        <v>0</v>
      </c>
      <c r="O1074" s="35" t="e">
        <f t="shared" si="2318"/>
        <v>#DIV/0!</v>
      </c>
      <c r="P1074" s="11" t="e">
        <f t="shared" si="2319"/>
        <v>#DIV/0!</v>
      </c>
      <c r="Q1074" s="35">
        <v>0</v>
      </c>
      <c r="R1074" s="66">
        <v>0</v>
      </c>
      <c r="S1074" s="35" t="e">
        <f t="shared" si="2320"/>
        <v>#DIV/0!</v>
      </c>
      <c r="T1074" s="6" t="e">
        <f t="shared" si="2321"/>
        <v>#DIV/0!</v>
      </c>
      <c r="U1074" s="68">
        <v>0</v>
      </c>
      <c r="V1074" s="66">
        <v>0</v>
      </c>
      <c r="W1074" s="35" t="e">
        <f t="shared" si="2322"/>
        <v>#DIV/0!</v>
      </c>
      <c r="X1074" s="6" t="e">
        <f t="shared" si="2323"/>
        <v>#DIV/0!</v>
      </c>
      <c r="Y1074" s="68">
        <v>0</v>
      </c>
      <c r="Z1074" s="70">
        <v>0</v>
      </c>
      <c r="AA1074" s="35" t="e">
        <f t="shared" si="2324"/>
        <v>#DIV/0!</v>
      </c>
      <c r="AB1074" s="11" t="e">
        <f t="shared" si="2325"/>
        <v>#DIV/0!</v>
      </c>
      <c r="AC1074" s="35">
        <v>0</v>
      </c>
      <c r="AD1074" s="36">
        <v>0</v>
      </c>
      <c r="AE1074" s="35" t="e">
        <f t="shared" si="2326"/>
        <v>#DIV/0!</v>
      </c>
      <c r="AF1074" s="6" t="e">
        <f t="shared" si="2327"/>
        <v>#DIV/0!</v>
      </c>
      <c r="AG1074" s="68">
        <v>0</v>
      </c>
      <c r="AH1074" s="66">
        <v>0</v>
      </c>
      <c r="AI1074" s="35" t="e">
        <f t="shared" si="2328"/>
        <v>#DIV/0!</v>
      </c>
      <c r="AJ1074" s="6" t="e">
        <f t="shared" si="2329"/>
        <v>#DIV/0!</v>
      </c>
      <c r="AK1074" s="68">
        <v>1300</v>
      </c>
      <c r="AL1074" s="66">
        <v>96</v>
      </c>
      <c r="AM1074" s="35">
        <f t="shared" si="2330"/>
        <v>13.541666666666666</v>
      </c>
      <c r="AN1074" s="6">
        <f t="shared" si="2331"/>
        <v>0.17829080161476357</v>
      </c>
      <c r="AO1074" s="68">
        <v>0</v>
      </c>
      <c r="AP1074" s="66">
        <v>0</v>
      </c>
      <c r="AQ1074" s="35" t="e">
        <f t="shared" si="2332"/>
        <v>#DIV/0!</v>
      </c>
      <c r="AR1074" s="6" t="e">
        <f t="shared" si="2333"/>
        <v>#DIV/0!</v>
      </c>
      <c r="AS1074" s="68">
        <v>0</v>
      </c>
      <c r="AT1074" s="66">
        <v>0</v>
      </c>
      <c r="AU1074" s="35" t="e">
        <f t="shared" si="2334"/>
        <v>#DIV/0!</v>
      </c>
      <c r="AV1074" s="6" t="e">
        <f t="shared" si="2335"/>
        <v>#DIV/0!</v>
      </c>
      <c r="AW1074" s="68">
        <v>0</v>
      </c>
      <c r="AX1074" s="66">
        <v>0</v>
      </c>
      <c r="AY1074" s="35" t="e">
        <f t="shared" si="2336"/>
        <v>#DIV/0!</v>
      </c>
      <c r="AZ1074" s="6" t="e">
        <f t="shared" si="2337"/>
        <v>#DIV/0!</v>
      </c>
      <c r="BA1074" s="68">
        <v>0</v>
      </c>
      <c r="BB1074" s="66">
        <v>0</v>
      </c>
      <c r="BC1074" s="35" t="e">
        <f t="shared" si="2338"/>
        <v>#DIV/0!</v>
      </c>
      <c r="BD1074" s="11" t="e">
        <f t="shared" si="2339"/>
        <v>#DIV/0!</v>
      </c>
    </row>
    <row r="1075" spans="1:56" x14ac:dyDescent="0.25">
      <c r="A1075" s="19" t="s">
        <v>3</v>
      </c>
      <c r="B1075" s="8">
        <v>68940</v>
      </c>
      <c r="C1075" s="35">
        <f>B1075/F1069</f>
        <v>90.591327201051243</v>
      </c>
      <c r="D1075" s="8">
        <v>2700</v>
      </c>
      <c r="E1075" s="68">
        <v>0</v>
      </c>
      <c r="F1075" s="70">
        <v>0</v>
      </c>
      <c r="G1075" s="35" t="e">
        <f t="shared" si="2314"/>
        <v>#DIV/0!</v>
      </c>
      <c r="H1075" s="11" t="e">
        <f t="shared" si="2315"/>
        <v>#DIV/0!</v>
      </c>
      <c r="I1075" s="35">
        <v>0</v>
      </c>
      <c r="J1075" s="70">
        <v>0</v>
      </c>
      <c r="K1075" s="35" t="e">
        <f t="shared" si="2316"/>
        <v>#DIV/0!</v>
      </c>
      <c r="L1075" s="6" t="e">
        <f t="shared" si="2317"/>
        <v>#DIV/0!</v>
      </c>
      <c r="M1075" s="68">
        <v>0</v>
      </c>
      <c r="N1075" s="5">
        <v>0</v>
      </c>
      <c r="O1075" s="35" t="e">
        <f t="shared" si="2318"/>
        <v>#DIV/0!</v>
      </c>
      <c r="P1075" s="11" t="e">
        <f t="shared" si="2319"/>
        <v>#DIV/0!</v>
      </c>
      <c r="Q1075" s="35">
        <v>0</v>
      </c>
      <c r="R1075" s="66">
        <v>0</v>
      </c>
      <c r="S1075" s="35" t="e">
        <f t="shared" si="2320"/>
        <v>#DIV/0!</v>
      </c>
      <c r="T1075" s="6" t="e">
        <f t="shared" si="2321"/>
        <v>#DIV/0!</v>
      </c>
      <c r="U1075" s="68">
        <v>0</v>
      </c>
      <c r="V1075" s="66">
        <v>0</v>
      </c>
      <c r="W1075" s="35" t="e">
        <f t="shared" si="2322"/>
        <v>#DIV/0!</v>
      </c>
      <c r="X1075" s="6" t="e">
        <f t="shared" si="2323"/>
        <v>#DIV/0!</v>
      </c>
      <c r="Y1075" s="68">
        <v>0</v>
      </c>
      <c r="Z1075" s="70">
        <v>0</v>
      </c>
      <c r="AA1075" s="35" t="e">
        <f t="shared" si="2324"/>
        <v>#DIV/0!</v>
      </c>
      <c r="AB1075" s="11" t="e">
        <f t="shared" si="2325"/>
        <v>#DIV/0!</v>
      </c>
      <c r="AC1075" s="35">
        <v>0</v>
      </c>
      <c r="AD1075" s="36">
        <v>0</v>
      </c>
      <c r="AE1075" s="35" t="e">
        <f t="shared" si="2326"/>
        <v>#DIV/0!</v>
      </c>
      <c r="AF1075" s="6" t="e">
        <f t="shared" si="2327"/>
        <v>#DIV/0!</v>
      </c>
      <c r="AG1075" s="68">
        <v>0</v>
      </c>
      <c r="AH1075" s="66">
        <v>0</v>
      </c>
      <c r="AI1075" s="35" t="e">
        <f t="shared" si="2328"/>
        <v>#DIV/0!</v>
      </c>
      <c r="AJ1075" s="6" t="e">
        <f t="shared" si="2329"/>
        <v>#DIV/0!</v>
      </c>
      <c r="AK1075" s="68">
        <v>1710</v>
      </c>
      <c r="AL1075" s="66">
        <v>96</v>
      </c>
      <c r="AM1075" s="35">
        <f t="shared" si="2330"/>
        <v>17.8125</v>
      </c>
      <c r="AN1075" s="6">
        <f t="shared" si="2331"/>
        <v>0.19662478241949521</v>
      </c>
      <c r="AO1075" s="68">
        <v>0</v>
      </c>
      <c r="AP1075" s="66">
        <v>0</v>
      </c>
      <c r="AQ1075" s="35" t="e">
        <f t="shared" si="2332"/>
        <v>#DIV/0!</v>
      </c>
      <c r="AR1075" s="6" t="e">
        <f t="shared" si="2333"/>
        <v>#DIV/0!</v>
      </c>
      <c r="AS1075" s="68">
        <v>0</v>
      </c>
      <c r="AT1075" s="66">
        <v>0</v>
      </c>
      <c r="AU1075" s="35" t="e">
        <f t="shared" si="2334"/>
        <v>#DIV/0!</v>
      </c>
      <c r="AV1075" s="6" t="e">
        <f t="shared" si="2335"/>
        <v>#DIV/0!</v>
      </c>
      <c r="AW1075" s="68">
        <v>0</v>
      </c>
      <c r="AX1075" s="66">
        <v>0</v>
      </c>
      <c r="AY1075" s="35" t="e">
        <f t="shared" si="2336"/>
        <v>#DIV/0!</v>
      </c>
      <c r="AZ1075" s="6" t="e">
        <f t="shared" si="2337"/>
        <v>#DIV/0!</v>
      </c>
      <c r="BA1075" s="68">
        <v>0</v>
      </c>
      <c r="BB1075" s="66">
        <v>0</v>
      </c>
      <c r="BC1075" s="35" t="e">
        <f t="shared" si="2338"/>
        <v>#DIV/0!</v>
      </c>
      <c r="BD1075" s="11" t="e">
        <f t="shared" si="2339"/>
        <v>#DIV/0!</v>
      </c>
    </row>
    <row r="1076" spans="1:56" x14ac:dyDescent="0.25">
      <c r="A1076" s="19" t="s">
        <v>4</v>
      </c>
      <c r="B1076" s="8">
        <v>85540</v>
      </c>
      <c r="C1076" s="35">
        <f>B1076/F1069</f>
        <v>112.40473061760841</v>
      </c>
      <c r="D1076" s="8">
        <v>5250</v>
      </c>
      <c r="E1076" s="68">
        <v>0</v>
      </c>
      <c r="F1076" s="70">
        <v>0</v>
      </c>
      <c r="G1076" s="35" t="e">
        <f t="shared" si="2314"/>
        <v>#DIV/0!</v>
      </c>
      <c r="H1076" s="11" t="e">
        <f t="shared" si="2315"/>
        <v>#DIV/0!</v>
      </c>
      <c r="I1076" s="35">
        <v>0</v>
      </c>
      <c r="J1076" s="70">
        <v>0</v>
      </c>
      <c r="K1076" s="35" t="e">
        <f t="shared" si="2316"/>
        <v>#DIV/0!</v>
      </c>
      <c r="L1076" s="6" t="e">
        <f t="shared" si="2317"/>
        <v>#DIV/0!</v>
      </c>
      <c r="M1076" s="68">
        <v>0</v>
      </c>
      <c r="N1076" s="5">
        <v>0</v>
      </c>
      <c r="O1076" s="35" t="e">
        <f t="shared" si="2318"/>
        <v>#DIV/0!</v>
      </c>
      <c r="P1076" s="11" t="e">
        <f t="shared" si="2319"/>
        <v>#DIV/0!</v>
      </c>
      <c r="Q1076" s="35">
        <v>0</v>
      </c>
      <c r="R1076" s="66">
        <v>0</v>
      </c>
      <c r="S1076" s="35" t="e">
        <f t="shared" si="2320"/>
        <v>#DIV/0!</v>
      </c>
      <c r="T1076" s="6" t="e">
        <f t="shared" si="2321"/>
        <v>#DIV/0!</v>
      </c>
      <c r="U1076" s="68">
        <v>0</v>
      </c>
      <c r="V1076" s="66">
        <v>0</v>
      </c>
      <c r="W1076" s="35" t="e">
        <f t="shared" si="2322"/>
        <v>#DIV/0!</v>
      </c>
      <c r="X1076" s="6" t="e">
        <f t="shared" si="2323"/>
        <v>#DIV/0!</v>
      </c>
      <c r="Y1076" s="68">
        <v>0</v>
      </c>
      <c r="Z1076" s="70">
        <v>0</v>
      </c>
      <c r="AA1076" s="35" t="e">
        <f t="shared" si="2324"/>
        <v>#DIV/0!</v>
      </c>
      <c r="AB1076" s="11" t="e">
        <f t="shared" si="2325"/>
        <v>#DIV/0!</v>
      </c>
      <c r="AC1076" s="35">
        <v>0</v>
      </c>
      <c r="AD1076" s="36">
        <v>0</v>
      </c>
      <c r="AE1076" s="35" t="e">
        <f t="shared" si="2326"/>
        <v>#DIV/0!</v>
      </c>
      <c r="AF1076" s="6" t="e">
        <f t="shared" si="2327"/>
        <v>#DIV/0!</v>
      </c>
      <c r="AG1076" s="68">
        <v>0</v>
      </c>
      <c r="AH1076" s="66">
        <v>0</v>
      </c>
      <c r="AI1076" s="35" t="e">
        <f t="shared" si="2328"/>
        <v>#DIV/0!</v>
      </c>
      <c r="AJ1076" s="6" t="e">
        <f t="shared" si="2329"/>
        <v>#DIV/0!</v>
      </c>
      <c r="AK1076" s="68">
        <v>1870</v>
      </c>
      <c r="AL1076" s="66">
        <v>96</v>
      </c>
      <c r="AM1076" s="35">
        <f t="shared" si="2330"/>
        <v>19.479166666666668</v>
      </c>
      <c r="AN1076" s="6">
        <f t="shared" si="2331"/>
        <v>0.17329490102096487</v>
      </c>
      <c r="AO1076" s="68">
        <v>0</v>
      </c>
      <c r="AP1076" s="66">
        <v>0</v>
      </c>
      <c r="AQ1076" s="35" t="e">
        <f t="shared" si="2332"/>
        <v>#DIV/0!</v>
      </c>
      <c r="AR1076" s="6" t="e">
        <f t="shared" si="2333"/>
        <v>#DIV/0!</v>
      </c>
      <c r="AS1076" s="68">
        <v>0</v>
      </c>
      <c r="AT1076" s="66">
        <v>0</v>
      </c>
      <c r="AU1076" s="35" t="e">
        <f t="shared" si="2334"/>
        <v>#DIV/0!</v>
      </c>
      <c r="AV1076" s="6" t="e">
        <f t="shared" si="2335"/>
        <v>#DIV/0!</v>
      </c>
      <c r="AW1076" s="68">
        <v>0</v>
      </c>
      <c r="AX1076" s="66">
        <v>0</v>
      </c>
      <c r="AY1076" s="35" t="e">
        <f t="shared" si="2336"/>
        <v>#DIV/0!</v>
      </c>
      <c r="AZ1076" s="6" t="e">
        <f t="shared" si="2337"/>
        <v>#DIV/0!</v>
      </c>
      <c r="BA1076" s="68">
        <v>0</v>
      </c>
      <c r="BB1076" s="66">
        <v>0</v>
      </c>
      <c r="BC1076" s="35" t="e">
        <f t="shared" si="2338"/>
        <v>#DIV/0!</v>
      </c>
      <c r="BD1076" s="11" t="e">
        <f t="shared" si="2339"/>
        <v>#DIV/0!</v>
      </c>
    </row>
    <row r="1077" spans="1:56" x14ac:dyDescent="0.25">
      <c r="A1077" s="19" t="s">
        <v>5</v>
      </c>
      <c r="B1077" s="8">
        <v>108860</v>
      </c>
      <c r="C1077" s="35">
        <f>B1077/F1069</f>
        <v>143.04862023653089</v>
      </c>
      <c r="D1077" s="8">
        <v>7050</v>
      </c>
      <c r="E1077" s="68">
        <v>0</v>
      </c>
      <c r="F1077" s="70">
        <v>0</v>
      </c>
      <c r="G1077" s="35" t="e">
        <f t="shared" si="2314"/>
        <v>#DIV/0!</v>
      </c>
      <c r="H1077" s="11" t="e">
        <f t="shared" si="2315"/>
        <v>#DIV/0!</v>
      </c>
      <c r="I1077" s="35">
        <v>0</v>
      </c>
      <c r="J1077" s="70">
        <v>0</v>
      </c>
      <c r="K1077" s="35" t="e">
        <f t="shared" si="2316"/>
        <v>#DIV/0!</v>
      </c>
      <c r="L1077" s="6" t="e">
        <f t="shared" si="2317"/>
        <v>#DIV/0!</v>
      </c>
      <c r="M1077" s="68">
        <v>0</v>
      </c>
      <c r="N1077" s="5">
        <v>0</v>
      </c>
      <c r="O1077" s="35" t="e">
        <f t="shared" si="2318"/>
        <v>#DIV/0!</v>
      </c>
      <c r="P1077" s="11" t="e">
        <f t="shared" si="2319"/>
        <v>#DIV/0!</v>
      </c>
      <c r="Q1077" s="35">
        <v>0</v>
      </c>
      <c r="R1077" s="66">
        <v>0</v>
      </c>
      <c r="S1077" s="35" t="e">
        <f t="shared" si="2320"/>
        <v>#DIV/0!</v>
      </c>
      <c r="T1077" s="6" t="e">
        <f t="shared" si="2321"/>
        <v>#DIV/0!</v>
      </c>
      <c r="U1077" s="68">
        <v>0</v>
      </c>
      <c r="V1077" s="66">
        <v>0</v>
      </c>
      <c r="W1077" s="35" t="e">
        <f t="shared" si="2322"/>
        <v>#DIV/0!</v>
      </c>
      <c r="X1077" s="6" t="e">
        <f t="shared" si="2323"/>
        <v>#DIV/0!</v>
      </c>
      <c r="Y1077" s="68">
        <v>0</v>
      </c>
      <c r="Z1077" s="70">
        <v>0</v>
      </c>
      <c r="AA1077" s="35" t="e">
        <f t="shared" si="2324"/>
        <v>#DIV/0!</v>
      </c>
      <c r="AB1077" s="11" t="e">
        <f t="shared" si="2325"/>
        <v>#DIV/0!</v>
      </c>
      <c r="AC1077" s="35">
        <v>0</v>
      </c>
      <c r="AD1077" s="36">
        <v>0</v>
      </c>
      <c r="AE1077" s="35" t="e">
        <f t="shared" si="2326"/>
        <v>#DIV/0!</v>
      </c>
      <c r="AF1077" s="6" t="e">
        <f t="shared" si="2327"/>
        <v>#DIV/0!</v>
      </c>
      <c r="AG1077" s="68">
        <v>0</v>
      </c>
      <c r="AH1077" s="66">
        <v>0</v>
      </c>
      <c r="AI1077" s="35" t="e">
        <f t="shared" si="2328"/>
        <v>#DIV/0!</v>
      </c>
      <c r="AJ1077" s="6" t="e">
        <f t="shared" si="2329"/>
        <v>#DIV/0!</v>
      </c>
      <c r="AK1077" s="68">
        <v>2300</v>
      </c>
      <c r="AL1077" s="66">
        <v>96</v>
      </c>
      <c r="AM1077" s="35">
        <f t="shared" si="2330"/>
        <v>23.958333333333332</v>
      </c>
      <c r="AN1077" s="6">
        <f t="shared" si="2331"/>
        <v>0.16748384775552697</v>
      </c>
      <c r="AO1077" s="68">
        <v>0</v>
      </c>
      <c r="AP1077" s="66">
        <v>0</v>
      </c>
      <c r="AQ1077" s="35" t="e">
        <f t="shared" si="2332"/>
        <v>#DIV/0!</v>
      </c>
      <c r="AR1077" s="6" t="e">
        <f t="shared" si="2333"/>
        <v>#DIV/0!</v>
      </c>
      <c r="AS1077" s="68">
        <v>0</v>
      </c>
      <c r="AT1077" s="66">
        <v>0</v>
      </c>
      <c r="AU1077" s="35" t="e">
        <f t="shared" si="2334"/>
        <v>#DIV/0!</v>
      </c>
      <c r="AV1077" s="6" t="e">
        <f t="shared" si="2335"/>
        <v>#DIV/0!</v>
      </c>
      <c r="AW1077" s="68">
        <v>0</v>
      </c>
      <c r="AX1077" s="66">
        <v>0</v>
      </c>
      <c r="AY1077" s="35" t="e">
        <f t="shared" si="2336"/>
        <v>#DIV/0!</v>
      </c>
      <c r="AZ1077" s="6" t="e">
        <f t="shared" si="2337"/>
        <v>#DIV/0!</v>
      </c>
      <c r="BA1077" s="68">
        <v>0</v>
      </c>
      <c r="BB1077" s="66">
        <v>0</v>
      </c>
      <c r="BC1077" s="35" t="e">
        <f t="shared" si="2338"/>
        <v>#DIV/0!</v>
      </c>
      <c r="BD1077" s="11" t="e">
        <f t="shared" si="2339"/>
        <v>#DIV/0!</v>
      </c>
    </row>
    <row r="1078" spans="1:56" x14ac:dyDescent="0.25">
      <c r="A1078" s="19" t="s">
        <v>6</v>
      </c>
      <c r="B1078" s="8">
        <v>124680</v>
      </c>
      <c r="C1078" s="35">
        <f>B1078/F1069</f>
        <v>163.83705650459922</v>
      </c>
      <c r="D1078" s="8">
        <v>10950</v>
      </c>
      <c r="E1078" s="68">
        <v>0</v>
      </c>
      <c r="F1078" s="70">
        <v>0</v>
      </c>
      <c r="G1078" s="35" t="e">
        <f t="shared" si="2314"/>
        <v>#DIV/0!</v>
      </c>
      <c r="H1078" s="11" t="e">
        <f t="shared" si="2315"/>
        <v>#DIV/0!</v>
      </c>
      <c r="I1078" s="35">
        <v>0</v>
      </c>
      <c r="J1078" s="70">
        <v>0</v>
      </c>
      <c r="K1078" s="35" t="e">
        <f t="shared" si="2316"/>
        <v>#DIV/0!</v>
      </c>
      <c r="L1078" s="6" t="e">
        <f t="shared" si="2317"/>
        <v>#DIV/0!</v>
      </c>
      <c r="M1078" s="68">
        <v>0</v>
      </c>
      <c r="N1078" s="5">
        <v>0</v>
      </c>
      <c r="O1078" s="35" t="e">
        <f t="shared" si="2318"/>
        <v>#DIV/0!</v>
      </c>
      <c r="P1078" s="11" t="e">
        <f t="shared" si="2319"/>
        <v>#DIV/0!</v>
      </c>
      <c r="Q1078" s="35">
        <v>0</v>
      </c>
      <c r="R1078" s="66">
        <v>0</v>
      </c>
      <c r="S1078" s="35" t="e">
        <f t="shared" si="2320"/>
        <v>#DIV/0!</v>
      </c>
      <c r="T1078" s="6" t="e">
        <f t="shared" si="2321"/>
        <v>#DIV/0!</v>
      </c>
      <c r="U1078" s="68">
        <v>0</v>
      </c>
      <c r="V1078" s="66">
        <v>0</v>
      </c>
      <c r="W1078" s="35" t="e">
        <f t="shared" si="2322"/>
        <v>#DIV/0!</v>
      </c>
      <c r="X1078" s="6" t="e">
        <f t="shared" si="2323"/>
        <v>#DIV/0!</v>
      </c>
      <c r="Y1078" s="68">
        <v>0</v>
      </c>
      <c r="Z1078" s="70">
        <v>0</v>
      </c>
      <c r="AA1078" s="35" t="e">
        <f t="shared" si="2324"/>
        <v>#DIV/0!</v>
      </c>
      <c r="AB1078" s="11" t="e">
        <f t="shared" si="2325"/>
        <v>#DIV/0!</v>
      </c>
      <c r="AC1078" s="35">
        <v>0</v>
      </c>
      <c r="AD1078" s="36">
        <v>0</v>
      </c>
      <c r="AE1078" s="35" t="e">
        <f t="shared" si="2326"/>
        <v>#DIV/0!</v>
      </c>
      <c r="AF1078" s="6" t="e">
        <f t="shared" si="2327"/>
        <v>#DIV/0!</v>
      </c>
      <c r="AG1078" s="68">
        <v>0</v>
      </c>
      <c r="AH1078" s="66">
        <v>0</v>
      </c>
      <c r="AI1078" s="35" t="e">
        <f t="shared" si="2328"/>
        <v>#DIV/0!</v>
      </c>
      <c r="AJ1078" s="6" t="e">
        <f t="shared" si="2329"/>
        <v>#DIV/0!</v>
      </c>
      <c r="AK1078" s="68">
        <v>2780</v>
      </c>
      <c r="AL1078" s="66">
        <v>96</v>
      </c>
      <c r="AM1078" s="35">
        <f t="shared" si="2330"/>
        <v>28.958333333333332</v>
      </c>
      <c r="AN1078" s="6">
        <f t="shared" si="2331"/>
        <v>0.17675081542081059</v>
      </c>
      <c r="AO1078" s="68">
        <v>0</v>
      </c>
      <c r="AP1078" s="66">
        <v>0</v>
      </c>
      <c r="AQ1078" s="35" t="e">
        <f t="shared" si="2332"/>
        <v>#DIV/0!</v>
      </c>
      <c r="AR1078" s="6" t="e">
        <f t="shared" si="2333"/>
        <v>#DIV/0!</v>
      </c>
      <c r="AS1078" s="68">
        <v>0</v>
      </c>
      <c r="AT1078" s="66">
        <v>0</v>
      </c>
      <c r="AU1078" s="35" t="e">
        <f t="shared" si="2334"/>
        <v>#DIV/0!</v>
      </c>
      <c r="AV1078" s="6" t="e">
        <f t="shared" si="2335"/>
        <v>#DIV/0!</v>
      </c>
      <c r="AW1078" s="68">
        <v>0</v>
      </c>
      <c r="AX1078" s="66">
        <v>0</v>
      </c>
      <c r="AY1078" s="35" t="e">
        <f t="shared" si="2336"/>
        <v>#DIV/0!</v>
      </c>
      <c r="AZ1078" s="6" t="e">
        <f t="shared" si="2337"/>
        <v>#DIV/0!</v>
      </c>
      <c r="BA1078" s="68">
        <v>0</v>
      </c>
      <c r="BB1078" s="66">
        <v>0</v>
      </c>
      <c r="BC1078" s="35" t="e">
        <f t="shared" si="2338"/>
        <v>#DIV/0!</v>
      </c>
      <c r="BD1078" s="11" t="e">
        <f t="shared" si="2339"/>
        <v>#DIV/0!</v>
      </c>
    </row>
    <row r="1079" spans="1:56" ht="15.75" thickBot="1" x14ac:dyDescent="0.3">
      <c r="A1079" s="21"/>
      <c r="B1079" s="22"/>
      <c r="C1079" s="23">
        <f>AVERAGE(Table11092[MA $/Sq Ft])</f>
        <v>100.82973531068141</v>
      </c>
      <c r="D1079" s="22">
        <f>AVERAGE(Table11092[Basic Allowance])</f>
        <v>4442.8571428571431</v>
      </c>
      <c r="E1079" s="16"/>
      <c r="F1079" s="22"/>
      <c r="G1079" s="15"/>
      <c r="H1079" s="24" t="e">
        <f>AVERAGE(Table11092[Bsmt % Base])</f>
        <v>#DIV/0!</v>
      </c>
      <c r="I1079" s="15"/>
      <c r="J1079" s="15"/>
      <c r="K1079" s="15"/>
      <c r="L1079" s="25" t="e">
        <f>AVERAGE(Table11092[[#Headers],[#Data],[UnfBsmt % Base]])</f>
        <v>#DIV/0!</v>
      </c>
      <c r="M1079" s="44"/>
      <c r="N1079" s="15"/>
      <c r="O1079" s="23" t="e">
        <f>AVERAGE(Table11092[LowerVal/SqFt])</f>
        <v>#DIV/0!</v>
      </c>
      <c r="P1079" s="24" t="e">
        <f>AVERAGE(Table11092[Lower % Base])</f>
        <v>#DIV/0!</v>
      </c>
      <c r="Q1079" s="13"/>
      <c r="R1079" s="13"/>
      <c r="S1079" s="13"/>
      <c r="T1079" s="25" t="e">
        <f>AVERAGE(Table11092[Unf Lower % Base])</f>
        <v>#DIV/0!</v>
      </c>
      <c r="U1079" s="12"/>
      <c r="V1079" s="13"/>
      <c r="W1079" s="13"/>
      <c r="X1079" s="25" t="e">
        <f>AVERAGE(Table11092[1/2 Story % Base])</f>
        <v>#DIV/0!</v>
      </c>
      <c r="Y1079" s="12"/>
      <c r="Z1079" s="13"/>
      <c r="AA1079" s="13"/>
      <c r="AB1079" s="24" t="e">
        <f>AVERAGE(Table11092[2nd Story % Base])</f>
        <v>#DIV/0!</v>
      </c>
      <c r="AC1079" s="13"/>
      <c r="AD1079" s="13"/>
      <c r="AE1079" s="23" t="e">
        <f>AVERAGE(Table11092[AttGarVal/SqFt])</f>
        <v>#DIV/0!</v>
      </c>
      <c r="AF1079" s="25" t="e">
        <f>AVERAGE(Table11092[Att Gar % Base])</f>
        <v>#DIV/0!</v>
      </c>
      <c r="AG1079" s="12"/>
      <c r="AH1079" s="13"/>
      <c r="AI1079" s="13"/>
      <c r="AJ1079" s="25" t="e">
        <f>AVERAGE(Table11092[Porch % Base])</f>
        <v>#DIV/0!</v>
      </c>
      <c r="AK1079" s="12"/>
      <c r="AL1079" s="13"/>
      <c r="AM1079" s="13"/>
      <c r="AN1079" s="25">
        <f>AVERAGE(Table11092[Cov Porch % Base])</f>
        <v>0.17505889516513098</v>
      </c>
      <c r="AO1079" s="12"/>
      <c r="AP1079" s="13"/>
      <c r="AQ1079" s="13"/>
      <c r="AR1079" s="25" t="e">
        <f>AVERAGE(Table11092[Deck % Base])</f>
        <v>#DIV/0!</v>
      </c>
      <c r="AS1079" s="12"/>
      <c r="AT1079" s="13"/>
      <c r="AU1079" s="23" t="e">
        <f>AVERAGE(Table11092[CovDeckVal/SqFt])</f>
        <v>#DIV/0!</v>
      </c>
      <c r="AV1079" s="25" t="e">
        <f>AVERAGE(Table11092[CovDeck % Base])</f>
        <v>#DIV/0!</v>
      </c>
      <c r="AW1079" s="12"/>
      <c r="AX1079" s="13"/>
      <c r="AY1079" s="13"/>
      <c r="AZ1079" s="25" t="e">
        <f>AVERAGE(Table11092[CarP % Base])</f>
        <v>#DIV/0!</v>
      </c>
      <c r="BA1079" s="12"/>
      <c r="BB1079" s="13"/>
      <c r="BC1079" s="13"/>
      <c r="BD1079" s="24" t="e">
        <f>AVERAGE(Table11092[EFP % Base])</f>
        <v>#DIV/0!</v>
      </c>
    </row>
    <row r="1081" spans="1:56" ht="15.75" thickBot="1" x14ac:dyDescent="0.3">
      <c r="A1081" s="84"/>
      <c r="B1081" s="74" t="s">
        <v>79</v>
      </c>
      <c r="C1081" s="86" t="s">
        <v>206</v>
      </c>
      <c r="D1081" s="74"/>
      <c r="E1081" s="74" t="s">
        <v>33</v>
      </c>
      <c r="F1081" s="75">
        <v>1192</v>
      </c>
      <c r="G1081" s="74"/>
      <c r="H1081" s="74" t="s">
        <v>205</v>
      </c>
      <c r="I1081" s="74"/>
      <c r="J1081" s="74" t="s">
        <v>83</v>
      </c>
      <c r="K1081" s="75">
        <v>1979</v>
      </c>
      <c r="L1081" s="74"/>
      <c r="M1081" s="74"/>
      <c r="N1081" s="74"/>
      <c r="O1081" s="74"/>
      <c r="P1081" s="74"/>
      <c r="Q1081" s="74"/>
      <c r="R1081" s="74"/>
      <c r="S1081" s="74"/>
      <c r="T1081" s="74"/>
      <c r="U1081" s="74"/>
      <c r="V1081" s="74"/>
      <c r="W1081" s="74"/>
      <c r="X1081" s="74"/>
      <c r="Y1081" s="74"/>
      <c r="Z1081" s="74"/>
      <c r="AA1081" s="74"/>
      <c r="AB1081" s="74"/>
      <c r="AC1081" s="74"/>
      <c r="AD1081" s="74"/>
      <c r="AE1081" s="74"/>
      <c r="AF1081" s="74"/>
      <c r="AG1081" s="74"/>
      <c r="AH1081" s="74"/>
      <c r="AI1081" s="74"/>
      <c r="AJ1081" s="74"/>
      <c r="AK1081" s="74"/>
      <c r="AL1081" s="74"/>
      <c r="AM1081" s="74"/>
      <c r="AN1081" s="74"/>
      <c r="AO1081" s="74"/>
      <c r="AP1081" s="74"/>
      <c r="AQ1081" s="74"/>
      <c r="AR1081" s="74"/>
      <c r="AS1081" s="74"/>
      <c r="AT1081" s="74"/>
      <c r="AU1081" s="74"/>
      <c r="AV1081" s="74"/>
      <c r="AW1081" s="74"/>
      <c r="AX1081" s="74"/>
      <c r="AY1081" s="74"/>
      <c r="AZ1081" s="74"/>
      <c r="BA1081" s="74"/>
      <c r="BB1081" s="74"/>
      <c r="BC1081" s="74"/>
      <c r="BD1081" s="76"/>
    </row>
    <row r="1082" spans="1:56" x14ac:dyDescent="0.25">
      <c r="A1082" s="112"/>
      <c r="B1082" s="113"/>
      <c r="C1082" s="113"/>
      <c r="D1082" s="114"/>
      <c r="E1082" s="115" t="s">
        <v>27</v>
      </c>
      <c r="F1082" s="116"/>
      <c r="G1082" s="116"/>
      <c r="H1082" s="117"/>
      <c r="I1082" s="118" t="s">
        <v>28</v>
      </c>
      <c r="J1082" s="119"/>
      <c r="K1082" s="119"/>
      <c r="L1082" s="120"/>
      <c r="M1082" s="121" t="s">
        <v>7</v>
      </c>
      <c r="N1082" s="122"/>
      <c r="O1082" s="122"/>
      <c r="P1082" s="122"/>
      <c r="Q1082" s="124" t="s">
        <v>29</v>
      </c>
      <c r="R1082" s="125"/>
      <c r="S1082" s="125"/>
      <c r="T1082" s="126"/>
      <c r="U1082" s="128" t="s">
        <v>8</v>
      </c>
      <c r="V1082" s="128"/>
      <c r="W1082" s="128"/>
      <c r="X1082" s="129"/>
      <c r="Y1082" s="130" t="s">
        <v>0</v>
      </c>
      <c r="Z1082" s="131"/>
      <c r="AA1082" s="131"/>
      <c r="AB1082" s="132"/>
      <c r="AC1082" s="133" t="s">
        <v>34</v>
      </c>
      <c r="AD1082" s="134"/>
      <c r="AE1082" s="134"/>
      <c r="AF1082" s="135"/>
      <c r="AG1082" s="115" t="s">
        <v>9</v>
      </c>
      <c r="AH1082" s="116"/>
      <c r="AI1082" s="116"/>
      <c r="AJ1082" s="117"/>
      <c r="AK1082" s="136" t="s">
        <v>35</v>
      </c>
      <c r="AL1082" s="137"/>
      <c r="AM1082" s="137"/>
      <c r="AN1082" s="138"/>
      <c r="AO1082" s="139" t="s">
        <v>10</v>
      </c>
      <c r="AP1082" s="140"/>
      <c r="AQ1082" s="140"/>
      <c r="AR1082" s="141"/>
      <c r="AS1082" s="124" t="s">
        <v>36</v>
      </c>
      <c r="AT1082" s="125"/>
      <c r="AU1082" s="125"/>
      <c r="AV1082" s="126"/>
      <c r="AW1082" s="142" t="s">
        <v>11</v>
      </c>
      <c r="AX1082" s="143"/>
      <c r="AY1082" s="143"/>
      <c r="AZ1082" s="144"/>
      <c r="BA1082" s="148" t="s">
        <v>17</v>
      </c>
      <c r="BB1082" s="149"/>
      <c r="BC1082" s="149"/>
      <c r="BD1082" s="150"/>
    </row>
    <row r="1083" spans="1:56" ht="15.75" thickBot="1" x14ac:dyDescent="0.3">
      <c r="A1083" s="41" t="s">
        <v>13</v>
      </c>
      <c r="B1083" s="42" t="s">
        <v>15</v>
      </c>
      <c r="C1083" s="42" t="s">
        <v>32</v>
      </c>
      <c r="D1083" s="43" t="s">
        <v>18</v>
      </c>
      <c r="E1083" s="30" t="s">
        <v>30</v>
      </c>
      <c r="F1083" s="31" t="s">
        <v>61</v>
      </c>
      <c r="G1083" s="31" t="s">
        <v>38</v>
      </c>
      <c r="H1083" s="32" t="s">
        <v>62</v>
      </c>
      <c r="I1083" s="37" t="s">
        <v>31</v>
      </c>
      <c r="J1083" s="38" t="s">
        <v>39</v>
      </c>
      <c r="K1083" s="38" t="s">
        <v>40</v>
      </c>
      <c r="L1083" s="39" t="s">
        <v>63</v>
      </c>
      <c r="M1083" s="40" t="s">
        <v>19</v>
      </c>
      <c r="N1083" s="7" t="s">
        <v>41</v>
      </c>
      <c r="O1083" s="7" t="s">
        <v>37</v>
      </c>
      <c r="P1083" s="7" t="s">
        <v>64</v>
      </c>
      <c r="Q1083" s="27" t="s">
        <v>20</v>
      </c>
      <c r="R1083" s="28" t="s">
        <v>60</v>
      </c>
      <c r="S1083" s="28" t="s">
        <v>59</v>
      </c>
      <c r="T1083" s="29" t="s">
        <v>65</v>
      </c>
      <c r="U1083" s="48" t="s">
        <v>21</v>
      </c>
      <c r="V1083" s="48" t="s">
        <v>42</v>
      </c>
      <c r="W1083" s="48" t="s">
        <v>43</v>
      </c>
      <c r="X1083" s="49" t="s">
        <v>66</v>
      </c>
      <c r="Y1083" s="50" t="s">
        <v>22</v>
      </c>
      <c r="Z1083" s="51" t="s">
        <v>44</v>
      </c>
      <c r="AA1083" s="51" t="s">
        <v>45</v>
      </c>
      <c r="AB1083" s="52" t="s">
        <v>67</v>
      </c>
      <c r="AC1083" s="45" t="s">
        <v>23</v>
      </c>
      <c r="AD1083" s="46" t="s">
        <v>46</v>
      </c>
      <c r="AE1083" s="46" t="s">
        <v>47</v>
      </c>
      <c r="AF1083" s="47" t="s">
        <v>68</v>
      </c>
      <c r="AG1083" s="30" t="s">
        <v>24</v>
      </c>
      <c r="AH1083" s="31" t="s">
        <v>48</v>
      </c>
      <c r="AI1083" s="31" t="s">
        <v>49</v>
      </c>
      <c r="AJ1083" s="32" t="s">
        <v>69</v>
      </c>
      <c r="AK1083" s="53" t="s">
        <v>25</v>
      </c>
      <c r="AL1083" s="54" t="s">
        <v>50</v>
      </c>
      <c r="AM1083" s="54" t="s">
        <v>51</v>
      </c>
      <c r="AN1083" s="55" t="s">
        <v>70</v>
      </c>
      <c r="AO1083" s="56" t="s">
        <v>26</v>
      </c>
      <c r="AP1083" s="57" t="s">
        <v>52</v>
      </c>
      <c r="AQ1083" s="57" t="s">
        <v>53</v>
      </c>
      <c r="AR1083" s="58" t="s">
        <v>71</v>
      </c>
      <c r="AS1083" s="59" t="s">
        <v>55</v>
      </c>
      <c r="AT1083" s="60" t="s">
        <v>54</v>
      </c>
      <c r="AU1083" s="60" t="s">
        <v>56</v>
      </c>
      <c r="AV1083" s="61" t="s">
        <v>76</v>
      </c>
      <c r="AW1083" s="62" t="s">
        <v>72</v>
      </c>
      <c r="AX1083" s="63" t="s">
        <v>73</v>
      </c>
      <c r="AY1083" s="63" t="s">
        <v>74</v>
      </c>
      <c r="AZ1083" s="64" t="s">
        <v>75</v>
      </c>
      <c r="BA1083" s="71" t="s">
        <v>77</v>
      </c>
      <c r="BB1083" s="72" t="s">
        <v>57</v>
      </c>
      <c r="BC1083" s="72" t="s">
        <v>58</v>
      </c>
      <c r="BD1083" s="73" t="s">
        <v>78</v>
      </c>
    </row>
    <row r="1084" spans="1:56" x14ac:dyDescent="0.25">
      <c r="A1084" s="17" t="s">
        <v>1</v>
      </c>
      <c r="B1084" s="14">
        <v>60560</v>
      </c>
      <c r="C1084" s="34">
        <f>B1084/F1081</f>
        <v>50.805369127516776</v>
      </c>
      <c r="D1084" s="14">
        <v>1525</v>
      </c>
      <c r="E1084" s="67">
        <v>0</v>
      </c>
      <c r="F1084" s="69">
        <v>0</v>
      </c>
      <c r="G1084" s="34" t="e">
        <f t="shared" ref="G1084:G1090" si="2340">E1084/F1084</f>
        <v>#DIV/0!</v>
      </c>
      <c r="H1084" s="10" t="e">
        <f t="shared" ref="H1084:H1090" si="2341">G1084/C1084</f>
        <v>#DIV/0!</v>
      </c>
      <c r="I1084" s="34">
        <v>0</v>
      </c>
      <c r="J1084" s="69">
        <v>0</v>
      </c>
      <c r="K1084" s="34" t="e">
        <f t="shared" ref="K1084:K1090" si="2342">I1084/J1084</f>
        <v>#DIV/0!</v>
      </c>
      <c r="L1084" s="9" t="e">
        <f t="shared" ref="L1084:L1090" si="2343">K1084/C1084</f>
        <v>#DIV/0!</v>
      </c>
      <c r="M1084" s="67">
        <v>0</v>
      </c>
      <c r="N1084" s="26">
        <v>0</v>
      </c>
      <c r="O1084" s="34" t="e">
        <f t="shared" ref="O1084:O1090" si="2344">M1084/N1084</f>
        <v>#DIV/0!</v>
      </c>
      <c r="P1084" s="10" t="e">
        <f t="shared" ref="P1084:P1090" si="2345">O1084/C1084</f>
        <v>#DIV/0!</v>
      </c>
      <c r="Q1084" s="35">
        <v>0</v>
      </c>
      <c r="R1084" s="66">
        <v>0</v>
      </c>
      <c r="S1084" s="35" t="e">
        <f t="shared" ref="S1084:S1090" si="2346">Q1084/R1084</f>
        <v>#DIV/0!</v>
      </c>
      <c r="T1084" s="6" t="e">
        <f t="shared" ref="T1084:T1090" si="2347">S1084/C1084</f>
        <v>#DIV/0!</v>
      </c>
      <c r="U1084" s="67">
        <v>0</v>
      </c>
      <c r="V1084" s="65">
        <v>0</v>
      </c>
      <c r="W1084" s="34" t="e">
        <f t="shared" ref="W1084:W1090" si="2348">U1084/V1084</f>
        <v>#DIV/0!</v>
      </c>
      <c r="X1084" s="9" t="e">
        <f t="shared" ref="X1084:X1090" si="2349">W1084/C1084</f>
        <v>#DIV/0!</v>
      </c>
      <c r="Y1084" s="67">
        <v>0</v>
      </c>
      <c r="Z1084" s="69">
        <v>0</v>
      </c>
      <c r="AA1084" s="34" t="e">
        <f t="shared" ref="AA1084:AA1090" si="2350">Y1084/Z1084</f>
        <v>#DIV/0!</v>
      </c>
      <c r="AB1084" s="10" t="e">
        <f t="shared" ref="AB1084:AB1090" si="2351">AA1084/C1084</f>
        <v>#DIV/0!</v>
      </c>
      <c r="AC1084" s="34">
        <v>0</v>
      </c>
      <c r="AD1084" s="33">
        <v>0</v>
      </c>
      <c r="AE1084" s="34" t="e">
        <f t="shared" ref="AE1084:AE1090" si="2352">AC1084/AD1084</f>
        <v>#DIV/0!</v>
      </c>
      <c r="AF1084" s="9" t="e">
        <f t="shared" ref="AF1084:AF1090" si="2353">AE1084/C1084</f>
        <v>#DIV/0!</v>
      </c>
      <c r="AG1084" s="67">
        <v>0</v>
      </c>
      <c r="AH1084" s="65">
        <v>0</v>
      </c>
      <c r="AI1084" s="34" t="e">
        <f t="shared" ref="AI1084:AI1090" si="2354">AG1084/AH1084</f>
        <v>#DIV/0!</v>
      </c>
      <c r="AJ1084" s="9" t="e">
        <f t="shared" ref="AJ1084:AJ1090" si="2355">AI1084/C1084</f>
        <v>#DIV/0!</v>
      </c>
      <c r="AK1084" s="67">
        <v>1100</v>
      </c>
      <c r="AL1084" s="65">
        <v>186</v>
      </c>
      <c r="AM1084" s="34">
        <f t="shared" ref="AM1084:AM1090" si="2356">AK1084/AL1084</f>
        <v>5.913978494623656</v>
      </c>
      <c r="AN1084" s="9">
        <f t="shared" ref="AN1084:AN1090" si="2357">AM1084/C1084</f>
        <v>0.11640459652561753</v>
      </c>
      <c r="AO1084" s="67">
        <v>0</v>
      </c>
      <c r="AP1084" s="65">
        <v>0</v>
      </c>
      <c r="AQ1084" s="34" t="e">
        <f t="shared" ref="AQ1084:AQ1090" si="2358">AO1084/AP1084</f>
        <v>#DIV/0!</v>
      </c>
      <c r="AR1084" s="9" t="e">
        <f t="shared" ref="AR1084:AR1090" si="2359">AQ1084/C1084</f>
        <v>#DIV/0!</v>
      </c>
      <c r="AS1084" s="67">
        <v>0</v>
      </c>
      <c r="AT1084" s="65">
        <v>0</v>
      </c>
      <c r="AU1084" s="34" t="e">
        <f t="shared" ref="AU1084:AU1090" si="2360">AS1084/AT1084</f>
        <v>#DIV/0!</v>
      </c>
      <c r="AV1084" s="9" t="e">
        <f t="shared" ref="AV1084:AV1090" si="2361">AU1084/C1084</f>
        <v>#DIV/0!</v>
      </c>
      <c r="AW1084" s="67">
        <v>0</v>
      </c>
      <c r="AX1084" s="65">
        <v>0</v>
      </c>
      <c r="AY1084" s="34" t="e">
        <f t="shared" ref="AY1084:AY1090" si="2362">AW1084/AX1084</f>
        <v>#DIV/0!</v>
      </c>
      <c r="AZ1084" s="9" t="e">
        <f t="shared" ref="AZ1084:AZ1090" si="2363">AY1084/C1084</f>
        <v>#DIV/0!</v>
      </c>
      <c r="BA1084" s="67">
        <v>0</v>
      </c>
      <c r="BB1084" s="65">
        <v>0</v>
      </c>
      <c r="BC1084" s="34" t="e">
        <f t="shared" ref="BC1084:BC1090" si="2364">BA1084/BB1084</f>
        <v>#DIV/0!</v>
      </c>
      <c r="BD1084" s="10" t="e">
        <f t="shared" ref="BD1084:BD1090" si="2365">BC1084/C1084</f>
        <v>#DIV/0!</v>
      </c>
    </row>
    <row r="1085" spans="1:56" x14ac:dyDescent="0.25">
      <c r="A1085" s="19" t="s">
        <v>16</v>
      </c>
      <c r="B1085" s="8">
        <v>71250</v>
      </c>
      <c r="C1085" s="35">
        <f>B1085/F1081</f>
        <v>59.773489932885909</v>
      </c>
      <c r="D1085" s="8">
        <v>1525</v>
      </c>
      <c r="E1085" s="68">
        <v>0</v>
      </c>
      <c r="F1085" s="70">
        <v>0</v>
      </c>
      <c r="G1085" s="35" t="e">
        <f t="shared" si="2340"/>
        <v>#DIV/0!</v>
      </c>
      <c r="H1085" s="11" t="e">
        <f t="shared" si="2341"/>
        <v>#DIV/0!</v>
      </c>
      <c r="I1085" s="35">
        <v>0</v>
      </c>
      <c r="J1085" s="70">
        <v>0</v>
      </c>
      <c r="K1085" s="35" t="e">
        <f t="shared" si="2342"/>
        <v>#DIV/0!</v>
      </c>
      <c r="L1085" s="6" t="e">
        <f t="shared" si="2343"/>
        <v>#DIV/0!</v>
      </c>
      <c r="M1085" s="68">
        <v>0</v>
      </c>
      <c r="N1085" s="5">
        <v>0</v>
      </c>
      <c r="O1085" s="35" t="e">
        <f t="shared" si="2344"/>
        <v>#DIV/0!</v>
      </c>
      <c r="P1085" s="11" t="e">
        <f t="shared" si="2345"/>
        <v>#DIV/0!</v>
      </c>
      <c r="Q1085" s="35">
        <v>0</v>
      </c>
      <c r="R1085" s="66">
        <v>0</v>
      </c>
      <c r="S1085" s="35" t="e">
        <f t="shared" si="2346"/>
        <v>#DIV/0!</v>
      </c>
      <c r="T1085" s="6" t="e">
        <f t="shared" si="2347"/>
        <v>#DIV/0!</v>
      </c>
      <c r="U1085" s="68">
        <v>0</v>
      </c>
      <c r="V1085" s="66">
        <v>0</v>
      </c>
      <c r="W1085" s="35" t="e">
        <f t="shared" si="2348"/>
        <v>#DIV/0!</v>
      </c>
      <c r="X1085" s="6" t="e">
        <f t="shared" si="2349"/>
        <v>#DIV/0!</v>
      </c>
      <c r="Y1085" s="68">
        <v>0</v>
      </c>
      <c r="Z1085" s="70">
        <v>0</v>
      </c>
      <c r="AA1085" s="35" t="e">
        <f t="shared" si="2350"/>
        <v>#DIV/0!</v>
      </c>
      <c r="AB1085" s="11" t="e">
        <f t="shared" si="2351"/>
        <v>#DIV/0!</v>
      </c>
      <c r="AC1085" s="35">
        <v>0</v>
      </c>
      <c r="AD1085" s="36">
        <v>0</v>
      </c>
      <c r="AE1085" s="35" t="e">
        <f t="shared" si="2352"/>
        <v>#DIV/0!</v>
      </c>
      <c r="AF1085" s="6" t="e">
        <f t="shared" si="2353"/>
        <v>#DIV/0!</v>
      </c>
      <c r="AG1085" s="68">
        <v>0</v>
      </c>
      <c r="AH1085" s="66">
        <v>0</v>
      </c>
      <c r="AI1085" s="35" t="e">
        <f t="shared" si="2354"/>
        <v>#DIV/0!</v>
      </c>
      <c r="AJ1085" s="6" t="e">
        <f t="shared" si="2355"/>
        <v>#DIV/0!</v>
      </c>
      <c r="AK1085" s="68">
        <v>1590</v>
      </c>
      <c r="AL1085" s="66">
        <v>186</v>
      </c>
      <c r="AM1085" s="35">
        <f t="shared" si="2356"/>
        <v>8.5483870967741939</v>
      </c>
      <c r="AN1085" s="6">
        <f t="shared" si="2357"/>
        <v>0.14301301641199773</v>
      </c>
      <c r="AO1085" s="68">
        <v>0</v>
      </c>
      <c r="AP1085" s="66">
        <v>0</v>
      </c>
      <c r="AQ1085" s="35" t="e">
        <f t="shared" si="2358"/>
        <v>#DIV/0!</v>
      </c>
      <c r="AR1085" s="6" t="e">
        <f t="shared" si="2359"/>
        <v>#DIV/0!</v>
      </c>
      <c r="AS1085" s="68">
        <v>0</v>
      </c>
      <c r="AT1085" s="66">
        <v>0</v>
      </c>
      <c r="AU1085" s="35" t="e">
        <f t="shared" si="2360"/>
        <v>#DIV/0!</v>
      </c>
      <c r="AV1085" s="6" t="e">
        <f t="shared" si="2361"/>
        <v>#DIV/0!</v>
      </c>
      <c r="AW1085" s="68">
        <v>0</v>
      </c>
      <c r="AX1085" s="66">
        <v>0</v>
      </c>
      <c r="AY1085" s="35" t="e">
        <f t="shared" si="2362"/>
        <v>#DIV/0!</v>
      </c>
      <c r="AZ1085" s="6" t="e">
        <f t="shared" si="2363"/>
        <v>#DIV/0!</v>
      </c>
      <c r="BA1085" s="68">
        <v>0</v>
      </c>
      <c r="BB1085" s="66">
        <v>0</v>
      </c>
      <c r="BC1085" s="35" t="e">
        <f t="shared" si="2364"/>
        <v>#DIV/0!</v>
      </c>
      <c r="BD1085" s="11" t="e">
        <f t="shared" si="2365"/>
        <v>#DIV/0!</v>
      </c>
    </row>
    <row r="1086" spans="1:56" x14ac:dyDescent="0.25">
      <c r="A1086" s="19" t="s">
        <v>2</v>
      </c>
      <c r="B1086" s="8">
        <v>83330</v>
      </c>
      <c r="C1086" s="35">
        <f>B1086/F1081</f>
        <v>69.90771812080537</v>
      </c>
      <c r="D1086" s="8">
        <v>2100</v>
      </c>
      <c r="E1086" s="68">
        <v>0</v>
      </c>
      <c r="F1086" s="70">
        <v>0</v>
      </c>
      <c r="G1086" s="35" t="e">
        <f t="shared" si="2340"/>
        <v>#DIV/0!</v>
      </c>
      <c r="H1086" s="11" t="e">
        <f t="shared" si="2341"/>
        <v>#DIV/0!</v>
      </c>
      <c r="I1086" s="35">
        <v>0</v>
      </c>
      <c r="J1086" s="70">
        <v>0</v>
      </c>
      <c r="K1086" s="35" t="e">
        <f t="shared" si="2342"/>
        <v>#DIV/0!</v>
      </c>
      <c r="L1086" s="6" t="e">
        <f t="shared" si="2343"/>
        <v>#DIV/0!</v>
      </c>
      <c r="M1086" s="68">
        <v>0</v>
      </c>
      <c r="N1086" s="5">
        <v>0</v>
      </c>
      <c r="O1086" s="35" t="e">
        <f t="shared" si="2344"/>
        <v>#DIV/0!</v>
      </c>
      <c r="P1086" s="11" t="e">
        <f t="shared" si="2345"/>
        <v>#DIV/0!</v>
      </c>
      <c r="Q1086" s="35">
        <v>0</v>
      </c>
      <c r="R1086" s="66">
        <v>0</v>
      </c>
      <c r="S1086" s="35" t="e">
        <f t="shared" si="2346"/>
        <v>#DIV/0!</v>
      </c>
      <c r="T1086" s="6" t="e">
        <f t="shared" si="2347"/>
        <v>#DIV/0!</v>
      </c>
      <c r="U1086" s="68">
        <v>0</v>
      </c>
      <c r="V1086" s="66">
        <v>0</v>
      </c>
      <c r="W1086" s="35" t="e">
        <f t="shared" si="2348"/>
        <v>#DIV/0!</v>
      </c>
      <c r="X1086" s="6" t="e">
        <f t="shared" si="2349"/>
        <v>#DIV/0!</v>
      </c>
      <c r="Y1086" s="68">
        <v>0</v>
      </c>
      <c r="Z1086" s="70">
        <v>0</v>
      </c>
      <c r="AA1086" s="35" t="e">
        <f t="shared" si="2350"/>
        <v>#DIV/0!</v>
      </c>
      <c r="AB1086" s="11" t="e">
        <f t="shared" si="2351"/>
        <v>#DIV/0!</v>
      </c>
      <c r="AC1086" s="35">
        <v>0</v>
      </c>
      <c r="AD1086" s="36">
        <v>0</v>
      </c>
      <c r="AE1086" s="35" t="e">
        <f t="shared" si="2352"/>
        <v>#DIV/0!</v>
      </c>
      <c r="AF1086" s="6" t="e">
        <f t="shared" si="2353"/>
        <v>#DIV/0!</v>
      </c>
      <c r="AG1086" s="68">
        <v>0</v>
      </c>
      <c r="AH1086" s="66">
        <v>0</v>
      </c>
      <c r="AI1086" s="35" t="e">
        <f t="shared" si="2354"/>
        <v>#DIV/0!</v>
      </c>
      <c r="AJ1086" s="6" t="e">
        <f t="shared" si="2355"/>
        <v>#DIV/0!</v>
      </c>
      <c r="AK1086" s="68">
        <v>1760</v>
      </c>
      <c r="AL1086" s="66">
        <v>186</v>
      </c>
      <c r="AM1086" s="35">
        <f t="shared" si="2356"/>
        <v>9.4623655913978499</v>
      </c>
      <c r="AN1086" s="6">
        <f t="shared" si="2357"/>
        <v>0.13535509162301976</v>
      </c>
      <c r="AO1086" s="68">
        <v>0</v>
      </c>
      <c r="AP1086" s="66">
        <v>0</v>
      </c>
      <c r="AQ1086" s="35" t="e">
        <f t="shared" si="2358"/>
        <v>#DIV/0!</v>
      </c>
      <c r="AR1086" s="6" t="e">
        <f t="shared" si="2359"/>
        <v>#DIV/0!</v>
      </c>
      <c r="AS1086" s="68">
        <v>0</v>
      </c>
      <c r="AT1086" s="66">
        <v>0</v>
      </c>
      <c r="AU1086" s="35" t="e">
        <f t="shared" si="2360"/>
        <v>#DIV/0!</v>
      </c>
      <c r="AV1086" s="6" t="e">
        <f t="shared" si="2361"/>
        <v>#DIV/0!</v>
      </c>
      <c r="AW1086" s="68">
        <v>0</v>
      </c>
      <c r="AX1086" s="66">
        <v>0</v>
      </c>
      <c r="AY1086" s="35" t="e">
        <f t="shared" si="2362"/>
        <v>#DIV/0!</v>
      </c>
      <c r="AZ1086" s="6" t="e">
        <f t="shared" si="2363"/>
        <v>#DIV/0!</v>
      </c>
      <c r="BA1086" s="68">
        <v>0</v>
      </c>
      <c r="BB1086" s="66">
        <v>0</v>
      </c>
      <c r="BC1086" s="35" t="e">
        <f t="shared" si="2364"/>
        <v>#DIV/0!</v>
      </c>
      <c r="BD1086" s="11" t="e">
        <f t="shared" si="2365"/>
        <v>#DIV/0!</v>
      </c>
    </row>
    <row r="1087" spans="1:56" x14ac:dyDescent="0.25">
      <c r="A1087" s="19" t="s">
        <v>3</v>
      </c>
      <c r="B1087" s="8">
        <v>100600</v>
      </c>
      <c r="C1087" s="35">
        <f>B1087/F1081</f>
        <v>84.395973154362423</v>
      </c>
      <c r="D1087" s="8">
        <v>2700</v>
      </c>
      <c r="E1087" s="68">
        <v>0</v>
      </c>
      <c r="F1087" s="70">
        <v>0</v>
      </c>
      <c r="G1087" s="35" t="e">
        <f t="shared" si="2340"/>
        <v>#DIV/0!</v>
      </c>
      <c r="H1087" s="11" t="e">
        <f t="shared" si="2341"/>
        <v>#DIV/0!</v>
      </c>
      <c r="I1087" s="35">
        <v>0</v>
      </c>
      <c r="J1087" s="70">
        <v>0</v>
      </c>
      <c r="K1087" s="35" t="e">
        <f t="shared" si="2342"/>
        <v>#DIV/0!</v>
      </c>
      <c r="L1087" s="6" t="e">
        <f t="shared" si="2343"/>
        <v>#DIV/0!</v>
      </c>
      <c r="M1087" s="68">
        <v>0</v>
      </c>
      <c r="N1087" s="5">
        <v>0</v>
      </c>
      <c r="O1087" s="35" t="e">
        <f t="shared" si="2344"/>
        <v>#DIV/0!</v>
      </c>
      <c r="P1087" s="11" t="e">
        <f t="shared" si="2345"/>
        <v>#DIV/0!</v>
      </c>
      <c r="Q1087" s="35">
        <v>0</v>
      </c>
      <c r="R1087" s="66">
        <v>0</v>
      </c>
      <c r="S1087" s="35" t="e">
        <f t="shared" si="2346"/>
        <v>#DIV/0!</v>
      </c>
      <c r="T1087" s="6" t="e">
        <f t="shared" si="2347"/>
        <v>#DIV/0!</v>
      </c>
      <c r="U1087" s="68">
        <v>0</v>
      </c>
      <c r="V1087" s="66">
        <v>0</v>
      </c>
      <c r="W1087" s="35" t="e">
        <f t="shared" si="2348"/>
        <v>#DIV/0!</v>
      </c>
      <c r="X1087" s="6" t="e">
        <f t="shared" si="2349"/>
        <v>#DIV/0!</v>
      </c>
      <c r="Y1087" s="68">
        <v>0</v>
      </c>
      <c r="Z1087" s="70">
        <v>0</v>
      </c>
      <c r="AA1087" s="35" t="e">
        <f t="shared" si="2350"/>
        <v>#DIV/0!</v>
      </c>
      <c r="AB1087" s="11" t="e">
        <f t="shared" si="2351"/>
        <v>#DIV/0!</v>
      </c>
      <c r="AC1087" s="35">
        <v>0</v>
      </c>
      <c r="AD1087" s="36">
        <v>0</v>
      </c>
      <c r="AE1087" s="35" t="e">
        <f t="shared" si="2352"/>
        <v>#DIV/0!</v>
      </c>
      <c r="AF1087" s="6" t="e">
        <f t="shared" si="2353"/>
        <v>#DIV/0!</v>
      </c>
      <c r="AG1087" s="68">
        <v>0</v>
      </c>
      <c r="AH1087" s="66">
        <v>0</v>
      </c>
      <c r="AI1087" s="35" t="e">
        <f t="shared" si="2354"/>
        <v>#DIV/0!</v>
      </c>
      <c r="AJ1087" s="6" t="e">
        <f t="shared" si="2355"/>
        <v>#DIV/0!</v>
      </c>
      <c r="AK1087" s="68">
        <v>1980</v>
      </c>
      <c r="AL1087" s="66">
        <v>186</v>
      </c>
      <c r="AM1087" s="35">
        <f t="shared" si="2356"/>
        <v>10.64516129032258</v>
      </c>
      <c r="AN1087" s="6">
        <f t="shared" si="2357"/>
        <v>0.12613352145193354</v>
      </c>
      <c r="AO1087" s="68">
        <v>0</v>
      </c>
      <c r="AP1087" s="66">
        <v>0</v>
      </c>
      <c r="AQ1087" s="35" t="e">
        <f t="shared" si="2358"/>
        <v>#DIV/0!</v>
      </c>
      <c r="AR1087" s="6" t="e">
        <f t="shared" si="2359"/>
        <v>#DIV/0!</v>
      </c>
      <c r="AS1087" s="68">
        <v>0</v>
      </c>
      <c r="AT1087" s="66">
        <v>0</v>
      </c>
      <c r="AU1087" s="35" t="e">
        <f t="shared" si="2360"/>
        <v>#DIV/0!</v>
      </c>
      <c r="AV1087" s="6" t="e">
        <f t="shared" si="2361"/>
        <v>#DIV/0!</v>
      </c>
      <c r="AW1087" s="68">
        <v>0</v>
      </c>
      <c r="AX1087" s="66">
        <v>0</v>
      </c>
      <c r="AY1087" s="35" t="e">
        <f t="shared" si="2362"/>
        <v>#DIV/0!</v>
      </c>
      <c r="AZ1087" s="6" t="e">
        <f t="shared" si="2363"/>
        <v>#DIV/0!</v>
      </c>
      <c r="BA1087" s="68">
        <v>0</v>
      </c>
      <c r="BB1087" s="66">
        <v>0</v>
      </c>
      <c r="BC1087" s="35" t="e">
        <f t="shared" si="2364"/>
        <v>#DIV/0!</v>
      </c>
      <c r="BD1087" s="11" t="e">
        <f t="shared" si="2365"/>
        <v>#DIV/0!</v>
      </c>
    </row>
    <row r="1088" spans="1:56" x14ac:dyDescent="0.25">
      <c r="A1088" s="19" t="s">
        <v>4</v>
      </c>
      <c r="B1088" s="8">
        <v>125540</v>
      </c>
      <c r="C1088" s="35">
        <f>B1088/F1081</f>
        <v>105.31879194630872</v>
      </c>
      <c r="D1088" s="8">
        <v>5250</v>
      </c>
      <c r="E1088" s="68">
        <v>0</v>
      </c>
      <c r="F1088" s="70">
        <v>0</v>
      </c>
      <c r="G1088" s="35" t="e">
        <f t="shared" si="2340"/>
        <v>#DIV/0!</v>
      </c>
      <c r="H1088" s="11" t="e">
        <f t="shared" si="2341"/>
        <v>#DIV/0!</v>
      </c>
      <c r="I1088" s="35">
        <v>0</v>
      </c>
      <c r="J1088" s="70">
        <v>0</v>
      </c>
      <c r="K1088" s="35" t="e">
        <f t="shared" si="2342"/>
        <v>#DIV/0!</v>
      </c>
      <c r="L1088" s="6" t="e">
        <f t="shared" si="2343"/>
        <v>#DIV/0!</v>
      </c>
      <c r="M1088" s="68">
        <v>0</v>
      </c>
      <c r="N1088" s="5">
        <v>0</v>
      </c>
      <c r="O1088" s="35" t="e">
        <f t="shared" si="2344"/>
        <v>#DIV/0!</v>
      </c>
      <c r="P1088" s="11" t="e">
        <f t="shared" si="2345"/>
        <v>#DIV/0!</v>
      </c>
      <c r="Q1088" s="35">
        <v>0</v>
      </c>
      <c r="R1088" s="66">
        <v>0</v>
      </c>
      <c r="S1088" s="35" t="e">
        <f t="shared" si="2346"/>
        <v>#DIV/0!</v>
      </c>
      <c r="T1088" s="6" t="e">
        <f t="shared" si="2347"/>
        <v>#DIV/0!</v>
      </c>
      <c r="U1088" s="68">
        <v>0</v>
      </c>
      <c r="V1088" s="66">
        <v>0</v>
      </c>
      <c r="W1088" s="35" t="e">
        <f t="shared" si="2348"/>
        <v>#DIV/0!</v>
      </c>
      <c r="X1088" s="6" t="e">
        <f t="shared" si="2349"/>
        <v>#DIV/0!</v>
      </c>
      <c r="Y1088" s="68">
        <v>0</v>
      </c>
      <c r="Z1088" s="70">
        <v>0</v>
      </c>
      <c r="AA1088" s="35" t="e">
        <f t="shared" si="2350"/>
        <v>#DIV/0!</v>
      </c>
      <c r="AB1088" s="11" t="e">
        <f t="shared" si="2351"/>
        <v>#DIV/0!</v>
      </c>
      <c r="AC1088" s="35">
        <v>0</v>
      </c>
      <c r="AD1088" s="36">
        <v>0</v>
      </c>
      <c r="AE1088" s="35" t="e">
        <f t="shared" si="2352"/>
        <v>#DIV/0!</v>
      </c>
      <c r="AF1088" s="6" t="e">
        <f t="shared" si="2353"/>
        <v>#DIV/0!</v>
      </c>
      <c r="AG1088" s="68">
        <v>0</v>
      </c>
      <c r="AH1088" s="66">
        <v>0</v>
      </c>
      <c r="AI1088" s="35" t="e">
        <f t="shared" si="2354"/>
        <v>#DIV/0!</v>
      </c>
      <c r="AJ1088" s="6" t="e">
        <f t="shared" si="2355"/>
        <v>#DIV/0!</v>
      </c>
      <c r="AK1088" s="68">
        <v>2300</v>
      </c>
      <c r="AL1088" s="66">
        <v>186</v>
      </c>
      <c r="AM1088" s="35">
        <f t="shared" si="2356"/>
        <v>12.365591397849462</v>
      </c>
      <c r="AN1088" s="6">
        <f t="shared" si="2357"/>
        <v>0.11741106377438712</v>
      </c>
      <c r="AO1088" s="68">
        <v>0</v>
      </c>
      <c r="AP1088" s="66">
        <v>0</v>
      </c>
      <c r="AQ1088" s="35" t="e">
        <f t="shared" si="2358"/>
        <v>#DIV/0!</v>
      </c>
      <c r="AR1088" s="6" t="e">
        <f t="shared" si="2359"/>
        <v>#DIV/0!</v>
      </c>
      <c r="AS1088" s="68">
        <v>0</v>
      </c>
      <c r="AT1088" s="66">
        <v>0</v>
      </c>
      <c r="AU1088" s="35" t="e">
        <f t="shared" si="2360"/>
        <v>#DIV/0!</v>
      </c>
      <c r="AV1088" s="6" t="e">
        <f t="shared" si="2361"/>
        <v>#DIV/0!</v>
      </c>
      <c r="AW1088" s="68">
        <v>0</v>
      </c>
      <c r="AX1088" s="66">
        <v>0</v>
      </c>
      <c r="AY1088" s="35" t="e">
        <f t="shared" si="2362"/>
        <v>#DIV/0!</v>
      </c>
      <c r="AZ1088" s="6" t="e">
        <f t="shared" si="2363"/>
        <v>#DIV/0!</v>
      </c>
      <c r="BA1088" s="68">
        <v>0</v>
      </c>
      <c r="BB1088" s="66">
        <v>0</v>
      </c>
      <c r="BC1088" s="35" t="e">
        <f t="shared" si="2364"/>
        <v>#DIV/0!</v>
      </c>
      <c r="BD1088" s="11" t="e">
        <f t="shared" si="2365"/>
        <v>#DIV/0!</v>
      </c>
    </row>
    <row r="1089" spans="1:56" x14ac:dyDescent="0.25">
      <c r="A1089" s="19" t="s">
        <v>5</v>
      </c>
      <c r="B1089" s="8">
        <v>164930</v>
      </c>
      <c r="C1089" s="35">
        <f>B1089/F1081</f>
        <v>138.36409395973155</v>
      </c>
      <c r="D1089" s="8">
        <v>7050</v>
      </c>
      <c r="E1089" s="68">
        <v>0</v>
      </c>
      <c r="F1089" s="70">
        <v>0</v>
      </c>
      <c r="G1089" s="35" t="e">
        <f t="shared" si="2340"/>
        <v>#DIV/0!</v>
      </c>
      <c r="H1089" s="11" t="e">
        <f t="shared" si="2341"/>
        <v>#DIV/0!</v>
      </c>
      <c r="I1089" s="35">
        <v>0</v>
      </c>
      <c r="J1089" s="70">
        <v>0</v>
      </c>
      <c r="K1089" s="35" t="e">
        <f t="shared" si="2342"/>
        <v>#DIV/0!</v>
      </c>
      <c r="L1089" s="6" t="e">
        <f t="shared" si="2343"/>
        <v>#DIV/0!</v>
      </c>
      <c r="M1089" s="68">
        <v>0</v>
      </c>
      <c r="N1089" s="5">
        <v>0</v>
      </c>
      <c r="O1089" s="35" t="e">
        <f t="shared" si="2344"/>
        <v>#DIV/0!</v>
      </c>
      <c r="P1089" s="11" t="e">
        <f t="shared" si="2345"/>
        <v>#DIV/0!</v>
      </c>
      <c r="Q1089" s="35">
        <v>0</v>
      </c>
      <c r="R1089" s="66">
        <v>0</v>
      </c>
      <c r="S1089" s="35" t="e">
        <f t="shared" si="2346"/>
        <v>#DIV/0!</v>
      </c>
      <c r="T1089" s="6" t="e">
        <f t="shared" si="2347"/>
        <v>#DIV/0!</v>
      </c>
      <c r="U1089" s="68">
        <v>0</v>
      </c>
      <c r="V1089" s="66">
        <v>0</v>
      </c>
      <c r="W1089" s="35" t="e">
        <f t="shared" si="2348"/>
        <v>#DIV/0!</v>
      </c>
      <c r="X1089" s="6" t="e">
        <f t="shared" si="2349"/>
        <v>#DIV/0!</v>
      </c>
      <c r="Y1089" s="68">
        <v>0</v>
      </c>
      <c r="Z1089" s="70">
        <v>0</v>
      </c>
      <c r="AA1089" s="35" t="e">
        <f t="shared" si="2350"/>
        <v>#DIV/0!</v>
      </c>
      <c r="AB1089" s="11" t="e">
        <f t="shared" si="2351"/>
        <v>#DIV/0!</v>
      </c>
      <c r="AC1089" s="35">
        <v>0</v>
      </c>
      <c r="AD1089" s="36">
        <v>0</v>
      </c>
      <c r="AE1089" s="35" t="e">
        <f t="shared" si="2352"/>
        <v>#DIV/0!</v>
      </c>
      <c r="AF1089" s="6" t="e">
        <f t="shared" si="2353"/>
        <v>#DIV/0!</v>
      </c>
      <c r="AG1089" s="68">
        <v>0</v>
      </c>
      <c r="AH1089" s="66">
        <v>0</v>
      </c>
      <c r="AI1089" s="35" t="e">
        <f t="shared" si="2354"/>
        <v>#DIV/0!</v>
      </c>
      <c r="AJ1089" s="6" t="e">
        <f t="shared" si="2355"/>
        <v>#DIV/0!</v>
      </c>
      <c r="AK1089" s="68">
        <v>2590</v>
      </c>
      <c r="AL1089" s="66">
        <v>186</v>
      </c>
      <c r="AM1089" s="35">
        <f t="shared" si="2356"/>
        <v>13.924731182795698</v>
      </c>
      <c r="AN1089" s="6">
        <f t="shared" si="2357"/>
        <v>0.10063832880550823</v>
      </c>
      <c r="AO1089" s="68">
        <v>0</v>
      </c>
      <c r="AP1089" s="66">
        <v>0</v>
      </c>
      <c r="AQ1089" s="35" t="e">
        <f t="shared" si="2358"/>
        <v>#DIV/0!</v>
      </c>
      <c r="AR1089" s="6" t="e">
        <f t="shared" si="2359"/>
        <v>#DIV/0!</v>
      </c>
      <c r="AS1089" s="68">
        <v>0</v>
      </c>
      <c r="AT1089" s="66">
        <v>0</v>
      </c>
      <c r="AU1089" s="35" t="e">
        <f t="shared" si="2360"/>
        <v>#DIV/0!</v>
      </c>
      <c r="AV1089" s="6" t="e">
        <f t="shared" si="2361"/>
        <v>#DIV/0!</v>
      </c>
      <c r="AW1089" s="68">
        <v>0</v>
      </c>
      <c r="AX1089" s="66">
        <v>0</v>
      </c>
      <c r="AY1089" s="35" t="e">
        <f t="shared" si="2362"/>
        <v>#DIV/0!</v>
      </c>
      <c r="AZ1089" s="6" t="e">
        <f t="shared" si="2363"/>
        <v>#DIV/0!</v>
      </c>
      <c r="BA1089" s="68">
        <v>0</v>
      </c>
      <c r="BB1089" s="66">
        <v>0</v>
      </c>
      <c r="BC1089" s="35" t="e">
        <f t="shared" si="2364"/>
        <v>#DIV/0!</v>
      </c>
      <c r="BD1089" s="11" t="e">
        <f t="shared" si="2365"/>
        <v>#DIV/0!</v>
      </c>
    </row>
    <row r="1090" spans="1:56" x14ac:dyDescent="0.25">
      <c r="A1090" s="19" t="s">
        <v>6</v>
      </c>
      <c r="B1090" s="8">
        <v>195290</v>
      </c>
      <c r="C1090" s="35">
        <f>B1090/F1081</f>
        <v>163.83389261744966</v>
      </c>
      <c r="D1090" s="8">
        <v>10950</v>
      </c>
      <c r="E1090" s="68">
        <v>0</v>
      </c>
      <c r="F1090" s="70">
        <v>0</v>
      </c>
      <c r="G1090" s="35" t="e">
        <f t="shared" si="2340"/>
        <v>#DIV/0!</v>
      </c>
      <c r="H1090" s="11" t="e">
        <f t="shared" si="2341"/>
        <v>#DIV/0!</v>
      </c>
      <c r="I1090" s="35">
        <v>0</v>
      </c>
      <c r="J1090" s="70">
        <v>0</v>
      </c>
      <c r="K1090" s="35" t="e">
        <f t="shared" si="2342"/>
        <v>#DIV/0!</v>
      </c>
      <c r="L1090" s="6" t="e">
        <f t="shared" si="2343"/>
        <v>#DIV/0!</v>
      </c>
      <c r="M1090" s="68">
        <v>0</v>
      </c>
      <c r="N1090" s="5">
        <v>0</v>
      </c>
      <c r="O1090" s="35" t="e">
        <f t="shared" si="2344"/>
        <v>#DIV/0!</v>
      </c>
      <c r="P1090" s="11" t="e">
        <f t="shared" si="2345"/>
        <v>#DIV/0!</v>
      </c>
      <c r="Q1090" s="35">
        <v>0</v>
      </c>
      <c r="R1090" s="66">
        <v>0</v>
      </c>
      <c r="S1090" s="35" t="e">
        <f t="shared" si="2346"/>
        <v>#DIV/0!</v>
      </c>
      <c r="T1090" s="6" t="e">
        <f t="shared" si="2347"/>
        <v>#DIV/0!</v>
      </c>
      <c r="U1090" s="68">
        <v>0</v>
      </c>
      <c r="V1090" s="66">
        <v>0</v>
      </c>
      <c r="W1090" s="35" t="e">
        <f t="shared" si="2348"/>
        <v>#DIV/0!</v>
      </c>
      <c r="X1090" s="6" t="e">
        <f t="shared" si="2349"/>
        <v>#DIV/0!</v>
      </c>
      <c r="Y1090" s="68">
        <v>0</v>
      </c>
      <c r="Z1090" s="70">
        <v>0</v>
      </c>
      <c r="AA1090" s="35" t="e">
        <f t="shared" si="2350"/>
        <v>#DIV/0!</v>
      </c>
      <c r="AB1090" s="11" t="e">
        <f t="shared" si="2351"/>
        <v>#DIV/0!</v>
      </c>
      <c r="AC1090" s="35">
        <v>0</v>
      </c>
      <c r="AD1090" s="36">
        <v>0</v>
      </c>
      <c r="AE1090" s="35" t="e">
        <f t="shared" si="2352"/>
        <v>#DIV/0!</v>
      </c>
      <c r="AF1090" s="6" t="e">
        <f t="shared" si="2353"/>
        <v>#DIV/0!</v>
      </c>
      <c r="AG1090" s="68">
        <v>0</v>
      </c>
      <c r="AH1090" s="66">
        <v>0</v>
      </c>
      <c r="AI1090" s="35" t="e">
        <f t="shared" si="2354"/>
        <v>#DIV/0!</v>
      </c>
      <c r="AJ1090" s="6" t="e">
        <f t="shared" si="2355"/>
        <v>#DIV/0!</v>
      </c>
      <c r="AK1090" s="68">
        <v>2950</v>
      </c>
      <c r="AL1090" s="66">
        <v>186</v>
      </c>
      <c r="AM1090" s="35">
        <f t="shared" si="2356"/>
        <v>15.86021505376344</v>
      </c>
      <c r="AN1090" s="6">
        <f t="shared" si="2357"/>
        <v>9.680667901114251E-2</v>
      </c>
      <c r="AO1090" s="68">
        <v>0</v>
      </c>
      <c r="AP1090" s="66">
        <v>0</v>
      </c>
      <c r="AQ1090" s="35" t="e">
        <f t="shared" si="2358"/>
        <v>#DIV/0!</v>
      </c>
      <c r="AR1090" s="6" t="e">
        <f t="shared" si="2359"/>
        <v>#DIV/0!</v>
      </c>
      <c r="AS1090" s="68">
        <v>0</v>
      </c>
      <c r="AT1090" s="66">
        <v>0</v>
      </c>
      <c r="AU1090" s="35" t="e">
        <f t="shared" si="2360"/>
        <v>#DIV/0!</v>
      </c>
      <c r="AV1090" s="6" t="e">
        <f t="shared" si="2361"/>
        <v>#DIV/0!</v>
      </c>
      <c r="AW1090" s="68">
        <v>0</v>
      </c>
      <c r="AX1090" s="66">
        <v>0</v>
      </c>
      <c r="AY1090" s="35" t="e">
        <f t="shared" si="2362"/>
        <v>#DIV/0!</v>
      </c>
      <c r="AZ1090" s="6" t="e">
        <f t="shared" si="2363"/>
        <v>#DIV/0!</v>
      </c>
      <c r="BA1090" s="68">
        <v>0</v>
      </c>
      <c r="BB1090" s="66">
        <v>0</v>
      </c>
      <c r="BC1090" s="35" t="e">
        <f t="shared" si="2364"/>
        <v>#DIV/0!</v>
      </c>
      <c r="BD1090" s="11" t="e">
        <f t="shared" si="2365"/>
        <v>#DIV/0!</v>
      </c>
    </row>
    <row r="1091" spans="1:56" ht="15.75" thickBot="1" x14ac:dyDescent="0.3">
      <c r="A1091" s="21"/>
      <c r="B1091" s="22"/>
      <c r="C1091" s="23">
        <f>AVERAGE(Table11093[MA $/Sq Ft])</f>
        <v>96.057046979865774</v>
      </c>
      <c r="D1091" s="22">
        <f>AVERAGE(Table11093[Basic Allowance])</f>
        <v>4442.8571428571431</v>
      </c>
      <c r="E1091" s="16"/>
      <c r="F1091" s="22"/>
      <c r="G1091" s="15"/>
      <c r="H1091" s="24" t="e">
        <f>AVERAGE(Table11093[Bsmt % Base])</f>
        <v>#DIV/0!</v>
      </c>
      <c r="I1091" s="15"/>
      <c r="J1091" s="15"/>
      <c r="K1091" s="15"/>
      <c r="L1091" s="25" t="e">
        <f>AVERAGE(Table11093[[#Headers],[#Data],[UnfBsmt % Base]])</f>
        <v>#DIV/0!</v>
      </c>
      <c r="M1091" s="44"/>
      <c r="N1091" s="15"/>
      <c r="O1091" s="23" t="e">
        <f>AVERAGE(Table11093[LowerVal/SqFt])</f>
        <v>#DIV/0!</v>
      </c>
      <c r="P1091" s="24" t="e">
        <f>AVERAGE(Table11093[Lower % Base])</f>
        <v>#DIV/0!</v>
      </c>
      <c r="Q1091" s="13"/>
      <c r="R1091" s="13"/>
      <c r="S1091" s="13"/>
      <c r="T1091" s="25" t="e">
        <f>AVERAGE(Table11093[Unf Lower % Base])</f>
        <v>#DIV/0!</v>
      </c>
      <c r="U1091" s="12"/>
      <c r="V1091" s="13"/>
      <c r="W1091" s="13"/>
      <c r="X1091" s="25" t="e">
        <f>AVERAGE(Table11093[1/2 Story % Base])</f>
        <v>#DIV/0!</v>
      </c>
      <c r="Y1091" s="12"/>
      <c r="Z1091" s="13"/>
      <c r="AA1091" s="13"/>
      <c r="AB1091" s="24" t="e">
        <f>AVERAGE(Table11093[2nd Story % Base])</f>
        <v>#DIV/0!</v>
      </c>
      <c r="AC1091" s="13"/>
      <c r="AD1091" s="13"/>
      <c r="AE1091" s="23" t="e">
        <f>AVERAGE(Table11093[AttGarVal/SqFt])</f>
        <v>#DIV/0!</v>
      </c>
      <c r="AF1091" s="25" t="e">
        <f>AVERAGE(Table11093[Att Gar % Base])</f>
        <v>#DIV/0!</v>
      </c>
      <c r="AG1091" s="12"/>
      <c r="AH1091" s="13"/>
      <c r="AI1091" s="13"/>
      <c r="AJ1091" s="25" t="e">
        <f>AVERAGE(Table11093[Porch % Base])</f>
        <v>#DIV/0!</v>
      </c>
      <c r="AK1091" s="12"/>
      <c r="AL1091" s="13"/>
      <c r="AM1091" s="13"/>
      <c r="AN1091" s="25">
        <f>AVERAGE(Table11093[Cov Porch % Base])</f>
        <v>0.11939461394337236</v>
      </c>
      <c r="AO1091" s="12"/>
      <c r="AP1091" s="13"/>
      <c r="AQ1091" s="13"/>
      <c r="AR1091" s="25" t="e">
        <f>AVERAGE(Table11093[Deck % Base])</f>
        <v>#DIV/0!</v>
      </c>
      <c r="AS1091" s="12"/>
      <c r="AT1091" s="13"/>
      <c r="AU1091" s="23" t="e">
        <f>AVERAGE(Table11093[CovDeckVal/SqFt])</f>
        <v>#DIV/0!</v>
      </c>
      <c r="AV1091" s="25" t="e">
        <f>AVERAGE(Table11093[CovDeck % Base])</f>
        <v>#DIV/0!</v>
      </c>
      <c r="AW1091" s="12"/>
      <c r="AX1091" s="13"/>
      <c r="AY1091" s="13"/>
      <c r="AZ1091" s="25" t="e">
        <f>AVERAGE(Table11093[CarP % Base])</f>
        <v>#DIV/0!</v>
      </c>
      <c r="BA1091" s="12"/>
      <c r="BB1091" s="13"/>
      <c r="BC1091" s="13"/>
      <c r="BD1091" s="24" t="e">
        <f>AVERAGE(Table11093[EFP % Base])</f>
        <v>#DIV/0!</v>
      </c>
    </row>
    <row r="1093" spans="1:56" ht="15.75" thickBot="1" x14ac:dyDescent="0.3">
      <c r="A1093" s="84"/>
      <c r="B1093" s="74" t="s">
        <v>79</v>
      </c>
      <c r="C1093" s="86" t="s">
        <v>207</v>
      </c>
      <c r="D1093" s="74"/>
      <c r="E1093" s="74" t="s">
        <v>33</v>
      </c>
      <c r="F1093" s="75">
        <v>1532</v>
      </c>
      <c r="G1093" s="74"/>
      <c r="H1093" s="74" t="s">
        <v>205</v>
      </c>
      <c r="I1093" s="74"/>
      <c r="J1093" s="74" t="s">
        <v>83</v>
      </c>
      <c r="K1093" s="75">
        <v>1973</v>
      </c>
      <c r="L1093" s="74"/>
      <c r="M1093" s="74"/>
      <c r="N1093" s="74"/>
      <c r="O1093" s="74"/>
      <c r="P1093" s="74"/>
      <c r="Q1093" s="74"/>
      <c r="R1093" s="74"/>
      <c r="S1093" s="74"/>
      <c r="T1093" s="74"/>
      <c r="U1093" s="74"/>
      <c r="V1093" s="74"/>
      <c r="W1093" s="74"/>
      <c r="X1093" s="74"/>
      <c r="Y1093" s="74"/>
      <c r="Z1093" s="74"/>
      <c r="AA1093" s="74"/>
      <c r="AB1093" s="74"/>
      <c r="AC1093" s="74"/>
      <c r="AD1093" s="74"/>
      <c r="AE1093" s="74"/>
      <c r="AF1093" s="74"/>
      <c r="AG1093" s="74"/>
      <c r="AH1093" s="74"/>
      <c r="AI1093" s="74"/>
      <c r="AJ1093" s="74"/>
      <c r="AK1093" s="74"/>
      <c r="AL1093" s="74"/>
      <c r="AM1093" s="74"/>
      <c r="AN1093" s="74"/>
      <c r="AO1093" s="74"/>
      <c r="AP1093" s="74"/>
      <c r="AQ1093" s="74"/>
      <c r="AR1093" s="74"/>
      <c r="AS1093" s="74"/>
      <c r="AT1093" s="74"/>
      <c r="AU1093" s="74"/>
      <c r="AV1093" s="74"/>
      <c r="AW1093" s="74"/>
      <c r="AX1093" s="74"/>
      <c r="AY1093" s="74"/>
      <c r="AZ1093" s="74"/>
      <c r="BA1093" s="74"/>
      <c r="BB1093" s="74"/>
      <c r="BC1093" s="74"/>
      <c r="BD1093" s="76"/>
    </row>
    <row r="1094" spans="1:56" x14ac:dyDescent="0.25">
      <c r="A1094" s="112"/>
      <c r="B1094" s="113"/>
      <c r="C1094" s="113"/>
      <c r="D1094" s="114"/>
      <c r="E1094" s="115" t="s">
        <v>27</v>
      </c>
      <c r="F1094" s="116"/>
      <c r="G1094" s="116"/>
      <c r="H1094" s="117"/>
      <c r="I1094" s="118" t="s">
        <v>28</v>
      </c>
      <c r="J1094" s="119"/>
      <c r="K1094" s="119"/>
      <c r="L1094" s="120"/>
      <c r="M1094" s="121" t="s">
        <v>7</v>
      </c>
      <c r="N1094" s="122"/>
      <c r="O1094" s="122"/>
      <c r="P1094" s="122"/>
      <c r="Q1094" s="124" t="s">
        <v>29</v>
      </c>
      <c r="R1094" s="125"/>
      <c r="S1094" s="125"/>
      <c r="T1094" s="126"/>
      <c r="U1094" s="128" t="s">
        <v>8</v>
      </c>
      <c r="V1094" s="128"/>
      <c r="W1094" s="128"/>
      <c r="X1094" s="129"/>
      <c r="Y1094" s="130" t="s">
        <v>0</v>
      </c>
      <c r="Z1094" s="131"/>
      <c r="AA1094" s="131"/>
      <c r="AB1094" s="132"/>
      <c r="AC1094" s="133" t="s">
        <v>34</v>
      </c>
      <c r="AD1094" s="134"/>
      <c r="AE1094" s="134"/>
      <c r="AF1094" s="135"/>
      <c r="AG1094" s="115" t="s">
        <v>9</v>
      </c>
      <c r="AH1094" s="116"/>
      <c r="AI1094" s="116"/>
      <c r="AJ1094" s="117"/>
      <c r="AK1094" s="136" t="s">
        <v>35</v>
      </c>
      <c r="AL1094" s="137"/>
      <c r="AM1094" s="137"/>
      <c r="AN1094" s="138"/>
      <c r="AO1094" s="139" t="s">
        <v>10</v>
      </c>
      <c r="AP1094" s="140"/>
      <c r="AQ1094" s="140"/>
      <c r="AR1094" s="141"/>
      <c r="AS1094" s="124" t="s">
        <v>36</v>
      </c>
      <c r="AT1094" s="125"/>
      <c r="AU1094" s="125"/>
      <c r="AV1094" s="126"/>
      <c r="AW1094" s="142" t="s">
        <v>11</v>
      </c>
      <c r="AX1094" s="143"/>
      <c r="AY1094" s="143"/>
      <c r="AZ1094" s="144"/>
      <c r="BA1094" s="148" t="s">
        <v>17</v>
      </c>
      <c r="BB1094" s="149"/>
      <c r="BC1094" s="149"/>
      <c r="BD1094" s="150"/>
    </row>
    <row r="1095" spans="1:56" ht="15.75" thickBot="1" x14ac:dyDescent="0.3">
      <c r="A1095" s="41" t="s">
        <v>13</v>
      </c>
      <c r="B1095" s="42" t="s">
        <v>15</v>
      </c>
      <c r="C1095" s="42" t="s">
        <v>32</v>
      </c>
      <c r="D1095" s="43" t="s">
        <v>18</v>
      </c>
      <c r="E1095" s="30" t="s">
        <v>30</v>
      </c>
      <c r="F1095" s="31" t="s">
        <v>61</v>
      </c>
      <c r="G1095" s="31" t="s">
        <v>38</v>
      </c>
      <c r="H1095" s="32" t="s">
        <v>62</v>
      </c>
      <c r="I1095" s="37" t="s">
        <v>31</v>
      </c>
      <c r="J1095" s="38" t="s">
        <v>39</v>
      </c>
      <c r="K1095" s="38" t="s">
        <v>40</v>
      </c>
      <c r="L1095" s="39" t="s">
        <v>63</v>
      </c>
      <c r="M1095" s="40" t="s">
        <v>19</v>
      </c>
      <c r="N1095" s="7" t="s">
        <v>41</v>
      </c>
      <c r="O1095" s="7" t="s">
        <v>37</v>
      </c>
      <c r="P1095" s="7" t="s">
        <v>64</v>
      </c>
      <c r="Q1095" s="27" t="s">
        <v>20</v>
      </c>
      <c r="R1095" s="28" t="s">
        <v>60</v>
      </c>
      <c r="S1095" s="28" t="s">
        <v>59</v>
      </c>
      <c r="T1095" s="29" t="s">
        <v>65</v>
      </c>
      <c r="U1095" s="48" t="s">
        <v>21</v>
      </c>
      <c r="V1095" s="48" t="s">
        <v>42</v>
      </c>
      <c r="W1095" s="48" t="s">
        <v>43</v>
      </c>
      <c r="X1095" s="49" t="s">
        <v>66</v>
      </c>
      <c r="Y1095" s="50" t="s">
        <v>22</v>
      </c>
      <c r="Z1095" s="51" t="s">
        <v>44</v>
      </c>
      <c r="AA1095" s="51" t="s">
        <v>45</v>
      </c>
      <c r="AB1095" s="52" t="s">
        <v>67</v>
      </c>
      <c r="AC1095" s="45" t="s">
        <v>23</v>
      </c>
      <c r="AD1095" s="46" t="s">
        <v>46</v>
      </c>
      <c r="AE1095" s="46" t="s">
        <v>47</v>
      </c>
      <c r="AF1095" s="47" t="s">
        <v>68</v>
      </c>
      <c r="AG1095" s="30" t="s">
        <v>24</v>
      </c>
      <c r="AH1095" s="31" t="s">
        <v>48</v>
      </c>
      <c r="AI1095" s="31" t="s">
        <v>49</v>
      </c>
      <c r="AJ1095" s="32" t="s">
        <v>69</v>
      </c>
      <c r="AK1095" s="53" t="s">
        <v>25</v>
      </c>
      <c r="AL1095" s="54" t="s">
        <v>50</v>
      </c>
      <c r="AM1095" s="54" t="s">
        <v>51</v>
      </c>
      <c r="AN1095" s="55" t="s">
        <v>70</v>
      </c>
      <c r="AO1095" s="56" t="s">
        <v>26</v>
      </c>
      <c r="AP1095" s="57" t="s">
        <v>52</v>
      </c>
      <c r="AQ1095" s="57" t="s">
        <v>53</v>
      </c>
      <c r="AR1095" s="58" t="s">
        <v>71</v>
      </c>
      <c r="AS1095" s="59" t="s">
        <v>55</v>
      </c>
      <c r="AT1095" s="60" t="s">
        <v>54</v>
      </c>
      <c r="AU1095" s="60" t="s">
        <v>56</v>
      </c>
      <c r="AV1095" s="61" t="s">
        <v>76</v>
      </c>
      <c r="AW1095" s="62" t="s">
        <v>72</v>
      </c>
      <c r="AX1095" s="63" t="s">
        <v>73</v>
      </c>
      <c r="AY1095" s="63" t="s">
        <v>74</v>
      </c>
      <c r="AZ1095" s="64" t="s">
        <v>75</v>
      </c>
      <c r="BA1095" s="71" t="s">
        <v>77</v>
      </c>
      <c r="BB1095" s="72" t="s">
        <v>57</v>
      </c>
      <c r="BC1095" s="72" t="s">
        <v>58</v>
      </c>
      <c r="BD1095" s="73" t="s">
        <v>78</v>
      </c>
    </row>
    <row r="1096" spans="1:56" x14ac:dyDescent="0.25">
      <c r="A1096" s="17" t="s">
        <v>1</v>
      </c>
      <c r="B1096" s="14">
        <v>74980</v>
      </c>
      <c r="C1096" s="34">
        <f>B1096/F1093</f>
        <v>48.942558746736296</v>
      </c>
      <c r="D1096" s="14">
        <v>1525</v>
      </c>
      <c r="E1096" s="67">
        <v>0</v>
      </c>
      <c r="F1096" s="69">
        <v>0</v>
      </c>
      <c r="G1096" s="34" t="e">
        <f t="shared" ref="G1096:G1102" si="2366">E1096/F1096</f>
        <v>#DIV/0!</v>
      </c>
      <c r="H1096" s="10" t="e">
        <f t="shared" ref="H1096:H1102" si="2367">G1096/C1096</f>
        <v>#DIV/0!</v>
      </c>
      <c r="I1096" s="34">
        <v>0</v>
      </c>
      <c r="J1096" s="69">
        <v>0</v>
      </c>
      <c r="K1096" s="34" t="e">
        <f t="shared" ref="K1096:K1102" si="2368">I1096/J1096</f>
        <v>#DIV/0!</v>
      </c>
      <c r="L1096" s="9" t="e">
        <f t="shared" ref="L1096:L1102" si="2369">K1096/C1096</f>
        <v>#DIV/0!</v>
      </c>
      <c r="M1096" s="67">
        <v>0</v>
      </c>
      <c r="N1096" s="26">
        <v>0</v>
      </c>
      <c r="O1096" s="34" t="e">
        <f t="shared" ref="O1096:O1102" si="2370">M1096/N1096</f>
        <v>#DIV/0!</v>
      </c>
      <c r="P1096" s="10" t="e">
        <f t="shared" ref="P1096:P1102" si="2371">O1096/C1096</f>
        <v>#DIV/0!</v>
      </c>
      <c r="Q1096" s="35">
        <v>0</v>
      </c>
      <c r="R1096" s="66">
        <v>0</v>
      </c>
      <c r="S1096" s="35" t="e">
        <f t="shared" ref="S1096:S1102" si="2372">Q1096/R1096</f>
        <v>#DIV/0!</v>
      </c>
      <c r="T1096" s="6" t="e">
        <f t="shared" ref="T1096:T1102" si="2373">S1096/C1096</f>
        <v>#DIV/0!</v>
      </c>
      <c r="U1096" s="67">
        <v>0</v>
      </c>
      <c r="V1096" s="65">
        <v>0</v>
      </c>
      <c r="W1096" s="34" t="e">
        <f t="shared" ref="W1096:W1102" si="2374">U1096/V1096</f>
        <v>#DIV/0!</v>
      </c>
      <c r="X1096" s="9" t="e">
        <f t="shared" ref="X1096:X1102" si="2375">W1096/C1096</f>
        <v>#DIV/0!</v>
      </c>
      <c r="Y1096" s="67">
        <v>0</v>
      </c>
      <c r="Z1096" s="69">
        <v>0</v>
      </c>
      <c r="AA1096" s="34" t="e">
        <f t="shared" ref="AA1096:AA1102" si="2376">Y1096/Z1096</f>
        <v>#DIV/0!</v>
      </c>
      <c r="AB1096" s="10" t="e">
        <f t="shared" ref="AB1096:AB1102" si="2377">AA1096/C1096</f>
        <v>#DIV/0!</v>
      </c>
      <c r="AC1096" s="34">
        <v>5160</v>
      </c>
      <c r="AD1096" s="33">
        <v>300</v>
      </c>
      <c r="AE1096" s="34">
        <f t="shared" ref="AE1096:AE1102" si="2378">AC1096/AD1096</f>
        <v>17.2</v>
      </c>
      <c r="AF1096" s="9">
        <f t="shared" ref="AF1096:AF1102" si="2379">AE1096/C1096</f>
        <v>0.35143238196852489</v>
      </c>
      <c r="AG1096" s="67">
        <v>0</v>
      </c>
      <c r="AH1096" s="65">
        <v>0</v>
      </c>
      <c r="AI1096" s="34" t="e">
        <f t="shared" ref="AI1096:AI1102" si="2380">AG1096/AH1096</f>
        <v>#DIV/0!</v>
      </c>
      <c r="AJ1096" s="9" t="e">
        <f t="shared" ref="AJ1096:AJ1102" si="2381">AI1096/C1096</f>
        <v>#DIV/0!</v>
      </c>
      <c r="AK1096" s="67">
        <v>310</v>
      </c>
      <c r="AL1096" s="65">
        <v>56</v>
      </c>
      <c r="AM1096" s="34">
        <f t="shared" ref="AM1096:AM1102" si="2382">AK1096/AL1096</f>
        <v>5.5357142857142856</v>
      </c>
      <c r="AN1096" s="9">
        <f t="shared" ref="AN1096:AN1102" si="2383">AM1096/C1096</f>
        <v>0.11310635217010249</v>
      </c>
      <c r="AO1096" s="67">
        <v>0</v>
      </c>
      <c r="AP1096" s="65">
        <v>0</v>
      </c>
      <c r="AQ1096" s="34" t="e">
        <f t="shared" ref="AQ1096:AQ1102" si="2384">AO1096/AP1096</f>
        <v>#DIV/0!</v>
      </c>
      <c r="AR1096" s="9" t="e">
        <f t="shared" ref="AR1096:AR1102" si="2385">AQ1096/C1096</f>
        <v>#DIV/0!</v>
      </c>
      <c r="AS1096" s="67">
        <v>0</v>
      </c>
      <c r="AT1096" s="65">
        <v>0</v>
      </c>
      <c r="AU1096" s="34" t="e">
        <f t="shared" ref="AU1096:AU1102" si="2386">AS1096/AT1096</f>
        <v>#DIV/0!</v>
      </c>
      <c r="AV1096" s="9" t="e">
        <f t="shared" ref="AV1096:AV1102" si="2387">AU1096/C1096</f>
        <v>#DIV/0!</v>
      </c>
      <c r="AW1096" s="67">
        <v>0</v>
      </c>
      <c r="AX1096" s="65">
        <v>0</v>
      </c>
      <c r="AY1096" s="34" t="e">
        <f t="shared" ref="AY1096:AY1102" si="2388">AW1096/AX1096</f>
        <v>#DIV/0!</v>
      </c>
      <c r="AZ1096" s="9" t="e">
        <f t="shared" ref="AZ1096:AZ1102" si="2389">AY1096/C1096</f>
        <v>#DIV/0!</v>
      </c>
      <c r="BA1096" s="67">
        <v>0</v>
      </c>
      <c r="BB1096" s="65">
        <v>0</v>
      </c>
      <c r="BC1096" s="34" t="e">
        <f t="shared" ref="BC1096:BC1102" si="2390">BA1096/BB1096</f>
        <v>#DIV/0!</v>
      </c>
      <c r="BD1096" s="10" t="e">
        <f t="shared" ref="BD1096:BD1102" si="2391">BC1096/C1096</f>
        <v>#DIV/0!</v>
      </c>
    </row>
    <row r="1097" spans="1:56" x14ac:dyDescent="0.25">
      <c r="A1097" s="19" t="s">
        <v>16</v>
      </c>
      <c r="B1097" s="8">
        <v>88220</v>
      </c>
      <c r="C1097" s="35">
        <f>B1097/F1093</f>
        <v>57.58485639686684</v>
      </c>
      <c r="D1097" s="8">
        <v>1525</v>
      </c>
      <c r="E1097" s="68">
        <v>0</v>
      </c>
      <c r="F1097" s="70">
        <v>0</v>
      </c>
      <c r="G1097" s="35" t="e">
        <f t="shared" si="2366"/>
        <v>#DIV/0!</v>
      </c>
      <c r="H1097" s="11" t="e">
        <f t="shared" si="2367"/>
        <v>#DIV/0!</v>
      </c>
      <c r="I1097" s="35">
        <v>0</v>
      </c>
      <c r="J1097" s="70">
        <v>0</v>
      </c>
      <c r="K1097" s="35" t="e">
        <f t="shared" si="2368"/>
        <v>#DIV/0!</v>
      </c>
      <c r="L1097" s="6" t="e">
        <f t="shared" si="2369"/>
        <v>#DIV/0!</v>
      </c>
      <c r="M1097" s="68">
        <v>0</v>
      </c>
      <c r="N1097" s="5">
        <v>0</v>
      </c>
      <c r="O1097" s="35" t="e">
        <f t="shared" si="2370"/>
        <v>#DIV/0!</v>
      </c>
      <c r="P1097" s="11" t="e">
        <f t="shared" si="2371"/>
        <v>#DIV/0!</v>
      </c>
      <c r="Q1097" s="35">
        <v>0</v>
      </c>
      <c r="R1097" s="66">
        <v>0</v>
      </c>
      <c r="S1097" s="35" t="e">
        <f t="shared" si="2372"/>
        <v>#DIV/0!</v>
      </c>
      <c r="T1097" s="6" t="e">
        <f t="shared" si="2373"/>
        <v>#DIV/0!</v>
      </c>
      <c r="U1097" s="68">
        <v>0</v>
      </c>
      <c r="V1097" s="66">
        <v>0</v>
      </c>
      <c r="W1097" s="35" t="e">
        <f t="shared" si="2374"/>
        <v>#DIV/0!</v>
      </c>
      <c r="X1097" s="6" t="e">
        <f t="shared" si="2375"/>
        <v>#DIV/0!</v>
      </c>
      <c r="Y1097" s="68">
        <v>0</v>
      </c>
      <c r="Z1097" s="70">
        <v>0</v>
      </c>
      <c r="AA1097" s="35" t="e">
        <f t="shared" si="2376"/>
        <v>#DIV/0!</v>
      </c>
      <c r="AB1097" s="11" t="e">
        <f t="shared" si="2377"/>
        <v>#DIV/0!</v>
      </c>
      <c r="AC1097" s="35">
        <v>7210</v>
      </c>
      <c r="AD1097" s="36">
        <v>300</v>
      </c>
      <c r="AE1097" s="35">
        <f t="shared" si="2378"/>
        <v>24.033333333333335</v>
      </c>
      <c r="AF1097" s="6">
        <f t="shared" si="2379"/>
        <v>0.41735509710572061</v>
      </c>
      <c r="AG1097" s="68">
        <v>0</v>
      </c>
      <c r="AH1097" s="66">
        <v>0</v>
      </c>
      <c r="AI1097" s="35" t="e">
        <f t="shared" si="2380"/>
        <v>#DIV/0!</v>
      </c>
      <c r="AJ1097" s="6" t="e">
        <f t="shared" si="2381"/>
        <v>#DIV/0!</v>
      </c>
      <c r="AK1097" s="68">
        <v>450</v>
      </c>
      <c r="AL1097" s="66">
        <v>56</v>
      </c>
      <c r="AM1097" s="35">
        <f t="shared" si="2382"/>
        <v>8.0357142857142865</v>
      </c>
      <c r="AN1097" s="6">
        <f t="shared" si="2383"/>
        <v>0.13954561647828481</v>
      </c>
      <c r="AO1097" s="68">
        <v>0</v>
      </c>
      <c r="AP1097" s="66">
        <v>0</v>
      </c>
      <c r="AQ1097" s="35" t="e">
        <f t="shared" si="2384"/>
        <v>#DIV/0!</v>
      </c>
      <c r="AR1097" s="6" t="e">
        <f t="shared" si="2385"/>
        <v>#DIV/0!</v>
      </c>
      <c r="AS1097" s="68">
        <v>0</v>
      </c>
      <c r="AT1097" s="66">
        <v>0</v>
      </c>
      <c r="AU1097" s="35" t="e">
        <f t="shared" si="2386"/>
        <v>#DIV/0!</v>
      </c>
      <c r="AV1097" s="6" t="e">
        <f t="shared" si="2387"/>
        <v>#DIV/0!</v>
      </c>
      <c r="AW1097" s="68">
        <v>0</v>
      </c>
      <c r="AX1097" s="66">
        <v>0</v>
      </c>
      <c r="AY1097" s="35" t="e">
        <f t="shared" si="2388"/>
        <v>#DIV/0!</v>
      </c>
      <c r="AZ1097" s="6" t="e">
        <f t="shared" si="2389"/>
        <v>#DIV/0!</v>
      </c>
      <c r="BA1097" s="68">
        <v>0</v>
      </c>
      <c r="BB1097" s="66">
        <v>0</v>
      </c>
      <c r="BC1097" s="35" t="e">
        <f t="shared" si="2390"/>
        <v>#DIV/0!</v>
      </c>
      <c r="BD1097" s="11" t="e">
        <f t="shared" si="2391"/>
        <v>#DIV/0!</v>
      </c>
    </row>
    <row r="1098" spans="1:56" x14ac:dyDescent="0.25">
      <c r="A1098" s="19" t="s">
        <v>2</v>
      </c>
      <c r="B1098" s="8">
        <v>103040</v>
      </c>
      <c r="C1098" s="35">
        <f>B1098/F1093</f>
        <v>67.258485639686683</v>
      </c>
      <c r="D1098" s="8">
        <v>2100</v>
      </c>
      <c r="E1098" s="68">
        <v>0</v>
      </c>
      <c r="F1098" s="70">
        <v>0</v>
      </c>
      <c r="G1098" s="35" t="e">
        <f t="shared" si="2366"/>
        <v>#DIV/0!</v>
      </c>
      <c r="H1098" s="11" t="e">
        <f t="shared" si="2367"/>
        <v>#DIV/0!</v>
      </c>
      <c r="I1098" s="35">
        <v>0</v>
      </c>
      <c r="J1098" s="70">
        <v>0</v>
      </c>
      <c r="K1098" s="35" t="e">
        <f t="shared" si="2368"/>
        <v>#DIV/0!</v>
      </c>
      <c r="L1098" s="6" t="e">
        <f t="shared" si="2369"/>
        <v>#DIV/0!</v>
      </c>
      <c r="M1098" s="68">
        <v>0</v>
      </c>
      <c r="N1098" s="5">
        <v>0</v>
      </c>
      <c r="O1098" s="35" t="e">
        <f t="shared" si="2370"/>
        <v>#DIV/0!</v>
      </c>
      <c r="P1098" s="11" t="e">
        <f t="shared" si="2371"/>
        <v>#DIV/0!</v>
      </c>
      <c r="Q1098" s="35">
        <v>0</v>
      </c>
      <c r="R1098" s="66">
        <v>0</v>
      </c>
      <c r="S1098" s="35" t="e">
        <f t="shared" si="2372"/>
        <v>#DIV/0!</v>
      </c>
      <c r="T1098" s="6" t="e">
        <f t="shared" si="2373"/>
        <v>#DIV/0!</v>
      </c>
      <c r="U1098" s="68">
        <v>0</v>
      </c>
      <c r="V1098" s="66">
        <v>0</v>
      </c>
      <c r="W1098" s="35" t="e">
        <f t="shared" si="2374"/>
        <v>#DIV/0!</v>
      </c>
      <c r="X1098" s="6" t="e">
        <f t="shared" si="2375"/>
        <v>#DIV/0!</v>
      </c>
      <c r="Y1098" s="68">
        <v>0</v>
      </c>
      <c r="Z1098" s="70">
        <v>0</v>
      </c>
      <c r="AA1098" s="35" t="e">
        <f t="shared" si="2376"/>
        <v>#DIV/0!</v>
      </c>
      <c r="AB1098" s="11" t="e">
        <f t="shared" si="2377"/>
        <v>#DIV/0!</v>
      </c>
      <c r="AC1098" s="35">
        <v>8820</v>
      </c>
      <c r="AD1098" s="36">
        <v>300</v>
      </c>
      <c r="AE1098" s="35">
        <f t="shared" si="2378"/>
        <v>29.4</v>
      </c>
      <c r="AF1098" s="6">
        <f t="shared" si="2379"/>
        <v>0.43711956521739131</v>
      </c>
      <c r="AG1098" s="68">
        <v>0</v>
      </c>
      <c r="AH1098" s="66">
        <v>0</v>
      </c>
      <c r="AI1098" s="35" t="e">
        <f t="shared" si="2380"/>
        <v>#DIV/0!</v>
      </c>
      <c r="AJ1098" s="6" t="e">
        <f t="shared" si="2381"/>
        <v>#DIV/0!</v>
      </c>
      <c r="AK1098" s="68">
        <v>490</v>
      </c>
      <c r="AL1098" s="66">
        <v>56</v>
      </c>
      <c r="AM1098" s="35">
        <f t="shared" si="2382"/>
        <v>8.75</v>
      </c>
      <c r="AN1098" s="6">
        <f t="shared" si="2383"/>
        <v>0.13009510869565219</v>
      </c>
      <c r="AO1098" s="68">
        <v>0</v>
      </c>
      <c r="AP1098" s="66">
        <v>0</v>
      </c>
      <c r="AQ1098" s="35" t="e">
        <f t="shared" si="2384"/>
        <v>#DIV/0!</v>
      </c>
      <c r="AR1098" s="6" t="e">
        <f t="shared" si="2385"/>
        <v>#DIV/0!</v>
      </c>
      <c r="AS1098" s="68">
        <v>0</v>
      </c>
      <c r="AT1098" s="66">
        <v>0</v>
      </c>
      <c r="AU1098" s="35" t="e">
        <f t="shared" si="2386"/>
        <v>#DIV/0!</v>
      </c>
      <c r="AV1098" s="6" t="e">
        <f t="shared" si="2387"/>
        <v>#DIV/0!</v>
      </c>
      <c r="AW1098" s="68">
        <v>0</v>
      </c>
      <c r="AX1098" s="66">
        <v>0</v>
      </c>
      <c r="AY1098" s="35" t="e">
        <f t="shared" si="2388"/>
        <v>#DIV/0!</v>
      </c>
      <c r="AZ1098" s="6" t="e">
        <f t="shared" si="2389"/>
        <v>#DIV/0!</v>
      </c>
      <c r="BA1098" s="68">
        <v>0</v>
      </c>
      <c r="BB1098" s="66">
        <v>0</v>
      </c>
      <c r="BC1098" s="35" t="e">
        <f t="shared" si="2390"/>
        <v>#DIV/0!</v>
      </c>
      <c r="BD1098" s="11" t="e">
        <f t="shared" si="2391"/>
        <v>#DIV/0!</v>
      </c>
    </row>
    <row r="1099" spans="1:56" x14ac:dyDescent="0.25">
      <c r="A1099" s="19" t="s">
        <v>3</v>
      </c>
      <c r="B1099" s="8">
        <v>124690</v>
      </c>
      <c r="C1099" s="35">
        <f>B1099/F1093</f>
        <v>81.39033942558747</v>
      </c>
      <c r="D1099" s="8">
        <v>2700</v>
      </c>
      <c r="E1099" s="68">
        <v>0</v>
      </c>
      <c r="F1099" s="70">
        <v>0</v>
      </c>
      <c r="G1099" s="35" t="e">
        <f t="shared" si="2366"/>
        <v>#DIV/0!</v>
      </c>
      <c r="H1099" s="11" t="e">
        <f t="shared" si="2367"/>
        <v>#DIV/0!</v>
      </c>
      <c r="I1099" s="35">
        <v>0</v>
      </c>
      <c r="J1099" s="70">
        <v>0</v>
      </c>
      <c r="K1099" s="35" t="e">
        <f t="shared" si="2368"/>
        <v>#DIV/0!</v>
      </c>
      <c r="L1099" s="6" t="e">
        <f t="shared" si="2369"/>
        <v>#DIV/0!</v>
      </c>
      <c r="M1099" s="68">
        <v>0</v>
      </c>
      <c r="N1099" s="5">
        <v>0</v>
      </c>
      <c r="O1099" s="35" t="e">
        <f t="shared" si="2370"/>
        <v>#DIV/0!</v>
      </c>
      <c r="P1099" s="11" t="e">
        <f t="shared" si="2371"/>
        <v>#DIV/0!</v>
      </c>
      <c r="Q1099" s="35">
        <v>0</v>
      </c>
      <c r="R1099" s="66">
        <v>0</v>
      </c>
      <c r="S1099" s="35" t="e">
        <f t="shared" si="2372"/>
        <v>#DIV/0!</v>
      </c>
      <c r="T1099" s="6" t="e">
        <f t="shared" si="2373"/>
        <v>#DIV/0!</v>
      </c>
      <c r="U1099" s="68">
        <v>0</v>
      </c>
      <c r="V1099" s="66">
        <v>0</v>
      </c>
      <c r="W1099" s="35" t="e">
        <f t="shared" si="2374"/>
        <v>#DIV/0!</v>
      </c>
      <c r="X1099" s="6" t="e">
        <f t="shared" si="2375"/>
        <v>#DIV/0!</v>
      </c>
      <c r="Y1099" s="68">
        <v>0</v>
      </c>
      <c r="Z1099" s="70">
        <v>0</v>
      </c>
      <c r="AA1099" s="35" t="e">
        <f t="shared" si="2376"/>
        <v>#DIV/0!</v>
      </c>
      <c r="AB1099" s="11" t="e">
        <f t="shared" si="2377"/>
        <v>#DIV/0!</v>
      </c>
      <c r="AC1099" s="35">
        <v>9230</v>
      </c>
      <c r="AD1099" s="36">
        <v>300</v>
      </c>
      <c r="AE1099" s="35">
        <f t="shared" si="2378"/>
        <v>30.766666666666666</v>
      </c>
      <c r="AF1099" s="6">
        <f t="shared" si="2379"/>
        <v>0.37801374074371102</v>
      </c>
      <c r="AG1099" s="68">
        <v>0</v>
      </c>
      <c r="AH1099" s="66">
        <v>0</v>
      </c>
      <c r="AI1099" s="35" t="e">
        <f t="shared" si="2380"/>
        <v>#DIV/0!</v>
      </c>
      <c r="AJ1099" s="6" t="e">
        <f t="shared" si="2381"/>
        <v>#DIV/0!</v>
      </c>
      <c r="AK1099" s="68">
        <v>540</v>
      </c>
      <c r="AL1099" s="66">
        <v>56</v>
      </c>
      <c r="AM1099" s="35">
        <f t="shared" si="2382"/>
        <v>9.6428571428571423</v>
      </c>
      <c r="AN1099" s="6">
        <f t="shared" si="2383"/>
        <v>0.11847667930753983</v>
      </c>
      <c r="AO1099" s="68">
        <v>0</v>
      </c>
      <c r="AP1099" s="66">
        <v>0</v>
      </c>
      <c r="AQ1099" s="35" t="e">
        <f t="shared" si="2384"/>
        <v>#DIV/0!</v>
      </c>
      <c r="AR1099" s="6" t="e">
        <f t="shared" si="2385"/>
        <v>#DIV/0!</v>
      </c>
      <c r="AS1099" s="68">
        <v>0</v>
      </c>
      <c r="AT1099" s="66">
        <v>0</v>
      </c>
      <c r="AU1099" s="35" t="e">
        <f t="shared" si="2386"/>
        <v>#DIV/0!</v>
      </c>
      <c r="AV1099" s="6" t="e">
        <f t="shared" si="2387"/>
        <v>#DIV/0!</v>
      </c>
      <c r="AW1099" s="68">
        <v>0</v>
      </c>
      <c r="AX1099" s="66">
        <v>0</v>
      </c>
      <c r="AY1099" s="35" t="e">
        <f t="shared" si="2388"/>
        <v>#DIV/0!</v>
      </c>
      <c r="AZ1099" s="6" t="e">
        <f t="shared" si="2389"/>
        <v>#DIV/0!</v>
      </c>
      <c r="BA1099" s="68">
        <v>0</v>
      </c>
      <c r="BB1099" s="66">
        <v>0</v>
      </c>
      <c r="BC1099" s="35" t="e">
        <f t="shared" si="2390"/>
        <v>#DIV/0!</v>
      </c>
      <c r="BD1099" s="11" t="e">
        <f t="shared" si="2391"/>
        <v>#DIV/0!</v>
      </c>
    </row>
    <row r="1100" spans="1:56" x14ac:dyDescent="0.25">
      <c r="A1100" s="19" t="s">
        <v>4</v>
      </c>
      <c r="B1100" s="8">
        <v>154800</v>
      </c>
      <c r="C1100" s="35">
        <f>B1100/F1093</f>
        <v>101.0443864229765</v>
      </c>
      <c r="D1100" s="8">
        <v>5250</v>
      </c>
      <c r="E1100" s="68">
        <v>0</v>
      </c>
      <c r="F1100" s="70">
        <v>0</v>
      </c>
      <c r="G1100" s="35" t="e">
        <f t="shared" si="2366"/>
        <v>#DIV/0!</v>
      </c>
      <c r="H1100" s="11" t="e">
        <f t="shared" si="2367"/>
        <v>#DIV/0!</v>
      </c>
      <c r="I1100" s="35">
        <v>0</v>
      </c>
      <c r="J1100" s="70">
        <v>0</v>
      </c>
      <c r="K1100" s="35" t="e">
        <f t="shared" si="2368"/>
        <v>#DIV/0!</v>
      </c>
      <c r="L1100" s="6" t="e">
        <f t="shared" si="2369"/>
        <v>#DIV/0!</v>
      </c>
      <c r="M1100" s="68">
        <v>0</v>
      </c>
      <c r="N1100" s="5">
        <v>0</v>
      </c>
      <c r="O1100" s="35" t="e">
        <f t="shared" si="2370"/>
        <v>#DIV/0!</v>
      </c>
      <c r="P1100" s="11" t="e">
        <f t="shared" si="2371"/>
        <v>#DIV/0!</v>
      </c>
      <c r="Q1100" s="35">
        <v>0</v>
      </c>
      <c r="R1100" s="66">
        <v>0</v>
      </c>
      <c r="S1100" s="35" t="e">
        <f t="shared" si="2372"/>
        <v>#DIV/0!</v>
      </c>
      <c r="T1100" s="6" t="e">
        <f t="shared" si="2373"/>
        <v>#DIV/0!</v>
      </c>
      <c r="U1100" s="68">
        <v>0</v>
      </c>
      <c r="V1100" s="66">
        <v>0</v>
      </c>
      <c r="W1100" s="35" t="e">
        <f t="shared" si="2374"/>
        <v>#DIV/0!</v>
      </c>
      <c r="X1100" s="6" t="e">
        <f t="shared" si="2375"/>
        <v>#DIV/0!</v>
      </c>
      <c r="Y1100" s="68">
        <v>0</v>
      </c>
      <c r="Z1100" s="70">
        <v>0</v>
      </c>
      <c r="AA1100" s="35" t="e">
        <f t="shared" si="2376"/>
        <v>#DIV/0!</v>
      </c>
      <c r="AB1100" s="11" t="e">
        <f t="shared" si="2377"/>
        <v>#DIV/0!</v>
      </c>
      <c r="AC1100" s="35">
        <v>10590</v>
      </c>
      <c r="AD1100" s="36">
        <v>300</v>
      </c>
      <c r="AE1100" s="35">
        <f t="shared" si="2378"/>
        <v>35.299999999999997</v>
      </c>
      <c r="AF1100" s="6">
        <f t="shared" si="2379"/>
        <v>0.34935142118863044</v>
      </c>
      <c r="AG1100" s="68">
        <v>0</v>
      </c>
      <c r="AH1100" s="66">
        <v>0</v>
      </c>
      <c r="AI1100" s="35" t="e">
        <f t="shared" si="2380"/>
        <v>#DIV/0!</v>
      </c>
      <c r="AJ1100" s="6" t="e">
        <f t="shared" si="2381"/>
        <v>#DIV/0!</v>
      </c>
      <c r="AK1100" s="68">
        <v>640</v>
      </c>
      <c r="AL1100" s="66">
        <v>56</v>
      </c>
      <c r="AM1100" s="35">
        <f t="shared" si="2382"/>
        <v>11.428571428571429</v>
      </c>
      <c r="AN1100" s="6">
        <f t="shared" si="2383"/>
        <v>0.11310446659283868</v>
      </c>
      <c r="AO1100" s="68">
        <v>0</v>
      </c>
      <c r="AP1100" s="66">
        <v>0</v>
      </c>
      <c r="AQ1100" s="35" t="e">
        <f t="shared" si="2384"/>
        <v>#DIV/0!</v>
      </c>
      <c r="AR1100" s="6" t="e">
        <f t="shared" si="2385"/>
        <v>#DIV/0!</v>
      </c>
      <c r="AS1100" s="68">
        <v>0</v>
      </c>
      <c r="AT1100" s="66">
        <v>0</v>
      </c>
      <c r="AU1100" s="35" t="e">
        <f t="shared" si="2386"/>
        <v>#DIV/0!</v>
      </c>
      <c r="AV1100" s="6" t="e">
        <f t="shared" si="2387"/>
        <v>#DIV/0!</v>
      </c>
      <c r="AW1100" s="68">
        <v>0</v>
      </c>
      <c r="AX1100" s="66">
        <v>0</v>
      </c>
      <c r="AY1100" s="35" t="e">
        <f t="shared" si="2388"/>
        <v>#DIV/0!</v>
      </c>
      <c r="AZ1100" s="6" t="e">
        <f t="shared" si="2389"/>
        <v>#DIV/0!</v>
      </c>
      <c r="BA1100" s="68">
        <v>0</v>
      </c>
      <c r="BB1100" s="66">
        <v>0</v>
      </c>
      <c r="BC1100" s="35" t="e">
        <f t="shared" si="2390"/>
        <v>#DIV/0!</v>
      </c>
      <c r="BD1100" s="11" t="e">
        <f t="shared" si="2391"/>
        <v>#DIV/0!</v>
      </c>
    </row>
    <row r="1101" spans="1:56" x14ac:dyDescent="0.25">
      <c r="A1101" s="19" t="s">
        <v>5</v>
      </c>
      <c r="B1101" s="8">
        <v>204290</v>
      </c>
      <c r="C1101" s="35">
        <f>B1101/F1093</f>
        <v>133.3485639686684</v>
      </c>
      <c r="D1101" s="8">
        <v>7050</v>
      </c>
      <c r="E1101" s="68">
        <v>0</v>
      </c>
      <c r="F1101" s="70">
        <v>0</v>
      </c>
      <c r="G1101" s="35" t="e">
        <f t="shared" si="2366"/>
        <v>#DIV/0!</v>
      </c>
      <c r="H1101" s="11" t="e">
        <f t="shared" si="2367"/>
        <v>#DIV/0!</v>
      </c>
      <c r="I1101" s="35">
        <v>0</v>
      </c>
      <c r="J1101" s="70">
        <v>0</v>
      </c>
      <c r="K1101" s="35" t="e">
        <f t="shared" si="2368"/>
        <v>#DIV/0!</v>
      </c>
      <c r="L1101" s="6" t="e">
        <f t="shared" si="2369"/>
        <v>#DIV/0!</v>
      </c>
      <c r="M1101" s="68">
        <v>0</v>
      </c>
      <c r="N1101" s="5">
        <v>0</v>
      </c>
      <c r="O1101" s="35" t="e">
        <f t="shared" si="2370"/>
        <v>#DIV/0!</v>
      </c>
      <c r="P1101" s="11" t="e">
        <f t="shared" si="2371"/>
        <v>#DIV/0!</v>
      </c>
      <c r="Q1101" s="35">
        <v>0</v>
      </c>
      <c r="R1101" s="66">
        <v>0</v>
      </c>
      <c r="S1101" s="35" t="e">
        <f t="shared" si="2372"/>
        <v>#DIV/0!</v>
      </c>
      <c r="T1101" s="6" t="e">
        <f t="shared" si="2373"/>
        <v>#DIV/0!</v>
      </c>
      <c r="U1101" s="68">
        <v>0</v>
      </c>
      <c r="V1101" s="66">
        <v>0</v>
      </c>
      <c r="W1101" s="35" t="e">
        <f t="shared" si="2374"/>
        <v>#DIV/0!</v>
      </c>
      <c r="X1101" s="6" t="e">
        <f t="shared" si="2375"/>
        <v>#DIV/0!</v>
      </c>
      <c r="Y1101" s="68">
        <v>0</v>
      </c>
      <c r="Z1101" s="70">
        <v>0</v>
      </c>
      <c r="AA1101" s="35" t="e">
        <f t="shared" si="2376"/>
        <v>#DIV/0!</v>
      </c>
      <c r="AB1101" s="11" t="e">
        <f t="shared" si="2377"/>
        <v>#DIV/0!</v>
      </c>
      <c r="AC1101" s="35">
        <v>12290</v>
      </c>
      <c r="AD1101" s="36">
        <v>300</v>
      </c>
      <c r="AE1101" s="35">
        <f t="shared" si="2378"/>
        <v>40.966666666666669</v>
      </c>
      <c r="AF1101" s="6">
        <f t="shared" si="2379"/>
        <v>0.30721490691337483</v>
      </c>
      <c r="AG1101" s="68">
        <v>0</v>
      </c>
      <c r="AH1101" s="66">
        <v>0</v>
      </c>
      <c r="AI1101" s="35" t="e">
        <f t="shared" si="2380"/>
        <v>#DIV/0!</v>
      </c>
      <c r="AJ1101" s="6" t="e">
        <f t="shared" si="2381"/>
        <v>#DIV/0!</v>
      </c>
      <c r="AK1101" s="68">
        <v>700</v>
      </c>
      <c r="AL1101" s="66">
        <v>56</v>
      </c>
      <c r="AM1101" s="35">
        <f t="shared" si="2382"/>
        <v>12.5</v>
      </c>
      <c r="AN1101" s="6">
        <f t="shared" si="2383"/>
        <v>9.3739292182681483E-2</v>
      </c>
      <c r="AO1101" s="68">
        <v>0</v>
      </c>
      <c r="AP1101" s="66">
        <v>0</v>
      </c>
      <c r="AQ1101" s="35" t="e">
        <f t="shared" si="2384"/>
        <v>#DIV/0!</v>
      </c>
      <c r="AR1101" s="6" t="e">
        <f t="shared" si="2385"/>
        <v>#DIV/0!</v>
      </c>
      <c r="AS1101" s="68">
        <v>0</v>
      </c>
      <c r="AT1101" s="66">
        <v>0</v>
      </c>
      <c r="AU1101" s="35" t="e">
        <f t="shared" si="2386"/>
        <v>#DIV/0!</v>
      </c>
      <c r="AV1101" s="6" t="e">
        <f t="shared" si="2387"/>
        <v>#DIV/0!</v>
      </c>
      <c r="AW1101" s="68">
        <v>0</v>
      </c>
      <c r="AX1101" s="66">
        <v>0</v>
      </c>
      <c r="AY1101" s="35" t="e">
        <f t="shared" si="2388"/>
        <v>#DIV/0!</v>
      </c>
      <c r="AZ1101" s="6" t="e">
        <f t="shared" si="2389"/>
        <v>#DIV/0!</v>
      </c>
      <c r="BA1101" s="68">
        <v>0</v>
      </c>
      <c r="BB1101" s="66">
        <v>0</v>
      </c>
      <c r="BC1101" s="35" t="e">
        <f t="shared" si="2390"/>
        <v>#DIV/0!</v>
      </c>
      <c r="BD1101" s="11" t="e">
        <f t="shared" si="2391"/>
        <v>#DIV/0!</v>
      </c>
    </row>
    <row r="1102" spans="1:56" x14ac:dyDescent="0.25">
      <c r="A1102" s="19" t="s">
        <v>6</v>
      </c>
      <c r="B1102" s="8">
        <v>248880</v>
      </c>
      <c r="C1102" s="35">
        <f>B1102/F1093</f>
        <v>162.45430809399477</v>
      </c>
      <c r="D1102" s="8">
        <v>10950</v>
      </c>
      <c r="E1102" s="68">
        <v>0</v>
      </c>
      <c r="F1102" s="70">
        <v>0</v>
      </c>
      <c r="G1102" s="35" t="e">
        <f t="shared" si="2366"/>
        <v>#DIV/0!</v>
      </c>
      <c r="H1102" s="11" t="e">
        <f t="shared" si="2367"/>
        <v>#DIV/0!</v>
      </c>
      <c r="I1102" s="35">
        <v>0</v>
      </c>
      <c r="J1102" s="70">
        <v>0</v>
      </c>
      <c r="K1102" s="35" t="e">
        <f t="shared" si="2368"/>
        <v>#DIV/0!</v>
      </c>
      <c r="L1102" s="6" t="e">
        <f t="shared" si="2369"/>
        <v>#DIV/0!</v>
      </c>
      <c r="M1102" s="68">
        <v>0</v>
      </c>
      <c r="N1102" s="5">
        <v>0</v>
      </c>
      <c r="O1102" s="35" t="e">
        <f t="shared" si="2370"/>
        <v>#DIV/0!</v>
      </c>
      <c r="P1102" s="11" t="e">
        <f t="shared" si="2371"/>
        <v>#DIV/0!</v>
      </c>
      <c r="Q1102" s="35">
        <v>0</v>
      </c>
      <c r="R1102" s="66">
        <v>0</v>
      </c>
      <c r="S1102" s="35" t="e">
        <f t="shared" si="2372"/>
        <v>#DIV/0!</v>
      </c>
      <c r="T1102" s="6" t="e">
        <f t="shared" si="2373"/>
        <v>#DIV/0!</v>
      </c>
      <c r="U1102" s="68">
        <v>0</v>
      </c>
      <c r="V1102" s="66">
        <v>0</v>
      </c>
      <c r="W1102" s="35" t="e">
        <f t="shared" si="2374"/>
        <v>#DIV/0!</v>
      </c>
      <c r="X1102" s="6" t="e">
        <f t="shared" si="2375"/>
        <v>#DIV/0!</v>
      </c>
      <c r="Y1102" s="68">
        <v>0</v>
      </c>
      <c r="Z1102" s="70">
        <v>0</v>
      </c>
      <c r="AA1102" s="35" t="e">
        <f t="shared" si="2376"/>
        <v>#DIV/0!</v>
      </c>
      <c r="AB1102" s="11" t="e">
        <f t="shared" si="2377"/>
        <v>#DIV/0!</v>
      </c>
      <c r="AC1102" s="35">
        <v>17390</v>
      </c>
      <c r="AD1102" s="36">
        <v>300</v>
      </c>
      <c r="AE1102" s="35">
        <f t="shared" si="2378"/>
        <v>57.966666666666669</v>
      </c>
      <c r="AF1102" s="6">
        <f t="shared" si="2379"/>
        <v>0.35681827922425802</v>
      </c>
      <c r="AG1102" s="68">
        <v>0</v>
      </c>
      <c r="AH1102" s="66">
        <v>0</v>
      </c>
      <c r="AI1102" s="35" t="e">
        <f t="shared" si="2380"/>
        <v>#DIV/0!</v>
      </c>
      <c r="AJ1102" s="6" t="e">
        <f t="shared" si="2381"/>
        <v>#DIV/0!</v>
      </c>
      <c r="AK1102" s="68">
        <v>780</v>
      </c>
      <c r="AL1102" s="66">
        <v>56</v>
      </c>
      <c r="AM1102" s="35">
        <f t="shared" si="2382"/>
        <v>13.928571428571429</v>
      </c>
      <c r="AN1102" s="6">
        <f t="shared" si="2383"/>
        <v>8.5738393718142999E-2</v>
      </c>
      <c r="AO1102" s="68">
        <v>0</v>
      </c>
      <c r="AP1102" s="66">
        <v>0</v>
      </c>
      <c r="AQ1102" s="35" t="e">
        <f t="shared" si="2384"/>
        <v>#DIV/0!</v>
      </c>
      <c r="AR1102" s="6" t="e">
        <f t="shared" si="2385"/>
        <v>#DIV/0!</v>
      </c>
      <c r="AS1102" s="68">
        <v>0</v>
      </c>
      <c r="AT1102" s="66">
        <v>0</v>
      </c>
      <c r="AU1102" s="35" t="e">
        <f t="shared" si="2386"/>
        <v>#DIV/0!</v>
      </c>
      <c r="AV1102" s="6" t="e">
        <f t="shared" si="2387"/>
        <v>#DIV/0!</v>
      </c>
      <c r="AW1102" s="68">
        <v>0</v>
      </c>
      <c r="AX1102" s="66">
        <v>0</v>
      </c>
      <c r="AY1102" s="35" t="e">
        <f t="shared" si="2388"/>
        <v>#DIV/0!</v>
      </c>
      <c r="AZ1102" s="6" t="e">
        <f t="shared" si="2389"/>
        <v>#DIV/0!</v>
      </c>
      <c r="BA1102" s="68">
        <v>0</v>
      </c>
      <c r="BB1102" s="66">
        <v>0</v>
      </c>
      <c r="BC1102" s="35" t="e">
        <f t="shared" si="2390"/>
        <v>#DIV/0!</v>
      </c>
      <c r="BD1102" s="11" t="e">
        <f t="shared" si="2391"/>
        <v>#DIV/0!</v>
      </c>
    </row>
    <row r="1103" spans="1:56" ht="15.75" thickBot="1" x14ac:dyDescent="0.3">
      <c r="A1103" s="21"/>
      <c r="B1103" s="22"/>
      <c r="C1103" s="23">
        <f>AVERAGE(Table11094[MA $/Sq Ft])</f>
        <v>93.146214099216721</v>
      </c>
      <c r="D1103" s="22">
        <f>AVERAGE(Table11094[Basic Allowance])</f>
        <v>4442.8571428571431</v>
      </c>
      <c r="E1103" s="16"/>
      <c r="F1103" s="22"/>
      <c r="G1103" s="15"/>
      <c r="H1103" s="24" t="e">
        <f>AVERAGE(Table11094[Bsmt % Base])</f>
        <v>#DIV/0!</v>
      </c>
      <c r="I1103" s="15"/>
      <c r="J1103" s="15"/>
      <c r="K1103" s="15"/>
      <c r="L1103" s="25" t="e">
        <f>AVERAGE(Table11094[[#Headers],[#Data],[UnfBsmt % Base]])</f>
        <v>#DIV/0!</v>
      </c>
      <c r="M1103" s="44"/>
      <c r="N1103" s="15"/>
      <c r="O1103" s="23" t="e">
        <f>AVERAGE(Table11094[LowerVal/SqFt])</f>
        <v>#DIV/0!</v>
      </c>
      <c r="P1103" s="24" t="e">
        <f>AVERAGE(Table11094[Lower % Base])</f>
        <v>#DIV/0!</v>
      </c>
      <c r="Q1103" s="13"/>
      <c r="R1103" s="13"/>
      <c r="S1103" s="13"/>
      <c r="T1103" s="25" t="e">
        <f>AVERAGE(Table11094[Unf Lower % Base])</f>
        <v>#DIV/0!</v>
      </c>
      <c r="U1103" s="12"/>
      <c r="V1103" s="13"/>
      <c r="W1103" s="13"/>
      <c r="X1103" s="25" t="e">
        <f>AVERAGE(Table11094[1/2 Story % Base])</f>
        <v>#DIV/0!</v>
      </c>
      <c r="Y1103" s="12"/>
      <c r="Z1103" s="13"/>
      <c r="AA1103" s="13"/>
      <c r="AB1103" s="24" t="e">
        <f>AVERAGE(Table11094[2nd Story % Base])</f>
        <v>#DIV/0!</v>
      </c>
      <c r="AC1103" s="13"/>
      <c r="AD1103" s="13"/>
      <c r="AE1103" s="23">
        <f>AVERAGE(Table11094[AttGarVal/SqFt])</f>
        <v>33.661904761904758</v>
      </c>
      <c r="AF1103" s="25">
        <f>AVERAGE(Table11094[Att Gar % Base])</f>
        <v>0.37104362748023018</v>
      </c>
      <c r="AG1103" s="12"/>
      <c r="AH1103" s="13"/>
      <c r="AI1103" s="13"/>
      <c r="AJ1103" s="25" t="e">
        <f>AVERAGE(Table11094[Porch % Base])</f>
        <v>#DIV/0!</v>
      </c>
      <c r="AK1103" s="12"/>
      <c r="AL1103" s="13"/>
      <c r="AM1103" s="13"/>
      <c r="AN1103" s="25">
        <f>AVERAGE(Table11094[Cov Porch % Base])</f>
        <v>0.11340084416360606</v>
      </c>
      <c r="AO1103" s="12"/>
      <c r="AP1103" s="13"/>
      <c r="AQ1103" s="13"/>
      <c r="AR1103" s="25" t="e">
        <f>AVERAGE(Table11094[Deck % Base])</f>
        <v>#DIV/0!</v>
      </c>
      <c r="AS1103" s="12"/>
      <c r="AT1103" s="13"/>
      <c r="AU1103" s="23" t="e">
        <f>AVERAGE(Table11094[CovDeckVal/SqFt])</f>
        <v>#DIV/0!</v>
      </c>
      <c r="AV1103" s="25" t="e">
        <f>AVERAGE(Table11094[CovDeck % Base])</f>
        <v>#DIV/0!</v>
      </c>
      <c r="AW1103" s="12"/>
      <c r="AX1103" s="13"/>
      <c r="AY1103" s="13"/>
      <c r="AZ1103" s="25" t="e">
        <f>AVERAGE(Table11094[CarP % Base])</f>
        <v>#DIV/0!</v>
      </c>
      <c r="BA1103" s="12"/>
      <c r="BB1103" s="13"/>
      <c r="BC1103" s="13"/>
      <c r="BD1103" s="24" t="e">
        <f>AVERAGE(Table11094[EFP % Base])</f>
        <v>#DIV/0!</v>
      </c>
    </row>
    <row r="1105" spans="1:56" ht="15.75" thickBot="1" x14ac:dyDescent="0.3">
      <c r="A1105" s="84"/>
      <c r="B1105" s="74" t="s">
        <v>79</v>
      </c>
      <c r="C1105" s="86" t="s">
        <v>208</v>
      </c>
      <c r="D1105" s="74"/>
      <c r="E1105" s="74" t="s">
        <v>33</v>
      </c>
      <c r="F1105" s="75">
        <v>888</v>
      </c>
      <c r="G1105" s="74"/>
      <c r="H1105" s="74" t="s">
        <v>209</v>
      </c>
      <c r="I1105" s="74"/>
      <c r="J1105" s="74" t="s">
        <v>83</v>
      </c>
      <c r="K1105" s="75">
        <v>1978</v>
      </c>
      <c r="L1105" s="74"/>
      <c r="M1105" s="74"/>
      <c r="N1105" s="74"/>
      <c r="O1105" s="74"/>
      <c r="P1105" s="74"/>
      <c r="Q1105" s="74"/>
      <c r="R1105" s="74"/>
      <c r="S1105" s="74"/>
      <c r="T1105" s="74"/>
      <c r="U1105" s="74"/>
      <c r="V1105" s="74"/>
      <c r="W1105" s="74"/>
      <c r="X1105" s="74"/>
      <c r="Y1105" s="74"/>
      <c r="Z1105" s="74"/>
      <c r="AA1105" s="74"/>
      <c r="AB1105" s="74"/>
      <c r="AC1105" s="74"/>
      <c r="AD1105" s="74"/>
      <c r="AE1105" s="74"/>
      <c r="AF1105" s="74"/>
      <c r="AG1105" s="74"/>
      <c r="AH1105" s="74"/>
      <c r="AI1105" s="74"/>
      <c r="AJ1105" s="74"/>
      <c r="AK1105" s="74"/>
      <c r="AL1105" s="74"/>
      <c r="AM1105" s="74"/>
      <c r="AN1105" s="74"/>
      <c r="AO1105" s="74"/>
      <c r="AP1105" s="74"/>
      <c r="AQ1105" s="74"/>
      <c r="AR1105" s="74"/>
      <c r="AS1105" s="74"/>
      <c r="AT1105" s="74"/>
      <c r="AU1105" s="74"/>
      <c r="AV1105" s="74"/>
      <c r="AW1105" s="74"/>
      <c r="AX1105" s="74"/>
      <c r="AY1105" s="74"/>
      <c r="AZ1105" s="74"/>
      <c r="BA1105" s="74"/>
      <c r="BB1105" s="74"/>
      <c r="BC1105" s="74"/>
      <c r="BD1105" s="76"/>
    </row>
    <row r="1106" spans="1:56" x14ac:dyDescent="0.25">
      <c r="A1106" s="112"/>
      <c r="B1106" s="113"/>
      <c r="C1106" s="113"/>
      <c r="D1106" s="114"/>
      <c r="E1106" s="115" t="s">
        <v>27</v>
      </c>
      <c r="F1106" s="116"/>
      <c r="G1106" s="116"/>
      <c r="H1106" s="117"/>
      <c r="I1106" s="118" t="s">
        <v>28</v>
      </c>
      <c r="J1106" s="119"/>
      <c r="K1106" s="119"/>
      <c r="L1106" s="120"/>
      <c r="M1106" s="121" t="s">
        <v>7</v>
      </c>
      <c r="N1106" s="122"/>
      <c r="O1106" s="122"/>
      <c r="P1106" s="122"/>
      <c r="Q1106" s="124" t="s">
        <v>29</v>
      </c>
      <c r="R1106" s="125"/>
      <c r="S1106" s="125"/>
      <c r="T1106" s="126"/>
      <c r="U1106" s="128" t="s">
        <v>8</v>
      </c>
      <c r="V1106" s="128"/>
      <c r="W1106" s="128"/>
      <c r="X1106" s="129"/>
      <c r="Y1106" s="130" t="s">
        <v>0</v>
      </c>
      <c r="Z1106" s="131"/>
      <c r="AA1106" s="131"/>
      <c r="AB1106" s="132"/>
      <c r="AC1106" s="133" t="s">
        <v>34</v>
      </c>
      <c r="AD1106" s="134"/>
      <c r="AE1106" s="134"/>
      <c r="AF1106" s="135"/>
      <c r="AG1106" s="115" t="s">
        <v>9</v>
      </c>
      <c r="AH1106" s="116"/>
      <c r="AI1106" s="116"/>
      <c r="AJ1106" s="117"/>
      <c r="AK1106" s="136" t="s">
        <v>35</v>
      </c>
      <c r="AL1106" s="137"/>
      <c r="AM1106" s="137"/>
      <c r="AN1106" s="138"/>
      <c r="AO1106" s="139" t="s">
        <v>10</v>
      </c>
      <c r="AP1106" s="140"/>
      <c r="AQ1106" s="140"/>
      <c r="AR1106" s="141"/>
      <c r="AS1106" s="124" t="s">
        <v>36</v>
      </c>
      <c r="AT1106" s="125"/>
      <c r="AU1106" s="125"/>
      <c r="AV1106" s="126"/>
      <c r="AW1106" s="142" t="s">
        <v>11</v>
      </c>
      <c r="AX1106" s="143"/>
      <c r="AY1106" s="143"/>
      <c r="AZ1106" s="144"/>
      <c r="BA1106" s="148" t="s">
        <v>17</v>
      </c>
      <c r="BB1106" s="149"/>
      <c r="BC1106" s="149"/>
      <c r="BD1106" s="150"/>
    </row>
    <row r="1107" spans="1:56" ht="15.75" thickBot="1" x14ac:dyDescent="0.3">
      <c r="A1107" s="41" t="s">
        <v>13</v>
      </c>
      <c r="B1107" s="42" t="s">
        <v>15</v>
      </c>
      <c r="C1107" s="42" t="s">
        <v>32</v>
      </c>
      <c r="D1107" s="43" t="s">
        <v>18</v>
      </c>
      <c r="E1107" s="30" t="s">
        <v>30</v>
      </c>
      <c r="F1107" s="31" t="s">
        <v>61</v>
      </c>
      <c r="G1107" s="31" t="s">
        <v>38</v>
      </c>
      <c r="H1107" s="32" t="s">
        <v>62</v>
      </c>
      <c r="I1107" s="37" t="s">
        <v>31</v>
      </c>
      <c r="J1107" s="38" t="s">
        <v>39</v>
      </c>
      <c r="K1107" s="38" t="s">
        <v>40</v>
      </c>
      <c r="L1107" s="39" t="s">
        <v>63</v>
      </c>
      <c r="M1107" s="40" t="s">
        <v>19</v>
      </c>
      <c r="N1107" s="7" t="s">
        <v>41</v>
      </c>
      <c r="O1107" s="7" t="s">
        <v>37</v>
      </c>
      <c r="P1107" s="7" t="s">
        <v>64</v>
      </c>
      <c r="Q1107" s="27" t="s">
        <v>20</v>
      </c>
      <c r="R1107" s="28" t="s">
        <v>60</v>
      </c>
      <c r="S1107" s="28" t="s">
        <v>59</v>
      </c>
      <c r="T1107" s="29" t="s">
        <v>65</v>
      </c>
      <c r="U1107" s="48" t="s">
        <v>21</v>
      </c>
      <c r="V1107" s="48" t="s">
        <v>42</v>
      </c>
      <c r="W1107" s="48" t="s">
        <v>43</v>
      </c>
      <c r="X1107" s="49" t="s">
        <v>66</v>
      </c>
      <c r="Y1107" s="50" t="s">
        <v>22</v>
      </c>
      <c r="Z1107" s="51" t="s">
        <v>44</v>
      </c>
      <c r="AA1107" s="51" t="s">
        <v>45</v>
      </c>
      <c r="AB1107" s="52" t="s">
        <v>67</v>
      </c>
      <c r="AC1107" s="45" t="s">
        <v>23</v>
      </c>
      <c r="AD1107" s="46" t="s">
        <v>46</v>
      </c>
      <c r="AE1107" s="46" t="s">
        <v>47</v>
      </c>
      <c r="AF1107" s="47" t="s">
        <v>68</v>
      </c>
      <c r="AG1107" s="30" t="s">
        <v>24</v>
      </c>
      <c r="AH1107" s="31" t="s">
        <v>48</v>
      </c>
      <c r="AI1107" s="31" t="s">
        <v>49</v>
      </c>
      <c r="AJ1107" s="32" t="s">
        <v>69</v>
      </c>
      <c r="AK1107" s="53" t="s">
        <v>25</v>
      </c>
      <c r="AL1107" s="54" t="s">
        <v>50</v>
      </c>
      <c r="AM1107" s="54" t="s">
        <v>51</v>
      </c>
      <c r="AN1107" s="55" t="s">
        <v>70</v>
      </c>
      <c r="AO1107" s="56" t="s">
        <v>26</v>
      </c>
      <c r="AP1107" s="57" t="s">
        <v>52</v>
      </c>
      <c r="AQ1107" s="57" t="s">
        <v>53</v>
      </c>
      <c r="AR1107" s="58" t="s">
        <v>71</v>
      </c>
      <c r="AS1107" s="59" t="s">
        <v>55</v>
      </c>
      <c r="AT1107" s="60" t="s">
        <v>54</v>
      </c>
      <c r="AU1107" s="60" t="s">
        <v>56</v>
      </c>
      <c r="AV1107" s="61" t="s">
        <v>76</v>
      </c>
      <c r="AW1107" s="62" t="s">
        <v>72</v>
      </c>
      <c r="AX1107" s="63" t="s">
        <v>73</v>
      </c>
      <c r="AY1107" s="63" t="s">
        <v>74</v>
      </c>
      <c r="AZ1107" s="64" t="s">
        <v>75</v>
      </c>
      <c r="BA1107" s="71" t="s">
        <v>77</v>
      </c>
      <c r="BB1107" s="72" t="s">
        <v>57</v>
      </c>
      <c r="BC1107" s="72" t="s">
        <v>58</v>
      </c>
      <c r="BD1107" s="73" t="s">
        <v>78</v>
      </c>
    </row>
    <row r="1108" spans="1:56" x14ac:dyDescent="0.25">
      <c r="A1108" s="17" t="s">
        <v>1</v>
      </c>
      <c r="B1108" s="14">
        <v>47530</v>
      </c>
      <c r="C1108" s="34">
        <f>B1108/F1105</f>
        <v>53.524774774774777</v>
      </c>
      <c r="D1108" s="14">
        <v>1525</v>
      </c>
      <c r="E1108" s="67">
        <v>0</v>
      </c>
      <c r="F1108" s="69">
        <v>0</v>
      </c>
      <c r="G1108" s="34" t="e">
        <f t="shared" ref="G1108:G1114" si="2392">E1108/F1108</f>
        <v>#DIV/0!</v>
      </c>
      <c r="H1108" s="10" t="e">
        <f t="shared" ref="H1108:H1114" si="2393">G1108/C1108</f>
        <v>#DIV/0!</v>
      </c>
      <c r="I1108" s="34">
        <v>0</v>
      </c>
      <c r="J1108" s="69">
        <v>0</v>
      </c>
      <c r="K1108" s="34" t="e">
        <f t="shared" ref="K1108:K1114" si="2394">I1108/J1108</f>
        <v>#DIV/0!</v>
      </c>
      <c r="L1108" s="9" t="e">
        <f t="shared" ref="L1108:L1114" si="2395">K1108/C1108</f>
        <v>#DIV/0!</v>
      </c>
      <c r="M1108" s="67">
        <v>0</v>
      </c>
      <c r="N1108" s="26">
        <v>0</v>
      </c>
      <c r="O1108" s="34" t="e">
        <f t="shared" ref="O1108:O1114" si="2396">M1108/N1108</f>
        <v>#DIV/0!</v>
      </c>
      <c r="P1108" s="10" t="e">
        <f t="shared" ref="P1108:P1114" si="2397">O1108/C1108</f>
        <v>#DIV/0!</v>
      </c>
      <c r="Q1108" s="35">
        <v>0</v>
      </c>
      <c r="R1108" s="66">
        <v>0</v>
      </c>
      <c r="S1108" s="35" t="e">
        <f t="shared" ref="S1108:S1114" si="2398">Q1108/R1108</f>
        <v>#DIV/0!</v>
      </c>
      <c r="T1108" s="6" t="e">
        <f t="shared" ref="T1108:T1114" si="2399">S1108/C1108</f>
        <v>#DIV/0!</v>
      </c>
      <c r="U1108" s="67">
        <v>0</v>
      </c>
      <c r="V1108" s="65">
        <v>0</v>
      </c>
      <c r="W1108" s="34" t="e">
        <f t="shared" ref="W1108:W1114" si="2400">U1108/V1108</f>
        <v>#DIV/0!</v>
      </c>
      <c r="X1108" s="9" t="e">
        <f t="shared" ref="X1108:X1114" si="2401">W1108/C1108</f>
        <v>#DIV/0!</v>
      </c>
      <c r="Y1108" s="67">
        <v>0</v>
      </c>
      <c r="Z1108" s="69">
        <v>0</v>
      </c>
      <c r="AA1108" s="34" t="e">
        <f t="shared" ref="AA1108:AA1114" si="2402">Y1108/Z1108</f>
        <v>#DIV/0!</v>
      </c>
      <c r="AB1108" s="10" t="e">
        <f t="shared" ref="AB1108:AB1114" si="2403">AA1108/C1108</f>
        <v>#DIV/0!</v>
      </c>
      <c r="AC1108" s="34">
        <v>0</v>
      </c>
      <c r="AD1108" s="33">
        <v>0</v>
      </c>
      <c r="AE1108" s="34" t="e">
        <f t="shared" ref="AE1108:AE1114" si="2404">AC1108/AD1108</f>
        <v>#DIV/0!</v>
      </c>
      <c r="AF1108" s="9" t="e">
        <f t="shared" ref="AF1108:AF1114" si="2405">AE1108/C1108</f>
        <v>#DIV/0!</v>
      </c>
      <c r="AG1108" s="67">
        <v>0</v>
      </c>
      <c r="AH1108" s="65">
        <v>0</v>
      </c>
      <c r="AI1108" s="34" t="e">
        <f t="shared" ref="AI1108:AI1114" si="2406">AG1108/AH1108</f>
        <v>#DIV/0!</v>
      </c>
      <c r="AJ1108" s="9" t="e">
        <f t="shared" ref="AJ1108:AJ1114" si="2407">AI1108/C1108</f>
        <v>#DIV/0!</v>
      </c>
      <c r="AK1108" s="67">
        <v>1590</v>
      </c>
      <c r="AL1108" s="65">
        <v>100</v>
      </c>
      <c r="AM1108" s="34">
        <f t="shared" ref="AM1108:AM1114" si="2408">AK1108/AL1108</f>
        <v>15.9</v>
      </c>
      <c r="AN1108" s="9">
        <f t="shared" ref="AN1108:AN1114" si="2409">AM1108/C1108</f>
        <v>0.29705869976856719</v>
      </c>
      <c r="AO1108" s="67">
        <v>0</v>
      </c>
      <c r="AP1108" s="65">
        <v>0</v>
      </c>
      <c r="AQ1108" s="34" t="e">
        <f t="shared" ref="AQ1108:AQ1114" si="2410">AO1108/AP1108</f>
        <v>#DIV/0!</v>
      </c>
      <c r="AR1108" s="9" t="e">
        <f t="shared" ref="AR1108:AR1114" si="2411">AQ1108/C1108</f>
        <v>#DIV/0!</v>
      </c>
      <c r="AS1108" s="67">
        <v>0</v>
      </c>
      <c r="AT1108" s="65">
        <v>0</v>
      </c>
      <c r="AU1108" s="34" t="e">
        <f t="shared" ref="AU1108:AU1114" si="2412">AS1108/AT1108</f>
        <v>#DIV/0!</v>
      </c>
      <c r="AV1108" s="9" t="e">
        <f t="shared" ref="AV1108:AV1114" si="2413">AU1108/C1108</f>
        <v>#DIV/0!</v>
      </c>
      <c r="AW1108" s="67">
        <v>0</v>
      </c>
      <c r="AX1108" s="65">
        <v>0</v>
      </c>
      <c r="AY1108" s="34" t="e">
        <f t="shared" ref="AY1108:AY1114" si="2414">AW1108/AX1108</f>
        <v>#DIV/0!</v>
      </c>
      <c r="AZ1108" s="9" t="e">
        <f t="shared" ref="AZ1108:AZ1114" si="2415">AY1108/C1108</f>
        <v>#DIV/0!</v>
      </c>
      <c r="BA1108" s="67">
        <v>0</v>
      </c>
      <c r="BB1108" s="65">
        <v>0</v>
      </c>
      <c r="BC1108" s="34" t="e">
        <f t="shared" ref="BC1108:BC1114" si="2416">BA1108/BB1108</f>
        <v>#DIV/0!</v>
      </c>
      <c r="BD1108" s="10" t="e">
        <f t="shared" ref="BD1108:BD1114" si="2417">BC1108/C1108</f>
        <v>#DIV/0!</v>
      </c>
    </row>
    <row r="1109" spans="1:56" x14ac:dyDescent="0.25">
      <c r="A1109" s="19" t="s">
        <v>16</v>
      </c>
      <c r="B1109" s="8">
        <v>55920</v>
      </c>
      <c r="C1109" s="35">
        <f>B1109/F1105</f>
        <v>62.972972972972975</v>
      </c>
      <c r="D1109" s="8">
        <v>1525</v>
      </c>
      <c r="E1109" s="68">
        <v>0</v>
      </c>
      <c r="F1109" s="70">
        <v>0</v>
      </c>
      <c r="G1109" s="35" t="e">
        <f t="shared" si="2392"/>
        <v>#DIV/0!</v>
      </c>
      <c r="H1109" s="11" t="e">
        <f t="shared" si="2393"/>
        <v>#DIV/0!</v>
      </c>
      <c r="I1109" s="35">
        <v>0</v>
      </c>
      <c r="J1109" s="70">
        <v>0</v>
      </c>
      <c r="K1109" s="35" t="e">
        <f t="shared" si="2394"/>
        <v>#DIV/0!</v>
      </c>
      <c r="L1109" s="6" t="e">
        <f t="shared" si="2395"/>
        <v>#DIV/0!</v>
      </c>
      <c r="M1109" s="68">
        <v>0</v>
      </c>
      <c r="N1109" s="5">
        <v>0</v>
      </c>
      <c r="O1109" s="35" t="e">
        <f t="shared" si="2396"/>
        <v>#DIV/0!</v>
      </c>
      <c r="P1109" s="11" t="e">
        <f t="shared" si="2397"/>
        <v>#DIV/0!</v>
      </c>
      <c r="Q1109" s="35">
        <v>0</v>
      </c>
      <c r="R1109" s="66">
        <v>0</v>
      </c>
      <c r="S1109" s="35" t="e">
        <f t="shared" si="2398"/>
        <v>#DIV/0!</v>
      </c>
      <c r="T1109" s="6" t="e">
        <f t="shared" si="2399"/>
        <v>#DIV/0!</v>
      </c>
      <c r="U1109" s="68">
        <v>0</v>
      </c>
      <c r="V1109" s="66">
        <v>0</v>
      </c>
      <c r="W1109" s="35" t="e">
        <f t="shared" si="2400"/>
        <v>#DIV/0!</v>
      </c>
      <c r="X1109" s="6" t="e">
        <f t="shared" si="2401"/>
        <v>#DIV/0!</v>
      </c>
      <c r="Y1109" s="68">
        <v>0</v>
      </c>
      <c r="Z1109" s="70">
        <v>0</v>
      </c>
      <c r="AA1109" s="35" t="e">
        <f t="shared" si="2402"/>
        <v>#DIV/0!</v>
      </c>
      <c r="AB1109" s="11" t="e">
        <f t="shared" si="2403"/>
        <v>#DIV/0!</v>
      </c>
      <c r="AC1109" s="35">
        <v>0</v>
      </c>
      <c r="AD1109" s="36">
        <v>0</v>
      </c>
      <c r="AE1109" s="35" t="e">
        <f t="shared" si="2404"/>
        <v>#DIV/0!</v>
      </c>
      <c r="AF1109" s="6" t="e">
        <f t="shared" si="2405"/>
        <v>#DIV/0!</v>
      </c>
      <c r="AG1109" s="68">
        <v>0</v>
      </c>
      <c r="AH1109" s="66">
        <v>0</v>
      </c>
      <c r="AI1109" s="35" t="e">
        <f t="shared" si="2406"/>
        <v>#DIV/0!</v>
      </c>
      <c r="AJ1109" s="6" t="e">
        <f t="shared" si="2407"/>
        <v>#DIV/0!</v>
      </c>
      <c r="AK1109" s="68">
        <v>2260</v>
      </c>
      <c r="AL1109" s="66">
        <v>100</v>
      </c>
      <c r="AM1109" s="35">
        <f t="shared" si="2408"/>
        <v>22.6</v>
      </c>
      <c r="AN1109" s="6">
        <f t="shared" si="2409"/>
        <v>0.35888412017167381</v>
      </c>
      <c r="AO1109" s="68">
        <v>0</v>
      </c>
      <c r="AP1109" s="66">
        <v>0</v>
      </c>
      <c r="AQ1109" s="35" t="e">
        <f t="shared" si="2410"/>
        <v>#DIV/0!</v>
      </c>
      <c r="AR1109" s="6" t="e">
        <f t="shared" si="2411"/>
        <v>#DIV/0!</v>
      </c>
      <c r="AS1109" s="68">
        <v>0</v>
      </c>
      <c r="AT1109" s="66">
        <v>0</v>
      </c>
      <c r="AU1109" s="35" t="e">
        <f t="shared" si="2412"/>
        <v>#DIV/0!</v>
      </c>
      <c r="AV1109" s="6" t="e">
        <f t="shared" si="2413"/>
        <v>#DIV/0!</v>
      </c>
      <c r="AW1109" s="68">
        <v>0</v>
      </c>
      <c r="AX1109" s="66">
        <v>0</v>
      </c>
      <c r="AY1109" s="35" t="e">
        <f t="shared" si="2414"/>
        <v>#DIV/0!</v>
      </c>
      <c r="AZ1109" s="6" t="e">
        <f t="shared" si="2415"/>
        <v>#DIV/0!</v>
      </c>
      <c r="BA1109" s="68">
        <v>0</v>
      </c>
      <c r="BB1109" s="66">
        <v>0</v>
      </c>
      <c r="BC1109" s="35" t="e">
        <f t="shared" si="2416"/>
        <v>#DIV/0!</v>
      </c>
      <c r="BD1109" s="11" t="e">
        <f t="shared" si="2417"/>
        <v>#DIV/0!</v>
      </c>
    </row>
    <row r="1110" spans="1:56" x14ac:dyDescent="0.25">
      <c r="A1110" s="19" t="s">
        <v>2</v>
      </c>
      <c r="B1110" s="8">
        <v>65500</v>
      </c>
      <c r="C1110" s="35">
        <f>B1110/F1105</f>
        <v>73.761261261261268</v>
      </c>
      <c r="D1110" s="8">
        <v>2100</v>
      </c>
      <c r="E1110" s="68">
        <v>0</v>
      </c>
      <c r="F1110" s="70">
        <v>0</v>
      </c>
      <c r="G1110" s="35" t="e">
        <f t="shared" si="2392"/>
        <v>#DIV/0!</v>
      </c>
      <c r="H1110" s="11" t="e">
        <f t="shared" si="2393"/>
        <v>#DIV/0!</v>
      </c>
      <c r="I1110" s="35">
        <v>0</v>
      </c>
      <c r="J1110" s="70">
        <v>0</v>
      </c>
      <c r="K1110" s="35" t="e">
        <f t="shared" si="2394"/>
        <v>#DIV/0!</v>
      </c>
      <c r="L1110" s="6" t="e">
        <f t="shared" si="2395"/>
        <v>#DIV/0!</v>
      </c>
      <c r="M1110" s="68">
        <v>0</v>
      </c>
      <c r="N1110" s="5">
        <v>0</v>
      </c>
      <c r="O1110" s="35" t="e">
        <f t="shared" si="2396"/>
        <v>#DIV/0!</v>
      </c>
      <c r="P1110" s="11" t="e">
        <f t="shared" si="2397"/>
        <v>#DIV/0!</v>
      </c>
      <c r="Q1110" s="35">
        <v>0</v>
      </c>
      <c r="R1110" s="66">
        <v>0</v>
      </c>
      <c r="S1110" s="35" t="e">
        <f t="shared" si="2398"/>
        <v>#DIV/0!</v>
      </c>
      <c r="T1110" s="6" t="e">
        <f t="shared" si="2399"/>
        <v>#DIV/0!</v>
      </c>
      <c r="U1110" s="68">
        <v>0</v>
      </c>
      <c r="V1110" s="66">
        <v>0</v>
      </c>
      <c r="W1110" s="35" t="e">
        <f t="shared" si="2400"/>
        <v>#DIV/0!</v>
      </c>
      <c r="X1110" s="6" t="e">
        <f t="shared" si="2401"/>
        <v>#DIV/0!</v>
      </c>
      <c r="Y1110" s="68">
        <v>0</v>
      </c>
      <c r="Z1110" s="70">
        <v>0</v>
      </c>
      <c r="AA1110" s="35" t="e">
        <f t="shared" si="2402"/>
        <v>#DIV/0!</v>
      </c>
      <c r="AB1110" s="11" t="e">
        <f t="shared" si="2403"/>
        <v>#DIV/0!</v>
      </c>
      <c r="AC1110" s="35">
        <v>0</v>
      </c>
      <c r="AD1110" s="36">
        <v>0</v>
      </c>
      <c r="AE1110" s="35" t="e">
        <f t="shared" si="2404"/>
        <v>#DIV/0!</v>
      </c>
      <c r="AF1110" s="6" t="e">
        <f t="shared" si="2405"/>
        <v>#DIV/0!</v>
      </c>
      <c r="AG1110" s="68">
        <v>0</v>
      </c>
      <c r="AH1110" s="66">
        <v>0</v>
      </c>
      <c r="AI1110" s="35" t="e">
        <f t="shared" si="2406"/>
        <v>#DIV/0!</v>
      </c>
      <c r="AJ1110" s="6" t="e">
        <f t="shared" si="2407"/>
        <v>#DIV/0!</v>
      </c>
      <c r="AK1110" s="68">
        <v>2500</v>
      </c>
      <c r="AL1110" s="66">
        <v>100</v>
      </c>
      <c r="AM1110" s="35">
        <f t="shared" si="2408"/>
        <v>25</v>
      </c>
      <c r="AN1110" s="6">
        <f t="shared" si="2409"/>
        <v>0.33893129770992364</v>
      </c>
      <c r="AO1110" s="68">
        <v>0</v>
      </c>
      <c r="AP1110" s="66">
        <v>0</v>
      </c>
      <c r="AQ1110" s="35" t="e">
        <f t="shared" si="2410"/>
        <v>#DIV/0!</v>
      </c>
      <c r="AR1110" s="6" t="e">
        <f t="shared" si="2411"/>
        <v>#DIV/0!</v>
      </c>
      <c r="AS1110" s="68">
        <v>0</v>
      </c>
      <c r="AT1110" s="66">
        <v>0</v>
      </c>
      <c r="AU1110" s="35" t="e">
        <f t="shared" si="2412"/>
        <v>#DIV/0!</v>
      </c>
      <c r="AV1110" s="6" t="e">
        <f t="shared" si="2413"/>
        <v>#DIV/0!</v>
      </c>
      <c r="AW1110" s="68">
        <v>0</v>
      </c>
      <c r="AX1110" s="66">
        <v>0</v>
      </c>
      <c r="AY1110" s="35" t="e">
        <f t="shared" si="2414"/>
        <v>#DIV/0!</v>
      </c>
      <c r="AZ1110" s="6" t="e">
        <f t="shared" si="2415"/>
        <v>#DIV/0!</v>
      </c>
      <c r="BA1110" s="68">
        <v>0</v>
      </c>
      <c r="BB1110" s="66">
        <v>0</v>
      </c>
      <c r="BC1110" s="35" t="e">
        <f t="shared" si="2416"/>
        <v>#DIV/0!</v>
      </c>
      <c r="BD1110" s="11" t="e">
        <f t="shared" si="2417"/>
        <v>#DIV/0!</v>
      </c>
    </row>
    <row r="1111" spans="1:56" x14ac:dyDescent="0.25">
      <c r="A1111" s="19" t="s">
        <v>3</v>
      </c>
      <c r="B1111" s="8">
        <v>78590</v>
      </c>
      <c r="C1111" s="35">
        <f>B1111/F1105</f>
        <v>88.502252252252248</v>
      </c>
      <c r="D1111" s="8">
        <v>2700</v>
      </c>
      <c r="E1111" s="68">
        <v>0</v>
      </c>
      <c r="F1111" s="70">
        <v>0</v>
      </c>
      <c r="G1111" s="35" t="e">
        <f t="shared" si="2392"/>
        <v>#DIV/0!</v>
      </c>
      <c r="H1111" s="11" t="e">
        <f t="shared" si="2393"/>
        <v>#DIV/0!</v>
      </c>
      <c r="I1111" s="35">
        <v>0</v>
      </c>
      <c r="J1111" s="70">
        <v>0</v>
      </c>
      <c r="K1111" s="35" t="e">
        <f t="shared" si="2394"/>
        <v>#DIV/0!</v>
      </c>
      <c r="L1111" s="6" t="e">
        <f t="shared" si="2395"/>
        <v>#DIV/0!</v>
      </c>
      <c r="M1111" s="68">
        <v>0</v>
      </c>
      <c r="N1111" s="5">
        <v>0</v>
      </c>
      <c r="O1111" s="35" t="e">
        <f t="shared" si="2396"/>
        <v>#DIV/0!</v>
      </c>
      <c r="P1111" s="11" t="e">
        <f t="shared" si="2397"/>
        <v>#DIV/0!</v>
      </c>
      <c r="Q1111" s="35">
        <v>0</v>
      </c>
      <c r="R1111" s="66">
        <v>0</v>
      </c>
      <c r="S1111" s="35" t="e">
        <f t="shared" si="2398"/>
        <v>#DIV/0!</v>
      </c>
      <c r="T1111" s="6" t="e">
        <f t="shared" si="2399"/>
        <v>#DIV/0!</v>
      </c>
      <c r="U1111" s="68">
        <v>0</v>
      </c>
      <c r="V1111" s="66">
        <v>0</v>
      </c>
      <c r="W1111" s="35" t="e">
        <f t="shared" si="2400"/>
        <v>#DIV/0!</v>
      </c>
      <c r="X1111" s="6" t="e">
        <f t="shared" si="2401"/>
        <v>#DIV/0!</v>
      </c>
      <c r="Y1111" s="68">
        <v>0</v>
      </c>
      <c r="Z1111" s="70">
        <v>0</v>
      </c>
      <c r="AA1111" s="35" t="e">
        <f t="shared" si="2402"/>
        <v>#DIV/0!</v>
      </c>
      <c r="AB1111" s="11" t="e">
        <f t="shared" si="2403"/>
        <v>#DIV/0!</v>
      </c>
      <c r="AC1111" s="35">
        <v>0</v>
      </c>
      <c r="AD1111" s="36">
        <v>0</v>
      </c>
      <c r="AE1111" s="35" t="e">
        <f t="shared" si="2404"/>
        <v>#DIV/0!</v>
      </c>
      <c r="AF1111" s="6" t="e">
        <f t="shared" si="2405"/>
        <v>#DIV/0!</v>
      </c>
      <c r="AG1111" s="68">
        <v>0</v>
      </c>
      <c r="AH1111" s="66">
        <v>0</v>
      </c>
      <c r="AI1111" s="35" t="e">
        <f t="shared" si="2406"/>
        <v>#DIV/0!</v>
      </c>
      <c r="AJ1111" s="6" t="e">
        <f t="shared" si="2407"/>
        <v>#DIV/0!</v>
      </c>
      <c r="AK1111" s="68">
        <v>2960</v>
      </c>
      <c r="AL1111" s="66">
        <v>100</v>
      </c>
      <c r="AM1111" s="35">
        <f t="shared" si="2408"/>
        <v>29.6</v>
      </c>
      <c r="AN1111" s="6">
        <f t="shared" si="2409"/>
        <v>0.33445476523730761</v>
      </c>
      <c r="AO1111" s="68">
        <v>0</v>
      </c>
      <c r="AP1111" s="66">
        <v>0</v>
      </c>
      <c r="AQ1111" s="35" t="e">
        <f t="shared" si="2410"/>
        <v>#DIV/0!</v>
      </c>
      <c r="AR1111" s="6" t="e">
        <f t="shared" si="2411"/>
        <v>#DIV/0!</v>
      </c>
      <c r="AS1111" s="68">
        <v>0</v>
      </c>
      <c r="AT1111" s="66">
        <v>0</v>
      </c>
      <c r="AU1111" s="35" t="e">
        <f t="shared" si="2412"/>
        <v>#DIV/0!</v>
      </c>
      <c r="AV1111" s="6" t="e">
        <f t="shared" si="2413"/>
        <v>#DIV/0!</v>
      </c>
      <c r="AW1111" s="68">
        <v>0</v>
      </c>
      <c r="AX1111" s="66">
        <v>0</v>
      </c>
      <c r="AY1111" s="35" t="e">
        <f t="shared" si="2414"/>
        <v>#DIV/0!</v>
      </c>
      <c r="AZ1111" s="6" t="e">
        <f t="shared" si="2415"/>
        <v>#DIV/0!</v>
      </c>
      <c r="BA1111" s="68">
        <v>0</v>
      </c>
      <c r="BB1111" s="66">
        <v>0</v>
      </c>
      <c r="BC1111" s="35" t="e">
        <f t="shared" si="2416"/>
        <v>#DIV/0!</v>
      </c>
      <c r="BD1111" s="11" t="e">
        <f t="shared" si="2417"/>
        <v>#DIV/0!</v>
      </c>
    </row>
    <row r="1112" spans="1:56" x14ac:dyDescent="0.25">
      <c r="A1112" s="19" t="s">
        <v>4</v>
      </c>
      <c r="B1112" s="8">
        <v>98260</v>
      </c>
      <c r="C1112" s="35">
        <f>B1112/F1105</f>
        <v>110.65315315315316</v>
      </c>
      <c r="D1112" s="8">
        <v>5250</v>
      </c>
      <c r="E1112" s="68">
        <v>0</v>
      </c>
      <c r="F1112" s="70">
        <v>0</v>
      </c>
      <c r="G1112" s="35" t="e">
        <f t="shared" si="2392"/>
        <v>#DIV/0!</v>
      </c>
      <c r="H1112" s="11" t="e">
        <f t="shared" si="2393"/>
        <v>#DIV/0!</v>
      </c>
      <c r="I1112" s="35">
        <v>0</v>
      </c>
      <c r="J1112" s="70">
        <v>0</v>
      </c>
      <c r="K1112" s="35" t="e">
        <f t="shared" si="2394"/>
        <v>#DIV/0!</v>
      </c>
      <c r="L1112" s="6" t="e">
        <f t="shared" si="2395"/>
        <v>#DIV/0!</v>
      </c>
      <c r="M1112" s="68">
        <v>0</v>
      </c>
      <c r="N1112" s="5">
        <v>0</v>
      </c>
      <c r="O1112" s="35" t="e">
        <f t="shared" si="2396"/>
        <v>#DIV/0!</v>
      </c>
      <c r="P1112" s="11" t="e">
        <f t="shared" si="2397"/>
        <v>#DIV/0!</v>
      </c>
      <c r="Q1112" s="35">
        <v>0</v>
      </c>
      <c r="R1112" s="66">
        <v>0</v>
      </c>
      <c r="S1112" s="35" t="e">
        <f t="shared" si="2398"/>
        <v>#DIV/0!</v>
      </c>
      <c r="T1112" s="6" t="e">
        <f t="shared" si="2399"/>
        <v>#DIV/0!</v>
      </c>
      <c r="U1112" s="68">
        <v>0</v>
      </c>
      <c r="V1112" s="66">
        <v>0</v>
      </c>
      <c r="W1112" s="35" t="e">
        <f t="shared" si="2400"/>
        <v>#DIV/0!</v>
      </c>
      <c r="X1112" s="6" t="e">
        <f t="shared" si="2401"/>
        <v>#DIV/0!</v>
      </c>
      <c r="Y1112" s="68">
        <v>0</v>
      </c>
      <c r="Z1112" s="70">
        <v>0</v>
      </c>
      <c r="AA1112" s="35" t="e">
        <f t="shared" si="2402"/>
        <v>#DIV/0!</v>
      </c>
      <c r="AB1112" s="11" t="e">
        <f t="shared" si="2403"/>
        <v>#DIV/0!</v>
      </c>
      <c r="AC1112" s="35">
        <v>0</v>
      </c>
      <c r="AD1112" s="36">
        <v>0</v>
      </c>
      <c r="AE1112" s="35" t="e">
        <f t="shared" si="2404"/>
        <v>#DIV/0!</v>
      </c>
      <c r="AF1112" s="6" t="e">
        <f t="shared" si="2405"/>
        <v>#DIV/0!</v>
      </c>
      <c r="AG1112" s="68">
        <v>0</v>
      </c>
      <c r="AH1112" s="66">
        <v>0</v>
      </c>
      <c r="AI1112" s="35" t="e">
        <f t="shared" si="2406"/>
        <v>#DIV/0!</v>
      </c>
      <c r="AJ1112" s="6" t="e">
        <f t="shared" si="2407"/>
        <v>#DIV/0!</v>
      </c>
      <c r="AK1112" s="68">
        <v>3510</v>
      </c>
      <c r="AL1112" s="66">
        <v>100</v>
      </c>
      <c r="AM1112" s="35">
        <f t="shared" si="2408"/>
        <v>35.1</v>
      </c>
      <c r="AN1112" s="6">
        <f t="shared" si="2409"/>
        <v>0.31720740891512317</v>
      </c>
      <c r="AO1112" s="68">
        <v>0</v>
      </c>
      <c r="AP1112" s="66">
        <v>0</v>
      </c>
      <c r="AQ1112" s="35" t="e">
        <f t="shared" si="2410"/>
        <v>#DIV/0!</v>
      </c>
      <c r="AR1112" s="6" t="e">
        <f t="shared" si="2411"/>
        <v>#DIV/0!</v>
      </c>
      <c r="AS1112" s="68">
        <v>0</v>
      </c>
      <c r="AT1112" s="66">
        <v>0</v>
      </c>
      <c r="AU1112" s="35" t="e">
        <f t="shared" si="2412"/>
        <v>#DIV/0!</v>
      </c>
      <c r="AV1112" s="6" t="e">
        <f t="shared" si="2413"/>
        <v>#DIV/0!</v>
      </c>
      <c r="AW1112" s="68">
        <v>0</v>
      </c>
      <c r="AX1112" s="66">
        <v>0</v>
      </c>
      <c r="AY1112" s="35" t="e">
        <f t="shared" si="2414"/>
        <v>#DIV/0!</v>
      </c>
      <c r="AZ1112" s="6" t="e">
        <f t="shared" si="2415"/>
        <v>#DIV/0!</v>
      </c>
      <c r="BA1112" s="68">
        <v>0</v>
      </c>
      <c r="BB1112" s="66">
        <v>0</v>
      </c>
      <c r="BC1112" s="35" t="e">
        <f t="shared" si="2416"/>
        <v>#DIV/0!</v>
      </c>
      <c r="BD1112" s="11" t="e">
        <f t="shared" si="2417"/>
        <v>#DIV/0!</v>
      </c>
    </row>
    <row r="1113" spans="1:56" x14ac:dyDescent="0.25">
      <c r="A1113" s="19" t="s">
        <v>5</v>
      </c>
      <c r="B1113" s="8">
        <v>127030</v>
      </c>
      <c r="C1113" s="35">
        <f>B1113/F1105</f>
        <v>143.05180180180182</v>
      </c>
      <c r="D1113" s="8">
        <v>7050</v>
      </c>
      <c r="E1113" s="68">
        <v>0</v>
      </c>
      <c r="F1113" s="70">
        <v>0</v>
      </c>
      <c r="G1113" s="35" t="e">
        <f t="shared" si="2392"/>
        <v>#DIV/0!</v>
      </c>
      <c r="H1113" s="11" t="e">
        <f t="shared" si="2393"/>
        <v>#DIV/0!</v>
      </c>
      <c r="I1113" s="35">
        <v>0</v>
      </c>
      <c r="J1113" s="70">
        <v>0</v>
      </c>
      <c r="K1113" s="35" t="e">
        <f t="shared" si="2394"/>
        <v>#DIV/0!</v>
      </c>
      <c r="L1113" s="6" t="e">
        <f t="shared" si="2395"/>
        <v>#DIV/0!</v>
      </c>
      <c r="M1113" s="68">
        <v>0</v>
      </c>
      <c r="N1113" s="5">
        <v>0</v>
      </c>
      <c r="O1113" s="35" t="e">
        <f t="shared" si="2396"/>
        <v>#DIV/0!</v>
      </c>
      <c r="P1113" s="11" t="e">
        <f t="shared" si="2397"/>
        <v>#DIV/0!</v>
      </c>
      <c r="Q1113" s="35">
        <v>0</v>
      </c>
      <c r="R1113" s="66">
        <v>0</v>
      </c>
      <c r="S1113" s="35" t="e">
        <f t="shared" si="2398"/>
        <v>#DIV/0!</v>
      </c>
      <c r="T1113" s="6" t="e">
        <f t="shared" si="2399"/>
        <v>#DIV/0!</v>
      </c>
      <c r="U1113" s="68">
        <v>0</v>
      </c>
      <c r="V1113" s="66">
        <v>0</v>
      </c>
      <c r="W1113" s="35" t="e">
        <f t="shared" si="2400"/>
        <v>#DIV/0!</v>
      </c>
      <c r="X1113" s="6" t="e">
        <f t="shared" si="2401"/>
        <v>#DIV/0!</v>
      </c>
      <c r="Y1113" s="68">
        <v>0</v>
      </c>
      <c r="Z1113" s="70">
        <v>0</v>
      </c>
      <c r="AA1113" s="35" t="e">
        <f t="shared" si="2402"/>
        <v>#DIV/0!</v>
      </c>
      <c r="AB1113" s="11" t="e">
        <f t="shared" si="2403"/>
        <v>#DIV/0!</v>
      </c>
      <c r="AC1113" s="35">
        <v>0</v>
      </c>
      <c r="AD1113" s="36">
        <v>0</v>
      </c>
      <c r="AE1113" s="35" t="e">
        <f t="shared" si="2404"/>
        <v>#DIV/0!</v>
      </c>
      <c r="AF1113" s="6" t="e">
        <f t="shared" si="2405"/>
        <v>#DIV/0!</v>
      </c>
      <c r="AG1113" s="68">
        <v>0</v>
      </c>
      <c r="AH1113" s="66">
        <v>0</v>
      </c>
      <c r="AI1113" s="35" t="e">
        <f t="shared" si="2406"/>
        <v>#DIV/0!</v>
      </c>
      <c r="AJ1113" s="6" t="e">
        <f t="shared" si="2407"/>
        <v>#DIV/0!</v>
      </c>
      <c r="AK1113" s="68">
        <v>4070</v>
      </c>
      <c r="AL1113" s="66">
        <v>100</v>
      </c>
      <c r="AM1113" s="35">
        <f t="shared" si="2408"/>
        <v>40.700000000000003</v>
      </c>
      <c r="AN1113" s="6">
        <f t="shared" si="2409"/>
        <v>0.28451231992442727</v>
      </c>
      <c r="AO1113" s="68">
        <v>0</v>
      </c>
      <c r="AP1113" s="66">
        <v>0</v>
      </c>
      <c r="AQ1113" s="35" t="e">
        <f t="shared" si="2410"/>
        <v>#DIV/0!</v>
      </c>
      <c r="AR1113" s="6" t="e">
        <f t="shared" si="2411"/>
        <v>#DIV/0!</v>
      </c>
      <c r="AS1113" s="68">
        <v>0</v>
      </c>
      <c r="AT1113" s="66">
        <v>0</v>
      </c>
      <c r="AU1113" s="35" t="e">
        <f t="shared" si="2412"/>
        <v>#DIV/0!</v>
      </c>
      <c r="AV1113" s="6" t="e">
        <f t="shared" si="2413"/>
        <v>#DIV/0!</v>
      </c>
      <c r="AW1113" s="68">
        <v>0</v>
      </c>
      <c r="AX1113" s="66">
        <v>0</v>
      </c>
      <c r="AY1113" s="35" t="e">
        <f t="shared" si="2414"/>
        <v>#DIV/0!</v>
      </c>
      <c r="AZ1113" s="6" t="e">
        <f t="shared" si="2415"/>
        <v>#DIV/0!</v>
      </c>
      <c r="BA1113" s="68">
        <v>0</v>
      </c>
      <c r="BB1113" s="66">
        <v>0</v>
      </c>
      <c r="BC1113" s="35" t="e">
        <f t="shared" si="2416"/>
        <v>#DIV/0!</v>
      </c>
      <c r="BD1113" s="11" t="e">
        <f t="shared" si="2417"/>
        <v>#DIV/0!</v>
      </c>
    </row>
    <row r="1114" spans="1:56" x14ac:dyDescent="0.25">
      <c r="A1114" s="19" t="s">
        <v>6</v>
      </c>
      <c r="B1114" s="8">
        <v>145480</v>
      </c>
      <c r="C1114" s="35">
        <f>B1114/F1105</f>
        <v>163.82882882882882</v>
      </c>
      <c r="D1114" s="8">
        <v>10950</v>
      </c>
      <c r="E1114" s="68">
        <v>0</v>
      </c>
      <c r="F1114" s="70">
        <v>0</v>
      </c>
      <c r="G1114" s="35" t="e">
        <f t="shared" si="2392"/>
        <v>#DIV/0!</v>
      </c>
      <c r="H1114" s="11" t="e">
        <f t="shared" si="2393"/>
        <v>#DIV/0!</v>
      </c>
      <c r="I1114" s="35">
        <v>0</v>
      </c>
      <c r="J1114" s="70">
        <v>0</v>
      </c>
      <c r="K1114" s="35" t="e">
        <f t="shared" si="2394"/>
        <v>#DIV/0!</v>
      </c>
      <c r="L1114" s="6" t="e">
        <f t="shared" si="2395"/>
        <v>#DIV/0!</v>
      </c>
      <c r="M1114" s="68">
        <v>0</v>
      </c>
      <c r="N1114" s="5">
        <v>0</v>
      </c>
      <c r="O1114" s="35" t="e">
        <f t="shared" si="2396"/>
        <v>#DIV/0!</v>
      </c>
      <c r="P1114" s="11" t="e">
        <f t="shared" si="2397"/>
        <v>#DIV/0!</v>
      </c>
      <c r="Q1114" s="35">
        <v>0</v>
      </c>
      <c r="R1114" s="66">
        <v>0</v>
      </c>
      <c r="S1114" s="35" t="e">
        <f t="shared" si="2398"/>
        <v>#DIV/0!</v>
      </c>
      <c r="T1114" s="6" t="e">
        <f t="shared" si="2399"/>
        <v>#DIV/0!</v>
      </c>
      <c r="U1114" s="68">
        <v>0</v>
      </c>
      <c r="V1114" s="66">
        <v>0</v>
      </c>
      <c r="W1114" s="35" t="e">
        <f t="shared" si="2400"/>
        <v>#DIV/0!</v>
      </c>
      <c r="X1114" s="6" t="e">
        <f t="shared" si="2401"/>
        <v>#DIV/0!</v>
      </c>
      <c r="Y1114" s="68">
        <v>0</v>
      </c>
      <c r="Z1114" s="70">
        <v>0</v>
      </c>
      <c r="AA1114" s="35" t="e">
        <f t="shared" si="2402"/>
        <v>#DIV/0!</v>
      </c>
      <c r="AB1114" s="11" t="e">
        <f t="shared" si="2403"/>
        <v>#DIV/0!</v>
      </c>
      <c r="AC1114" s="35">
        <v>0</v>
      </c>
      <c r="AD1114" s="36">
        <v>0</v>
      </c>
      <c r="AE1114" s="35" t="e">
        <f t="shared" si="2404"/>
        <v>#DIV/0!</v>
      </c>
      <c r="AF1114" s="6" t="e">
        <f t="shared" si="2405"/>
        <v>#DIV/0!</v>
      </c>
      <c r="AG1114" s="68">
        <v>0</v>
      </c>
      <c r="AH1114" s="66">
        <v>0</v>
      </c>
      <c r="AI1114" s="35" t="e">
        <f t="shared" si="2406"/>
        <v>#DIV/0!</v>
      </c>
      <c r="AJ1114" s="6" t="e">
        <f t="shared" si="2407"/>
        <v>#DIV/0!</v>
      </c>
      <c r="AK1114" s="68">
        <v>4620</v>
      </c>
      <c r="AL1114" s="66">
        <v>100</v>
      </c>
      <c r="AM1114" s="35">
        <f t="shared" si="2408"/>
        <v>46.2</v>
      </c>
      <c r="AN1114" s="6">
        <f t="shared" si="2409"/>
        <v>0.28200164971130054</v>
      </c>
      <c r="AO1114" s="68">
        <v>0</v>
      </c>
      <c r="AP1114" s="66">
        <v>0</v>
      </c>
      <c r="AQ1114" s="35" t="e">
        <f t="shared" si="2410"/>
        <v>#DIV/0!</v>
      </c>
      <c r="AR1114" s="6" t="e">
        <f t="shared" si="2411"/>
        <v>#DIV/0!</v>
      </c>
      <c r="AS1114" s="68">
        <v>0</v>
      </c>
      <c r="AT1114" s="66">
        <v>0</v>
      </c>
      <c r="AU1114" s="35" t="e">
        <f t="shared" si="2412"/>
        <v>#DIV/0!</v>
      </c>
      <c r="AV1114" s="6" t="e">
        <f t="shared" si="2413"/>
        <v>#DIV/0!</v>
      </c>
      <c r="AW1114" s="68">
        <v>0</v>
      </c>
      <c r="AX1114" s="66">
        <v>0</v>
      </c>
      <c r="AY1114" s="35" t="e">
        <f t="shared" si="2414"/>
        <v>#DIV/0!</v>
      </c>
      <c r="AZ1114" s="6" t="e">
        <f t="shared" si="2415"/>
        <v>#DIV/0!</v>
      </c>
      <c r="BA1114" s="68">
        <v>0</v>
      </c>
      <c r="BB1114" s="66">
        <v>0</v>
      </c>
      <c r="BC1114" s="35" t="e">
        <f t="shared" si="2416"/>
        <v>#DIV/0!</v>
      </c>
      <c r="BD1114" s="11" t="e">
        <f t="shared" si="2417"/>
        <v>#DIV/0!</v>
      </c>
    </row>
    <row r="1115" spans="1:56" ht="15.75" thickBot="1" x14ac:dyDescent="0.3">
      <c r="A1115" s="21"/>
      <c r="B1115" s="22"/>
      <c r="C1115" s="23">
        <f>AVERAGE(Table11095[MA $/Sq Ft])</f>
        <v>99.47072072072072</v>
      </c>
      <c r="D1115" s="22">
        <f>AVERAGE(Table11095[Basic Allowance])</f>
        <v>4442.8571428571431</v>
      </c>
      <c r="E1115" s="16"/>
      <c r="F1115" s="22"/>
      <c r="G1115" s="15"/>
      <c r="H1115" s="24" t="e">
        <f>AVERAGE(Table11095[Bsmt % Base])</f>
        <v>#DIV/0!</v>
      </c>
      <c r="I1115" s="15"/>
      <c r="J1115" s="15"/>
      <c r="K1115" s="15"/>
      <c r="L1115" s="25" t="e">
        <f>AVERAGE(Table11095[[#Headers],[#Data],[UnfBsmt % Base]])</f>
        <v>#DIV/0!</v>
      </c>
      <c r="M1115" s="44"/>
      <c r="N1115" s="15"/>
      <c r="O1115" s="23" t="e">
        <f>AVERAGE(Table11095[LowerVal/SqFt])</f>
        <v>#DIV/0!</v>
      </c>
      <c r="P1115" s="24" t="e">
        <f>AVERAGE(Table11095[Lower % Base])</f>
        <v>#DIV/0!</v>
      </c>
      <c r="Q1115" s="13"/>
      <c r="R1115" s="13"/>
      <c r="S1115" s="13"/>
      <c r="T1115" s="25" t="e">
        <f>AVERAGE(Table11095[Unf Lower % Base])</f>
        <v>#DIV/0!</v>
      </c>
      <c r="U1115" s="12"/>
      <c r="V1115" s="13"/>
      <c r="W1115" s="13"/>
      <c r="X1115" s="25" t="e">
        <f>AVERAGE(Table11095[1/2 Story % Base])</f>
        <v>#DIV/0!</v>
      </c>
      <c r="Y1115" s="12"/>
      <c r="Z1115" s="13"/>
      <c r="AA1115" s="13"/>
      <c r="AB1115" s="24" t="e">
        <f>AVERAGE(Table11095[2nd Story % Base])</f>
        <v>#DIV/0!</v>
      </c>
      <c r="AC1115" s="13"/>
      <c r="AD1115" s="13"/>
      <c r="AE1115" s="23" t="e">
        <f>AVERAGE(Table11095[AttGarVal/SqFt])</f>
        <v>#DIV/0!</v>
      </c>
      <c r="AF1115" s="25" t="e">
        <f>AVERAGE(Table11095[Att Gar % Base])</f>
        <v>#DIV/0!</v>
      </c>
      <c r="AG1115" s="12"/>
      <c r="AH1115" s="13"/>
      <c r="AI1115" s="13"/>
      <c r="AJ1115" s="25" t="e">
        <f>AVERAGE(Table11095[Porch % Base])</f>
        <v>#DIV/0!</v>
      </c>
      <c r="AK1115" s="12"/>
      <c r="AL1115" s="13"/>
      <c r="AM1115" s="13"/>
      <c r="AN1115" s="25">
        <f>AVERAGE(Table11095[Cov Porch % Base])</f>
        <v>0.31615003734833191</v>
      </c>
      <c r="AO1115" s="12"/>
      <c r="AP1115" s="13"/>
      <c r="AQ1115" s="13"/>
      <c r="AR1115" s="25" t="e">
        <f>AVERAGE(Table11095[Deck % Base])</f>
        <v>#DIV/0!</v>
      </c>
      <c r="AS1115" s="12"/>
      <c r="AT1115" s="13"/>
      <c r="AU1115" s="23" t="e">
        <f>AVERAGE(Table11095[CovDeckVal/SqFt])</f>
        <v>#DIV/0!</v>
      </c>
      <c r="AV1115" s="25" t="e">
        <f>AVERAGE(Table11095[CovDeck % Base])</f>
        <v>#DIV/0!</v>
      </c>
      <c r="AW1115" s="12"/>
      <c r="AX1115" s="13"/>
      <c r="AY1115" s="13"/>
      <c r="AZ1115" s="25" t="e">
        <f>AVERAGE(Table11095[CarP % Base])</f>
        <v>#DIV/0!</v>
      </c>
      <c r="BA1115" s="12"/>
      <c r="BB1115" s="13"/>
      <c r="BC1115" s="13"/>
      <c r="BD1115" s="24" t="e">
        <f>AVERAGE(Table11095[EFP % Base])</f>
        <v>#DIV/0!</v>
      </c>
    </row>
    <row r="1117" spans="1:56" ht="15.75" thickBot="1" x14ac:dyDescent="0.3">
      <c r="A1117" s="84"/>
      <c r="B1117" s="74" t="s">
        <v>79</v>
      </c>
      <c r="C1117" s="86" t="s">
        <v>210</v>
      </c>
      <c r="D1117" s="74"/>
      <c r="E1117" s="74" t="s">
        <v>33</v>
      </c>
      <c r="F1117" s="75">
        <v>628</v>
      </c>
      <c r="G1117" s="74"/>
      <c r="H1117" s="74" t="s">
        <v>205</v>
      </c>
      <c r="I1117" s="74"/>
      <c r="J1117" s="74" t="s">
        <v>83</v>
      </c>
      <c r="K1117" s="75">
        <v>1976</v>
      </c>
      <c r="L1117" s="74"/>
      <c r="M1117" s="74"/>
      <c r="N1117" s="74"/>
      <c r="O1117" s="74"/>
      <c r="P1117" s="74"/>
      <c r="Q1117" s="74"/>
      <c r="R1117" s="74"/>
      <c r="S1117" s="74"/>
      <c r="T1117" s="74"/>
      <c r="U1117" s="74"/>
      <c r="V1117" s="74"/>
      <c r="W1117" s="74"/>
      <c r="X1117" s="74"/>
      <c r="Y1117" s="74"/>
      <c r="Z1117" s="74"/>
      <c r="AA1117" s="74"/>
      <c r="AB1117" s="74"/>
      <c r="AC1117" s="74"/>
      <c r="AD1117" s="74"/>
      <c r="AE1117" s="74"/>
      <c r="AF1117" s="74"/>
      <c r="AG1117" s="74"/>
      <c r="AH1117" s="74"/>
      <c r="AI1117" s="74"/>
      <c r="AJ1117" s="74"/>
      <c r="AK1117" s="74"/>
      <c r="AL1117" s="74"/>
      <c r="AM1117" s="74"/>
      <c r="AN1117" s="74"/>
      <c r="AO1117" s="74"/>
      <c r="AP1117" s="74"/>
      <c r="AQ1117" s="74"/>
      <c r="AR1117" s="74"/>
      <c r="AS1117" s="74"/>
      <c r="AT1117" s="74"/>
      <c r="AU1117" s="74"/>
      <c r="AV1117" s="74"/>
      <c r="AW1117" s="74"/>
      <c r="AX1117" s="74"/>
      <c r="AY1117" s="74"/>
      <c r="AZ1117" s="74"/>
      <c r="BA1117" s="74"/>
      <c r="BB1117" s="74"/>
      <c r="BC1117" s="74"/>
      <c r="BD1117" s="76"/>
    </row>
    <row r="1118" spans="1:56" x14ac:dyDescent="0.25">
      <c r="A1118" s="112"/>
      <c r="B1118" s="113"/>
      <c r="C1118" s="113"/>
      <c r="D1118" s="114"/>
      <c r="E1118" s="115" t="s">
        <v>27</v>
      </c>
      <c r="F1118" s="116"/>
      <c r="G1118" s="116"/>
      <c r="H1118" s="117"/>
      <c r="I1118" s="118" t="s">
        <v>28</v>
      </c>
      <c r="J1118" s="119"/>
      <c r="K1118" s="119"/>
      <c r="L1118" s="120"/>
      <c r="M1118" s="121" t="s">
        <v>7</v>
      </c>
      <c r="N1118" s="122"/>
      <c r="O1118" s="122"/>
      <c r="P1118" s="122"/>
      <c r="Q1118" s="124" t="s">
        <v>29</v>
      </c>
      <c r="R1118" s="125"/>
      <c r="S1118" s="125"/>
      <c r="T1118" s="126"/>
      <c r="U1118" s="128" t="s">
        <v>8</v>
      </c>
      <c r="V1118" s="128"/>
      <c r="W1118" s="128"/>
      <c r="X1118" s="129"/>
      <c r="Y1118" s="130" t="s">
        <v>0</v>
      </c>
      <c r="Z1118" s="131"/>
      <c r="AA1118" s="131"/>
      <c r="AB1118" s="132"/>
      <c r="AC1118" s="133" t="s">
        <v>34</v>
      </c>
      <c r="AD1118" s="134"/>
      <c r="AE1118" s="134"/>
      <c r="AF1118" s="135"/>
      <c r="AG1118" s="115" t="s">
        <v>9</v>
      </c>
      <c r="AH1118" s="116"/>
      <c r="AI1118" s="116"/>
      <c r="AJ1118" s="117"/>
      <c r="AK1118" s="136" t="s">
        <v>35</v>
      </c>
      <c r="AL1118" s="137"/>
      <c r="AM1118" s="137"/>
      <c r="AN1118" s="138"/>
      <c r="AO1118" s="139" t="s">
        <v>10</v>
      </c>
      <c r="AP1118" s="140"/>
      <c r="AQ1118" s="140"/>
      <c r="AR1118" s="141"/>
      <c r="AS1118" s="124" t="s">
        <v>36</v>
      </c>
      <c r="AT1118" s="125"/>
      <c r="AU1118" s="125"/>
      <c r="AV1118" s="126"/>
      <c r="AW1118" s="142" t="s">
        <v>11</v>
      </c>
      <c r="AX1118" s="143"/>
      <c r="AY1118" s="143"/>
      <c r="AZ1118" s="144"/>
      <c r="BA1118" s="148" t="s">
        <v>17</v>
      </c>
      <c r="BB1118" s="149"/>
      <c r="BC1118" s="149"/>
      <c r="BD1118" s="150"/>
    </row>
    <row r="1119" spans="1:56" ht="15.75" thickBot="1" x14ac:dyDescent="0.3">
      <c r="A1119" s="41" t="s">
        <v>13</v>
      </c>
      <c r="B1119" s="42" t="s">
        <v>15</v>
      </c>
      <c r="C1119" s="42" t="s">
        <v>32</v>
      </c>
      <c r="D1119" s="43" t="s">
        <v>18</v>
      </c>
      <c r="E1119" s="30" t="s">
        <v>30</v>
      </c>
      <c r="F1119" s="31" t="s">
        <v>61</v>
      </c>
      <c r="G1119" s="31" t="s">
        <v>38</v>
      </c>
      <c r="H1119" s="32" t="s">
        <v>62</v>
      </c>
      <c r="I1119" s="37" t="s">
        <v>31</v>
      </c>
      <c r="J1119" s="38" t="s">
        <v>39</v>
      </c>
      <c r="K1119" s="38" t="s">
        <v>40</v>
      </c>
      <c r="L1119" s="39" t="s">
        <v>63</v>
      </c>
      <c r="M1119" s="40" t="s">
        <v>19</v>
      </c>
      <c r="N1119" s="7" t="s">
        <v>41</v>
      </c>
      <c r="O1119" s="7" t="s">
        <v>37</v>
      </c>
      <c r="P1119" s="7" t="s">
        <v>64</v>
      </c>
      <c r="Q1119" s="27" t="s">
        <v>20</v>
      </c>
      <c r="R1119" s="28" t="s">
        <v>60</v>
      </c>
      <c r="S1119" s="28" t="s">
        <v>59</v>
      </c>
      <c r="T1119" s="29" t="s">
        <v>65</v>
      </c>
      <c r="U1119" s="48" t="s">
        <v>21</v>
      </c>
      <c r="V1119" s="48" t="s">
        <v>42</v>
      </c>
      <c r="W1119" s="48" t="s">
        <v>43</v>
      </c>
      <c r="X1119" s="49" t="s">
        <v>66</v>
      </c>
      <c r="Y1119" s="50" t="s">
        <v>22</v>
      </c>
      <c r="Z1119" s="51" t="s">
        <v>44</v>
      </c>
      <c r="AA1119" s="51" t="s">
        <v>45</v>
      </c>
      <c r="AB1119" s="52" t="s">
        <v>67</v>
      </c>
      <c r="AC1119" s="45" t="s">
        <v>23</v>
      </c>
      <c r="AD1119" s="46" t="s">
        <v>46</v>
      </c>
      <c r="AE1119" s="46" t="s">
        <v>47</v>
      </c>
      <c r="AF1119" s="47" t="s">
        <v>68</v>
      </c>
      <c r="AG1119" s="30" t="s">
        <v>24</v>
      </c>
      <c r="AH1119" s="31" t="s">
        <v>48</v>
      </c>
      <c r="AI1119" s="31" t="s">
        <v>49</v>
      </c>
      <c r="AJ1119" s="32" t="s">
        <v>69</v>
      </c>
      <c r="AK1119" s="53" t="s">
        <v>25</v>
      </c>
      <c r="AL1119" s="54" t="s">
        <v>50</v>
      </c>
      <c r="AM1119" s="54" t="s">
        <v>51</v>
      </c>
      <c r="AN1119" s="55" t="s">
        <v>70</v>
      </c>
      <c r="AO1119" s="56" t="s">
        <v>26</v>
      </c>
      <c r="AP1119" s="57" t="s">
        <v>52</v>
      </c>
      <c r="AQ1119" s="57" t="s">
        <v>53</v>
      </c>
      <c r="AR1119" s="58" t="s">
        <v>71</v>
      </c>
      <c r="AS1119" s="59" t="s">
        <v>55</v>
      </c>
      <c r="AT1119" s="60" t="s">
        <v>54</v>
      </c>
      <c r="AU1119" s="60" t="s">
        <v>56</v>
      </c>
      <c r="AV1119" s="61" t="s">
        <v>76</v>
      </c>
      <c r="AW1119" s="62" t="s">
        <v>72</v>
      </c>
      <c r="AX1119" s="63" t="s">
        <v>73</v>
      </c>
      <c r="AY1119" s="63" t="s">
        <v>74</v>
      </c>
      <c r="AZ1119" s="64" t="s">
        <v>75</v>
      </c>
      <c r="BA1119" s="71" t="s">
        <v>77</v>
      </c>
      <c r="BB1119" s="72" t="s">
        <v>57</v>
      </c>
      <c r="BC1119" s="72" t="s">
        <v>58</v>
      </c>
      <c r="BD1119" s="73" t="s">
        <v>78</v>
      </c>
    </row>
    <row r="1120" spans="1:56" x14ac:dyDescent="0.25">
      <c r="A1120" s="17" t="s">
        <v>1</v>
      </c>
      <c r="B1120" s="14">
        <v>35990</v>
      </c>
      <c r="C1120" s="34">
        <f>B1120/F1117</f>
        <v>57.308917197452232</v>
      </c>
      <c r="D1120" s="14">
        <v>1525</v>
      </c>
      <c r="E1120" s="67">
        <v>0</v>
      </c>
      <c r="F1120" s="69">
        <v>0</v>
      </c>
      <c r="G1120" s="34" t="e">
        <f t="shared" ref="G1120:G1126" si="2418">E1120/F1120</f>
        <v>#DIV/0!</v>
      </c>
      <c r="H1120" s="10" t="e">
        <f t="shared" ref="H1120:H1126" si="2419">G1120/C1120</f>
        <v>#DIV/0!</v>
      </c>
      <c r="I1120" s="34">
        <v>0</v>
      </c>
      <c r="J1120" s="69">
        <v>0</v>
      </c>
      <c r="K1120" s="34" t="e">
        <f t="shared" ref="K1120:K1126" si="2420">I1120/J1120</f>
        <v>#DIV/0!</v>
      </c>
      <c r="L1120" s="9" t="e">
        <f t="shared" ref="L1120:L1126" si="2421">K1120/C1120</f>
        <v>#DIV/0!</v>
      </c>
      <c r="M1120" s="67">
        <v>0</v>
      </c>
      <c r="N1120" s="26">
        <v>0</v>
      </c>
      <c r="O1120" s="34" t="e">
        <f t="shared" ref="O1120:O1126" si="2422">M1120/N1120</f>
        <v>#DIV/0!</v>
      </c>
      <c r="P1120" s="10" t="e">
        <f t="shared" ref="P1120:P1126" si="2423">O1120/C1120</f>
        <v>#DIV/0!</v>
      </c>
      <c r="Q1120" s="35">
        <v>0</v>
      </c>
      <c r="R1120" s="66">
        <v>0</v>
      </c>
      <c r="S1120" s="35" t="e">
        <f t="shared" ref="S1120:S1126" si="2424">Q1120/R1120</f>
        <v>#DIV/0!</v>
      </c>
      <c r="T1120" s="6" t="e">
        <f t="shared" ref="T1120:T1126" si="2425">S1120/C1120</f>
        <v>#DIV/0!</v>
      </c>
      <c r="U1120" s="67">
        <v>0</v>
      </c>
      <c r="V1120" s="65">
        <v>0</v>
      </c>
      <c r="W1120" s="34" t="e">
        <f t="shared" ref="W1120:W1126" si="2426">U1120/V1120</f>
        <v>#DIV/0!</v>
      </c>
      <c r="X1120" s="9" t="e">
        <f t="shared" ref="X1120:X1126" si="2427">W1120/C1120</f>
        <v>#DIV/0!</v>
      </c>
      <c r="Y1120" s="67">
        <v>25220</v>
      </c>
      <c r="Z1120" s="69">
        <v>628</v>
      </c>
      <c r="AA1120" s="34">
        <f t="shared" ref="AA1120:AA1126" si="2428">Y1120/Z1120</f>
        <v>40.159235668789812</v>
      </c>
      <c r="AB1120" s="10">
        <f t="shared" ref="AB1120:AB1126" si="2429">AA1120/C1120</f>
        <v>0.70075020839121982</v>
      </c>
      <c r="AC1120" s="34">
        <v>0</v>
      </c>
      <c r="AD1120" s="33">
        <v>0</v>
      </c>
      <c r="AE1120" s="34" t="e">
        <f t="shared" ref="AE1120:AE1126" si="2430">AC1120/AD1120</f>
        <v>#DIV/0!</v>
      </c>
      <c r="AF1120" s="9" t="e">
        <f t="shared" ref="AF1120:AF1126" si="2431">AE1120/C1120</f>
        <v>#DIV/0!</v>
      </c>
      <c r="AG1120" s="67">
        <v>0</v>
      </c>
      <c r="AH1120" s="65">
        <v>0</v>
      </c>
      <c r="AI1120" s="34" t="e">
        <f t="shared" ref="AI1120:AI1126" si="2432">AG1120/AH1120</f>
        <v>#DIV/0!</v>
      </c>
      <c r="AJ1120" s="9" t="e">
        <f t="shared" ref="AJ1120:AJ1126" si="2433">AI1120/C1120</f>
        <v>#DIV/0!</v>
      </c>
      <c r="AK1120" s="67">
        <v>0</v>
      </c>
      <c r="AL1120" s="65">
        <v>88</v>
      </c>
      <c r="AM1120" s="34">
        <f t="shared" ref="AM1120:AM1126" si="2434">AK1120/AL1120</f>
        <v>0</v>
      </c>
      <c r="AN1120" s="9">
        <f t="shared" ref="AN1120:AN1126" si="2435">AM1120/C1120</f>
        <v>0</v>
      </c>
      <c r="AO1120" s="67">
        <v>960</v>
      </c>
      <c r="AP1120" s="65">
        <v>88</v>
      </c>
      <c r="AQ1120" s="34">
        <f t="shared" ref="AQ1120:AQ1126" si="2436">AO1120/AP1120</f>
        <v>10.909090909090908</v>
      </c>
      <c r="AR1120" s="9">
        <f t="shared" ref="AR1120:AR1126" si="2437">AQ1120/C1120</f>
        <v>0.19035590694384802</v>
      </c>
      <c r="AS1120" s="67">
        <v>0</v>
      </c>
      <c r="AT1120" s="65">
        <v>0</v>
      </c>
      <c r="AU1120" s="34" t="e">
        <f t="shared" ref="AU1120:AU1126" si="2438">AS1120/AT1120</f>
        <v>#DIV/0!</v>
      </c>
      <c r="AV1120" s="9" t="e">
        <f t="shared" ref="AV1120:AV1126" si="2439">AU1120/C1120</f>
        <v>#DIV/0!</v>
      </c>
      <c r="AW1120" s="67">
        <v>2290</v>
      </c>
      <c r="AX1120" s="65">
        <v>272</v>
      </c>
      <c r="AY1120" s="34">
        <f t="shared" ref="AY1120:AY1126" si="2440">AW1120/AX1120</f>
        <v>8.4191176470588243</v>
      </c>
      <c r="AZ1120" s="9">
        <f t="shared" ref="AZ1120:AZ1126" si="2441">AY1120/C1120</f>
        <v>0.14690763774251017</v>
      </c>
      <c r="BA1120" s="67">
        <v>0</v>
      </c>
      <c r="BB1120" s="65">
        <v>0</v>
      </c>
      <c r="BC1120" s="34" t="e">
        <f t="shared" ref="BC1120:BC1126" si="2442">BA1120/BB1120</f>
        <v>#DIV/0!</v>
      </c>
      <c r="BD1120" s="10" t="e">
        <f t="shared" ref="BD1120:BD1126" si="2443">BC1120/C1120</f>
        <v>#DIV/0!</v>
      </c>
    </row>
    <row r="1121" spans="1:56" x14ac:dyDescent="0.25">
      <c r="A1121" s="19" t="s">
        <v>16</v>
      </c>
      <c r="B1121" s="8">
        <v>52330</v>
      </c>
      <c r="C1121" s="35">
        <f>B1121/F1117</f>
        <v>83.328025477707001</v>
      </c>
      <c r="D1121" s="8">
        <v>1525</v>
      </c>
      <c r="E1121" s="68">
        <v>0</v>
      </c>
      <c r="F1121" s="70">
        <v>0</v>
      </c>
      <c r="G1121" s="35" t="e">
        <f t="shared" si="2418"/>
        <v>#DIV/0!</v>
      </c>
      <c r="H1121" s="11" t="e">
        <f t="shared" si="2419"/>
        <v>#DIV/0!</v>
      </c>
      <c r="I1121" s="35">
        <v>0</v>
      </c>
      <c r="J1121" s="70">
        <v>0</v>
      </c>
      <c r="K1121" s="35" t="e">
        <f t="shared" si="2420"/>
        <v>#DIV/0!</v>
      </c>
      <c r="L1121" s="6" t="e">
        <f t="shared" si="2421"/>
        <v>#DIV/0!</v>
      </c>
      <c r="M1121" s="68">
        <v>0</v>
      </c>
      <c r="N1121" s="5">
        <v>0</v>
      </c>
      <c r="O1121" s="35" t="e">
        <f t="shared" si="2422"/>
        <v>#DIV/0!</v>
      </c>
      <c r="P1121" s="11" t="e">
        <f t="shared" si="2423"/>
        <v>#DIV/0!</v>
      </c>
      <c r="Q1121" s="35">
        <v>0</v>
      </c>
      <c r="R1121" s="66">
        <v>0</v>
      </c>
      <c r="S1121" s="35" t="e">
        <f t="shared" si="2424"/>
        <v>#DIV/0!</v>
      </c>
      <c r="T1121" s="6" t="e">
        <f t="shared" si="2425"/>
        <v>#DIV/0!</v>
      </c>
      <c r="U1121" s="68">
        <v>0</v>
      </c>
      <c r="V1121" s="66">
        <v>0</v>
      </c>
      <c r="W1121" s="35" t="e">
        <f t="shared" si="2426"/>
        <v>#DIV/0!</v>
      </c>
      <c r="X1121" s="6" t="e">
        <f t="shared" si="2427"/>
        <v>#DIV/0!</v>
      </c>
      <c r="Y1121" s="68">
        <v>35060</v>
      </c>
      <c r="Z1121" s="70">
        <v>628</v>
      </c>
      <c r="AA1121" s="35">
        <f t="shared" si="2428"/>
        <v>55.828025477707008</v>
      </c>
      <c r="AB1121" s="11">
        <f t="shared" si="2429"/>
        <v>0.66997897955283781</v>
      </c>
      <c r="AC1121" s="35">
        <v>0</v>
      </c>
      <c r="AD1121" s="36">
        <v>0</v>
      </c>
      <c r="AE1121" s="35" t="e">
        <f t="shared" si="2430"/>
        <v>#DIV/0!</v>
      </c>
      <c r="AF1121" s="6" t="e">
        <f t="shared" si="2431"/>
        <v>#DIV/0!</v>
      </c>
      <c r="AG1121" s="68">
        <v>0</v>
      </c>
      <c r="AH1121" s="66">
        <v>0</v>
      </c>
      <c r="AI1121" s="35" t="e">
        <f t="shared" si="2432"/>
        <v>#DIV/0!</v>
      </c>
      <c r="AJ1121" s="6" t="e">
        <f t="shared" si="2433"/>
        <v>#DIV/0!</v>
      </c>
      <c r="AK1121" s="68">
        <v>0</v>
      </c>
      <c r="AL1121" s="66">
        <v>88</v>
      </c>
      <c r="AM1121" s="35">
        <f t="shared" si="2434"/>
        <v>0</v>
      </c>
      <c r="AN1121" s="6">
        <f t="shared" si="2435"/>
        <v>0</v>
      </c>
      <c r="AO1121" s="68">
        <v>1370</v>
      </c>
      <c r="AP1121" s="66">
        <v>88</v>
      </c>
      <c r="AQ1121" s="35">
        <f t="shared" si="2436"/>
        <v>15.568181818181818</v>
      </c>
      <c r="AR1121" s="6">
        <f t="shared" si="2437"/>
        <v>0.1868300818233935</v>
      </c>
      <c r="AS1121" s="68">
        <v>0</v>
      </c>
      <c r="AT1121" s="66">
        <v>0</v>
      </c>
      <c r="AU1121" s="35" t="e">
        <f t="shared" si="2438"/>
        <v>#DIV/0!</v>
      </c>
      <c r="AV1121" s="6" t="e">
        <f t="shared" si="2439"/>
        <v>#DIV/0!</v>
      </c>
      <c r="AW1121" s="68">
        <v>2640</v>
      </c>
      <c r="AX1121" s="66">
        <v>272</v>
      </c>
      <c r="AY1121" s="35">
        <f t="shared" si="2440"/>
        <v>9.7058823529411757</v>
      </c>
      <c r="AZ1121" s="6">
        <f t="shared" si="2441"/>
        <v>0.11647800721664549</v>
      </c>
      <c r="BA1121" s="68">
        <v>0</v>
      </c>
      <c r="BB1121" s="66">
        <v>0</v>
      </c>
      <c r="BC1121" s="35" t="e">
        <f t="shared" si="2442"/>
        <v>#DIV/0!</v>
      </c>
      <c r="BD1121" s="11" t="e">
        <f t="shared" si="2443"/>
        <v>#DIV/0!</v>
      </c>
    </row>
    <row r="1122" spans="1:56" x14ac:dyDescent="0.25">
      <c r="A1122" s="19" t="s">
        <v>2</v>
      </c>
      <c r="B1122" s="8">
        <v>49480</v>
      </c>
      <c r="C1122" s="35">
        <f>B1122/F1117</f>
        <v>78.789808917197448</v>
      </c>
      <c r="D1122" s="8">
        <v>2100</v>
      </c>
      <c r="E1122" s="68">
        <v>0</v>
      </c>
      <c r="F1122" s="70">
        <v>0</v>
      </c>
      <c r="G1122" s="35" t="e">
        <f t="shared" si="2418"/>
        <v>#DIV/0!</v>
      </c>
      <c r="H1122" s="11" t="e">
        <f t="shared" si="2419"/>
        <v>#DIV/0!</v>
      </c>
      <c r="I1122" s="35">
        <v>0</v>
      </c>
      <c r="J1122" s="70">
        <v>0</v>
      </c>
      <c r="K1122" s="35" t="e">
        <f t="shared" si="2420"/>
        <v>#DIV/0!</v>
      </c>
      <c r="L1122" s="6" t="e">
        <f t="shared" si="2421"/>
        <v>#DIV/0!</v>
      </c>
      <c r="M1122" s="68">
        <v>0</v>
      </c>
      <c r="N1122" s="5">
        <v>0</v>
      </c>
      <c r="O1122" s="35" t="e">
        <f t="shared" si="2422"/>
        <v>#DIV/0!</v>
      </c>
      <c r="P1122" s="11" t="e">
        <f t="shared" si="2423"/>
        <v>#DIV/0!</v>
      </c>
      <c r="Q1122" s="35">
        <v>0</v>
      </c>
      <c r="R1122" s="66">
        <v>0</v>
      </c>
      <c r="S1122" s="35" t="e">
        <f t="shared" si="2424"/>
        <v>#DIV/0!</v>
      </c>
      <c r="T1122" s="6" t="e">
        <f t="shared" si="2425"/>
        <v>#DIV/0!</v>
      </c>
      <c r="U1122" s="68">
        <v>0</v>
      </c>
      <c r="V1122" s="66">
        <v>0</v>
      </c>
      <c r="W1122" s="35" t="e">
        <f t="shared" si="2426"/>
        <v>#DIV/0!</v>
      </c>
      <c r="X1122" s="6" t="e">
        <f t="shared" si="2427"/>
        <v>#DIV/0!</v>
      </c>
      <c r="Y1122" s="68">
        <v>42040</v>
      </c>
      <c r="Z1122" s="70">
        <v>628</v>
      </c>
      <c r="AA1122" s="35">
        <f t="shared" si="2428"/>
        <v>66.942675159235662</v>
      </c>
      <c r="AB1122" s="11">
        <f t="shared" si="2429"/>
        <v>0.84963621665319322</v>
      </c>
      <c r="AC1122" s="35">
        <v>0</v>
      </c>
      <c r="AD1122" s="36">
        <v>0</v>
      </c>
      <c r="AE1122" s="35" t="e">
        <f t="shared" si="2430"/>
        <v>#DIV/0!</v>
      </c>
      <c r="AF1122" s="6" t="e">
        <f t="shared" si="2431"/>
        <v>#DIV/0!</v>
      </c>
      <c r="AG1122" s="68">
        <v>0</v>
      </c>
      <c r="AH1122" s="66">
        <v>0</v>
      </c>
      <c r="AI1122" s="35" t="e">
        <f t="shared" si="2432"/>
        <v>#DIV/0!</v>
      </c>
      <c r="AJ1122" s="6" t="e">
        <f t="shared" si="2433"/>
        <v>#DIV/0!</v>
      </c>
      <c r="AK1122" s="68">
        <v>0</v>
      </c>
      <c r="AL1122" s="66">
        <v>88</v>
      </c>
      <c r="AM1122" s="35">
        <f t="shared" si="2434"/>
        <v>0</v>
      </c>
      <c r="AN1122" s="6">
        <f t="shared" si="2435"/>
        <v>0</v>
      </c>
      <c r="AO1122" s="68">
        <v>1440</v>
      </c>
      <c r="AP1122" s="66">
        <v>88</v>
      </c>
      <c r="AQ1122" s="35">
        <f t="shared" si="2436"/>
        <v>16.363636363636363</v>
      </c>
      <c r="AR1122" s="6">
        <f t="shared" si="2437"/>
        <v>0.20768721981333138</v>
      </c>
      <c r="AS1122" s="68">
        <v>0</v>
      </c>
      <c r="AT1122" s="66">
        <v>0</v>
      </c>
      <c r="AU1122" s="35" t="e">
        <f t="shared" si="2438"/>
        <v>#DIV/0!</v>
      </c>
      <c r="AV1122" s="6" t="e">
        <f t="shared" si="2439"/>
        <v>#DIV/0!</v>
      </c>
      <c r="AW1122" s="68">
        <v>2990</v>
      </c>
      <c r="AX1122" s="66">
        <v>272</v>
      </c>
      <c r="AY1122" s="35">
        <f t="shared" si="2440"/>
        <v>10.992647058823529</v>
      </c>
      <c r="AZ1122" s="6">
        <f t="shared" si="2441"/>
        <v>0.13951864092443769</v>
      </c>
      <c r="BA1122" s="68">
        <v>0</v>
      </c>
      <c r="BB1122" s="66">
        <v>0</v>
      </c>
      <c r="BC1122" s="35" t="e">
        <f t="shared" si="2442"/>
        <v>#DIV/0!</v>
      </c>
      <c r="BD1122" s="11" t="e">
        <f t="shared" si="2443"/>
        <v>#DIV/0!</v>
      </c>
    </row>
    <row r="1123" spans="1:56" x14ac:dyDescent="0.25">
      <c r="A1123" s="19" t="s">
        <v>3</v>
      </c>
      <c r="B1123" s="8">
        <v>58730</v>
      </c>
      <c r="C1123" s="35">
        <f>B1123/F1117</f>
        <v>93.519108280254784</v>
      </c>
      <c r="D1123" s="8">
        <v>2700</v>
      </c>
      <c r="E1123" s="68">
        <v>0</v>
      </c>
      <c r="F1123" s="70">
        <v>0</v>
      </c>
      <c r="G1123" s="35" t="e">
        <f t="shared" si="2418"/>
        <v>#DIV/0!</v>
      </c>
      <c r="H1123" s="11" t="e">
        <f t="shared" si="2419"/>
        <v>#DIV/0!</v>
      </c>
      <c r="I1123" s="35">
        <v>0</v>
      </c>
      <c r="J1123" s="70">
        <v>0</v>
      </c>
      <c r="K1123" s="35" t="e">
        <f t="shared" si="2420"/>
        <v>#DIV/0!</v>
      </c>
      <c r="L1123" s="6" t="e">
        <f t="shared" si="2421"/>
        <v>#DIV/0!</v>
      </c>
      <c r="M1123" s="68">
        <v>0</v>
      </c>
      <c r="N1123" s="5">
        <v>0</v>
      </c>
      <c r="O1123" s="35" t="e">
        <f t="shared" si="2422"/>
        <v>#DIV/0!</v>
      </c>
      <c r="P1123" s="11" t="e">
        <f t="shared" si="2423"/>
        <v>#DIV/0!</v>
      </c>
      <c r="Q1123" s="35">
        <v>0</v>
      </c>
      <c r="R1123" s="66">
        <v>0</v>
      </c>
      <c r="S1123" s="35" t="e">
        <f t="shared" si="2424"/>
        <v>#DIV/0!</v>
      </c>
      <c r="T1123" s="6" t="e">
        <f t="shared" si="2425"/>
        <v>#DIV/0!</v>
      </c>
      <c r="U1123" s="68">
        <v>0</v>
      </c>
      <c r="V1123" s="66">
        <v>0</v>
      </c>
      <c r="W1123" s="35" t="e">
        <f t="shared" si="2426"/>
        <v>#DIV/0!</v>
      </c>
      <c r="X1123" s="6" t="e">
        <f t="shared" si="2427"/>
        <v>#DIV/0!</v>
      </c>
      <c r="Y1123" s="68">
        <v>44650</v>
      </c>
      <c r="Z1123" s="70">
        <v>628</v>
      </c>
      <c r="AA1123" s="35">
        <f t="shared" si="2428"/>
        <v>71.098726114649679</v>
      </c>
      <c r="AB1123" s="11">
        <f t="shared" si="2429"/>
        <v>0.76025881151030128</v>
      </c>
      <c r="AC1123" s="35">
        <v>0</v>
      </c>
      <c r="AD1123" s="36">
        <v>0</v>
      </c>
      <c r="AE1123" s="35" t="e">
        <f t="shared" si="2430"/>
        <v>#DIV/0!</v>
      </c>
      <c r="AF1123" s="6" t="e">
        <f t="shared" si="2431"/>
        <v>#DIV/0!</v>
      </c>
      <c r="AG1123" s="68">
        <v>0</v>
      </c>
      <c r="AH1123" s="66">
        <v>0</v>
      </c>
      <c r="AI1123" s="35" t="e">
        <f t="shared" si="2432"/>
        <v>#DIV/0!</v>
      </c>
      <c r="AJ1123" s="6" t="e">
        <f t="shared" si="2433"/>
        <v>#DIV/0!</v>
      </c>
      <c r="AK1123" s="68">
        <v>0</v>
      </c>
      <c r="AL1123" s="66">
        <v>88</v>
      </c>
      <c r="AM1123" s="35">
        <f t="shared" si="2434"/>
        <v>0</v>
      </c>
      <c r="AN1123" s="6">
        <f t="shared" si="2435"/>
        <v>0</v>
      </c>
      <c r="AO1123" s="68">
        <v>1500</v>
      </c>
      <c r="AP1123" s="66">
        <v>88</v>
      </c>
      <c r="AQ1123" s="35">
        <f t="shared" si="2436"/>
        <v>17.045454545454547</v>
      </c>
      <c r="AR1123" s="6">
        <f t="shared" si="2437"/>
        <v>0.18226707738030742</v>
      </c>
      <c r="AS1123" s="68">
        <v>0</v>
      </c>
      <c r="AT1123" s="66">
        <v>0</v>
      </c>
      <c r="AU1123" s="35" t="e">
        <f t="shared" si="2438"/>
        <v>#DIV/0!</v>
      </c>
      <c r="AV1123" s="6" t="e">
        <f t="shared" si="2439"/>
        <v>#DIV/0!</v>
      </c>
      <c r="AW1123" s="68">
        <v>4210</v>
      </c>
      <c r="AX1123" s="66">
        <v>272</v>
      </c>
      <c r="AY1123" s="35">
        <f t="shared" si="2440"/>
        <v>15.477941176470589</v>
      </c>
      <c r="AZ1123" s="6">
        <f t="shared" si="2441"/>
        <v>0.16550565398984385</v>
      </c>
      <c r="BA1123" s="68">
        <v>0</v>
      </c>
      <c r="BB1123" s="66">
        <v>0</v>
      </c>
      <c r="BC1123" s="35" t="e">
        <f t="shared" si="2442"/>
        <v>#DIV/0!</v>
      </c>
      <c r="BD1123" s="11" t="e">
        <f t="shared" si="2443"/>
        <v>#DIV/0!</v>
      </c>
    </row>
    <row r="1124" spans="1:56" x14ac:dyDescent="0.25">
      <c r="A1124" s="19" t="s">
        <v>4</v>
      </c>
      <c r="B1124" s="8">
        <v>70590</v>
      </c>
      <c r="C1124" s="35">
        <f>B1124/F1117</f>
        <v>112.40445859872611</v>
      </c>
      <c r="D1124" s="8">
        <v>5250</v>
      </c>
      <c r="E1124" s="68">
        <v>0</v>
      </c>
      <c r="F1124" s="70">
        <v>0</v>
      </c>
      <c r="G1124" s="35" t="e">
        <f t="shared" si="2418"/>
        <v>#DIV/0!</v>
      </c>
      <c r="H1124" s="11" t="e">
        <f t="shared" si="2419"/>
        <v>#DIV/0!</v>
      </c>
      <c r="I1124" s="35">
        <v>0</v>
      </c>
      <c r="J1124" s="70">
        <v>0</v>
      </c>
      <c r="K1124" s="35" t="e">
        <f t="shared" si="2420"/>
        <v>#DIV/0!</v>
      </c>
      <c r="L1124" s="6" t="e">
        <f t="shared" si="2421"/>
        <v>#DIV/0!</v>
      </c>
      <c r="M1124" s="68">
        <v>0</v>
      </c>
      <c r="N1124" s="5">
        <v>0</v>
      </c>
      <c r="O1124" s="35" t="e">
        <f t="shared" si="2422"/>
        <v>#DIV/0!</v>
      </c>
      <c r="P1124" s="11" t="e">
        <f t="shared" si="2423"/>
        <v>#DIV/0!</v>
      </c>
      <c r="Q1124" s="35">
        <v>0</v>
      </c>
      <c r="R1124" s="66">
        <v>0</v>
      </c>
      <c r="S1124" s="35" t="e">
        <f t="shared" si="2424"/>
        <v>#DIV/0!</v>
      </c>
      <c r="T1124" s="6" t="e">
        <f t="shared" si="2425"/>
        <v>#DIV/0!</v>
      </c>
      <c r="U1124" s="68">
        <v>0</v>
      </c>
      <c r="V1124" s="66">
        <v>0</v>
      </c>
      <c r="W1124" s="35" t="e">
        <f t="shared" si="2426"/>
        <v>#DIV/0!</v>
      </c>
      <c r="X1124" s="6" t="e">
        <f t="shared" si="2427"/>
        <v>#DIV/0!</v>
      </c>
      <c r="Y1124" s="68">
        <v>55100</v>
      </c>
      <c r="Z1124" s="70">
        <v>628</v>
      </c>
      <c r="AA1124" s="35">
        <f t="shared" si="2428"/>
        <v>87.738853503184714</v>
      </c>
      <c r="AB1124" s="11">
        <f t="shared" si="2429"/>
        <v>0.78056381923785245</v>
      </c>
      <c r="AC1124" s="35">
        <v>0</v>
      </c>
      <c r="AD1124" s="36">
        <v>0</v>
      </c>
      <c r="AE1124" s="35" t="e">
        <f t="shared" si="2430"/>
        <v>#DIV/0!</v>
      </c>
      <c r="AF1124" s="6" t="e">
        <f t="shared" si="2431"/>
        <v>#DIV/0!</v>
      </c>
      <c r="AG1124" s="68">
        <v>0</v>
      </c>
      <c r="AH1124" s="66">
        <v>0</v>
      </c>
      <c r="AI1124" s="35" t="e">
        <f t="shared" si="2432"/>
        <v>#DIV/0!</v>
      </c>
      <c r="AJ1124" s="6" t="e">
        <f t="shared" si="2433"/>
        <v>#DIV/0!</v>
      </c>
      <c r="AK1124" s="68">
        <v>0</v>
      </c>
      <c r="AL1124" s="66">
        <v>88</v>
      </c>
      <c r="AM1124" s="35">
        <f t="shared" si="2434"/>
        <v>0</v>
      </c>
      <c r="AN1124" s="6">
        <f t="shared" si="2435"/>
        <v>0</v>
      </c>
      <c r="AO1124" s="68">
        <v>1910</v>
      </c>
      <c r="AP1124" s="66">
        <v>88</v>
      </c>
      <c r="AQ1124" s="35">
        <f t="shared" si="2436"/>
        <v>21.704545454545453</v>
      </c>
      <c r="AR1124" s="6">
        <f t="shared" si="2437"/>
        <v>0.19309327872863785</v>
      </c>
      <c r="AS1124" s="68">
        <v>0</v>
      </c>
      <c r="AT1124" s="66">
        <v>0</v>
      </c>
      <c r="AU1124" s="35" t="e">
        <f t="shared" si="2438"/>
        <v>#DIV/0!</v>
      </c>
      <c r="AV1124" s="6" t="e">
        <f t="shared" si="2439"/>
        <v>#DIV/0!</v>
      </c>
      <c r="AW1124" s="68">
        <v>4780</v>
      </c>
      <c r="AX1124" s="66">
        <v>272</v>
      </c>
      <c r="AY1124" s="35">
        <f t="shared" si="2440"/>
        <v>17.573529411764707</v>
      </c>
      <c r="AZ1124" s="6">
        <f t="shared" si="2441"/>
        <v>0.15634192478521372</v>
      </c>
      <c r="BA1124" s="68">
        <v>0</v>
      </c>
      <c r="BB1124" s="66">
        <v>0</v>
      </c>
      <c r="BC1124" s="35" t="e">
        <f t="shared" si="2442"/>
        <v>#DIV/0!</v>
      </c>
      <c r="BD1124" s="11" t="e">
        <f t="shared" si="2443"/>
        <v>#DIV/0!</v>
      </c>
    </row>
    <row r="1125" spans="1:56" x14ac:dyDescent="0.25">
      <c r="A1125" s="19" t="s">
        <v>5</v>
      </c>
      <c r="B1125" s="8">
        <v>89840</v>
      </c>
      <c r="C1125" s="35">
        <f>B1125/F1117</f>
        <v>143.05732484076432</v>
      </c>
      <c r="D1125" s="8">
        <v>7050</v>
      </c>
      <c r="E1125" s="68">
        <v>0</v>
      </c>
      <c r="F1125" s="70">
        <v>0</v>
      </c>
      <c r="G1125" s="35" t="e">
        <f t="shared" si="2418"/>
        <v>#DIV/0!</v>
      </c>
      <c r="H1125" s="11" t="e">
        <f t="shared" si="2419"/>
        <v>#DIV/0!</v>
      </c>
      <c r="I1125" s="35">
        <v>0</v>
      </c>
      <c r="J1125" s="70">
        <v>0</v>
      </c>
      <c r="K1125" s="35" t="e">
        <f t="shared" si="2420"/>
        <v>#DIV/0!</v>
      </c>
      <c r="L1125" s="6" t="e">
        <f t="shared" si="2421"/>
        <v>#DIV/0!</v>
      </c>
      <c r="M1125" s="68">
        <v>0</v>
      </c>
      <c r="N1125" s="5">
        <v>0</v>
      </c>
      <c r="O1125" s="35" t="e">
        <f t="shared" si="2422"/>
        <v>#DIV/0!</v>
      </c>
      <c r="P1125" s="11" t="e">
        <f t="shared" si="2423"/>
        <v>#DIV/0!</v>
      </c>
      <c r="Q1125" s="35">
        <v>0</v>
      </c>
      <c r="R1125" s="66">
        <v>0</v>
      </c>
      <c r="S1125" s="35" t="e">
        <f t="shared" si="2424"/>
        <v>#DIV/0!</v>
      </c>
      <c r="T1125" s="6" t="e">
        <f t="shared" si="2425"/>
        <v>#DIV/0!</v>
      </c>
      <c r="U1125" s="68">
        <v>0</v>
      </c>
      <c r="V1125" s="66">
        <v>0</v>
      </c>
      <c r="W1125" s="35" t="e">
        <f t="shared" si="2426"/>
        <v>#DIV/0!</v>
      </c>
      <c r="X1125" s="6" t="e">
        <f t="shared" si="2427"/>
        <v>#DIV/0!</v>
      </c>
      <c r="Y1125" s="68">
        <v>71990</v>
      </c>
      <c r="Z1125" s="70">
        <v>628</v>
      </c>
      <c r="AA1125" s="35">
        <f t="shared" si="2428"/>
        <v>114.63375796178345</v>
      </c>
      <c r="AB1125" s="11">
        <f t="shared" si="2429"/>
        <v>0.80131344612644706</v>
      </c>
      <c r="AC1125" s="35">
        <v>0</v>
      </c>
      <c r="AD1125" s="36">
        <v>0</v>
      </c>
      <c r="AE1125" s="35" t="e">
        <f t="shared" si="2430"/>
        <v>#DIV/0!</v>
      </c>
      <c r="AF1125" s="6" t="e">
        <f t="shared" si="2431"/>
        <v>#DIV/0!</v>
      </c>
      <c r="AG1125" s="68">
        <v>0</v>
      </c>
      <c r="AH1125" s="66">
        <v>0</v>
      </c>
      <c r="AI1125" s="35" t="e">
        <f t="shared" si="2432"/>
        <v>#DIV/0!</v>
      </c>
      <c r="AJ1125" s="6" t="e">
        <f t="shared" si="2433"/>
        <v>#DIV/0!</v>
      </c>
      <c r="AK1125" s="68">
        <v>0</v>
      </c>
      <c r="AL1125" s="66">
        <v>88</v>
      </c>
      <c r="AM1125" s="35">
        <f t="shared" si="2434"/>
        <v>0</v>
      </c>
      <c r="AN1125" s="6">
        <f t="shared" si="2435"/>
        <v>0</v>
      </c>
      <c r="AO1125" s="68">
        <v>2250</v>
      </c>
      <c r="AP1125" s="66">
        <v>88</v>
      </c>
      <c r="AQ1125" s="35">
        <f t="shared" si="2436"/>
        <v>25.568181818181817</v>
      </c>
      <c r="AR1125" s="6">
        <f t="shared" si="2437"/>
        <v>0.17872682749129765</v>
      </c>
      <c r="AS1125" s="68">
        <v>0</v>
      </c>
      <c r="AT1125" s="66">
        <v>0</v>
      </c>
      <c r="AU1125" s="35" t="e">
        <f t="shared" si="2438"/>
        <v>#DIV/0!</v>
      </c>
      <c r="AV1125" s="6" t="e">
        <f t="shared" si="2439"/>
        <v>#DIV/0!</v>
      </c>
      <c r="AW1125" s="68">
        <v>5830</v>
      </c>
      <c r="AX1125" s="66">
        <v>272</v>
      </c>
      <c r="AY1125" s="35">
        <f t="shared" si="2440"/>
        <v>21.433823529411764</v>
      </c>
      <c r="AZ1125" s="6">
        <f t="shared" si="2441"/>
        <v>0.14982681630087477</v>
      </c>
      <c r="BA1125" s="68">
        <v>0</v>
      </c>
      <c r="BB1125" s="66">
        <v>0</v>
      </c>
      <c r="BC1125" s="35" t="e">
        <f t="shared" si="2442"/>
        <v>#DIV/0!</v>
      </c>
      <c r="BD1125" s="11" t="e">
        <f t="shared" si="2443"/>
        <v>#DIV/0!</v>
      </c>
    </row>
    <row r="1126" spans="1:56" x14ac:dyDescent="0.25">
      <c r="A1126" s="19" t="s">
        <v>6</v>
      </c>
      <c r="B1126" s="8">
        <v>102890</v>
      </c>
      <c r="C1126" s="35">
        <f>B1126/F1117</f>
        <v>163.83757961783439</v>
      </c>
      <c r="D1126" s="8">
        <v>10950</v>
      </c>
      <c r="E1126" s="68">
        <v>0</v>
      </c>
      <c r="F1126" s="70">
        <v>0</v>
      </c>
      <c r="G1126" s="35" t="e">
        <f t="shared" si="2418"/>
        <v>#DIV/0!</v>
      </c>
      <c r="H1126" s="11" t="e">
        <f t="shared" si="2419"/>
        <v>#DIV/0!</v>
      </c>
      <c r="I1126" s="35">
        <v>0</v>
      </c>
      <c r="J1126" s="70">
        <v>0</v>
      </c>
      <c r="K1126" s="35" t="e">
        <f t="shared" si="2420"/>
        <v>#DIV/0!</v>
      </c>
      <c r="L1126" s="6" t="e">
        <f t="shared" si="2421"/>
        <v>#DIV/0!</v>
      </c>
      <c r="M1126" s="68">
        <v>0</v>
      </c>
      <c r="N1126" s="5">
        <v>0</v>
      </c>
      <c r="O1126" s="35" t="e">
        <f t="shared" si="2422"/>
        <v>#DIV/0!</v>
      </c>
      <c r="P1126" s="11" t="e">
        <f t="shared" si="2423"/>
        <v>#DIV/0!</v>
      </c>
      <c r="Q1126" s="35">
        <v>0</v>
      </c>
      <c r="R1126" s="66">
        <v>0</v>
      </c>
      <c r="S1126" s="35" t="e">
        <f t="shared" si="2424"/>
        <v>#DIV/0!</v>
      </c>
      <c r="T1126" s="6" t="e">
        <f t="shared" si="2425"/>
        <v>#DIV/0!</v>
      </c>
      <c r="U1126" s="68">
        <v>0</v>
      </c>
      <c r="V1126" s="66">
        <v>0</v>
      </c>
      <c r="W1126" s="35" t="e">
        <f t="shared" si="2426"/>
        <v>#DIV/0!</v>
      </c>
      <c r="X1126" s="6" t="e">
        <f t="shared" si="2427"/>
        <v>#DIV/0!</v>
      </c>
      <c r="Y1126" s="68">
        <v>78830</v>
      </c>
      <c r="Z1126" s="70">
        <v>628</v>
      </c>
      <c r="AA1126" s="35">
        <f t="shared" si="2428"/>
        <v>125.52547770700637</v>
      </c>
      <c r="AB1126" s="11">
        <f t="shared" si="2429"/>
        <v>0.76615803285061723</v>
      </c>
      <c r="AC1126" s="35">
        <v>0</v>
      </c>
      <c r="AD1126" s="36">
        <v>0</v>
      </c>
      <c r="AE1126" s="35" t="e">
        <f t="shared" si="2430"/>
        <v>#DIV/0!</v>
      </c>
      <c r="AF1126" s="6" t="e">
        <f t="shared" si="2431"/>
        <v>#DIV/0!</v>
      </c>
      <c r="AG1126" s="68">
        <v>0</v>
      </c>
      <c r="AH1126" s="66">
        <v>0</v>
      </c>
      <c r="AI1126" s="35" t="e">
        <f t="shared" si="2432"/>
        <v>#DIV/0!</v>
      </c>
      <c r="AJ1126" s="6" t="e">
        <f t="shared" si="2433"/>
        <v>#DIV/0!</v>
      </c>
      <c r="AK1126" s="68">
        <v>0</v>
      </c>
      <c r="AL1126" s="66">
        <v>88</v>
      </c>
      <c r="AM1126" s="35">
        <f t="shared" si="2434"/>
        <v>0</v>
      </c>
      <c r="AN1126" s="6">
        <f t="shared" si="2435"/>
        <v>0</v>
      </c>
      <c r="AO1126" s="68">
        <v>2430</v>
      </c>
      <c r="AP1126" s="66">
        <v>88</v>
      </c>
      <c r="AQ1126" s="35">
        <f t="shared" si="2436"/>
        <v>27.613636363636363</v>
      </c>
      <c r="AR1126" s="6">
        <f t="shared" si="2437"/>
        <v>0.16854275086367612</v>
      </c>
      <c r="AS1126" s="68">
        <v>0</v>
      </c>
      <c r="AT1126" s="66">
        <v>0</v>
      </c>
      <c r="AU1126" s="35" t="e">
        <f t="shared" si="2438"/>
        <v>#DIV/0!</v>
      </c>
      <c r="AV1126" s="6" t="e">
        <f t="shared" si="2439"/>
        <v>#DIV/0!</v>
      </c>
      <c r="AW1126" s="68">
        <v>6750</v>
      </c>
      <c r="AX1126" s="66">
        <v>272</v>
      </c>
      <c r="AY1126" s="35">
        <f t="shared" si="2440"/>
        <v>24.816176470588236</v>
      </c>
      <c r="AZ1126" s="6">
        <f t="shared" si="2441"/>
        <v>0.1514681584559181</v>
      </c>
      <c r="BA1126" s="68">
        <v>0</v>
      </c>
      <c r="BB1126" s="66">
        <v>0</v>
      </c>
      <c r="BC1126" s="35" t="e">
        <f t="shared" si="2442"/>
        <v>#DIV/0!</v>
      </c>
      <c r="BD1126" s="11" t="e">
        <f t="shared" si="2443"/>
        <v>#DIV/0!</v>
      </c>
    </row>
    <row r="1127" spans="1:56" ht="15.75" thickBot="1" x14ac:dyDescent="0.3">
      <c r="A1127" s="21"/>
      <c r="B1127" s="22"/>
      <c r="C1127" s="23">
        <f>AVERAGE(Table11096[MA $/Sq Ft])</f>
        <v>104.60646041856232</v>
      </c>
      <c r="D1127" s="22">
        <f>AVERAGE(Table11096[Basic Allowance])</f>
        <v>4442.8571428571431</v>
      </c>
      <c r="E1127" s="16"/>
      <c r="F1127" s="22"/>
      <c r="G1127" s="15"/>
      <c r="H1127" s="24" t="e">
        <f>AVERAGE(Table11096[Bsmt % Base])</f>
        <v>#DIV/0!</v>
      </c>
      <c r="I1127" s="15"/>
      <c r="J1127" s="15"/>
      <c r="K1127" s="15"/>
      <c r="L1127" s="25" t="e">
        <f>AVERAGE(Table11096[[#Headers],[#Data],[UnfBsmt % Base]])</f>
        <v>#DIV/0!</v>
      </c>
      <c r="M1127" s="44"/>
      <c r="N1127" s="15"/>
      <c r="O1127" s="23" t="e">
        <f>AVERAGE(Table11096[LowerVal/SqFt])</f>
        <v>#DIV/0!</v>
      </c>
      <c r="P1127" s="24" t="e">
        <f>AVERAGE(Table11096[Lower % Base])</f>
        <v>#DIV/0!</v>
      </c>
      <c r="Q1127" s="13"/>
      <c r="R1127" s="13"/>
      <c r="S1127" s="13"/>
      <c r="T1127" s="25" t="e">
        <f>AVERAGE(Table11096[Unf Lower % Base])</f>
        <v>#DIV/0!</v>
      </c>
      <c r="U1127" s="12"/>
      <c r="V1127" s="13"/>
      <c r="W1127" s="13"/>
      <c r="X1127" s="25" t="e">
        <f>AVERAGE(Table11096[1/2 Story % Base])</f>
        <v>#DIV/0!</v>
      </c>
      <c r="Y1127" s="12"/>
      <c r="Z1127" s="13"/>
      <c r="AA1127" s="13"/>
      <c r="AB1127" s="24">
        <f>AVERAGE(Table11096[2nd Story % Base])</f>
        <v>0.76123707347463843</v>
      </c>
      <c r="AC1127" s="13"/>
      <c r="AD1127" s="13"/>
      <c r="AE1127" s="23" t="e">
        <f>AVERAGE(Table11096[AttGarVal/SqFt])</f>
        <v>#DIV/0!</v>
      </c>
      <c r="AF1127" s="25" t="e">
        <f>AVERAGE(Table11096[Att Gar % Base])</f>
        <v>#DIV/0!</v>
      </c>
      <c r="AG1127" s="12"/>
      <c r="AH1127" s="13"/>
      <c r="AI1127" s="13"/>
      <c r="AJ1127" s="25" t="e">
        <f>AVERAGE(Table11096[Porch % Base])</f>
        <v>#DIV/0!</v>
      </c>
      <c r="AK1127" s="12"/>
      <c r="AL1127" s="13"/>
      <c r="AM1127" s="13"/>
      <c r="AN1127" s="25">
        <f>AVERAGE(Table11096[Cov Porch % Base])</f>
        <v>0</v>
      </c>
      <c r="AO1127" s="12"/>
      <c r="AP1127" s="13"/>
      <c r="AQ1127" s="13"/>
      <c r="AR1127" s="25">
        <f>AVERAGE(Table11096[Deck % Base])</f>
        <v>0.18678616329207026</v>
      </c>
      <c r="AS1127" s="12"/>
      <c r="AT1127" s="13"/>
      <c r="AU1127" s="23" t="e">
        <f>AVERAGE(Table11096[CovDeckVal/SqFt])</f>
        <v>#DIV/0!</v>
      </c>
      <c r="AV1127" s="25" t="e">
        <f>AVERAGE(Table11096[CovDeck % Base])</f>
        <v>#DIV/0!</v>
      </c>
      <c r="AW1127" s="12"/>
      <c r="AX1127" s="13"/>
      <c r="AY1127" s="13"/>
      <c r="AZ1127" s="25">
        <f>AVERAGE(Table11096[CarP % Base])</f>
        <v>0.14657811991649197</v>
      </c>
      <c r="BA1127" s="12"/>
      <c r="BB1127" s="13"/>
      <c r="BC1127" s="13"/>
      <c r="BD1127" s="24" t="e">
        <f>AVERAGE(Table11096[EFP % Base])</f>
        <v>#DIV/0!</v>
      </c>
    </row>
    <row r="1129" spans="1:56" ht="15.75" thickBot="1" x14ac:dyDescent="0.3">
      <c r="A1129" s="82"/>
      <c r="B1129" t="s">
        <v>79</v>
      </c>
      <c r="C1129" s="78" t="s">
        <v>211</v>
      </c>
      <c r="E1129" t="s">
        <v>33</v>
      </c>
      <c r="F1129" s="79">
        <v>1590</v>
      </c>
      <c r="H1129" t="s">
        <v>80</v>
      </c>
      <c r="I1129" t="s">
        <v>212</v>
      </c>
    </row>
    <row r="1130" spans="1:56" x14ac:dyDescent="0.25">
      <c r="A1130" s="112"/>
      <c r="B1130" s="113"/>
      <c r="C1130" s="113"/>
      <c r="D1130" s="114"/>
      <c r="E1130" s="115" t="s">
        <v>27</v>
      </c>
      <c r="F1130" s="116"/>
      <c r="G1130" s="116"/>
      <c r="H1130" s="117"/>
      <c r="I1130" s="118" t="s">
        <v>28</v>
      </c>
      <c r="J1130" s="119"/>
      <c r="K1130" s="119"/>
      <c r="L1130" s="120"/>
      <c r="M1130" s="121" t="s">
        <v>7</v>
      </c>
      <c r="N1130" s="122"/>
      <c r="O1130" s="122"/>
      <c r="P1130" s="123"/>
      <c r="Q1130" s="124" t="s">
        <v>29</v>
      </c>
      <c r="R1130" s="125"/>
      <c r="S1130" s="125"/>
      <c r="T1130" s="126"/>
      <c r="U1130" s="127" t="s">
        <v>8</v>
      </c>
      <c r="V1130" s="128"/>
      <c r="W1130" s="128"/>
      <c r="X1130" s="129"/>
      <c r="Y1130" s="130" t="s">
        <v>0</v>
      </c>
      <c r="Z1130" s="131"/>
      <c r="AA1130" s="131"/>
      <c r="AB1130" s="132"/>
      <c r="AC1130" s="133" t="s">
        <v>34</v>
      </c>
      <c r="AD1130" s="134"/>
      <c r="AE1130" s="134"/>
      <c r="AF1130" s="135"/>
      <c r="AG1130" s="115" t="s">
        <v>9</v>
      </c>
      <c r="AH1130" s="116"/>
      <c r="AI1130" s="116"/>
      <c r="AJ1130" s="117"/>
      <c r="AK1130" s="136" t="s">
        <v>35</v>
      </c>
      <c r="AL1130" s="137"/>
      <c r="AM1130" s="137"/>
      <c r="AN1130" s="138"/>
      <c r="AO1130" s="139" t="s">
        <v>10</v>
      </c>
      <c r="AP1130" s="140"/>
      <c r="AQ1130" s="140"/>
      <c r="AR1130" s="141"/>
      <c r="AS1130" s="124" t="s">
        <v>36</v>
      </c>
      <c r="AT1130" s="125"/>
      <c r="AU1130" s="125"/>
      <c r="AV1130" s="126"/>
      <c r="AW1130" s="142" t="s">
        <v>11</v>
      </c>
      <c r="AX1130" s="143"/>
      <c r="AY1130" s="143"/>
      <c r="AZ1130" s="144"/>
      <c r="BA1130" s="148" t="s">
        <v>17</v>
      </c>
      <c r="BB1130" s="149"/>
      <c r="BC1130" s="149"/>
      <c r="BD1130" s="150"/>
    </row>
    <row r="1131" spans="1:56" s="1" customFormat="1" ht="15.75" thickBot="1" x14ac:dyDescent="0.3">
      <c r="A1131" s="41" t="s">
        <v>13</v>
      </c>
      <c r="B1131" s="42" t="s">
        <v>15</v>
      </c>
      <c r="C1131" s="42" t="s">
        <v>32</v>
      </c>
      <c r="D1131" s="43" t="s">
        <v>18</v>
      </c>
      <c r="E1131" s="30" t="s">
        <v>30</v>
      </c>
      <c r="F1131" s="31" t="s">
        <v>61</v>
      </c>
      <c r="G1131" s="31" t="s">
        <v>38</v>
      </c>
      <c r="H1131" s="32" t="s">
        <v>62</v>
      </c>
      <c r="I1131" s="37" t="s">
        <v>31</v>
      </c>
      <c r="J1131" s="38" t="s">
        <v>39</v>
      </c>
      <c r="K1131" s="38" t="s">
        <v>40</v>
      </c>
      <c r="L1131" s="39" t="s">
        <v>63</v>
      </c>
      <c r="M1131" s="40" t="s">
        <v>19</v>
      </c>
      <c r="N1131" s="7" t="s">
        <v>41</v>
      </c>
      <c r="O1131" s="7" t="s">
        <v>37</v>
      </c>
      <c r="P1131" s="7" t="s">
        <v>64</v>
      </c>
      <c r="Q1131" s="27" t="s">
        <v>20</v>
      </c>
      <c r="R1131" s="28" t="s">
        <v>60</v>
      </c>
      <c r="S1131" s="28" t="s">
        <v>59</v>
      </c>
      <c r="T1131" s="29" t="s">
        <v>65</v>
      </c>
      <c r="U1131" s="48" t="s">
        <v>21</v>
      </c>
      <c r="V1131" s="48" t="s">
        <v>42</v>
      </c>
      <c r="W1131" s="48" t="s">
        <v>43</v>
      </c>
      <c r="X1131" s="49" t="s">
        <v>66</v>
      </c>
      <c r="Y1131" s="50" t="s">
        <v>22</v>
      </c>
      <c r="Z1131" s="51" t="s">
        <v>44</v>
      </c>
      <c r="AA1131" s="51" t="s">
        <v>45</v>
      </c>
      <c r="AB1131" s="52" t="s">
        <v>67</v>
      </c>
      <c r="AC1131" s="45" t="s">
        <v>23</v>
      </c>
      <c r="AD1131" s="46" t="s">
        <v>46</v>
      </c>
      <c r="AE1131" s="46" t="s">
        <v>47</v>
      </c>
      <c r="AF1131" s="47" t="s">
        <v>68</v>
      </c>
      <c r="AG1131" s="30" t="s">
        <v>24</v>
      </c>
      <c r="AH1131" s="31" t="s">
        <v>48</v>
      </c>
      <c r="AI1131" s="31" t="s">
        <v>49</v>
      </c>
      <c r="AJ1131" s="32" t="s">
        <v>69</v>
      </c>
      <c r="AK1131" s="53" t="s">
        <v>25</v>
      </c>
      <c r="AL1131" s="54" t="s">
        <v>50</v>
      </c>
      <c r="AM1131" s="54" t="s">
        <v>51</v>
      </c>
      <c r="AN1131" s="55" t="s">
        <v>70</v>
      </c>
      <c r="AO1131" s="56" t="s">
        <v>26</v>
      </c>
      <c r="AP1131" s="57" t="s">
        <v>52</v>
      </c>
      <c r="AQ1131" s="57" t="s">
        <v>53</v>
      </c>
      <c r="AR1131" s="58" t="s">
        <v>71</v>
      </c>
      <c r="AS1131" s="59" t="s">
        <v>55</v>
      </c>
      <c r="AT1131" s="60" t="s">
        <v>54</v>
      </c>
      <c r="AU1131" s="60" t="s">
        <v>56</v>
      </c>
      <c r="AV1131" s="61" t="s">
        <v>76</v>
      </c>
      <c r="AW1131" s="62" t="s">
        <v>72</v>
      </c>
      <c r="AX1131" s="63" t="s">
        <v>73</v>
      </c>
      <c r="AY1131" s="63" t="s">
        <v>74</v>
      </c>
      <c r="AZ1131" s="64" t="s">
        <v>75</v>
      </c>
      <c r="BA1131" s="71" t="s">
        <v>77</v>
      </c>
      <c r="BB1131" s="72" t="s">
        <v>57</v>
      </c>
      <c r="BC1131" s="72" t="s">
        <v>58</v>
      </c>
      <c r="BD1131" s="73" t="s">
        <v>78</v>
      </c>
    </row>
    <row r="1132" spans="1:56" ht="15.75" thickBot="1" x14ac:dyDescent="0.3">
      <c r="A1132" s="17" t="s">
        <v>1</v>
      </c>
      <c r="B1132" s="14">
        <v>77410</v>
      </c>
      <c r="C1132" s="34">
        <f>B1132/F1129</f>
        <v>48.685534591194966</v>
      </c>
      <c r="D1132" s="14">
        <v>1525</v>
      </c>
      <c r="E1132" s="67">
        <v>0</v>
      </c>
      <c r="F1132" s="69">
        <v>0</v>
      </c>
      <c r="G1132" s="34" t="e">
        <f t="shared" ref="G1132:G1138" si="2444">E1132/F1132</f>
        <v>#DIV/0!</v>
      </c>
      <c r="H1132" s="10" t="e">
        <f t="shared" ref="H1132:H1138" si="2445">G1132/C1132</f>
        <v>#DIV/0!</v>
      </c>
      <c r="I1132" s="34">
        <v>0</v>
      </c>
      <c r="J1132" s="69">
        <v>0</v>
      </c>
      <c r="K1132" s="34" t="e">
        <f t="shared" ref="K1132:K1138" si="2446">I1132/J1132</f>
        <v>#DIV/0!</v>
      </c>
      <c r="L1132" s="9" t="e">
        <f t="shared" ref="L1132:L1138" si="2447">K1132/C1132</f>
        <v>#DIV/0!</v>
      </c>
      <c r="M1132" s="67">
        <v>0</v>
      </c>
      <c r="N1132" s="26">
        <v>0</v>
      </c>
      <c r="O1132" s="34" t="e">
        <f t="shared" ref="O1132:O1138" si="2448">M1132/N1132</f>
        <v>#DIV/0!</v>
      </c>
      <c r="P1132" s="10" t="e">
        <f t="shared" ref="P1132:P1138" si="2449">O1132/C1132</f>
        <v>#DIV/0!</v>
      </c>
      <c r="Q1132" s="35">
        <v>0</v>
      </c>
      <c r="R1132" s="66">
        <v>0</v>
      </c>
      <c r="S1132" s="35" t="e">
        <f t="shared" ref="S1132:S1138" si="2450">Q1132/R1132</f>
        <v>#DIV/0!</v>
      </c>
      <c r="T1132" s="6" t="e">
        <f t="shared" ref="T1132:T1138" si="2451">S1132/C1132</f>
        <v>#DIV/0!</v>
      </c>
      <c r="U1132" s="67">
        <v>0</v>
      </c>
      <c r="V1132" s="65">
        <v>0</v>
      </c>
      <c r="W1132" s="18" t="e">
        <f t="shared" ref="W1132:W1138" si="2452">U1132/V1132</f>
        <v>#DIV/0!</v>
      </c>
      <c r="X1132" s="9" t="e">
        <f t="shared" ref="X1132:X1138" si="2453">W1132/C1132</f>
        <v>#DIV/0!</v>
      </c>
      <c r="Y1132" s="67">
        <v>0</v>
      </c>
      <c r="Z1132" s="69">
        <v>0</v>
      </c>
      <c r="AA1132" s="34" t="e">
        <f t="shared" ref="AA1132:AA1138" si="2454">Y1132/Z1132</f>
        <v>#DIV/0!</v>
      </c>
      <c r="AB1132" s="10" t="e">
        <f t="shared" ref="AB1132:AB1138" si="2455">AA1132/C1132</f>
        <v>#DIV/0!</v>
      </c>
      <c r="AC1132" s="18">
        <v>8140</v>
      </c>
      <c r="AD1132" s="33">
        <v>550</v>
      </c>
      <c r="AE1132" s="34">
        <f t="shared" ref="AE1132:AE1138" si="2456">AC1132/AD1132</f>
        <v>14.8</v>
      </c>
      <c r="AF1132" s="9">
        <f t="shared" ref="AF1132:AF1138" si="2457">AE1132/C1132</f>
        <v>0.30399173233432375</v>
      </c>
      <c r="AG1132" s="67">
        <v>0</v>
      </c>
      <c r="AH1132" s="65">
        <v>0</v>
      </c>
      <c r="AI1132" s="34" t="e">
        <f t="shared" ref="AI1132:AI1138" si="2458">AG1132/AH1132</f>
        <v>#DIV/0!</v>
      </c>
      <c r="AJ1132" s="9" t="e">
        <f t="shared" ref="AJ1132:AJ1138" si="2459">AI1132/C1132</f>
        <v>#DIV/0!</v>
      </c>
      <c r="AK1132" s="67">
        <v>0</v>
      </c>
      <c r="AL1132" s="65">
        <v>0</v>
      </c>
      <c r="AM1132" s="34" t="e">
        <f t="shared" ref="AM1132:AM1138" si="2460">AK1132/AL1132</f>
        <v>#DIV/0!</v>
      </c>
      <c r="AN1132" s="9" t="e">
        <f t="shared" ref="AN1132:AN1138" si="2461">AM1132/C1132</f>
        <v>#DIV/0!</v>
      </c>
      <c r="AO1132" s="67">
        <v>0</v>
      </c>
      <c r="AP1132" s="65">
        <v>0</v>
      </c>
      <c r="AQ1132" s="34" t="e">
        <f t="shared" ref="AQ1132:AQ1138" si="2462">AO1132/AP1132</f>
        <v>#DIV/0!</v>
      </c>
      <c r="AR1132" s="9" t="e">
        <f t="shared" ref="AR1132:AR1138" si="2463">AQ1132/C1132</f>
        <v>#DIV/0!</v>
      </c>
      <c r="AS1132" s="67">
        <v>0</v>
      </c>
      <c r="AT1132" s="65">
        <v>0</v>
      </c>
      <c r="AU1132" s="34" t="e">
        <f t="shared" ref="AU1132:AU1138" si="2464">AS1132/AT1132</f>
        <v>#DIV/0!</v>
      </c>
      <c r="AV1132" s="9" t="e">
        <f t="shared" ref="AV1132:AV1138" si="2465">AU1132/C1132</f>
        <v>#DIV/0!</v>
      </c>
      <c r="AW1132" s="67">
        <v>0</v>
      </c>
      <c r="AX1132" s="65">
        <v>0</v>
      </c>
      <c r="AY1132" s="34" t="e">
        <f t="shared" ref="AY1132:AY1138" si="2466">AW1132/AX1132</f>
        <v>#DIV/0!</v>
      </c>
      <c r="AZ1132" s="9" t="e">
        <f t="shared" ref="AZ1132:AZ1138" si="2467">AY1132/C1132</f>
        <v>#DIV/0!</v>
      </c>
      <c r="BA1132" s="67">
        <v>0</v>
      </c>
      <c r="BB1132" s="65">
        <v>0</v>
      </c>
      <c r="BC1132" s="34" t="e">
        <f t="shared" ref="BC1132:BC1138" si="2468">BA1132/BB1132</f>
        <v>#DIV/0!</v>
      </c>
      <c r="BD1132" s="10" t="e">
        <f t="shared" ref="BD1132:BD1138" si="2469">BC1132/C1132</f>
        <v>#DIV/0!</v>
      </c>
    </row>
    <row r="1133" spans="1:56" ht="15.75" thickBot="1" x14ac:dyDescent="0.3">
      <c r="A1133" s="19" t="s">
        <v>16</v>
      </c>
      <c r="B1133" s="8">
        <v>91080</v>
      </c>
      <c r="C1133" s="35">
        <f>B1133/F1129</f>
        <v>57.283018867924525</v>
      </c>
      <c r="D1133" s="8">
        <v>1525</v>
      </c>
      <c r="E1133" s="68">
        <v>0</v>
      </c>
      <c r="F1133" s="70">
        <v>0</v>
      </c>
      <c r="G1133" s="35" t="e">
        <f t="shared" si="2444"/>
        <v>#DIV/0!</v>
      </c>
      <c r="H1133" s="11" t="e">
        <f t="shared" si="2445"/>
        <v>#DIV/0!</v>
      </c>
      <c r="I1133" s="35">
        <v>0</v>
      </c>
      <c r="J1133" s="70">
        <v>0</v>
      </c>
      <c r="K1133" s="35" t="e">
        <f t="shared" si="2446"/>
        <v>#DIV/0!</v>
      </c>
      <c r="L1133" s="6" t="e">
        <f t="shared" si="2447"/>
        <v>#DIV/0!</v>
      </c>
      <c r="M1133" s="68">
        <v>0</v>
      </c>
      <c r="N1133" s="5">
        <v>0</v>
      </c>
      <c r="O1133" s="35" t="e">
        <f t="shared" si="2448"/>
        <v>#DIV/0!</v>
      </c>
      <c r="P1133" s="11" t="e">
        <f t="shared" si="2449"/>
        <v>#DIV/0!</v>
      </c>
      <c r="Q1133" s="35">
        <v>0</v>
      </c>
      <c r="R1133" s="66">
        <v>0</v>
      </c>
      <c r="S1133" s="35" t="e">
        <f t="shared" si="2450"/>
        <v>#DIV/0!</v>
      </c>
      <c r="T1133" s="6" t="e">
        <f t="shared" si="2451"/>
        <v>#DIV/0!</v>
      </c>
      <c r="U1133" s="68">
        <v>0</v>
      </c>
      <c r="V1133" s="66">
        <v>0</v>
      </c>
      <c r="W1133" s="20" t="e">
        <f t="shared" si="2452"/>
        <v>#DIV/0!</v>
      </c>
      <c r="X1133" s="6" t="e">
        <f t="shared" si="2453"/>
        <v>#DIV/0!</v>
      </c>
      <c r="Y1133" s="68">
        <v>0</v>
      </c>
      <c r="Z1133" s="70">
        <v>0</v>
      </c>
      <c r="AA1133" s="35" t="e">
        <f t="shared" si="2454"/>
        <v>#DIV/0!</v>
      </c>
      <c r="AB1133" s="11" t="e">
        <f t="shared" si="2455"/>
        <v>#DIV/0!</v>
      </c>
      <c r="AC1133" s="20">
        <v>11080</v>
      </c>
      <c r="AD1133" s="33">
        <v>550</v>
      </c>
      <c r="AE1133" s="35">
        <f t="shared" si="2456"/>
        <v>20.145454545454545</v>
      </c>
      <c r="AF1133" s="6">
        <f t="shared" si="2457"/>
        <v>0.35168283626781649</v>
      </c>
      <c r="AG1133" s="68">
        <v>0</v>
      </c>
      <c r="AH1133" s="66">
        <v>0</v>
      </c>
      <c r="AI1133" s="35" t="e">
        <f t="shared" si="2458"/>
        <v>#DIV/0!</v>
      </c>
      <c r="AJ1133" s="6" t="e">
        <f t="shared" si="2459"/>
        <v>#DIV/0!</v>
      </c>
      <c r="AK1133" s="68">
        <v>0</v>
      </c>
      <c r="AL1133" s="66">
        <v>0</v>
      </c>
      <c r="AM1133" s="35" t="e">
        <f t="shared" si="2460"/>
        <v>#DIV/0!</v>
      </c>
      <c r="AN1133" s="6" t="e">
        <f t="shared" si="2461"/>
        <v>#DIV/0!</v>
      </c>
      <c r="AO1133" s="68">
        <v>0</v>
      </c>
      <c r="AP1133" s="66">
        <v>0</v>
      </c>
      <c r="AQ1133" s="35" t="e">
        <f t="shared" si="2462"/>
        <v>#DIV/0!</v>
      </c>
      <c r="AR1133" s="6" t="e">
        <f t="shared" si="2463"/>
        <v>#DIV/0!</v>
      </c>
      <c r="AS1133" s="68">
        <v>0</v>
      </c>
      <c r="AT1133" s="66">
        <v>0</v>
      </c>
      <c r="AU1133" s="35" t="e">
        <f t="shared" si="2464"/>
        <v>#DIV/0!</v>
      </c>
      <c r="AV1133" s="6" t="e">
        <f t="shared" si="2465"/>
        <v>#DIV/0!</v>
      </c>
      <c r="AW1133" s="68">
        <v>0</v>
      </c>
      <c r="AX1133" s="66">
        <v>0</v>
      </c>
      <c r="AY1133" s="35" t="e">
        <f t="shared" si="2466"/>
        <v>#DIV/0!</v>
      </c>
      <c r="AZ1133" s="6" t="e">
        <f t="shared" si="2467"/>
        <v>#DIV/0!</v>
      </c>
      <c r="BA1133" s="68">
        <v>0</v>
      </c>
      <c r="BB1133" s="66">
        <v>0</v>
      </c>
      <c r="BC1133" s="35" t="e">
        <f t="shared" si="2468"/>
        <v>#DIV/0!</v>
      </c>
      <c r="BD1133" s="11" t="e">
        <f t="shared" si="2469"/>
        <v>#DIV/0!</v>
      </c>
    </row>
    <row r="1134" spans="1:56" ht="15.75" thickBot="1" x14ac:dyDescent="0.3">
      <c r="A1134" s="19" t="s">
        <v>2</v>
      </c>
      <c r="B1134" s="8">
        <v>106350</v>
      </c>
      <c r="C1134" s="35">
        <f>B1134/F1129</f>
        <v>66.886792452830193</v>
      </c>
      <c r="D1134" s="8">
        <v>2100</v>
      </c>
      <c r="E1134" s="68">
        <v>0</v>
      </c>
      <c r="F1134" s="70">
        <v>0</v>
      </c>
      <c r="G1134" s="35" t="e">
        <f t="shared" si="2444"/>
        <v>#DIV/0!</v>
      </c>
      <c r="H1134" s="11" t="e">
        <f t="shared" si="2445"/>
        <v>#DIV/0!</v>
      </c>
      <c r="I1134" s="35">
        <v>0</v>
      </c>
      <c r="J1134" s="70">
        <v>0</v>
      </c>
      <c r="K1134" s="35" t="e">
        <f t="shared" si="2446"/>
        <v>#DIV/0!</v>
      </c>
      <c r="L1134" s="6" t="e">
        <f t="shared" si="2447"/>
        <v>#DIV/0!</v>
      </c>
      <c r="M1134" s="68">
        <v>0</v>
      </c>
      <c r="N1134" s="5">
        <v>0</v>
      </c>
      <c r="O1134" s="35" t="e">
        <f t="shared" si="2448"/>
        <v>#DIV/0!</v>
      </c>
      <c r="P1134" s="11" t="e">
        <f t="shared" si="2449"/>
        <v>#DIV/0!</v>
      </c>
      <c r="Q1134" s="35">
        <v>0</v>
      </c>
      <c r="R1134" s="66">
        <v>0</v>
      </c>
      <c r="S1134" s="35" t="e">
        <f t="shared" si="2450"/>
        <v>#DIV/0!</v>
      </c>
      <c r="T1134" s="6" t="e">
        <f t="shared" si="2451"/>
        <v>#DIV/0!</v>
      </c>
      <c r="U1134" s="68">
        <v>0</v>
      </c>
      <c r="V1134" s="66">
        <v>0</v>
      </c>
      <c r="W1134" s="20" t="e">
        <f t="shared" si="2452"/>
        <v>#DIV/0!</v>
      </c>
      <c r="X1134" s="6" t="e">
        <f t="shared" si="2453"/>
        <v>#DIV/0!</v>
      </c>
      <c r="Y1134" s="68">
        <v>0</v>
      </c>
      <c r="Z1134" s="70">
        <v>0</v>
      </c>
      <c r="AA1134" s="35" t="e">
        <f t="shared" si="2454"/>
        <v>#DIV/0!</v>
      </c>
      <c r="AB1134" s="11" t="e">
        <f t="shared" si="2455"/>
        <v>#DIV/0!</v>
      </c>
      <c r="AC1134" s="20">
        <v>13850</v>
      </c>
      <c r="AD1134" s="33">
        <v>550</v>
      </c>
      <c r="AE1134" s="35">
        <f t="shared" si="2456"/>
        <v>25.181818181818183</v>
      </c>
      <c r="AF1134" s="6">
        <f t="shared" si="2457"/>
        <v>0.37648416463649187</v>
      </c>
      <c r="AG1134" s="68">
        <v>0</v>
      </c>
      <c r="AH1134" s="66">
        <v>0</v>
      </c>
      <c r="AI1134" s="35" t="e">
        <f t="shared" si="2458"/>
        <v>#DIV/0!</v>
      </c>
      <c r="AJ1134" s="6" t="e">
        <f t="shared" si="2459"/>
        <v>#DIV/0!</v>
      </c>
      <c r="AK1134" s="68">
        <v>0</v>
      </c>
      <c r="AL1134" s="66">
        <v>0</v>
      </c>
      <c r="AM1134" s="35" t="e">
        <f t="shared" si="2460"/>
        <v>#DIV/0!</v>
      </c>
      <c r="AN1134" s="6" t="e">
        <f t="shared" si="2461"/>
        <v>#DIV/0!</v>
      </c>
      <c r="AO1134" s="68">
        <v>0</v>
      </c>
      <c r="AP1134" s="66">
        <v>0</v>
      </c>
      <c r="AQ1134" s="35" t="e">
        <f t="shared" si="2462"/>
        <v>#DIV/0!</v>
      </c>
      <c r="AR1134" s="6" t="e">
        <f t="shared" si="2463"/>
        <v>#DIV/0!</v>
      </c>
      <c r="AS1134" s="68">
        <v>0</v>
      </c>
      <c r="AT1134" s="66">
        <v>0</v>
      </c>
      <c r="AU1134" s="35" t="e">
        <f t="shared" si="2464"/>
        <v>#DIV/0!</v>
      </c>
      <c r="AV1134" s="6" t="e">
        <f t="shared" si="2465"/>
        <v>#DIV/0!</v>
      </c>
      <c r="AW1134" s="68">
        <v>0</v>
      </c>
      <c r="AX1134" s="66">
        <v>0</v>
      </c>
      <c r="AY1134" s="35" t="e">
        <f t="shared" si="2466"/>
        <v>#DIV/0!</v>
      </c>
      <c r="AZ1134" s="6" t="e">
        <f t="shared" si="2467"/>
        <v>#DIV/0!</v>
      </c>
      <c r="BA1134" s="68">
        <v>0</v>
      </c>
      <c r="BB1134" s="66">
        <v>0</v>
      </c>
      <c r="BC1134" s="35" t="e">
        <f t="shared" si="2468"/>
        <v>#DIV/0!</v>
      </c>
      <c r="BD1134" s="11" t="e">
        <f t="shared" si="2469"/>
        <v>#DIV/0!</v>
      </c>
    </row>
    <row r="1135" spans="1:56" ht="15.75" thickBot="1" x14ac:dyDescent="0.3">
      <c r="A1135" s="19" t="s">
        <v>3</v>
      </c>
      <c r="B1135" s="8">
        <v>128710</v>
      </c>
      <c r="C1135" s="35">
        <f>B1135/F1129</f>
        <v>80.949685534591197</v>
      </c>
      <c r="D1135" s="8">
        <v>2700</v>
      </c>
      <c r="E1135" s="68">
        <v>0</v>
      </c>
      <c r="F1135" s="70">
        <v>0</v>
      </c>
      <c r="G1135" s="35" t="e">
        <f t="shared" si="2444"/>
        <v>#DIV/0!</v>
      </c>
      <c r="H1135" s="11" t="e">
        <f t="shared" si="2445"/>
        <v>#DIV/0!</v>
      </c>
      <c r="I1135" s="35">
        <v>0</v>
      </c>
      <c r="J1135" s="70">
        <v>0</v>
      </c>
      <c r="K1135" s="35" t="e">
        <f t="shared" si="2446"/>
        <v>#DIV/0!</v>
      </c>
      <c r="L1135" s="6" t="e">
        <f t="shared" si="2447"/>
        <v>#DIV/0!</v>
      </c>
      <c r="M1135" s="68">
        <v>0</v>
      </c>
      <c r="N1135" s="5">
        <v>0</v>
      </c>
      <c r="O1135" s="35" t="e">
        <f t="shared" si="2448"/>
        <v>#DIV/0!</v>
      </c>
      <c r="P1135" s="11" t="e">
        <f t="shared" si="2449"/>
        <v>#DIV/0!</v>
      </c>
      <c r="Q1135" s="35">
        <v>0</v>
      </c>
      <c r="R1135" s="66">
        <v>0</v>
      </c>
      <c r="S1135" s="35" t="e">
        <f t="shared" si="2450"/>
        <v>#DIV/0!</v>
      </c>
      <c r="T1135" s="6" t="e">
        <f t="shared" si="2451"/>
        <v>#DIV/0!</v>
      </c>
      <c r="U1135" s="68">
        <v>0</v>
      </c>
      <c r="V1135" s="66">
        <v>0</v>
      </c>
      <c r="W1135" s="20" t="e">
        <f t="shared" si="2452"/>
        <v>#DIV/0!</v>
      </c>
      <c r="X1135" s="6" t="e">
        <f t="shared" si="2453"/>
        <v>#DIV/0!</v>
      </c>
      <c r="Y1135" s="68">
        <v>0</v>
      </c>
      <c r="Z1135" s="70">
        <v>0</v>
      </c>
      <c r="AA1135" s="35" t="e">
        <f t="shared" si="2454"/>
        <v>#DIV/0!</v>
      </c>
      <c r="AB1135" s="11" t="e">
        <f t="shared" si="2455"/>
        <v>#DIV/0!</v>
      </c>
      <c r="AC1135" s="20">
        <v>14720</v>
      </c>
      <c r="AD1135" s="33">
        <v>550</v>
      </c>
      <c r="AE1135" s="35">
        <f t="shared" si="2456"/>
        <v>26.763636363636362</v>
      </c>
      <c r="AF1135" s="6">
        <f t="shared" si="2457"/>
        <v>0.33062063412463533</v>
      </c>
      <c r="AG1135" s="68">
        <v>0</v>
      </c>
      <c r="AH1135" s="66">
        <v>0</v>
      </c>
      <c r="AI1135" s="35" t="e">
        <f t="shared" si="2458"/>
        <v>#DIV/0!</v>
      </c>
      <c r="AJ1135" s="6" t="e">
        <f t="shared" si="2459"/>
        <v>#DIV/0!</v>
      </c>
      <c r="AK1135" s="68">
        <v>0</v>
      </c>
      <c r="AL1135" s="66">
        <v>0</v>
      </c>
      <c r="AM1135" s="35" t="e">
        <f t="shared" si="2460"/>
        <v>#DIV/0!</v>
      </c>
      <c r="AN1135" s="6" t="e">
        <f t="shared" si="2461"/>
        <v>#DIV/0!</v>
      </c>
      <c r="AO1135" s="68">
        <v>0</v>
      </c>
      <c r="AP1135" s="66">
        <v>0</v>
      </c>
      <c r="AQ1135" s="35" t="e">
        <f t="shared" si="2462"/>
        <v>#DIV/0!</v>
      </c>
      <c r="AR1135" s="6" t="e">
        <f t="shared" si="2463"/>
        <v>#DIV/0!</v>
      </c>
      <c r="AS1135" s="68">
        <v>0</v>
      </c>
      <c r="AT1135" s="66">
        <v>0</v>
      </c>
      <c r="AU1135" s="35" t="e">
        <f t="shared" si="2464"/>
        <v>#DIV/0!</v>
      </c>
      <c r="AV1135" s="6" t="e">
        <f t="shared" si="2465"/>
        <v>#DIV/0!</v>
      </c>
      <c r="AW1135" s="68">
        <v>0</v>
      </c>
      <c r="AX1135" s="66">
        <v>0</v>
      </c>
      <c r="AY1135" s="35" t="e">
        <f t="shared" si="2466"/>
        <v>#DIV/0!</v>
      </c>
      <c r="AZ1135" s="6" t="e">
        <f t="shared" si="2467"/>
        <v>#DIV/0!</v>
      </c>
      <c r="BA1135" s="68">
        <v>0</v>
      </c>
      <c r="BB1135" s="66">
        <v>0</v>
      </c>
      <c r="BC1135" s="35" t="e">
        <f t="shared" si="2468"/>
        <v>#DIV/0!</v>
      </c>
      <c r="BD1135" s="11" t="e">
        <f t="shared" si="2469"/>
        <v>#DIV/0!</v>
      </c>
    </row>
    <row r="1136" spans="1:56" ht="15.75" thickBot="1" x14ac:dyDescent="0.3">
      <c r="A1136" s="19" t="s">
        <v>4</v>
      </c>
      <c r="B1136" s="8">
        <v>159690</v>
      </c>
      <c r="C1136" s="35">
        <f>B1136/F1129</f>
        <v>100.43396226415095</v>
      </c>
      <c r="D1136" s="8">
        <v>5250</v>
      </c>
      <c r="E1136" s="68">
        <v>0</v>
      </c>
      <c r="F1136" s="70">
        <v>0</v>
      </c>
      <c r="G1136" s="35" t="e">
        <f t="shared" si="2444"/>
        <v>#DIV/0!</v>
      </c>
      <c r="H1136" s="11" t="e">
        <f t="shared" si="2445"/>
        <v>#DIV/0!</v>
      </c>
      <c r="I1136" s="35">
        <v>0</v>
      </c>
      <c r="J1136" s="70">
        <v>0</v>
      </c>
      <c r="K1136" s="35" t="e">
        <f t="shared" si="2446"/>
        <v>#DIV/0!</v>
      </c>
      <c r="L1136" s="6" t="e">
        <f t="shared" si="2447"/>
        <v>#DIV/0!</v>
      </c>
      <c r="M1136" s="68">
        <v>0</v>
      </c>
      <c r="N1136" s="5">
        <v>0</v>
      </c>
      <c r="O1136" s="35" t="e">
        <f t="shared" si="2448"/>
        <v>#DIV/0!</v>
      </c>
      <c r="P1136" s="11" t="e">
        <f t="shared" si="2449"/>
        <v>#DIV/0!</v>
      </c>
      <c r="Q1136" s="35">
        <v>0</v>
      </c>
      <c r="R1136" s="66">
        <v>0</v>
      </c>
      <c r="S1136" s="35" t="e">
        <f t="shared" si="2450"/>
        <v>#DIV/0!</v>
      </c>
      <c r="T1136" s="6" t="e">
        <f t="shared" si="2451"/>
        <v>#DIV/0!</v>
      </c>
      <c r="U1136" s="68">
        <v>0</v>
      </c>
      <c r="V1136" s="66">
        <v>0</v>
      </c>
      <c r="W1136" s="20" t="e">
        <f t="shared" si="2452"/>
        <v>#DIV/0!</v>
      </c>
      <c r="X1136" s="6" t="e">
        <f t="shared" si="2453"/>
        <v>#DIV/0!</v>
      </c>
      <c r="Y1136" s="68">
        <v>0</v>
      </c>
      <c r="Z1136" s="70">
        <v>0</v>
      </c>
      <c r="AA1136" s="35" t="e">
        <f t="shared" si="2454"/>
        <v>#DIV/0!</v>
      </c>
      <c r="AB1136" s="11" t="e">
        <f t="shared" si="2455"/>
        <v>#DIV/0!</v>
      </c>
      <c r="AC1136" s="20">
        <v>16770</v>
      </c>
      <c r="AD1136" s="33">
        <v>550</v>
      </c>
      <c r="AE1136" s="35">
        <f t="shared" si="2456"/>
        <v>30.490909090909092</v>
      </c>
      <c r="AF1136" s="6">
        <f t="shared" si="2457"/>
        <v>0.30359161785049443</v>
      </c>
      <c r="AG1136" s="68">
        <v>0</v>
      </c>
      <c r="AH1136" s="66">
        <v>0</v>
      </c>
      <c r="AI1136" s="35" t="e">
        <f t="shared" si="2458"/>
        <v>#DIV/0!</v>
      </c>
      <c r="AJ1136" s="6" t="e">
        <f t="shared" si="2459"/>
        <v>#DIV/0!</v>
      </c>
      <c r="AK1136" s="68">
        <v>0</v>
      </c>
      <c r="AL1136" s="66">
        <v>0</v>
      </c>
      <c r="AM1136" s="35" t="e">
        <f t="shared" si="2460"/>
        <v>#DIV/0!</v>
      </c>
      <c r="AN1136" s="6" t="e">
        <f t="shared" si="2461"/>
        <v>#DIV/0!</v>
      </c>
      <c r="AO1136" s="68">
        <v>0</v>
      </c>
      <c r="AP1136" s="66">
        <v>0</v>
      </c>
      <c r="AQ1136" s="35" t="e">
        <f t="shared" si="2462"/>
        <v>#DIV/0!</v>
      </c>
      <c r="AR1136" s="6" t="e">
        <f t="shared" si="2463"/>
        <v>#DIV/0!</v>
      </c>
      <c r="AS1136" s="68">
        <v>0</v>
      </c>
      <c r="AT1136" s="66">
        <v>0</v>
      </c>
      <c r="AU1136" s="35" t="e">
        <f t="shared" si="2464"/>
        <v>#DIV/0!</v>
      </c>
      <c r="AV1136" s="6" t="e">
        <f t="shared" si="2465"/>
        <v>#DIV/0!</v>
      </c>
      <c r="AW1136" s="68">
        <v>0</v>
      </c>
      <c r="AX1136" s="66">
        <v>0</v>
      </c>
      <c r="AY1136" s="35" t="e">
        <f t="shared" si="2466"/>
        <v>#DIV/0!</v>
      </c>
      <c r="AZ1136" s="6" t="e">
        <f t="shared" si="2467"/>
        <v>#DIV/0!</v>
      </c>
      <c r="BA1136" s="68">
        <v>0</v>
      </c>
      <c r="BB1136" s="66">
        <v>0</v>
      </c>
      <c r="BC1136" s="35" t="e">
        <f t="shared" si="2468"/>
        <v>#DIV/0!</v>
      </c>
      <c r="BD1136" s="11" t="e">
        <f t="shared" si="2469"/>
        <v>#DIV/0!</v>
      </c>
    </row>
    <row r="1137" spans="1:56" ht="15.75" thickBot="1" x14ac:dyDescent="0.3">
      <c r="A1137" s="19" t="s">
        <v>5</v>
      </c>
      <c r="B1137" s="8">
        <v>210600</v>
      </c>
      <c r="C1137" s="35">
        <f>B1137/F1129</f>
        <v>132.45283018867926</v>
      </c>
      <c r="D1137" s="8">
        <v>7050</v>
      </c>
      <c r="E1137" s="68">
        <v>0</v>
      </c>
      <c r="F1137" s="70">
        <v>0</v>
      </c>
      <c r="G1137" s="35" t="e">
        <f t="shared" si="2444"/>
        <v>#DIV/0!</v>
      </c>
      <c r="H1137" s="11" t="e">
        <f t="shared" si="2445"/>
        <v>#DIV/0!</v>
      </c>
      <c r="I1137" s="35">
        <v>0</v>
      </c>
      <c r="J1137" s="70">
        <v>0</v>
      </c>
      <c r="K1137" s="35" t="e">
        <f t="shared" si="2446"/>
        <v>#DIV/0!</v>
      </c>
      <c r="L1137" s="6" t="e">
        <f t="shared" si="2447"/>
        <v>#DIV/0!</v>
      </c>
      <c r="M1137" s="68">
        <v>0</v>
      </c>
      <c r="N1137" s="5">
        <v>0</v>
      </c>
      <c r="O1137" s="35" t="e">
        <f t="shared" si="2448"/>
        <v>#DIV/0!</v>
      </c>
      <c r="P1137" s="11" t="e">
        <f t="shared" si="2449"/>
        <v>#DIV/0!</v>
      </c>
      <c r="Q1137" s="35">
        <v>0</v>
      </c>
      <c r="R1137" s="66">
        <v>0</v>
      </c>
      <c r="S1137" s="35" t="e">
        <f t="shared" si="2450"/>
        <v>#DIV/0!</v>
      </c>
      <c r="T1137" s="6" t="e">
        <f t="shared" si="2451"/>
        <v>#DIV/0!</v>
      </c>
      <c r="U1137" s="68">
        <v>0</v>
      </c>
      <c r="V1137" s="66">
        <v>0</v>
      </c>
      <c r="W1137" s="20" t="e">
        <f t="shared" si="2452"/>
        <v>#DIV/0!</v>
      </c>
      <c r="X1137" s="6" t="e">
        <f t="shared" si="2453"/>
        <v>#DIV/0!</v>
      </c>
      <c r="Y1137" s="68">
        <v>0</v>
      </c>
      <c r="Z1137" s="70">
        <v>0</v>
      </c>
      <c r="AA1137" s="35" t="e">
        <f t="shared" si="2454"/>
        <v>#DIV/0!</v>
      </c>
      <c r="AB1137" s="11" t="e">
        <f t="shared" si="2455"/>
        <v>#DIV/0!</v>
      </c>
      <c r="AC1137" s="20">
        <v>18820</v>
      </c>
      <c r="AD1137" s="33">
        <v>550</v>
      </c>
      <c r="AE1137" s="35">
        <f t="shared" si="2456"/>
        <v>34.218181818181819</v>
      </c>
      <c r="AF1137" s="6">
        <f t="shared" si="2457"/>
        <v>0.25834239834239831</v>
      </c>
      <c r="AG1137" s="68">
        <v>0</v>
      </c>
      <c r="AH1137" s="66">
        <v>0</v>
      </c>
      <c r="AI1137" s="35" t="e">
        <f t="shared" si="2458"/>
        <v>#DIV/0!</v>
      </c>
      <c r="AJ1137" s="6" t="e">
        <f t="shared" si="2459"/>
        <v>#DIV/0!</v>
      </c>
      <c r="AK1137" s="68">
        <v>0</v>
      </c>
      <c r="AL1137" s="66">
        <v>0</v>
      </c>
      <c r="AM1137" s="35" t="e">
        <f t="shared" si="2460"/>
        <v>#DIV/0!</v>
      </c>
      <c r="AN1137" s="6" t="e">
        <f t="shared" si="2461"/>
        <v>#DIV/0!</v>
      </c>
      <c r="AO1137" s="68">
        <v>0</v>
      </c>
      <c r="AP1137" s="66">
        <v>0</v>
      </c>
      <c r="AQ1137" s="35" t="e">
        <f t="shared" si="2462"/>
        <v>#DIV/0!</v>
      </c>
      <c r="AR1137" s="6" t="e">
        <f t="shared" si="2463"/>
        <v>#DIV/0!</v>
      </c>
      <c r="AS1137" s="68">
        <v>0</v>
      </c>
      <c r="AT1137" s="66">
        <v>0</v>
      </c>
      <c r="AU1137" s="35" t="e">
        <f t="shared" si="2464"/>
        <v>#DIV/0!</v>
      </c>
      <c r="AV1137" s="6" t="e">
        <f t="shared" si="2465"/>
        <v>#DIV/0!</v>
      </c>
      <c r="AW1137" s="68">
        <v>0</v>
      </c>
      <c r="AX1137" s="66">
        <v>0</v>
      </c>
      <c r="AY1137" s="35" t="e">
        <f t="shared" si="2466"/>
        <v>#DIV/0!</v>
      </c>
      <c r="AZ1137" s="6" t="e">
        <f t="shared" si="2467"/>
        <v>#DIV/0!</v>
      </c>
      <c r="BA1137" s="68">
        <v>0</v>
      </c>
      <c r="BB1137" s="66">
        <v>0</v>
      </c>
      <c r="BC1137" s="35" t="e">
        <f t="shared" si="2468"/>
        <v>#DIV/0!</v>
      </c>
      <c r="BD1137" s="11" t="e">
        <f t="shared" si="2469"/>
        <v>#DIV/0!</v>
      </c>
    </row>
    <row r="1138" spans="1:56" x14ac:dyDescent="0.25">
      <c r="A1138" s="19" t="s">
        <v>6</v>
      </c>
      <c r="B1138" s="8">
        <v>257340</v>
      </c>
      <c r="C1138" s="35">
        <f>B1138/F1129</f>
        <v>161.84905660377359</v>
      </c>
      <c r="D1138" s="8">
        <v>10950</v>
      </c>
      <c r="E1138" s="68">
        <v>0</v>
      </c>
      <c r="F1138" s="70">
        <v>0</v>
      </c>
      <c r="G1138" s="35" t="e">
        <f t="shared" si="2444"/>
        <v>#DIV/0!</v>
      </c>
      <c r="H1138" s="11" t="e">
        <f t="shared" si="2445"/>
        <v>#DIV/0!</v>
      </c>
      <c r="I1138" s="35">
        <v>0</v>
      </c>
      <c r="J1138" s="70">
        <v>0</v>
      </c>
      <c r="K1138" s="35" t="e">
        <f t="shared" si="2446"/>
        <v>#DIV/0!</v>
      </c>
      <c r="L1138" s="6" t="e">
        <f t="shared" si="2447"/>
        <v>#DIV/0!</v>
      </c>
      <c r="M1138" s="68">
        <v>0</v>
      </c>
      <c r="N1138" s="5">
        <v>0</v>
      </c>
      <c r="O1138" s="35" t="e">
        <f t="shared" si="2448"/>
        <v>#DIV/0!</v>
      </c>
      <c r="P1138" s="11" t="e">
        <f t="shared" si="2449"/>
        <v>#DIV/0!</v>
      </c>
      <c r="Q1138" s="35">
        <v>0</v>
      </c>
      <c r="R1138" s="66">
        <v>0</v>
      </c>
      <c r="S1138" s="35" t="e">
        <f t="shared" si="2450"/>
        <v>#DIV/0!</v>
      </c>
      <c r="T1138" s="6" t="e">
        <f t="shared" si="2451"/>
        <v>#DIV/0!</v>
      </c>
      <c r="U1138" s="68">
        <v>0</v>
      </c>
      <c r="V1138" s="66">
        <v>0</v>
      </c>
      <c r="W1138" s="20" t="e">
        <f t="shared" si="2452"/>
        <v>#DIV/0!</v>
      </c>
      <c r="X1138" s="6" t="e">
        <f t="shared" si="2453"/>
        <v>#DIV/0!</v>
      </c>
      <c r="Y1138" s="68">
        <v>0</v>
      </c>
      <c r="Z1138" s="70">
        <v>0</v>
      </c>
      <c r="AA1138" s="35" t="e">
        <f t="shared" si="2454"/>
        <v>#DIV/0!</v>
      </c>
      <c r="AB1138" s="11" t="e">
        <f t="shared" si="2455"/>
        <v>#DIV/0!</v>
      </c>
      <c r="AC1138" s="20">
        <v>26970</v>
      </c>
      <c r="AD1138" s="33">
        <v>550</v>
      </c>
      <c r="AE1138" s="35">
        <f t="shared" si="2456"/>
        <v>49.036363636363639</v>
      </c>
      <c r="AF1138" s="6">
        <f t="shared" si="2457"/>
        <v>0.30297590029462262</v>
      </c>
      <c r="AG1138" s="68">
        <v>0</v>
      </c>
      <c r="AH1138" s="66">
        <v>0</v>
      </c>
      <c r="AI1138" s="35" t="e">
        <f t="shared" si="2458"/>
        <v>#DIV/0!</v>
      </c>
      <c r="AJ1138" s="6" t="e">
        <f t="shared" si="2459"/>
        <v>#DIV/0!</v>
      </c>
      <c r="AK1138" s="68">
        <v>0</v>
      </c>
      <c r="AL1138" s="66">
        <v>0</v>
      </c>
      <c r="AM1138" s="35" t="e">
        <f t="shared" si="2460"/>
        <v>#DIV/0!</v>
      </c>
      <c r="AN1138" s="6" t="e">
        <f t="shared" si="2461"/>
        <v>#DIV/0!</v>
      </c>
      <c r="AO1138" s="68">
        <v>0</v>
      </c>
      <c r="AP1138" s="66">
        <v>0</v>
      </c>
      <c r="AQ1138" s="35" t="e">
        <f t="shared" si="2462"/>
        <v>#DIV/0!</v>
      </c>
      <c r="AR1138" s="6" t="e">
        <f t="shared" si="2463"/>
        <v>#DIV/0!</v>
      </c>
      <c r="AS1138" s="68">
        <v>0</v>
      </c>
      <c r="AT1138" s="66">
        <v>0</v>
      </c>
      <c r="AU1138" s="35" t="e">
        <f t="shared" si="2464"/>
        <v>#DIV/0!</v>
      </c>
      <c r="AV1138" s="6" t="e">
        <f t="shared" si="2465"/>
        <v>#DIV/0!</v>
      </c>
      <c r="AW1138" s="68">
        <v>0</v>
      </c>
      <c r="AX1138" s="66">
        <v>0</v>
      </c>
      <c r="AY1138" s="35" t="e">
        <f t="shared" si="2466"/>
        <v>#DIV/0!</v>
      </c>
      <c r="AZ1138" s="6" t="e">
        <f t="shared" si="2467"/>
        <v>#DIV/0!</v>
      </c>
      <c r="BA1138" s="68">
        <v>0</v>
      </c>
      <c r="BB1138" s="66">
        <v>0</v>
      </c>
      <c r="BC1138" s="35" t="e">
        <f t="shared" si="2468"/>
        <v>#DIV/0!</v>
      </c>
      <c r="BD1138" s="11" t="e">
        <f t="shared" si="2469"/>
        <v>#DIV/0!</v>
      </c>
    </row>
    <row r="1139" spans="1:56" ht="15.75" thickBot="1" x14ac:dyDescent="0.3">
      <c r="A1139" s="21"/>
      <c r="B1139" s="22"/>
      <c r="C1139" s="23">
        <f>AVERAGE(Table1107987[MA $/Sq Ft])</f>
        <v>92.648697214734966</v>
      </c>
      <c r="D1139" s="22">
        <f>AVERAGE(Table1107987[Basic Allowance])</f>
        <v>4442.8571428571431</v>
      </c>
      <c r="E1139" s="16"/>
      <c r="F1139" s="22"/>
      <c r="G1139" s="15"/>
      <c r="H1139" s="24" t="e">
        <f>AVERAGE(Table1107987[Bsmt % Base])</f>
        <v>#DIV/0!</v>
      </c>
      <c r="I1139" s="15"/>
      <c r="J1139" s="15"/>
      <c r="K1139" s="15"/>
      <c r="L1139" s="25" t="e">
        <f>AVERAGE(Table1107987[[#Headers],[#Data],[UnfBsmt % Base]])</f>
        <v>#DIV/0!</v>
      </c>
      <c r="M1139" s="44"/>
      <c r="N1139" s="15"/>
      <c r="O1139" s="23" t="e">
        <f>AVERAGE(Table1107987[LowerVal/SqFt])</f>
        <v>#DIV/0!</v>
      </c>
      <c r="P1139" s="24" t="e">
        <f>AVERAGE(Table1107987[Lower % Base])</f>
        <v>#DIV/0!</v>
      </c>
      <c r="Q1139" s="13"/>
      <c r="R1139" s="13"/>
      <c r="S1139" s="13"/>
      <c r="T1139" s="25" t="e">
        <f>AVERAGE(Table1107987[Unf Lower % Base])</f>
        <v>#DIV/0!</v>
      </c>
      <c r="U1139" s="12"/>
      <c r="V1139" s="13"/>
      <c r="W1139" s="13"/>
      <c r="X1139" s="25" t="e">
        <f>AVERAGE(Table1107987[1/2 Story % Base])</f>
        <v>#DIV/0!</v>
      </c>
      <c r="Y1139" s="12"/>
      <c r="Z1139" s="13"/>
      <c r="AA1139" s="13"/>
      <c r="AB1139" s="24" t="e">
        <f>AVERAGE(Table1107987[2nd Story % Base])</f>
        <v>#DIV/0!</v>
      </c>
      <c r="AC1139" s="13"/>
      <c r="AD1139" s="13"/>
      <c r="AE1139" s="23">
        <f>AVERAGE(Table1107987[AttGarVal/SqFt])</f>
        <v>28.662337662337659</v>
      </c>
      <c r="AF1139" s="25">
        <f>AVERAGE(Table1107987[Att Gar % Base])</f>
        <v>0.31824132626439755</v>
      </c>
      <c r="AG1139" s="12"/>
      <c r="AH1139" s="13"/>
      <c r="AI1139" s="13"/>
      <c r="AJ1139" s="25" t="e">
        <f>AVERAGE(Table1107987[Porch % Base])</f>
        <v>#DIV/0!</v>
      </c>
      <c r="AK1139" s="12"/>
      <c r="AL1139" s="13"/>
      <c r="AM1139" s="13"/>
      <c r="AN1139" s="25" t="e">
        <f>AVERAGE(Table1107987[Cov Porch % Base])</f>
        <v>#DIV/0!</v>
      </c>
      <c r="AO1139" s="12"/>
      <c r="AP1139" s="13"/>
      <c r="AQ1139" s="13"/>
      <c r="AR1139" s="25" t="e">
        <f>AVERAGE(Table1107987[Deck % Base])</f>
        <v>#DIV/0!</v>
      </c>
      <c r="AS1139" s="12"/>
      <c r="AT1139" s="13"/>
      <c r="AU1139" s="23" t="e">
        <f>AVERAGE(Table1107987[CovDeckVal/SqFt])</f>
        <v>#DIV/0!</v>
      </c>
      <c r="AV1139" s="25" t="e">
        <f>AVERAGE(Table1107987[CovDeck % Base])</f>
        <v>#DIV/0!</v>
      </c>
      <c r="AW1139" s="12"/>
      <c r="AX1139" s="13"/>
      <c r="AY1139" s="13"/>
      <c r="AZ1139" s="25" t="e">
        <f>AVERAGE(Table1107987[CarP % Base])</f>
        <v>#DIV/0!</v>
      </c>
      <c r="BA1139" s="12"/>
      <c r="BB1139" s="13"/>
      <c r="BC1139" s="13"/>
      <c r="BD1139" s="24" t="e">
        <f>AVERAGE(Table1107987[EFP % Base])</f>
        <v>#DIV/0!</v>
      </c>
    </row>
    <row r="1141" spans="1:56" ht="15.75" thickBot="1" x14ac:dyDescent="0.3">
      <c r="A1141" s="82"/>
      <c r="B1141" t="s">
        <v>79</v>
      </c>
      <c r="C1141" s="78" t="s">
        <v>213</v>
      </c>
      <c r="E1141" t="s">
        <v>33</v>
      </c>
      <c r="F1141" s="79">
        <v>2226</v>
      </c>
      <c r="H1141" t="s">
        <v>80</v>
      </c>
      <c r="I1141" t="s">
        <v>212</v>
      </c>
    </row>
    <row r="1142" spans="1:56" x14ac:dyDescent="0.25">
      <c r="A1142" s="112"/>
      <c r="B1142" s="113"/>
      <c r="C1142" s="113"/>
      <c r="D1142" s="114"/>
      <c r="E1142" s="115" t="s">
        <v>27</v>
      </c>
      <c r="F1142" s="116"/>
      <c r="G1142" s="116"/>
      <c r="H1142" s="117"/>
      <c r="I1142" s="118" t="s">
        <v>28</v>
      </c>
      <c r="J1142" s="119"/>
      <c r="K1142" s="119"/>
      <c r="L1142" s="120"/>
      <c r="M1142" s="121" t="s">
        <v>7</v>
      </c>
      <c r="N1142" s="122"/>
      <c r="O1142" s="122"/>
      <c r="P1142" s="123"/>
      <c r="Q1142" s="124" t="s">
        <v>29</v>
      </c>
      <c r="R1142" s="125"/>
      <c r="S1142" s="125"/>
      <c r="T1142" s="126"/>
      <c r="U1142" s="127" t="s">
        <v>8</v>
      </c>
      <c r="V1142" s="128"/>
      <c r="W1142" s="128"/>
      <c r="X1142" s="129"/>
      <c r="Y1142" s="130" t="s">
        <v>0</v>
      </c>
      <c r="Z1142" s="131"/>
      <c r="AA1142" s="131"/>
      <c r="AB1142" s="132"/>
      <c r="AC1142" s="133" t="s">
        <v>34</v>
      </c>
      <c r="AD1142" s="134"/>
      <c r="AE1142" s="134"/>
      <c r="AF1142" s="135"/>
      <c r="AG1142" s="115" t="s">
        <v>9</v>
      </c>
      <c r="AH1142" s="116"/>
      <c r="AI1142" s="116"/>
      <c r="AJ1142" s="117"/>
      <c r="AK1142" s="136" t="s">
        <v>35</v>
      </c>
      <c r="AL1142" s="137"/>
      <c r="AM1142" s="137"/>
      <c r="AN1142" s="138"/>
      <c r="AO1142" s="139" t="s">
        <v>10</v>
      </c>
      <c r="AP1142" s="140"/>
      <c r="AQ1142" s="140"/>
      <c r="AR1142" s="141"/>
      <c r="AS1142" s="124" t="s">
        <v>36</v>
      </c>
      <c r="AT1142" s="125"/>
      <c r="AU1142" s="125"/>
      <c r="AV1142" s="126"/>
      <c r="AW1142" s="142" t="s">
        <v>11</v>
      </c>
      <c r="AX1142" s="143"/>
      <c r="AY1142" s="143"/>
      <c r="AZ1142" s="144"/>
      <c r="BA1142" s="148" t="s">
        <v>17</v>
      </c>
      <c r="BB1142" s="149"/>
      <c r="BC1142" s="149"/>
      <c r="BD1142" s="150"/>
    </row>
    <row r="1143" spans="1:56" s="1" customFormat="1" ht="15.75" thickBot="1" x14ac:dyDescent="0.3">
      <c r="A1143" s="41" t="s">
        <v>13</v>
      </c>
      <c r="B1143" s="42" t="s">
        <v>15</v>
      </c>
      <c r="C1143" s="42" t="s">
        <v>32</v>
      </c>
      <c r="D1143" s="43" t="s">
        <v>18</v>
      </c>
      <c r="E1143" s="30" t="s">
        <v>30</v>
      </c>
      <c r="F1143" s="31" t="s">
        <v>61</v>
      </c>
      <c r="G1143" s="31" t="s">
        <v>38</v>
      </c>
      <c r="H1143" s="32" t="s">
        <v>62</v>
      </c>
      <c r="I1143" s="37" t="s">
        <v>31</v>
      </c>
      <c r="J1143" s="38" t="s">
        <v>39</v>
      </c>
      <c r="K1143" s="38" t="s">
        <v>40</v>
      </c>
      <c r="L1143" s="39" t="s">
        <v>63</v>
      </c>
      <c r="M1143" s="40" t="s">
        <v>19</v>
      </c>
      <c r="N1143" s="7" t="s">
        <v>41</v>
      </c>
      <c r="O1143" s="7" t="s">
        <v>37</v>
      </c>
      <c r="P1143" s="7" t="s">
        <v>64</v>
      </c>
      <c r="Q1143" s="27" t="s">
        <v>20</v>
      </c>
      <c r="R1143" s="28" t="s">
        <v>60</v>
      </c>
      <c r="S1143" s="28" t="s">
        <v>59</v>
      </c>
      <c r="T1143" s="29" t="s">
        <v>65</v>
      </c>
      <c r="U1143" s="48" t="s">
        <v>21</v>
      </c>
      <c r="V1143" s="48" t="s">
        <v>42</v>
      </c>
      <c r="W1143" s="48" t="s">
        <v>43</v>
      </c>
      <c r="X1143" s="49" t="s">
        <v>66</v>
      </c>
      <c r="Y1143" s="50" t="s">
        <v>22</v>
      </c>
      <c r="Z1143" s="51" t="s">
        <v>44</v>
      </c>
      <c r="AA1143" s="51" t="s">
        <v>45</v>
      </c>
      <c r="AB1143" s="52" t="s">
        <v>67</v>
      </c>
      <c r="AC1143" s="45" t="s">
        <v>23</v>
      </c>
      <c r="AD1143" s="46" t="s">
        <v>46</v>
      </c>
      <c r="AE1143" s="46" t="s">
        <v>47</v>
      </c>
      <c r="AF1143" s="47" t="s">
        <v>68</v>
      </c>
      <c r="AG1143" s="30" t="s">
        <v>24</v>
      </c>
      <c r="AH1143" s="31" t="s">
        <v>48</v>
      </c>
      <c r="AI1143" s="31" t="s">
        <v>49</v>
      </c>
      <c r="AJ1143" s="32" t="s">
        <v>69</v>
      </c>
      <c r="AK1143" s="53" t="s">
        <v>25</v>
      </c>
      <c r="AL1143" s="54" t="s">
        <v>50</v>
      </c>
      <c r="AM1143" s="54" t="s">
        <v>51</v>
      </c>
      <c r="AN1143" s="55" t="s">
        <v>70</v>
      </c>
      <c r="AO1143" s="56" t="s">
        <v>26</v>
      </c>
      <c r="AP1143" s="57" t="s">
        <v>52</v>
      </c>
      <c r="AQ1143" s="57" t="s">
        <v>53</v>
      </c>
      <c r="AR1143" s="58" t="s">
        <v>71</v>
      </c>
      <c r="AS1143" s="59" t="s">
        <v>55</v>
      </c>
      <c r="AT1143" s="60" t="s">
        <v>54</v>
      </c>
      <c r="AU1143" s="60" t="s">
        <v>56</v>
      </c>
      <c r="AV1143" s="61" t="s">
        <v>76</v>
      </c>
      <c r="AW1143" s="62" t="s">
        <v>72</v>
      </c>
      <c r="AX1143" s="63" t="s">
        <v>73</v>
      </c>
      <c r="AY1143" s="63" t="s">
        <v>74</v>
      </c>
      <c r="AZ1143" s="64" t="s">
        <v>75</v>
      </c>
      <c r="BA1143" s="71" t="s">
        <v>77</v>
      </c>
      <c r="BB1143" s="72" t="s">
        <v>57</v>
      </c>
      <c r="BC1143" s="72" t="s">
        <v>58</v>
      </c>
      <c r="BD1143" s="73" t="s">
        <v>78</v>
      </c>
    </row>
    <row r="1144" spans="1:56" ht="15.75" thickBot="1" x14ac:dyDescent="0.3">
      <c r="A1144" s="17" t="s">
        <v>1</v>
      </c>
      <c r="B1144" s="14">
        <v>102400</v>
      </c>
      <c r="C1144" s="34">
        <f>B1144/F1141</f>
        <v>46.001796945193171</v>
      </c>
      <c r="D1144" s="14">
        <v>1525</v>
      </c>
      <c r="E1144" s="67">
        <v>0</v>
      </c>
      <c r="F1144" s="69">
        <v>0</v>
      </c>
      <c r="G1144" s="34" t="e">
        <f t="shared" ref="G1144:G1150" si="2470">E1144/F1144</f>
        <v>#DIV/0!</v>
      </c>
      <c r="H1144" s="10" t="e">
        <f t="shared" ref="H1144:H1150" si="2471">G1144/C1144</f>
        <v>#DIV/0!</v>
      </c>
      <c r="I1144" s="34">
        <v>0</v>
      </c>
      <c r="J1144" s="69">
        <v>0</v>
      </c>
      <c r="K1144" s="34" t="e">
        <f t="shared" ref="K1144:K1150" si="2472">I1144/J1144</f>
        <v>#DIV/0!</v>
      </c>
      <c r="L1144" s="9" t="e">
        <f t="shared" ref="L1144:L1150" si="2473">K1144/C1144</f>
        <v>#DIV/0!</v>
      </c>
      <c r="M1144" s="67">
        <v>0</v>
      </c>
      <c r="N1144" s="26">
        <v>0</v>
      </c>
      <c r="O1144" s="34" t="e">
        <f t="shared" ref="O1144:O1150" si="2474">M1144/N1144</f>
        <v>#DIV/0!</v>
      </c>
      <c r="P1144" s="10" t="e">
        <f t="shared" ref="P1144:P1150" si="2475">O1144/C1144</f>
        <v>#DIV/0!</v>
      </c>
      <c r="Q1144" s="35">
        <v>0</v>
      </c>
      <c r="R1144" s="66">
        <v>0</v>
      </c>
      <c r="S1144" s="35" t="e">
        <f t="shared" ref="S1144:S1150" si="2476">Q1144/R1144</f>
        <v>#DIV/0!</v>
      </c>
      <c r="T1144" s="6" t="e">
        <f t="shared" ref="T1144:T1150" si="2477">S1144/C1144</f>
        <v>#DIV/0!</v>
      </c>
      <c r="U1144" s="67">
        <v>0</v>
      </c>
      <c r="V1144" s="65">
        <v>0</v>
      </c>
      <c r="W1144" s="18" t="e">
        <f t="shared" ref="W1144:W1150" si="2478">U1144/V1144</f>
        <v>#DIV/0!</v>
      </c>
      <c r="X1144" s="9" t="e">
        <f t="shared" ref="X1144:X1150" si="2479">W1144/C1144</f>
        <v>#DIV/0!</v>
      </c>
      <c r="Y1144" s="67">
        <v>0</v>
      </c>
      <c r="Z1144" s="69">
        <v>0</v>
      </c>
      <c r="AA1144" s="34" t="e">
        <f t="shared" ref="AA1144:AA1150" si="2480">Y1144/Z1144</f>
        <v>#DIV/0!</v>
      </c>
      <c r="AB1144" s="10" t="e">
        <f t="shared" ref="AB1144:AB1150" si="2481">AA1144/C1144</f>
        <v>#DIV/0!</v>
      </c>
      <c r="AC1144" s="18">
        <v>7860</v>
      </c>
      <c r="AD1144" s="33">
        <v>528</v>
      </c>
      <c r="AE1144" s="34">
        <f t="shared" ref="AE1144:AE1150" si="2482">AC1144/AD1144</f>
        <v>14.886363636363637</v>
      </c>
      <c r="AF1144" s="9">
        <f t="shared" ref="AF1144:AF1150" si="2483">AE1144/C1144</f>
        <v>0.32360395951704546</v>
      </c>
      <c r="AG1144" s="67">
        <v>0</v>
      </c>
      <c r="AH1144" s="65">
        <v>0</v>
      </c>
      <c r="AI1144" s="34" t="e">
        <f t="shared" ref="AI1144:AI1150" si="2484">AG1144/AH1144</f>
        <v>#DIV/0!</v>
      </c>
      <c r="AJ1144" s="9" t="e">
        <f t="shared" ref="AJ1144:AJ1150" si="2485">AI1144/C1144</f>
        <v>#DIV/0!</v>
      </c>
      <c r="AK1144" s="67">
        <v>2020</v>
      </c>
      <c r="AL1144" s="65">
        <v>176</v>
      </c>
      <c r="AM1144" s="34">
        <f t="shared" ref="AM1144:AM1150" si="2486">AK1144/AL1144</f>
        <v>11.477272727272727</v>
      </c>
      <c r="AN1144" s="9">
        <f t="shared" ref="AN1144:AN1150" si="2487">AM1144/C1144</f>
        <v>0.24949618252840908</v>
      </c>
      <c r="AO1144" s="67">
        <v>0</v>
      </c>
      <c r="AP1144" s="65">
        <v>0</v>
      </c>
      <c r="AQ1144" s="34" t="e">
        <f t="shared" ref="AQ1144:AQ1150" si="2488">AO1144/AP1144</f>
        <v>#DIV/0!</v>
      </c>
      <c r="AR1144" s="9" t="e">
        <f t="shared" ref="AR1144:AR1150" si="2489">AQ1144/C1144</f>
        <v>#DIV/0!</v>
      </c>
      <c r="AS1144" s="67">
        <v>0</v>
      </c>
      <c r="AT1144" s="65">
        <v>0</v>
      </c>
      <c r="AU1144" s="34" t="e">
        <f t="shared" ref="AU1144:AU1150" si="2490">AS1144/AT1144</f>
        <v>#DIV/0!</v>
      </c>
      <c r="AV1144" s="9" t="e">
        <f t="shared" ref="AV1144:AV1150" si="2491">AU1144/C1144</f>
        <v>#DIV/0!</v>
      </c>
      <c r="AW1144" s="67">
        <v>0</v>
      </c>
      <c r="AX1144" s="65">
        <v>0</v>
      </c>
      <c r="AY1144" s="34" t="e">
        <f t="shared" ref="AY1144:AY1150" si="2492">AW1144/AX1144</f>
        <v>#DIV/0!</v>
      </c>
      <c r="AZ1144" s="9" t="e">
        <f t="shared" ref="AZ1144:AZ1150" si="2493">AY1144/C1144</f>
        <v>#DIV/0!</v>
      </c>
      <c r="BA1144" s="67">
        <v>0</v>
      </c>
      <c r="BB1144" s="65">
        <v>0</v>
      </c>
      <c r="BC1144" s="34" t="e">
        <f t="shared" ref="BC1144:BC1150" si="2494">BA1144/BB1144</f>
        <v>#DIV/0!</v>
      </c>
      <c r="BD1144" s="10" t="e">
        <f t="shared" ref="BD1144:BD1150" si="2495">BC1144/C1144</f>
        <v>#DIV/0!</v>
      </c>
    </row>
    <row r="1145" spans="1:56" ht="15.75" thickBot="1" x14ac:dyDescent="0.3">
      <c r="A1145" s="19" t="s">
        <v>16</v>
      </c>
      <c r="B1145" s="8">
        <v>120360</v>
      </c>
      <c r="C1145" s="35">
        <f>B1145/F1141</f>
        <v>54.070080862533693</v>
      </c>
      <c r="D1145" s="8">
        <v>1525</v>
      </c>
      <c r="E1145" s="68">
        <v>0</v>
      </c>
      <c r="F1145" s="70">
        <v>0</v>
      </c>
      <c r="G1145" s="35" t="e">
        <f t="shared" si="2470"/>
        <v>#DIV/0!</v>
      </c>
      <c r="H1145" s="11" t="e">
        <f t="shared" si="2471"/>
        <v>#DIV/0!</v>
      </c>
      <c r="I1145" s="35">
        <v>0</v>
      </c>
      <c r="J1145" s="70">
        <v>0</v>
      </c>
      <c r="K1145" s="35" t="e">
        <f t="shared" si="2472"/>
        <v>#DIV/0!</v>
      </c>
      <c r="L1145" s="6" t="e">
        <f t="shared" si="2473"/>
        <v>#DIV/0!</v>
      </c>
      <c r="M1145" s="68">
        <v>0</v>
      </c>
      <c r="N1145" s="5">
        <v>0</v>
      </c>
      <c r="O1145" s="35" t="e">
        <f t="shared" si="2474"/>
        <v>#DIV/0!</v>
      </c>
      <c r="P1145" s="11" t="e">
        <f t="shared" si="2475"/>
        <v>#DIV/0!</v>
      </c>
      <c r="Q1145" s="35">
        <v>0</v>
      </c>
      <c r="R1145" s="66">
        <v>0</v>
      </c>
      <c r="S1145" s="35" t="e">
        <f t="shared" si="2476"/>
        <v>#DIV/0!</v>
      </c>
      <c r="T1145" s="6" t="e">
        <f t="shared" si="2477"/>
        <v>#DIV/0!</v>
      </c>
      <c r="U1145" s="68">
        <v>0</v>
      </c>
      <c r="V1145" s="66">
        <v>0</v>
      </c>
      <c r="W1145" s="20" t="e">
        <f t="shared" si="2478"/>
        <v>#DIV/0!</v>
      </c>
      <c r="X1145" s="6" t="e">
        <f t="shared" si="2479"/>
        <v>#DIV/0!</v>
      </c>
      <c r="Y1145" s="68">
        <v>0</v>
      </c>
      <c r="Z1145" s="70">
        <v>0</v>
      </c>
      <c r="AA1145" s="35" t="e">
        <f t="shared" si="2480"/>
        <v>#DIV/0!</v>
      </c>
      <c r="AB1145" s="11" t="e">
        <f t="shared" si="2481"/>
        <v>#DIV/0!</v>
      </c>
      <c r="AC1145" s="20">
        <v>10750</v>
      </c>
      <c r="AD1145" s="33">
        <v>528</v>
      </c>
      <c r="AE1145" s="35">
        <f t="shared" si="2482"/>
        <v>20.359848484848484</v>
      </c>
      <c r="AF1145" s="6">
        <f t="shared" si="2483"/>
        <v>0.3765455527357322</v>
      </c>
      <c r="AG1145" s="68">
        <v>0</v>
      </c>
      <c r="AH1145" s="66">
        <v>0</v>
      </c>
      <c r="AI1145" s="35" t="e">
        <f t="shared" si="2484"/>
        <v>#DIV/0!</v>
      </c>
      <c r="AJ1145" s="6" t="e">
        <f t="shared" si="2485"/>
        <v>#DIV/0!</v>
      </c>
      <c r="AK1145" s="68">
        <v>2960</v>
      </c>
      <c r="AL1145" s="65">
        <v>176</v>
      </c>
      <c r="AM1145" s="35">
        <f t="shared" si="2486"/>
        <v>16.818181818181817</v>
      </c>
      <c r="AN1145" s="6">
        <f t="shared" si="2487"/>
        <v>0.31104414030635363</v>
      </c>
      <c r="AO1145" s="68">
        <v>0</v>
      </c>
      <c r="AP1145" s="66">
        <v>0</v>
      </c>
      <c r="AQ1145" s="35" t="e">
        <f t="shared" si="2488"/>
        <v>#DIV/0!</v>
      </c>
      <c r="AR1145" s="6" t="e">
        <f t="shared" si="2489"/>
        <v>#DIV/0!</v>
      </c>
      <c r="AS1145" s="68">
        <v>0</v>
      </c>
      <c r="AT1145" s="66">
        <v>0</v>
      </c>
      <c r="AU1145" s="35" t="e">
        <f t="shared" si="2490"/>
        <v>#DIV/0!</v>
      </c>
      <c r="AV1145" s="6" t="e">
        <f t="shared" si="2491"/>
        <v>#DIV/0!</v>
      </c>
      <c r="AW1145" s="68">
        <v>0</v>
      </c>
      <c r="AX1145" s="66">
        <v>0</v>
      </c>
      <c r="AY1145" s="35" t="e">
        <f t="shared" si="2492"/>
        <v>#DIV/0!</v>
      </c>
      <c r="AZ1145" s="6" t="e">
        <f t="shared" si="2493"/>
        <v>#DIV/0!</v>
      </c>
      <c r="BA1145" s="68">
        <v>0</v>
      </c>
      <c r="BB1145" s="66">
        <v>0</v>
      </c>
      <c r="BC1145" s="35" t="e">
        <f t="shared" si="2494"/>
        <v>#DIV/0!</v>
      </c>
      <c r="BD1145" s="11" t="e">
        <f t="shared" si="2495"/>
        <v>#DIV/0!</v>
      </c>
    </row>
    <row r="1146" spans="1:56" ht="15.75" thickBot="1" x14ac:dyDescent="0.3">
      <c r="A1146" s="19" t="s">
        <v>2</v>
      </c>
      <c r="B1146" s="8">
        <v>140080</v>
      </c>
      <c r="C1146" s="35">
        <f>B1146/F1141</f>
        <v>62.929020664869725</v>
      </c>
      <c r="D1146" s="8">
        <v>2100</v>
      </c>
      <c r="E1146" s="68">
        <v>0</v>
      </c>
      <c r="F1146" s="70">
        <v>0</v>
      </c>
      <c r="G1146" s="35" t="e">
        <f t="shared" si="2470"/>
        <v>#DIV/0!</v>
      </c>
      <c r="H1146" s="11" t="e">
        <f t="shared" si="2471"/>
        <v>#DIV/0!</v>
      </c>
      <c r="I1146" s="35">
        <v>0</v>
      </c>
      <c r="J1146" s="70">
        <v>0</v>
      </c>
      <c r="K1146" s="35" t="e">
        <f t="shared" si="2472"/>
        <v>#DIV/0!</v>
      </c>
      <c r="L1146" s="6" t="e">
        <f t="shared" si="2473"/>
        <v>#DIV/0!</v>
      </c>
      <c r="M1146" s="68">
        <v>0</v>
      </c>
      <c r="N1146" s="5">
        <v>0</v>
      </c>
      <c r="O1146" s="35" t="e">
        <f t="shared" si="2474"/>
        <v>#DIV/0!</v>
      </c>
      <c r="P1146" s="11" t="e">
        <f t="shared" si="2475"/>
        <v>#DIV/0!</v>
      </c>
      <c r="Q1146" s="35">
        <v>0</v>
      </c>
      <c r="R1146" s="66">
        <v>0</v>
      </c>
      <c r="S1146" s="35" t="e">
        <f t="shared" si="2476"/>
        <v>#DIV/0!</v>
      </c>
      <c r="T1146" s="6" t="e">
        <f t="shared" si="2477"/>
        <v>#DIV/0!</v>
      </c>
      <c r="U1146" s="68">
        <v>0</v>
      </c>
      <c r="V1146" s="66">
        <v>0</v>
      </c>
      <c r="W1146" s="20" t="e">
        <f t="shared" si="2478"/>
        <v>#DIV/0!</v>
      </c>
      <c r="X1146" s="6" t="e">
        <f t="shared" si="2479"/>
        <v>#DIV/0!</v>
      </c>
      <c r="Y1146" s="68">
        <v>0</v>
      </c>
      <c r="Z1146" s="70">
        <v>0</v>
      </c>
      <c r="AA1146" s="35" t="e">
        <f t="shared" si="2480"/>
        <v>#DIV/0!</v>
      </c>
      <c r="AB1146" s="11" t="e">
        <f t="shared" si="2481"/>
        <v>#DIV/0!</v>
      </c>
      <c r="AC1146" s="20">
        <v>13350</v>
      </c>
      <c r="AD1146" s="33">
        <v>528</v>
      </c>
      <c r="AE1146" s="35">
        <f t="shared" si="2482"/>
        <v>25.28409090909091</v>
      </c>
      <c r="AF1146" s="6">
        <f t="shared" si="2483"/>
        <v>0.40178745262447429</v>
      </c>
      <c r="AG1146" s="68">
        <v>0</v>
      </c>
      <c r="AH1146" s="66">
        <v>0</v>
      </c>
      <c r="AI1146" s="35" t="e">
        <f t="shared" si="2484"/>
        <v>#DIV/0!</v>
      </c>
      <c r="AJ1146" s="6" t="e">
        <f t="shared" si="2485"/>
        <v>#DIV/0!</v>
      </c>
      <c r="AK1146" s="68">
        <v>3130</v>
      </c>
      <c r="AL1146" s="65">
        <v>176</v>
      </c>
      <c r="AM1146" s="35">
        <f t="shared" si="2486"/>
        <v>17.78409090909091</v>
      </c>
      <c r="AN1146" s="6">
        <f t="shared" si="2487"/>
        <v>0.28260555656507969</v>
      </c>
      <c r="AO1146" s="68">
        <v>0</v>
      </c>
      <c r="AP1146" s="66">
        <v>0</v>
      </c>
      <c r="AQ1146" s="35" t="e">
        <f t="shared" si="2488"/>
        <v>#DIV/0!</v>
      </c>
      <c r="AR1146" s="6" t="e">
        <f t="shared" si="2489"/>
        <v>#DIV/0!</v>
      </c>
      <c r="AS1146" s="68">
        <v>0</v>
      </c>
      <c r="AT1146" s="66">
        <v>0</v>
      </c>
      <c r="AU1146" s="35" t="e">
        <f t="shared" si="2490"/>
        <v>#DIV/0!</v>
      </c>
      <c r="AV1146" s="6" t="e">
        <f t="shared" si="2491"/>
        <v>#DIV/0!</v>
      </c>
      <c r="AW1146" s="68">
        <v>0</v>
      </c>
      <c r="AX1146" s="66">
        <v>0</v>
      </c>
      <c r="AY1146" s="35" t="e">
        <f t="shared" si="2492"/>
        <v>#DIV/0!</v>
      </c>
      <c r="AZ1146" s="6" t="e">
        <f t="shared" si="2493"/>
        <v>#DIV/0!</v>
      </c>
      <c r="BA1146" s="68">
        <v>0</v>
      </c>
      <c r="BB1146" s="66">
        <v>0</v>
      </c>
      <c r="BC1146" s="35" t="e">
        <f t="shared" si="2494"/>
        <v>#DIV/0!</v>
      </c>
      <c r="BD1146" s="11" t="e">
        <f t="shared" si="2495"/>
        <v>#DIV/0!</v>
      </c>
    </row>
    <row r="1147" spans="1:56" ht="15.75" thickBot="1" x14ac:dyDescent="0.3">
      <c r="A1147" s="19" t="s">
        <v>3</v>
      </c>
      <c r="B1147" s="8">
        <v>173990</v>
      </c>
      <c r="C1147" s="35">
        <f>B1147/F1141</f>
        <v>78.162623539982036</v>
      </c>
      <c r="D1147" s="8">
        <v>2700</v>
      </c>
      <c r="E1147" s="68">
        <v>0</v>
      </c>
      <c r="F1147" s="70">
        <v>0</v>
      </c>
      <c r="G1147" s="35" t="e">
        <f t="shared" si="2470"/>
        <v>#DIV/0!</v>
      </c>
      <c r="H1147" s="11" t="e">
        <f t="shared" si="2471"/>
        <v>#DIV/0!</v>
      </c>
      <c r="I1147" s="35">
        <v>0</v>
      </c>
      <c r="J1147" s="70">
        <v>0</v>
      </c>
      <c r="K1147" s="35" t="e">
        <f t="shared" si="2472"/>
        <v>#DIV/0!</v>
      </c>
      <c r="L1147" s="6" t="e">
        <f t="shared" si="2473"/>
        <v>#DIV/0!</v>
      </c>
      <c r="M1147" s="68">
        <v>0</v>
      </c>
      <c r="N1147" s="5">
        <v>0</v>
      </c>
      <c r="O1147" s="35" t="e">
        <f t="shared" si="2474"/>
        <v>#DIV/0!</v>
      </c>
      <c r="P1147" s="11" t="e">
        <f t="shared" si="2475"/>
        <v>#DIV/0!</v>
      </c>
      <c r="Q1147" s="35">
        <v>0</v>
      </c>
      <c r="R1147" s="66">
        <v>0</v>
      </c>
      <c r="S1147" s="35" t="e">
        <f t="shared" si="2476"/>
        <v>#DIV/0!</v>
      </c>
      <c r="T1147" s="6" t="e">
        <f t="shared" si="2477"/>
        <v>#DIV/0!</v>
      </c>
      <c r="U1147" s="68">
        <v>0</v>
      </c>
      <c r="V1147" s="66">
        <v>0</v>
      </c>
      <c r="W1147" s="20" t="e">
        <f t="shared" si="2478"/>
        <v>#DIV/0!</v>
      </c>
      <c r="X1147" s="6" t="e">
        <f t="shared" si="2479"/>
        <v>#DIV/0!</v>
      </c>
      <c r="Y1147" s="68">
        <v>0</v>
      </c>
      <c r="Z1147" s="70">
        <v>0</v>
      </c>
      <c r="AA1147" s="35" t="e">
        <f t="shared" si="2480"/>
        <v>#DIV/0!</v>
      </c>
      <c r="AB1147" s="11" t="e">
        <f t="shared" si="2481"/>
        <v>#DIV/0!</v>
      </c>
      <c r="AC1147" s="20">
        <v>14170</v>
      </c>
      <c r="AD1147" s="33">
        <v>528</v>
      </c>
      <c r="AE1147" s="35">
        <f t="shared" si="2482"/>
        <v>26.837121212121211</v>
      </c>
      <c r="AF1147" s="6">
        <f t="shared" si="2483"/>
        <v>0.34334980066774995</v>
      </c>
      <c r="AG1147" s="68">
        <v>0</v>
      </c>
      <c r="AH1147" s="66">
        <v>0</v>
      </c>
      <c r="AI1147" s="35" t="e">
        <f t="shared" si="2484"/>
        <v>#DIV/0!</v>
      </c>
      <c r="AJ1147" s="6" t="e">
        <f t="shared" si="2485"/>
        <v>#DIV/0!</v>
      </c>
      <c r="AK1147" s="68">
        <v>3310</v>
      </c>
      <c r="AL1147" s="65">
        <v>176</v>
      </c>
      <c r="AM1147" s="35">
        <f t="shared" si="2486"/>
        <v>18.806818181818183</v>
      </c>
      <c r="AN1147" s="6">
        <f t="shared" si="2487"/>
        <v>0.24061139877422422</v>
      </c>
      <c r="AO1147" s="68">
        <v>0</v>
      </c>
      <c r="AP1147" s="66">
        <v>0</v>
      </c>
      <c r="AQ1147" s="35" t="e">
        <f t="shared" si="2488"/>
        <v>#DIV/0!</v>
      </c>
      <c r="AR1147" s="6" t="e">
        <f t="shared" si="2489"/>
        <v>#DIV/0!</v>
      </c>
      <c r="AS1147" s="68">
        <v>0</v>
      </c>
      <c r="AT1147" s="66">
        <v>0</v>
      </c>
      <c r="AU1147" s="35" t="e">
        <f t="shared" si="2490"/>
        <v>#DIV/0!</v>
      </c>
      <c r="AV1147" s="6" t="e">
        <f t="shared" si="2491"/>
        <v>#DIV/0!</v>
      </c>
      <c r="AW1147" s="68">
        <v>0</v>
      </c>
      <c r="AX1147" s="66">
        <v>0</v>
      </c>
      <c r="AY1147" s="35" t="e">
        <f t="shared" si="2492"/>
        <v>#DIV/0!</v>
      </c>
      <c r="AZ1147" s="6" t="e">
        <f t="shared" si="2493"/>
        <v>#DIV/0!</v>
      </c>
      <c r="BA1147" s="68">
        <v>0</v>
      </c>
      <c r="BB1147" s="66">
        <v>0</v>
      </c>
      <c r="BC1147" s="35" t="e">
        <f t="shared" si="2494"/>
        <v>#DIV/0!</v>
      </c>
      <c r="BD1147" s="11" t="e">
        <f t="shared" si="2495"/>
        <v>#DIV/0!</v>
      </c>
    </row>
    <row r="1148" spans="1:56" ht="15.75" thickBot="1" x14ac:dyDescent="0.3">
      <c r="A1148" s="19" t="s">
        <v>4</v>
      </c>
      <c r="B1148" s="8">
        <v>214770</v>
      </c>
      <c r="C1148" s="35">
        <f>B1148/F1141</f>
        <v>96.482479784366575</v>
      </c>
      <c r="D1148" s="8">
        <v>5250</v>
      </c>
      <c r="E1148" s="68">
        <v>0</v>
      </c>
      <c r="F1148" s="70">
        <v>0</v>
      </c>
      <c r="G1148" s="35" t="e">
        <f t="shared" si="2470"/>
        <v>#DIV/0!</v>
      </c>
      <c r="H1148" s="11" t="e">
        <f t="shared" si="2471"/>
        <v>#DIV/0!</v>
      </c>
      <c r="I1148" s="35">
        <v>0</v>
      </c>
      <c r="J1148" s="70">
        <v>0</v>
      </c>
      <c r="K1148" s="35" t="e">
        <f t="shared" si="2472"/>
        <v>#DIV/0!</v>
      </c>
      <c r="L1148" s="6" t="e">
        <f t="shared" si="2473"/>
        <v>#DIV/0!</v>
      </c>
      <c r="M1148" s="68">
        <v>0</v>
      </c>
      <c r="N1148" s="5">
        <v>0</v>
      </c>
      <c r="O1148" s="35" t="e">
        <f t="shared" si="2474"/>
        <v>#DIV/0!</v>
      </c>
      <c r="P1148" s="11" t="e">
        <f t="shared" si="2475"/>
        <v>#DIV/0!</v>
      </c>
      <c r="Q1148" s="35">
        <v>0</v>
      </c>
      <c r="R1148" s="66">
        <v>0</v>
      </c>
      <c r="S1148" s="35" t="e">
        <f t="shared" si="2476"/>
        <v>#DIV/0!</v>
      </c>
      <c r="T1148" s="6" t="e">
        <f t="shared" si="2477"/>
        <v>#DIV/0!</v>
      </c>
      <c r="U1148" s="68">
        <v>0</v>
      </c>
      <c r="V1148" s="66">
        <v>0</v>
      </c>
      <c r="W1148" s="20" t="e">
        <f t="shared" si="2478"/>
        <v>#DIV/0!</v>
      </c>
      <c r="X1148" s="6" t="e">
        <f t="shared" si="2479"/>
        <v>#DIV/0!</v>
      </c>
      <c r="Y1148" s="68">
        <v>0</v>
      </c>
      <c r="Z1148" s="70">
        <v>0</v>
      </c>
      <c r="AA1148" s="35" t="e">
        <f t="shared" si="2480"/>
        <v>#DIV/0!</v>
      </c>
      <c r="AB1148" s="11" t="e">
        <f t="shared" si="2481"/>
        <v>#DIV/0!</v>
      </c>
      <c r="AC1148" s="20">
        <v>16150</v>
      </c>
      <c r="AD1148" s="33">
        <v>528</v>
      </c>
      <c r="AE1148" s="35">
        <f t="shared" si="2482"/>
        <v>30.587121212121211</v>
      </c>
      <c r="AF1148" s="6">
        <f t="shared" si="2483"/>
        <v>0.31702254420161946</v>
      </c>
      <c r="AG1148" s="68">
        <v>0</v>
      </c>
      <c r="AH1148" s="66">
        <v>0</v>
      </c>
      <c r="AI1148" s="35" t="e">
        <f t="shared" si="2484"/>
        <v>#DIV/0!</v>
      </c>
      <c r="AJ1148" s="6" t="e">
        <f t="shared" si="2485"/>
        <v>#DIV/0!</v>
      </c>
      <c r="AK1148" s="68">
        <v>4210</v>
      </c>
      <c r="AL1148" s="65">
        <v>176</v>
      </c>
      <c r="AM1148" s="35">
        <f t="shared" si="2486"/>
        <v>23.920454545454547</v>
      </c>
      <c r="AN1148" s="6">
        <f t="shared" si="2487"/>
        <v>0.24792537048089502</v>
      </c>
      <c r="AO1148" s="68">
        <v>0</v>
      </c>
      <c r="AP1148" s="66">
        <v>0</v>
      </c>
      <c r="AQ1148" s="35" t="e">
        <f t="shared" si="2488"/>
        <v>#DIV/0!</v>
      </c>
      <c r="AR1148" s="6" t="e">
        <f t="shared" si="2489"/>
        <v>#DIV/0!</v>
      </c>
      <c r="AS1148" s="68">
        <v>0</v>
      </c>
      <c r="AT1148" s="66">
        <v>0</v>
      </c>
      <c r="AU1148" s="35" t="e">
        <f t="shared" si="2490"/>
        <v>#DIV/0!</v>
      </c>
      <c r="AV1148" s="6" t="e">
        <f t="shared" si="2491"/>
        <v>#DIV/0!</v>
      </c>
      <c r="AW1148" s="68">
        <v>0</v>
      </c>
      <c r="AX1148" s="66">
        <v>0</v>
      </c>
      <c r="AY1148" s="35" t="e">
        <f t="shared" si="2492"/>
        <v>#DIV/0!</v>
      </c>
      <c r="AZ1148" s="6" t="e">
        <f t="shared" si="2493"/>
        <v>#DIV/0!</v>
      </c>
      <c r="BA1148" s="68">
        <v>0</v>
      </c>
      <c r="BB1148" s="66">
        <v>0</v>
      </c>
      <c r="BC1148" s="35" t="e">
        <f t="shared" si="2494"/>
        <v>#DIV/0!</v>
      </c>
      <c r="BD1148" s="11" t="e">
        <f t="shared" si="2495"/>
        <v>#DIV/0!</v>
      </c>
    </row>
    <row r="1149" spans="1:56" ht="15.75" thickBot="1" x14ac:dyDescent="0.3">
      <c r="A1149" s="19" t="s">
        <v>5</v>
      </c>
      <c r="B1149" s="8">
        <v>288140</v>
      </c>
      <c r="C1149" s="35">
        <f>B1149/F1141</f>
        <v>129.44294699011681</v>
      </c>
      <c r="D1149" s="8">
        <v>7050</v>
      </c>
      <c r="E1149" s="68">
        <v>0</v>
      </c>
      <c r="F1149" s="70">
        <v>0</v>
      </c>
      <c r="G1149" s="35" t="e">
        <f t="shared" si="2470"/>
        <v>#DIV/0!</v>
      </c>
      <c r="H1149" s="11" t="e">
        <f t="shared" si="2471"/>
        <v>#DIV/0!</v>
      </c>
      <c r="I1149" s="35">
        <v>0</v>
      </c>
      <c r="J1149" s="70">
        <v>0</v>
      </c>
      <c r="K1149" s="35" t="e">
        <f t="shared" si="2472"/>
        <v>#DIV/0!</v>
      </c>
      <c r="L1149" s="6" t="e">
        <f t="shared" si="2473"/>
        <v>#DIV/0!</v>
      </c>
      <c r="M1149" s="68">
        <v>0</v>
      </c>
      <c r="N1149" s="5">
        <v>0</v>
      </c>
      <c r="O1149" s="35" t="e">
        <f t="shared" si="2474"/>
        <v>#DIV/0!</v>
      </c>
      <c r="P1149" s="11" t="e">
        <f t="shared" si="2475"/>
        <v>#DIV/0!</v>
      </c>
      <c r="Q1149" s="35">
        <v>0</v>
      </c>
      <c r="R1149" s="66">
        <v>0</v>
      </c>
      <c r="S1149" s="35" t="e">
        <f t="shared" si="2476"/>
        <v>#DIV/0!</v>
      </c>
      <c r="T1149" s="6" t="e">
        <f t="shared" si="2477"/>
        <v>#DIV/0!</v>
      </c>
      <c r="U1149" s="68">
        <v>0</v>
      </c>
      <c r="V1149" s="66">
        <v>0</v>
      </c>
      <c r="W1149" s="20" t="e">
        <f t="shared" si="2478"/>
        <v>#DIV/0!</v>
      </c>
      <c r="X1149" s="6" t="e">
        <f t="shared" si="2479"/>
        <v>#DIV/0!</v>
      </c>
      <c r="Y1149" s="68">
        <v>0</v>
      </c>
      <c r="Z1149" s="70">
        <v>0</v>
      </c>
      <c r="AA1149" s="35" t="e">
        <f t="shared" si="2480"/>
        <v>#DIV/0!</v>
      </c>
      <c r="AB1149" s="11" t="e">
        <f t="shared" si="2481"/>
        <v>#DIV/0!</v>
      </c>
      <c r="AC1149" s="20">
        <v>18200</v>
      </c>
      <c r="AD1149" s="33">
        <v>528</v>
      </c>
      <c r="AE1149" s="35">
        <f t="shared" si="2482"/>
        <v>34.469696969696969</v>
      </c>
      <c r="AF1149" s="6">
        <f t="shared" si="2483"/>
        <v>0.26629258504388648</v>
      </c>
      <c r="AG1149" s="68">
        <v>0</v>
      </c>
      <c r="AH1149" s="66">
        <v>0</v>
      </c>
      <c r="AI1149" s="35" t="e">
        <f t="shared" si="2484"/>
        <v>#DIV/0!</v>
      </c>
      <c r="AJ1149" s="6" t="e">
        <f t="shared" si="2485"/>
        <v>#DIV/0!</v>
      </c>
      <c r="AK1149" s="68">
        <v>4570</v>
      </c>
      <c r="AL1149" s="65">
        <v>176</v>
      </c>
      <c r="AM1149" s="35">
        <f t="shared" si="2486"/>
        <v>25.96590909090909</v>
      </c>
      <c r="AN1149" s="6">
        <f t="shared" si="2487"/>
        <v>0.20059732642591668</v>
      </c>
      <c r="AO1149" s="68">
        <v>0</v>
      </c>
      <c r="AP1149" s="66">
        <v>0</v>
      </c>
      <c r="AQ1149" s="35" t="e">
        <f t="shared" si="2488"/>
        <v>#DIV/0!</v>
      </c>
      <c r="AR1149" s="6" t="e">
        <f t="shared" si="2489"/>
        <v>#DIV/0!</v>
      </c>
      <c r="AS1149" s="68">
        <v>0</v>
      </c>
      <c r="AT1149" s="66">
        <v>0</v>
      </c>
      <c r="AU1149" s="35" t="e">
        <f t="shared" si="2490"/>
        <v>#DIV/0!</v>
      </c>
      <c r="AV1149" s="6" t="e">
        <f t="shared" si="2491"/>
        <v>#DIV/0!</v>
      </c>
      <c r="AW1149" s="68">
        <v>0</v>
      </c>
      <c r="AX1149" s="66">
        <v>0</v>
      </c>
      <c r="AY1149" s="35" t="e">
        <f t="shared" si="2492"/>
        <v>#DIV/0!</v>
      </c>
      <c r="AZ1149" s="6" t="e">
        <f t="shared" si="2493"/>
        <v>#DIV/0!</v>
      </c>
      <c r="BA1149" s="68">
        <v>0</v>
      </c>
      <c r="BB1149" s="66">
        <v>0</v>
      </c>
      <c r="BC1149" s="35" t="e">
        <f t="shared" si="2494"/>
        <v>#DIV/0!</v>
      </c>
      <c r="BD1149" s="11" t="e">
        <f t="shared" si="2495"/>
        <v>#DIV/0!</v>
      </c>
    </row>
    <row r="1150" spans="1:56" x14ac:dyDescent="0.25">
      <c r="A1150" s="19" t="s">
        <v>6</v>
      </c>
      <c r="B1150" s="8">
        <v>346890</v>
      </c>
      <c r="C1150" s="35">
        <f>B1150/F1141</f>
        <v>155.83557951482479</v>
      </c>
      <c r="D1150" s="8">
        <v>10950</v>
      </c>
      <c r="E1150" s="68">
        <v>0</v>
      </c>
      <c r="F1150" s="70">
        <v>0</v>
      </c>
      <c r="G1150" s="35" t="e">
        <f t="shared" si="2470"/>
        <v>#DIV/0!</v>
      </c>
      <c r="H1150" s="11" t="e">
        <f t="shared" si="2471"/>
        <v>#DIV/0!</v>
      </c>
      <c r="I1150" s="35">
        <v>0</v>
      </c>
      <c r="J1150" s="70">
        <v>0</v>
      </c>
      <c r="K1150" s="35" t="e">
        <f t="shared" si="2472"/>
        <v>#DIV/0!</v>
      </c>
      <c r="L1150" s="6" t="e">
        <f t="shared" si="2473"/>
        <v>#DIV/0!</v>
      </c>
      <c r="M1150" s="68">
        <v>0</v>
      </c>
      <c r="N1150" s="5">
        <v>0</v>
      </c>
      <c r="O1150" s="35" t="e">
        <f t="shared" si="2474"/>
        <v>#DIV/0!</v>
      </c>
      <c r="P1150" s="11" t="e">
        <f t="shared" si="2475"/>
        <v>#DIV/0!</v>
      </c>
      <c r="Q1150" s="35">
        <v>0</v>
      </c>
      <c r="R1150" s="66">
        <v>0</v>
      </c>
      <c r="S1150" s="35" t="e">
        <f t="shared" si="2476"/>
        <v>#DIV/0!</v>
      </c>
      <c r="T1150" s="6" t="e">
        <f t="shared" si="2477"/>
        <v>#DIV/0!</v>
      </c>
      <c r="U1150" s="68">
        <v>0</v>
      </c>
      <c r="V1150" s="66">
        <v>0</v>
      </c>
      <c r="W1150" s="20" t="e">
        <f t="shared" si="2478"/>
        <v>#DIV/0!</v>
      </c>
      <c r="X1150" s="6" t="e">
        <f t="shared" si="2479"/>
        <v>#DIV/0!</v>
      </c>
      <c r="Y1150" s="68">
        <v>0</v>
      </c>
      <c r="Z1150" s="70">
        <v>0</v>
      </c>
      <c r="AA1150" s="35" t="e">
        <f t="shared" si="2480"/>
        <v>#DIV/0!</v>
      </c>
      <c r="AB1150" s="11" t="e">
        <f t="shared" si="2481"/>
        <v>#DIV/0!</v>
      </c>
      <c r="AC1150" s="20">
        <v>26050</v>
      </c>
      <c r="AD1150" s="33">
        <v>528</v>
      </c>
      <c r="AE1150" s="35">
        <f t="shared" si="2482"/>
        <v>49.337121212121211</v>
      </c>
      <c r="AF1150" s="6">
        <f t="shared" si="2483"/>
        <v>0.31659728391761605</v>
      </c>
      <c r="AG1150" s="68">
        <v>0</v>
      </c>
      <c r="AH1150" s="66">
        <v>0</v>
      </c>
      <c r="AI1150" s="35" t="e">
        <f t="shared" si="2484"/>
        <v>#DIV/0!</v>
      </c>
      <c r="AJ1150" s="6" t="e">
        <f t="shared" si="2485"/>
        <v>#DIV/0!</v>
      </c>
      <c r="AK1150" s="68">
        <v>4830</v>
      </c>
      <c r="AL1150" s="65">
        <v>176</v>
      </c>
      <c r="AM1150" s="35">
        <f t="shared" si="2486"/>
        <v>27.443181818181817</v>
      </c>
      <c r="AN1150" s="6">
        <f t="shared" si="2487"/>
        <v>0.17610344122711155</v>
      </c>
      <c r="AO1150" s="68">
        <v>0</v>
      </c>
      <c r="AP1150" s="66">
        <v>0</v>
      </c>
      <c r="AQ1150" s="35" t="e">
        <f t="shared" si="2488"/>
        <v>#DIV/0!</v>
      </c>
      <c r="AR1150" s="6" t="e">
        <f t="shared" si="2489"/>
        <v>#DIV/0!</v>
      </c>
      <c r="AS1150" s="68">
        <v>0</v>
      </c>
      <c r="AT1150" s="66">
        <v>0</v>
      </c>
      <c r="AU1150" s="35" t="e">
        <f t="shared" si="2490"/>
        <v>#DIV/0!</v>
      </c>
      <c r="AV1150" s="6" t="e">
        <f t="shared" si="2491"/>
        <v>#DIV/0!</v>
      </c>
      <c r="AW1150" s="68">
        <v>0</v>
      </c>
      <c r="AX1150" s="66">
        <v>0</v>
      </c>
      <c r="AY1150" s="35" t="e">
        <f t="shared" si="2492"/>
        <v>#DIV/0!</v>
      </c>
      <c r="AZ1150" s="6" t="e">
        <f t="shared" si="2493"/>
        <v>#DIV/0!</v>
      </c>
      <c r="BA1150" s="68">
        <v>0</v>
      </c>
      <c r="BB1150" s="66">
        <v>0</v>
      </c>
      <c r="BC1150" s="35" t="e">
        <f t="shared" si="2494"/>
        <v>#DIV/0!</v>
      </c>
      <c r="BD1150" s="11" t="e">
        <f t="shared" si="2495"/>
        <v>#DIV/0!</v>
      </c>
    </row>
    <row r="1151" spans="1:56" ht="15.75" thickBot="1" x14ac:dyDescent="0.3">
      <c r="A1151" s="21"/>
      <c r="B1151" s="22"/>
      <c r="C1151" s="23">
        <f>AVERAGE(Table1107988[MA $/Sq Ft])</f>
        <v>88.989218328840963</v>
      </c>
      <c r="D1151" s="22">
        <f>AVERAGE(Table1107988[Basic Allowance])</f>
        <v>4442.8571428571431</v>
      </c>
      <c r="E1151" s="16"/>
      <c r="F1151" s="22"/>
      <c r="G1151" s="15"/>
      <c r="H1151" s="24" t="e">
        <f>AVERAGE(Table1107988[Bsmt % Base])</f>
        <v>#DIV/0!</v>
      </c>
      <c r="I1151" s="15"/>
      <c r="J1151" s="15"/>
      <c r="K1151" s="15"/>
      <c r="L1151" s="25" t="e">
        <f>AVERAGE(Table1107988[[#Headers],[#Data],[UnfBsmt % Base]])</f>
        <v>#DIV/0!</v>
      </c>
      <c r="M1151" s="44"/>
      <c r="N1151" s="15"/>
      <c r="O1151" s="23" t="e">
        <f>AVERAGE(Table1107988[LowerVal/SqFt])</f>
        <v>#DIV/0!</v>
      </c>
      <c r="P1151" s="24" t="e">
        <f>AVERAGE(Table1107988[Lower % Base])</f>
        <v>#DIV/0!</v>
      </c>
      <c r="Q1151" s="13"/>
      <c r="R1151" s="13"/>
      <c r="S1151" s="13"/>
      <c r="T1151" s="25" t="e">
        <f>AVERAGE(Table1107988[Unf Lower % Base])</f>
        <v>#DIV/0!</v>
      </c>
      <c r="U1151" s="12"/>
      <c r="V1151" s="13"/>
      <c r="W1151" s="13"/>
      <c r="X1151" s="25" t="e">
        <f>AVERAGE(Table1107988[1/2 Story % Base])</f>
        <v>#DIV/0!</v>
      </c>
      <c r="Y1151" s="12"/>
      <c r="Z1151" s="13"/>
      <c r="AA1151" s="13"/>
      <c r="AB1151" s="24" t="e">
        <f>AVERAGE(Table1107988[2nd Story % Base])</f>
        <v>#DIV/0!</v>
      </c>
      <c r="AC1151" s="13"/>
      <c r="AD1151" s="13"/>
      <c r="AE1151" s="23">
        <f>AVERAGE(Table1107988[AttGarVal/SqFt])</f>
        <v>28.823051948051951</v>
      </c>
      <c r="AF1151" s="25">
        <f>AVERAGE(Table1107988[Att Gar % Base])</f>
        <v>0.33502845410116056</v>
      </c>
      <c r="AG1151" s="12"/>
      <c r="AH1151" s="13"/>
      <c r="AI1151" s="13"/>
      <c r="AJ1151" s="25" t="e">
        <f>AVERAGE(Table1107988[Porch % Base])</f>
        <v>#DIV/0!</v>
      </c>
      <c r="AK1151" s="12"/>
      <c r="AL1151" s="13"/>
      <c r="AM1151" s="13"/>
      <c r="AN1151" s="25">
        <f>AVERAGE(Table1107988[Cov Porch % Base])</f>
        <v>0.2440547737582843</v>
      </c>
      <c r="AO1151" s="12"/>
      <c r="AP1151" s="13"/>
      <c r="AQ1151" s="13"/>
      <c r="AR1151" s="25" t="e">
        <f>AVERAGE(Table1107988[Deck % Base])</f>
        <v>#DIV/0!</v>
      </c>
      <c r="AS1151" s="12"/>
      <c r="AT1151" s="13"/>
      <c r="AU1151" s="23" t="e">
        <f>AVERAGE(Table1107988[CovDeckVal/SqFt])</f>
        <v>#DIV/0!</v>
      </c>
      <c r="AV1151" s="25" t="e">
        <f>AVERAGE(Table1107988[CovDeck % Base])</f>
        <v>#DIV/0!</v>
      </c>
      <c r="AW1151" s="12"/>
      <c r="AX1151" s="13"/>
      <c r="AY1151" s="13"/>
      <c r="AZ1151" s="25" t="e">
        <f>AVERAGE(Table1107988[CarP % Base])</f>
        <v>#DIV/0!</v>
      </c>
      <c r="BA1151" s="12"/>
      <c r="BB1151" s="13"/>
      <c r="BC1151" s="13"/>
      <c r="BD1151" s="24" t="e">
        <f>AVERAGE(Table1107988[EFP % Base])</f>
        <v>#DIV/0!</v>
      </c>
    </row>
    <row r="1153" spans="1:56" ht="15.75" thickBot="1" x14ac:dyDescent="0.3">
      <c r="A1153" s="82"/>
      <c r="B1153" t="s">
        <v>79</v>
      </c>
      <c r="C1153" s="78" t="s">
        <v>214</v>
      </c>
      <c r="E1153" t="s">
        <v>33</v>
      </c>
      <c r="F1153" s="79">
        <v>1043</v>
      </c>
      <c r="H1153" t="s">
        <v>80</v>
      </c>
      <c r="I1153" t="s">
        <v>215</v>
      </c>
    </row>
    <row r="1154" spans="1:56" x14ac:dyDescent="0.25">
      <c r="A1154" s="112"/>
      <c r="B1154" s="113"/>
      <c r="C1154" s="113"/>
      <c r="D1154" s="114"/>
      <c r="E1154" s="115" t="s">
        <v>27</v>
      </c>
      <c r="F1154" s="116"/>
      <c r="G1154" s="116"/>
      <c r="H1154" s="117"/>
      <c r="I1154" s="118" t="s">
        <v>28</v>
      </c>
      <c r="J1154" s="119"/>
      <c r="K1154" s="119"/>
      <c r="L1154" s="120"/>
      <c r="M1154" s="121" t="s">
        <v>7</v>
      </c>
      <c r="N1154" s="122"/>
      <c r="O1154" s="122"/>
      <c r="P1154" s="123"/>
      <c r="Q1154" s="124" t="s">
        <v>29</v>
      </c>
      <c r="R1154" s="125"/>
      <c r="S1154" s="125"/>
      <c r="T1154" s="126"/>
      <c r="U1154" s="127" t="s">
        <v>8</v>
      </c>
      <c r="V1154" s="128"/>
      <c r="W1154" s="128"/>
      <c r="X1154" s="129"/>
      <c r="Y1154" s="130" t="s">
        <v>0</v>
      </c>
      <c r="Z1154" s="131"/>
      <c r="AA1154" s="131"/>
      <c r="AB1154" s="132"/>
      <c r="AC1154" s="133" t="s">
        <v>34</v>
      </c>
      <c r="AD1154" s="134"/>
      <c r="AE1154" s="134"/>
      <c r="AF1154" s="135"/>
      <c r="AG1154" s="115" t="s">
        <v>9</v>
      </c>
      <c r="AH1154" s="116"/>
      <c r="AI1154" s="116"/>
      <c r="AJ1154" s="117"/>
      <c r="AK1154" s="136" t="s">
        <v>35</v>
      </c>
      <c r="AL1154" s="137"/>
      <c r="AM1154" s="137"/>
      <c r="AN1154" s="138"/>
      <c r="AO1154" s="139" t="s">
        <v>10</v>
      </c>
      <c r="AP1154" s="140"/>
      <c r="AQ1154" s="140"/>
      <c r="AR1154" s="141"/>
      <c r="AS1154" s="124" t="s">
        <v>36</v>
      </c>
      <c r="AT1154" s="125"/>
      <c r="AU1154" s="125"/>
      <c r="AV1154" s="126"/>
      <c r="AW1154" s="142" t="s">
        <v>11</v>
      </c>
      <c r="AX1154" s="143"/>
      <c r="AY1154" s="143"/>
      <c r="AZ1154" s="144"/>
      <c r="BA1154" s="145" t="s">
        <v>216</v>
      </c>
      <c r="BB1154" s="146"/>
      <c r="BC1154" s="146"/>
      <c r="BD1154" s="147"/>
    </row>
    <row r="1155" spans="1:56" s="1" customFormat="1" ht="15.75" thickBot="1" x14ac:dyDescent="0.3">
      <c r="A1155" s="41" t="s">
        <v>13</v>
      </c>
      <c r="B1155" s="42" t="s">
        <v>15</v>
      </c>
      <c r="C1155" s="42" t="s">
        <v>32</v>
      </c>
      <c r="D1155" s="43" t="s">
        <v>18</v>
      </c>
      <c r="E1155" s="30" t="s">
        <v>30</v>
      </c>
      <c r="F1155" s="31" t="s">
        <v>61</v>
      </c>
      <c r="G1155" s="31" t="s">
        <v>38</v>
      </c>
      <c r="H1155" s="32" t="s">
        <v>62</v>
      </c>
      <c r="I1155" s="37" t="s">
        <v>31</v>
      </c>
      <c r="J1155" s="38" t="s">
        <v>39</v>
      </c>
      <c r="K1155" s="38" t="s">
        <v>40</v>
      </c>
      <c r="L1155" s="39" t="s">
        <v>63</v>
      </c>
      <c r="M1155" s="40" t="s">
        <v>19</v>
      </c>
      <c r="N1155" s="7" t="s">
        <v>41</v>
      </c>
      <c r="O1155" s="7" t="s">
        <v>37</v>
      </c>
      <c r="P1155" s="7" t="s">
        <v>64</v>
      </c>
      <c r="Q1155" s="27" t="s">
        <v>20</v>
      </c>
      <c r="R1155" s="28" t="s">
        <v>60</v>
      </c>
      <c r="S1155" s="28" t="s">
        <v>59</v>
      </c>
      <c r="T1155" s="29" t="s">
        <v>65</v>
      </c>
      <c r="U1155" s="48" t="s">
        <v>21</v>
      </c>
      <c r="V1155" s="48" t="s">
        <v>42</v>
      </c>
      <c r="W1155" s="48" t="s">
        <v>43</v>
      </c>
      <c r="X1155" s="49" t="s">
        <v>66</v>
      </c>
      <c r="Y1155" s="50" t="s">
        <v>22</v>
      </c>
      <c r="Z1155" s="51" t="s">
        <v>44</v>
      </c>
      <c r="AA1155" s="51" t="s">
        <v>45</v>
      </c>
      <c r="AB1155" s="52" t="s">
        <v>67</v>
      </c>
      <c r="AC1155" s="45" t="s">
        <v>23</v>
      </c>
      <c r="AD1155" s="46" t="s">
        <v>46</v>
      </c>
      <c r="AE1155" s="46" t="s">
        <v>47</v>
      </c>
      <c r="AF1155" s="47" t="s">
        <v>68</v>
      </c>
      <c r="AG1155" s="30" t="s">
        <v>24</v>
      </c>
      <c r="AH1155" s="31" t="s">
        <v>48</v>
      </c>
      <c r="AI1155" s="31" t="s">
        <v>49</v>
      </c>
      <c r="AJ1155" s="32" t="s">
        <v>69</v>
      </c>
      <c r="AK1155" s="53" t="s">
        <v>25</v>
      </c>
      <c r="AL1155" s="54" t="s">
        <v>50</v>
      </c>
      <c r="AM1155" s="54" t="s">
        <v>51</v>
      </c>
      <c r="AN1155" s="55" t="s">
        <v>70</v>
      </c>
      <c r="AO1155" s="56" t="s">
        <v>26</v>
      </c>
      <c r="AP1155" s="57" t="s">
        <v>52</v>
      </c>
      <c r="AQ1155" s="57" t="s">
        <v>53</v>
      </c>
      <c r="AR1155" s="58" t="s">
        <v>71</v>
      </c>
      <c r="AS1155" s="59" t="s">
        <v>55</v>
      </c>
      <c r="AT1155" s="60" t="s">
        <v>54</v>
      </c>
      <c r="AU1155" s="60" t="s">
        <v>56</v>
      </c>
      <c r="AV1155" s="61" t="s">
        <v>76</v>
      </c>
      <c r="AW1155" s="62" t="s">
        <v>72</v>
      </c>
      <c r="AX1155" s="63" t="s">
        <v>73</v>
      </c>
      <c r="AY1155" s="63" t="s">
        <v>74</v>
      </c>
      <c r="AZ1155" s="64" t="s">
        <v>75</v>
      </c>
      <c r="BA1155" s="71" t="s">
        <v>77</v>
      </c>
      <c r="BB1155" s="72" t="s">
        <v>57</v>
      </c>
      <c r="BC1155" s="72" t="s">
        <v>58</v>
      </c>
      <c r="BD1155" s="73" t="s">
        <v>78</v>
      </c>
    </row>
    <row r="1156" spans="1:56" ht="15.75" thickBot="1" x14ac:dyDescent="0.3">
      <c r="A1156" s="17" t="s">
        <v>1</v>
      </c>
      <c r="B1156" s="14">
        <v>54200</v>
      </c>
      <c r="C1156" s="34">
        <f>B1156/F1153</f>
        <v>51.965484180249284</v>
      </c>
      <c r="D1156" s="14">
        <v>1525</v>
      </c>
      <c r="E1156" s="67">
        <v>0</v>
      </c>
      <c r="F1156" s="69">
        <v>0</v>
      </c>
      <c r="G1156" s="34" t="e">
        <f t="shared" ref="G1156:G1162" si="2496">E1156/F1156</f>
        <v>#DIV/0!</v>
      </c>
      <c r="H1156" s="10" t="e">
        <f t="shared" ref="H1156:H1162" si="2497">G1156/C1156</f>
        <v>#DIV/0!</v>
      </c>
      <c r="I1156" s="34">
        <v>0</v>
      </c>
      <c r="J1156" s="69">
        <v>0</v>
      </c>
      <c r="K1156" s="34" t="e">
        <f t="shared" ref="K1156:K1162" si="2498">I1156/J1156</f>
        <v>#DIV/0!</v>
      </c>
      <c r="L1156" s="9" t="e">
        <f t="shared" ref="L1156:L1162" si="2499">K1156/C1156</f>
        <v>#DIV/0!</v>
      </c>
      <c r="M1156" s="67">
        <v>0</v>
      </c>
      <c r="N1156" s="26">
        <v>0</v>
      </c>
      <c r="O1156" s="34" t="e">
        <f t="shared" ref="O1156:O1162" si="2500">M1156/N1156</f>
        <v>#DIV/0!</v>
      </c>
      <c r="P1156" s="10" t="e">
        <f t="shared" ref="P1156:P1162" si="2501">O1156/C1156</f>
        <v>#DIV/0!</v>
      </c>
      <c r="Q1156" s="35">
        <v>0</v>
      </c>
      <c r="R1156" s="66">
        <v>0</v>
      </c>
      <c r="S1156" s="35" t="e">
        <f t="shared" ref="S1156:S1162" si="2502">Q1156/R1156</f>
        <v>#DIV/0!</v>
      </c>
      <c r="T1156" s="6" t="e">
        <f t="shared" ref="T1156:T1162" si="2503">S1156/C1156</f>
        <v>#DIV/0!</v>
      </c>
      <c r="U1156" s="67">
        <v>0</v>
      </c>
      <c r="V1156" s="65">
        <v>0</v>
      </c>
      <c r="W1156" s="18" t="e">
        <f t="shared" ref="W1156:W1162" si="2504">U1156/V1156</f>
        <v>#DIV/0!</v>
      </c>
      <c r="X1156" s="9" t="e">
        <f t="shared" ref="X1156:X1162" si="2505">W1156/C1156</f>
        <v>#DIV/0!</v>
      </c>
      <c r="Y1156" s="67">
        <v>22400</v>
      </c>
      <c r="Z1156" s="69">
        <v>538</v>
      </c>
      <c r="AA1156" s="34">
        <f t="shared" ref="AA1156:AA1162" si="2506">Y1156/Z1156</f>
        <v>41.635687732342006</v>
      </c>
      <c r="AB1156" s="10">
        <f t="shared" ref="AB1156:AB1162" si="2507">AA1156/C1156</f>
        <v>0.80121812370540058</v>
      </c>
      <c r="AC1156" s="18">
        <v>7990</v>
      </c>
      <c r="AD1156" s="33">
        <v>538</v>
      </c>
      <c r="AE1156" s="34">
        <f t="shared" ref="AE1156:AE1162" si="2508">AC1156/AD1156</f>
        <v>14.851301115241636</v>
      </c>
      <c r="AF1156" s="9">
        <f t="shared" ref="AF1156:AF1162" si="2509">AE1156/C1156</f>
        <v>0.28579164323241746</v>
      </c>
      <c r="AG1156" s="67">
        <v>0</v>
      </c>
      <c r="AH1156" s="65">
        <v>0</v>
      </c>
      <c r="AI1156" s="34" t="e">
        <f t="shared" ref="AI1156:AI1162" si="2510">AG1156/AH1156</f>
        <v>#DIV/0!</v>
      </c>
      <c r="AJ1156" s="9" t="e">
        <f t="shared" ref="AJ1156:AJ1162" si="2511">AI1156/C1156</f>
        <v>#DIV/0!</v>
      </c>
      <c r="AK1156" s="67">
        <v>0</v>
      </c>
      <c r="AL1156" s="65">
        <v>0</v>
      </c>
      <c r="AM1156" s="34" t="e">
        <f t="shared" ref="AM1156:AM1162" si="2512">AK1156/AL1156</f>
        <v>#DIV/0!</v>
      </c>
      <c r="AN1156" s="9" t="e">
        <f t="shared" ref="AN1156:AN1162" si="2513">AM1156/C1156</f>
        <v>#DIV/0!</v>
      </c>
      <c r="AO1156" s="67">
        <v>0</v>
      </c>
      <c r="AP1156" s="65">
        <v>0</v>
      </c>
      <c r="AQ1156" s="34" t="e">
        <f t="shared" ref="AQ1156:AQ1162" si="2514">AO1156/AP1156</f>
        <v>#DIV/0!</v>
      </c>
      <c r="AR1156" s="9" t="e">
        <f t="shared" ref="AR1156:AR1162" si="2515">AQ1156/C1156</f>
        <v>#DIV/0!</v>
      </c>
      <c r="AS1156" s="67">
        <v>0</v>
      </c>
      <c r="AT1156" s="65">
        <v>0</v>
      </c>
      <c r="AU1156" s="34" t="e">
        <f t="shared" ref="AU1156:AU1162" si="2516">AS1156/AT1156</f>
        <v>#DIV/0!</v>
      </c>
      <c r="AV1156" s="9" t="e">
        <f t="shared" ref="AV1156:AV1162" si="2517">AU1156/C1156</f>
        <v>#DIV/0!</v>
      </c>
      <c r="AW1156" s="67">
        <v>0</v>
      </c>
      <c r="AX1156" s="65">
        <v>0</v>
      </c>
      <c r="AY1156" s="34" t="e">
        <f t="shared" ref="AY1156:AY1162" si="2518">AW1156/AX1156</f>
        <v>#DIV/0!</v>
      </c>
      <c r="AZ1156" s="9" t="e">
        <f t="shared" ref="AZ1156:AZ1162" si="2519">AY1156/C1156</f>
        <v>#DIV/0!</v>
      </c>
      <c r="BA1156" s="67">
        <v>1100</v>
      </c>
      <c r="BB1156" s="65">
        <v>77</v>
      </c>
      <c r="BC1156" s="34">
        <f t="shared" ref="BC1156:BC1162" si="2520">BA1156/BB1156</f>
        <v>14.285714285714286</v>
      </c>
      <c r="BD1156" s="10">
        <f t="shared" ref="BD1156:BD1162" si="2521">BC1156/C1156</f>
        <v>0.27490774907749077</v>
      </c>
    </row>
    <row r="1157" spans="1:56" ht="15.75" thickBot="1" x14ac:dyDescent="0.3">
      <c r="A1157" s="19" t="s">
        <v>16</v>
      </c>
      <c r="B1157" s="8">
        <v>63770</v>
      </c>
      <c r="C1157" s="35">
        <f>B1157/F1153</f>
        <v>61.140939597315437</v>
      </c>
      <c r="D1157" s="8">
        <v>1525</v>
      </c>
      <c r="E1157" s="68">
        <v>0</v>
      </c>
      <c r="F1157" s="70">
        <v>0</v>
      </c>
      <c r="G1157" s="35" t="e">
        <f t="shared" si="2496"/>
        <v>#DIV/0!</v>
      </c>
      <c r="H1157" s="11" t="e">
        <f t="shared" si="2497"/>
        <v>#DIV/0!</v>
      </c>
      <c r="I1157" s="35">
        <v>0</v>
      </c>
      <c r="J1157" s="70">
        <v>0</v>
      </c>
      <c r="K1157" s="35" t="e">
        <f t="shared" si="2498"/>
        <v>#DIV/0!</v>
      </c>
      <c r="L1157" s="6" t="e">
        <f t="shared" si="2499"/>
        <v>#DIV/0!</v>
      </c>
      <c r="M1157" s="68">
        <v>0</v>
      </c>
      <c r="N1157" s="5">
        <v>0</v>
      </c>
      <c r="O1157" s="35" t="e">
        <f t="shared" si="2500"/>
        <v>#DIV/0!</v>
      </c>
      <c r="P1157" s="11" t="e">
        <f t="shared" si="2501"/>
        <v>#DIV/0!</v>
      </c>
      <c r="Q1157" s="35">
        <v>0</v>
      </c>
      <c r="R1157" s="66">
        <v>0</v>
      </c>
      <c r="S1157" s="35" t="e">
        <f t="shared" si="2502"/>
        <v>#DIV/0!</v>
      </c>
      <c r="T1157" s="6" t="e">
        <f t="shared" si="2503"/>
        <v>#DIV/0!</v>
      </c>
      <c r="U1157" s="68">
        <v>0</v>
      </c>
      <c r="V1157" s="66">
        <v>0</v>
      </c>
      <c r="W1157" s="20" t="e">
        <f t="shared" si="2504"/>
        <v>#DIV/0!</v>
      </c>
      <c r="X1157" s="6" t="e">
        <f t="shared" si="2505"/>
        <v>#DIV/0!</v>
      </c>
      <c r="Y1157" s="68">
        <v>31290</v>
      </c>
      <c r="Z1157" s="69">
        <v>538</v>
      </c>
      <c r="AA1157" s="35">
        <f t="shared" si="2506"/>
        <v>58.159851301115239</v>
      </c>
      <c r="AB1157" s="11">
        <f t="shared" si="2507"/>
        <v>0.9512423538821263</v>
      </c>
      <c r="AC1157" s="20">
        <v>10900</v>
      </c>
      <c r="AD1157" s="33">
        <v>538</v>
      </c>
      <c r="AE1157" s="35">
        <f t="shared" si="2508"/>
        <v>20.260223048327138</v>
      </c>
      <c r="AF1157" s="6">
        <f t="shared" si="2509"/>
        <v>0.33136918048306735</v>
      </c>
      <c r="AG1157" s="68">
        <v>0</v>
      </c>
      <c r="AH1157" s="66">
        <v>0</v>
      </c>
      <c r="AI1157" s="35" t="e">
        <f t="shared" si="2510"/>
        <v>#DIV/0!</v>
      </c>
      <c r="AJ1157" s="6" t="e">
        <f t="shared" si="2511"/>
        <v>#DIV/0!</v>
      </c>
      <c r="AK1157" s="68">
        <v>0</v>
      </c>
      <c r="AL1157" s="66">
        <v>0</v>
      </c>
      <c r="AM1157" s="35" t="e">
        <f t="shared" si="2512"/>
        <v>#DIV/0!</v>
      </c>
      <c r="AN1157" s="6" t="e">
        <f t="shared" si="2513"/>
        <v>#DIV/0!</v>
      </c>
      <c r="AO1157" s="68">
        <v>0</v>
      </c>
      <c r="AP1157" s="66">
        <v>0</v>
      </c>
      <c r="AQ1157" s="35" t="e">
        <f t="shared" si="2514"/>
        <v>#DIV/0!</v>
      </c>
      <c r="AR1157" s="6" t="e">
        <f t="shared" si="2515"/>
        <v>#DIV/0!</v>
      </c>
      <c r="AS1157" s="68">
        <v>0</v>
      </c>
      <c r="AT1157" s="66">
        <v>0</v>
      </c>
      <c r="AU1157" s="35" t="e">
        <f t="shared" si="2516"/>
        <v>#DIV/0!</v>
      </c>
      <c r="AV1157" s="6" t="e">
        <f t="shared" si="2517"/>
        <v>#DIV/0!</v>
      </c>
      <c r="AW1157" s="68">
        <v>0</v>
      </c>
      <c r="AX1157" s="66">
        <v>0</v>
      </c>
      <c r="AY1157" s="35" t="e">
        <f t="shared" si="2518"/>
        <v>#DIV/0!</v>
      </c>
      <c r="AZ1157" s="6" t="e">
        <f t="shared" si="2519"/>
        <v>#DIV/0!</v>
      </c>
      <c r="BA1157" s="68">
        <v>1810</v>
      </c>
      <c r="BB1157" s="65">
        <v>77</v>
      </c>
      <c r="BC1157" s="35">
        <f t="shared" si="2520"/>
        <v>23.506493506493506</v>
      </c>
      <c r="BD1157" s="11">
        <f t="shared" si="2521"/>
        <v>0.38446405405790696</v>
      </c>
    </row>
    <row r="1158" spans="1:56" ht="15.75" thickBot="1" x14ac:dyDescent="0.3">
      <c r="A1158" s="19" t="s">
        <v>2</v>
      </c>
      <c r="B1158" s="8">
        <v>74640</v>
      </c>
      <c r="C1158" s="35">
        <f>B1158/F1153</f>
        <v>71.562799616490892</v>
      </c>
      <c r="D1158" s="8">
        <v>2100</v>
      </c>
      <c r="E1158" s="68">
        <v>0</v>
      </c>
      <c r="F1158" s="70">
        <v>0</v>
      </c>
      <c r="G1158" s="35" t="e">
        <f t="shared" si="2496"/>
        <v>#DIV/0!</v>
      </c>
      <c r="H1158" s="11" t="e">
        <f t="shared" si="2497"/>
        <v>#DIV/0!</v>
      </c>
      <c r="I1158" s="35">
        <v>0</v>
      </c>
      <c r="J1158" s="70">
        <v>0</v>
      </c>
      <c r="K1158" s="35" t="e">
        <f t="shared" si="2498"/>
        <v>#DIV/0!</v>
      </c>
      <c r="L1158" s="6" t="e">
        <f t="shared" si="2499"/>
        <v>#DIV/0!</v>
      </c>
      <c r="M1158" s="68">
        <v>0</v>
      </c>
      <c r="N1158" s="5">
        <v>0</v>
      </c>
      <c r="O1158" s="35" t="e">
        <f t="shared" si="2500"/>
        <v>#DIV/0!</v>
      </c>
      <c r="P1158" s="11" t="e">
        <f t="shared" si="2501"/>
        <v>#DIV/0!</v>
      </c>
      <c r="Q1158" s="35">
        <v>0</v>
      </c>
      <c r="R1158" s="66">
        <v>0</v>
      </c>
      <c r="S1158" s="35" t="e">
        <f t="shared" si="2502"/>
        <v>#DIV/0!</v>
      </c>
      <c r="T1158" s="6" t="e">
        <f t="shared" si="2503"/>
        <v>#DIV/0!</v>
      </c>
      <c r="U1158" s="68">
        <v>0</v>
      </c>
      <c r="V1158" s="66">
        <v>0</v>
      </c>
      <c r="W1158" s="20" t="e">
        <f t="shared" si="2504"/>
        <v>#DIV/0!</v>
      </c>
      <c r="X1158" s="6" t="e">
        <f t="shared" si="2505"/>
        <v>#DIV/0!</v>
      </c>
      <c r="Y1158" s="68">
        <v>37200</v>
      </c>
      <c r="Z1158" s="69">
        <v>538</v>
      </c>
      <c r="AA1158" s="35">
        <f t="shared" si="2506"/>
        <v>69.14498141263941</v>
      </c>
      <c r="AB1158" s="11">
        <f t="shared" si="2507"/>
        <v>0.96621403554907426</v>
      </c>
      <c r="AC1158" s="20">
        <v>13580</v>
      </c>
      <c r="AD1158" s="33">
        <v>538</v>
      </c>
      <c r="AE1158" s="35">
        <f t="shared" si="2508"/>
        <v>25.241635687732341</v>
      </c>
      <c r="AF1158" s="6">
        <f t="shared" si="2509"/>
        <v>0.35272006996657063</v>
      </c>
      <c r="AG1158" s="68">
        <v>0</v>
      </c>
      <c r="AH1158" s="66">
        <v>0</v>
      </c>
      <c r="AI1158" s="35" t="e">
        <f t="shared" si="2510"/>
        <v>#DIV/0!</v>
      </c>
      <c r="AJ1158" s="6" t="e">
        <f t="shared" si="2511"/>
        <v>#DIV/0!</v>
      </c>
      <c r="AK1158" s="68">
        <v>0</v>
      </c>
      <c r="AL1158" s="66">
        <v>0</v>
      </c>
      <c r="AM1158" s="35" t="e">
        <f t="shared" si="2512"/>
        <v>#DIV/0!</v>
      </c>
      <c r="AN1158" s="6" t="e">
        <f t="shared" si="2513"/>
        <v>#DIV/0!</v>
      </c>
      <c r="AO1158" s="68">
        <v>0</v>
      </c>
      <c r="AP1158" s="66">
        <v>0</v>
      </c>
      <c r="AQ1158" s="35" t="e">
        <f t="shared" si="2514"/>
        <v>#DIV/0!</v>
      </c>
      <c r="AR1158" s="6" t="e">
        <f t="shared" si="2515"/>
        <v>#DIV/0!</v>
      </c>
      <c r="AS1158" s="68">
        <v>0</v>
      </c>
      <c r="AT1158" s="66">
        <v>0</v>
      </c>
      <c r="AU1158" s="35" t="e">
        <f t="shared" si="2516"/>
        <v>#DIV/0!</v>
      </c>
      <c r="AV1158" s="6" t="e">
        <f t="shared" si="2517"/>
        <v>#DIV/0!</v>
      </c>
      <c r="AW1158" s="68">
        <v>0</v>
      </c>
      <c r="AX1158" s="66">
        <v>0</v>
      </c>
      <c r="AY1158" s="35" t="e">
        <f t="shared" si="2518"/>
        <v>#DIV/0!</v>
      </c>
      <c r="AZ1158" s="6" t="e">
        <f t="shared" si="2519"/>
        <v>#DIV/0!</v>
      </c>
      <c r="BA1158" s="68">
        <v>1990</v>
      </c>
      <c r="BB1158" s="65">
        <v>77</v>
      </c>
      <c r="BC1158" s="35">
        <f t="shared" si="2520"/>
        <v>25.844155844155843</v>
      </c>
      <c r="BD1158" s="11">
        <f t="shared" si="2521"/>
        <v>0.36113953035174901</v>
      </c>
    </row>
    <row r="1159" spans="1:56" ht="15.75" thickBot="1" x14ac:dyDescent="0.3">
      <c r="A1159" s="19" t="s">
        <v>3</v>
      </c>
      <c r="B1159" s="8">
        <v>90090</v>
      </c>
      <c r="C1159" s="35">
        <f>B1159/F1153</f>
        <v>86.375838926174495</v>
      </c>
      <c r="D1159" s="8">
        <v>2700</v>
      </c>
      <c r="E1159" s="68">
        <v>0</v>
      </c>
      <c r="F1159" s="70">
        <v>0</v>
      </c>
      <c r="G1159" s="35" t="e">
        <f t="shared" si="2496"/>
        <v>#DIV/0!</v>
      </c>
      <c r="H1159" s="11" t="e">
        <f t="shared" si="2497"/>
        <v>#DIV/0!</v>
      </c>
      <c r="I1159" s="35">
        <v>0</v>
      </c>
      <c r="J1159" s="70">
        <v>0</v>
      </c>
      <c r="K1159" s="35" t="e">
        <f t="shared" si="2498"/>
        <v>#DIV/0!</v>
      </c>
      <c r="L1159" s="6" t="e">
        <f t="shared" si="2499"/>
        <v>#DIV/0!</v>
      </c>
      <c r="M1159" s="68">
        <v>0</v>
      </c>
      <c r="N1159" s="5">
        <v>0</v>
      </c>
      <c r="O1159" s="35" t="e">
        <f t="shared" si="2500"/>
        <v>#DIV/0!</v>
      </c>
      <c r="P1159" s="11" t="e">
        <f t="shared" si="2501"/>
        <v>#DIV/0!</v>
      </c>
      <c r="Q1159" s="35">
        <v>0</v>
      </c>
      <c r="R1159" s="66">
        <v>0</v>
      </c>
      <c r="S1159" s="35" t="e">
        <f t="shared" si="2502"/>
        <v>#DIV/0!</v>
      </c>
      <c r="T1159" s="6" t="e">
        <f t="shared" si="2503"/>
        <v>#DIV/0!</v>
      </c>
      <c r="U1159" s="68">
        <v>0</v>
      </c>
      <c r="V1159" s="66">
        <v>0</v>
      </c>
      <c r="W1159" s="20" t="e">
        <f t="shared" si="2504"/>
        <v>#DIV/0!</v>
      </c>
      <c r="X1159" s="6" t="e">
        <f t="shared" si="2505"/>
        <v>#DIV/0!</v>
      </c>
      <c r="Y1159" s="68">
        <v>38530</v>
      </c>
      <c r="Z1159" s="69">
        <v>538</v>
      </c>
      <c r="AA1159" s="35">
        <f t="shared" si="2506"/>
        <v>71.617100371747213</v>
      </c>
      <c r="AB1159" s="11">
        <f t="shared" si="2507"/>
        <v>0.82913348526731434</v>
      </c>
      <c r="AC1159" s="20">
        <v>14420</v>
      </c>
      <c r="AD1159" s="33">
        <v>538</v>
      </c>
      <c r="AE1159" s="35">
        <f t="shared" si="2508"/>
        <v>26.802973977695167</v>
      </c>
      <c r="AF1159" s="6">
        <f t="shared" si="2509"/>
        <v>0.31030638093835122</v>
      </c>
      <c r="AG1159" s="68">
        <v>0</v>
      </c>
      <c r="AH1159" s="66">
        <v>0</v>
      </c>
      <c r="AI1159" s="35" t="e">
        <f t="shared" si="2510"/>
        <v>#DIV/0!</v>
      </c>
      <c r="AJ1159" s="6" t="e">
        <f t="shared" si="2511"/>
        <v>#DIV/0!</v>
      </c>
      <c r="AK1159" s="68">
        <v>0</v>
      </c>
      <c r="AL1159" s="66">
        <v>0</v>
      </c>
      <c r="AM1159" s="35" t="e">
        <f t="shared" si="2512"/>
        <v>#DIV/0!</v>
      </c>
      <c r="AN1159" s="6" t="e">
        <f t="shared" si="2513"/>
        <v>#DIV/0!</v>
      </c>
      <c r="AO1159" s="68">
        <v>0</v>
      </c>
      <c r="AP1159" s="66">
        <v>0</v>
      </c>
      <c r="AQ1159" s="35" t="e">
        <f t="shared" si="2514"/>
        <v>#DIV/0!</v>
      </c>
      <c r="AR1159" s="6" t="e">
        <f t="shared" si="2515"/>
        <v>#DIV/0!</v>
      </c>
      <c r="AS1159" s="68">
        <v>0</v>
      </c>
      <c r="AT1159" s="66">
        <v>0</v>
      </c>
      <c r="AU1159" s="35" t="e">
        <f t="shared" si="2516"/>
        <v>#DIV/0!</v>
      </c>
      <c r="AV1159" s="6" t="e">
        <f t="shared" si="2517"/>
        <v>#DIV/0!</v>
      </c>
      <c r="AW1159" s="68">
        <v>0</v>
      </c>
      <c r="AX1159" s="66">
        <v>0</v>
      </c>
      <c r="AY1159" s="35" t="e">
        <f t="shared" si="2518"/>
        <v>#DIV/0!</v>
      </c>
      <c r="AZ1159" s="6" t="e">
        <f t="shared" si="2519"/>
        <v>#DIV/0!</v>
      </c>
      <c r="BA1159" s="68">
        <v>2190</v>
      </c>
      <c r="BB1159" s="65">
        <v>77</v>
      </c>
      <c r="BC1159" s="35">
        <f t="shared" si="2520"/>
        <v>28.441558441558442</v>
      </c>
      <c r="BD1159" s="11">
        <f t="shared" si="2521"/>
        <v>0.32927678382223835</v>
      </c>
    </row>
    <row r="1160" spans="1:56" ht="15.75" thickBot="1" x14ac:dyDescent="0.3">
      <c r="A1160" s="19" t="s">
        <v>4</v>
      </c>
      <c r="B1160" s="8">
        <v>112360</v>
      </c>
      <c r="C1160" s="35">
        <f>B1160/F1153</f>
        <v>107.72770853307766</v>
      </c>
      <c r="D1160" s="8">
        <v>5250</v>
      </c>
      <c r="E1160" s="68">
        <v>0</v>
      </c>
      <c r="F1160" s="70">
        <v>0</v>
      </c>
      <c r="G1160" s="35" t="e">
        <f t="shared" si="2496"/>
        <v>#DIV/0!</v>
      </c>
      <c r="H1160" s="11" t="e">
        <f t="shared" si="2497"/>
        <v>#DIV/0!</v>
      </c>
      <c r="I1160" s="35">
        <v>0</v>
      </c>
      <c r="J1160" s="70">
        <v>0</v>
      </c>
      <c r="K1160" s="35" t="e">
        <f t="shared" si="2498"/>
        <v>#DIV/0!</v>
      </c>
      <c r="L1160" s="6" t="e">
        <f t="shared" si="2499"/>
        <v>#DIV/0!</v>
      </c>
      <c r="M1160" s="68">
        <v>0</v>
      </c>
      <c r="N1160" s="5">
        <v>0</v>
      </c>
      <c r="O1160" s="35" t="e">
        <f t="shared" si="2500"/>
        <v>#DIV/0!</v>
      </c>
      <c r="P1160" s="11" t="e">
        <f t="shared" si="2501"/>
        <v>#DIV/0!</v>
      </c>
      <c r="Q1160" s="35">
        <v>0</v>
      </c>
      <c r="R1160" s="66">
        <v>0</v>
      </c>
      <c r="S1160" s="35" t="e">
        <f t="shared" si="2502"/>
        <v>#DIV/0!</v>
      </c>
      <c r="T1160" s="6" t="e">
        <f t="shared" si="2503"/>
        <v>#DIV/0!</v>
      </c>
      <c r="U1160" s="68">
        <v>0</v>
      </c>
      <c r="V1160" s="66">
        <v>0</v>
      </c>
      <c r="W1160" s="20" t="e">
        <f t="shared" si="2504"/>
        <v>#DIV/0!</v>
      </c>
      <c r="X1160" s="6" t="e">
        <f t="shared" si="2505"/>
        <v>#DIV/0!</v>
      </c>
      <c r="Y1160" s="68">
        <v>47200</v>
      </c>
      <c r="Z1160" s="69">
        <v>538</v>
      </c>
      <c r="AA1160" s="35">
        <f t="shared" si="2506"/>
        <v>87.732342007434937</v>
      </c>
      <c r="AB1160" s="11">
        <f t="shared" si="2507"/>
        <v>0.81438975359340193</v>
      </c>
      <c r="AC1160" s="20">
        <v>16430</v>
      </c>
      <c r="AD1160" s="33">
        <v>538</v>
      </c>
      <c r="AE1160" s="35">
        <f t="shared" si="2508"/>
        <v>30.539033457249072</v>
      </c>
      <c r="AF1160" s="6">
        <f t="shared" si="2509"/>
        <v>0.28348355193939823</v>
      </c>
      <c r="AG1160" s="68">
        <v>0</v>
      </c>
      <c r="AH1160" s="66">
        <v>0</v>
      </c>
      <c r="AI1160" s="35" t="e">
        <f t="shared" si="2510"/>
        <v>#DIV/0!</v>
      </c>
      <c r="AJ1160" s="6" t="e">
        <f t="shared" si="2511"/>
        <v>#DIV/0!</v>
      </c>
      <c r="AK1160" s="68">
        <v>0</v>
      </c>
      <c r="AL1160" s="66">
        <v>0</v>
      </c>
      <c r="AM1160" s="35" t="e">
        <f t="shared" si="2512"/>
        <v>#DIV/0!</v>
      </c>
      <c r="AN1160" s="6" t="e">
        <f t="shared" si="2513"/>
        <v>#DIV/0!</v>
      </c>
      <c r="AO1160" s="68">
        <v>0</v>
      </c>
      <c r="AP1160" s="66">
        <v>0</v>
      </c>
      <c r="AQ1160" s="35" t="e">
        <f t="shared" si="2514"/>
        <v>#DIV/0!</v>
      </c>
      <c r="AR1160" s="6" t="e">
        <f t="shared" si="2515"/>
        <v>#DIV/0!</v>
      </c>
      <c r="AS1160" s="68">
        <v>0</v>
      </c>
      <c r="AT1160" s="66">
        <v>0</v>
      </c>
      <c r="AU1160" s="35" t="e">
        <f t="shared" si="2516"/>
        <v>#DIV/0!</v>
      </c>
      <c r="AV1160" s="6" t="e">
        <f t="shared" si="2517"/>
        <v>#DIV/0!</v>
      </c>
      <c r="AW1160" s="68">
        <v>0</v>
      </c>
      <c r="AX1160" s="66">
        <v>0</v>
      </c>
      <c r="AY1160" s="35" t="e">
        <f t="shared" si="2518"/>
        <v>#DIV/0!</v>
      </c>
      <c r="AZ1160" s="6" t="e">
        <f t="shared" si="2519"/>
        <v>#DIV/0!</v>
      </c>
      <c r="BA1160" s="68">
        <v>2700</v>
      </c>
      <c r="BB1160" s="65">
        <v>77</v>
      </c>
      <c r="BC1160" s="35">
        <f t="shared" si="2520"/>
        <v>35.064935064935064</v>
      </c>
      <c r="BD1160" s="11">
        <f t="shared" si="2521"/>
        <v>0.32549597074338976</v>
      </c>
    </row>
    <row r="1161" spans="1:56" ht="15.75" thickBot="1" x14ac:dyDescent="0.3">
      <c r="A1161" s="19" t="s">
        <v>5</v>
      </c>
      <c r="B1161" s="8">
        <v>148110</v>
      </c>
      <c r="C1161" s="35">
        <f>B1161/F1153</f>
        <v>142.0038350910834</v>
      </c>
      <c r="D1161" s="8">
        <v>7050</v>
      </c>
      <c r="E1161" s="68">
        <v>0</v>
      </c>
      <c r="F1161" s="70">
        <v>0</v>
      </c>
      <c r="G1161" s="35" t="e">
        <f t="shared" si="2496"/>
        <v>#DIV/0!</v>
      </c>
      <c r="H1161" s="11" t="e">
        <f t="shared" si="2497"/>
        <v>#DIV/0!</v>
      </c>
      <c r="I1161" s="35">
        <v>0</v>
      </c>
      <c r="J1161" s="70">
        <v>0</v>
      </c>
      <c r="K1161" s="35" t="e">
        <f t="shared" si="2498"/>
        <v>#DIV/0!</v>
      </c>
      <c r="L1161" s="6" t="e">
        <f t="shared" si="2499"/>
        <v>#DIV/0!</v>
      </c>
      <c r="M1161" s="68">
        <v>0</v>
      </c>
      <c r="N1161" s="5">
        <v>0</v>
      </c>
      <c r="O1161" s="35" t="e">
        <f t="shared" si="2500"/>
        <v>#DIV/0!</v>
      </c>
      <c r="P1161" s="11" t="e">
        <f t="shared" si="2501"/>
        <v>#DIV/0!</v>
      </c>
      <c r="Q1161" s="35">
        <v>0</v>
      </c>
      <c r="R1161" s="66">
        <v>0</v>
      </c>
      <c r="S1161" s="35" t="e">
        <f t="shared" si="2502"/>
        <v>#DIV/0!</v>
      </c>
      <c r="T1161" s="6" t="e">
        <f t="shared" si="2503"/>
        <v>#DIV/0!</v>
      </c>
      <c r="U1161" s="68">
        <v>0</v>
      </c>
      <c r="V1161" s="66">
        <v>0</v>
      </c>
      <c r="W1161" s="20" t="e">
        <f t="shared" si="2504"/>
        <v>#DIV/0!</v>
      </c>
      <c r="X1161" s="6" t="e">
        <f t="shared" si="2505"/>
        <v>#DIV/0!</v>
      </c>
      <c r="Y1161" s="68">
        <v>61670</v>
      </c>
      <c r="Z1161" s="69">
        <v>538</v>
      </c>
      <c r="AA1161" s="35">
        <f t="shared" si="2506"/>
        <v>114.62825278810409</v>
      </c>
      <c r="AB1161" s="11">
        <f t="shared" si="2507"/>
        <v>0.80721941569099032</v>
      </c>
      <c r="AC1161" s="20">
        <v>18480</v>
      </c>
      <c r="AD1161" s="33">
        <v>538</v>
      </c>
      <c r="AE1161" s="35">
        <f t="shared" si="2508"/>
        <v>34.349442379182157</v>
      </c>
      <c r="AF1161" s="6">
        <f t="shared" si="2509"/>
        <v>0.24189094862930924</v>
      </c>
      <c r="AG1161" s="68">
        <v>0</v>
      </c>
      <c r="AH1161" s="66">
        <v>0</v>
      </c>
      <c r="AI1161" s="35" t="e">
        <f t="shared" si="2510"/>
        <v>#DIV/0!</v>
      </c>
      <c r="AJ1161" s="6" t="e">
        <f t="shared" si="2511"/>
        <v>#DIV/0!</v>
      </c>
      <c r="AK1161" s="68">
        <v>0</v>
      </c>
      <c r="AL1161" s="66">
        <v>0</v>
      </c>
      <c r="AM1161" s="35" t="e">
        <f t="shared" si="2512"/>
        <v>#DIV/0!</v>
      </c>
      <c r="AN1161" s="6" t="e">
        <f t="shared" si="2513"/>
        <v>#DIV/0!</v>
      </c>
      <c r="AO1161" s="68">
        <v>0</v>
      </c>
      <c r="AP1161" s="66">
        <v>0</v>
      </c>
      <c r="AQ1161" s="35" t="e">
        <f t="shared" si="2514"/>
        <v>#DIV/0!</v>
      </c>
      <c r="AR1161" s="6" t="e">
        <f t="shared" si="2515"/>
        <v>#DIV/0!</v>
      </c>
      <c r="AS1161" s="68">
        <v>0</v>
      </c>
      <c r="AT1161" s="66">
        <v>0</v>
      </c>
      <c r="AU1161" s="35" t="e">
        <f t="shared" si="2516"/>
        <v>#DIV/0!</v>
      </c>
      <c r="AV1161" s="6" t="e">
        <f t="shared" si="2517"/>
        <v>#DIV/0!</v>
      </c>
      <c r="AW1161" s="68">
        <v>0</v>
      </c>
      <c r="AX1161" s="66">
        <v>0</v>
      </c>
      <c r="AY1161" s="35" t="e">
        <f t="shared" si="2518"/>
        <v>#DIV/0!</v>
      </c>
      <c r="AZ1161" s="6" t="e">
        <f t="shared" si="2519"/>
        <v>#DIV/0!</v>
      </c>
      <c r="BA1161" s="68">
        <v>3170</v>
      </c>
      <c r="BB1161" s="65">
        <v>77</v>
      </c>
      <c r="BC1161" s="35">
        <f t="shared" si="2520"/>
        <v>41.168831168831169</v>
      </c>
      <c r="BD1161" s="11">
        <f t="shared" si="2521"/>
        <v>0.28991351636682811</v>
      </c>
    </row>
    <row r="1162" spans="1:56" x14ac:dyDescent="0.25">
      <c r="A1162" s="19" t="s">
        <v>6</v>
      </c>
      <c r="B1162" s="8">
        <v>170880</v>
      </c>
      <c r="C1162" s="35">
        <f>B1162/F1153</f>
        <v>163.83509108341323</v>
      </c>
      <c r="D1162" s="8">
        <v>10950</v>
      </c>
      <c r="E1162" s="68">
        <v>0</v>
      </c>
      <c r="F1162" s="70">
        <v>0</v>
      </c>
      <c r="G1162" s="35" t="e">
        <f t="shared" si="2496"/>
        <v>#DIV/0!</v>
      </c>
      <c r="H1162" s="11" t="e">
        <f t="shared" si="2497"/>
        <v>#DIV/0!</v>
      </c>
      <c r="I1162" s="35">
        <v>0</v>
      </c>
      <c r="J1162" s="70">
        <v>0</v>
      </c>
      <c r="K1162" s="35" t="e">
        <f t="shared" si="2498"/>
        <v>#DIV/0!</v>
      </c>
      <c r="L1162" s="6" t="e">
        <f t="shared" si="2499"/>
        <v>#DIV/0!</v>
      </c>
      <c r="M1162" s="68">
        <v>0</v>
      </c>
      <c r="N1162" s="5">
        <v>0</v>
      </c>
      <c r="O1162" s="35" t="e">
        <f t="shared" si="2500"/>
        <v>#DIV/0!</v>
      </c>
      <c r="P1162" s="11" t="e">
        <f t="shared" si="2501"/>
        <v>#DIV/0!</v>
      </c>
      <c r="Q1162" s="35">
        <v>0</v>
      </c>
      <c r="R1162" s="66">
        <v>0</v>
      </c>
      <c r="S1162" s="35" t="e">
        <f t="shared" si="2502"/>
        <v>#DIV/0!</v>
      </c>
      <c r="T1162" s="6" t="e">
        <f t="shared" si="2503"/>
        <v>#DIV/0!</v>
      </c>
      <c r="U1162" s="68">
        <v>0</v>
      </c>
      <c r="V1162" s="66">
        <v>0</v>
      </c>
      <c r="W1162" s="20" t="e">
        <f t="shared" si="2504"/>
        <v>#DIV/0!</v>
      </c>
      <c r="X1162" s="6" t="e">
        <f t="shared" si="2505"/>
        <v>#DIV/0!</v>
      </c>
      <c r="Y1162" s="68">
        <v>67540</v>
      </c>
      <c r="Z1162" s="69">
        <v>538</v>
      </c>
      <c r="AA1162" s="35">
        <f t="shared" si="2506"/>
        <v>125.53903345724908</v>
      </c>
      <c r="AB1162" s="11">
        <f t="shared" si="2507"/>
        <v>0.76625241043955283</v>
      </c>
      <c r="AC1162" s="20">
        <v>26470</v>
      </c>
      <c r="AD1162" s="33">
        <v>538</v>
      </c>
      <c r="AE1162" s="35">
        <f t="shared" si="2508"/>
        <v>49.20074349442379</v>
      </c>
      <c r="AF1162" s="6">
        <f t="shared" si="2509"/>
        <v>0.30030650435793549</v>
      </c>
      <c r="AG1162" s="68">
        <v>0</v>
      </c>
      <c r="AH1162" s="66">
        <v>0</v>
      </c>
      <c r="AI1162" s="35" t="e">
        <f t="shared" si="2510"/>
        <v>#DIV/0!</v>
      </c>
      <c r="AJ1162" s="6" t="e">
        <f t="shared" si="2511"/>
        <v>#DIV/0!</v>
      </c>
      <c r="AK1162" s="68">
        <v>0</v>
      </c>
      <c r="AL1162" s="66">
        <v>0</v>
      </c>
      <c r="AM1162" s="35" t="e">
        <f t="shared" si="2512"/>
        <v>#DIV/0!</v>
      </c>
      <c r="AN1162" s="6" t="e">
        <f t="shared" si="2513"/>
        <v>#DIV/0!</v>
      </c>
      <c r="AO1162" s="68">
        <v>0</v>
      </c>
      <c r="AP1162" s="66">
        <v>0</v>
      </c>
      <c r="AQ1162" s="35" t="e">
        <f t="shared" si="2514"/>
        <v>#DIV/0!</v>
      </c>
      <c r="AR1162" s="6" t="e">
        <f t="shared" si="2515"/>
        <v>#DIV/0!</v>
      </c>
      <c r="AS1162" s="68">
        <v>0</v>
      </c>
      <c r="AT1162" s="66">
        <v>0</v>
      </c>
      <c r="AU1162" s="35" t="e">
        <f t="shared" si="2516"/>
        <v>#DIV/0!</v>
      </c>
      <c r="AV1162" s="6" t="e">
        <f t="shared" si="2517"/>
        <v>#DIV/0!</v>
      </c>
      <c r="AW1162" s="68">
        <v>0</v>
      </c>
      <c r="AX1162" s="66">
        <v>0</v>
      </c>
      <c r="AY1162" s="35" t="e">
        <f t="shared" si="2518"/>
        <v>#DIV/0!</v>
      </c>
      <c r="AZ1162" s="6" t="e">
        <f t="shared" si="2519"/>
        <v>#DIV/0!</v>
      </c>
      <c r="BA1162" s="68">
        <v>3640</v>
      </c>
      <c r="BB1162" s="65">
        <v>77</v>
      </c>
      <c r="BC1162" s="35">
        <f t="shared" si="2520"/>
        <v>47.272727272727273</v>
      </c>
      <c r="BD1162" s="11">
        <f t="shared" si="2521"/>
        <v>0.28853847463398025</v>
      </c>
    </row>
    <row r="1163" spans="1:56" ht="15.75" thickBot="1" x14ac:dyDescent="0.3">
      <c r="A1163" s="21"/>
      <c r="B1163" s="22"/>
      <c r="C1163" s="23">
        <f>AVERAGE(Table1107989[MA $/Sq Ft])</f>
        <v>97.801671003972046</v>
      </c>
      <c r="D1163" s="22">
        <f>AVERAGE(Table1107989[Basic Allowance])</f>
        <v>4442.8571428571431</v>
      </c>
      <c r="E1163" s="16"/>
      <c r="F1163" s="22"/>
      <c r="G1163" s="15"/>
      <c r="H1163" s="24" t="e">
        <f>AVERAGE(Table1107989[Bsmt % Base])</f>
        <v>#DIV/0!</v>
      </c>
      <c r="I1163" s="15"/>
      <c r="J1163" s="15"/>
      <c r="K1163" s="15"/>
      <c r="L1163" s="25" t="e">
        <f>AVERAGE(Table1107989[[#Headers],[#Data],[UnfBsmt % Base]])</f>
        <v>#DIV/0!</v>
      </c>
      <c r="M1163" s="44"/>
      <c r="N1163" s="15"/>
      <c r="O1163" s="23" t="e">
        <f>AVERAGE(Table1107989[LowerVal/SqFt])</f>
        <v>#DIV/0!</v>
      </c>
      <c r="P1163" s="24" t="e">
        <f>AVERAGE(Table1107989[Lower % Base])</f>
        <v>#DIV/0!</v>
      </c>
      <c r="Q1163" s="13"/>
      <c r="R1163" s="13"/>
      <c r="S1163" s="13"/>
      <c r="T1163" s="25" t="e">
        <f>AVERAGE(Table1107989[Unf Lower % Base])</f>
        <v>#DIV/0!</v>
      </c>
      <c r="U1163" s="12"/>
      <c r="V1163" s="13"/>
      <c r="W1163" s="13"/>
      <c r="X1163" s="25" t="e">
        <f>AVERAGE(Table1107989[1/2 Story % Base])</f>
        <v>#DIV/0!</v>
      </c>
      <c r="Y1163" s="12"/>
      <c r="Z1163" s="13"/>
      <c r="AA1163" s="13"/>
      <c r="AB1163" s="24">
        <f>AVERAGE(Table1107989[2nd Story % Base])</f>
        <v>0.8479527968754087</v>
      </c>
      <c r="AC1163" s="13"/>
      <c r="AD1163" s="13"/>
      <c r="AE1163" s="23">
        <f>AVERAGE(Table1107989[AttGarVal/SqFt])</f>
        <v>28.749336165693045</v>
      </c>
      <c r="AF1163" s="25">
        <f>AVERAGE(Table1107989[Att Gar % Base])</f>
        <v>0.30083832564957858</v>
      </c>
      <c r="AG1163" s="12"/>
      <c r="AH1163" s="13"/>
      <c r="AI1163" s="13"/>
      <c r="AJ1163" s="25" t="e">
        <f>AVERAGE(Table1107989[Porch % Base])</f>
        <v>#DIV/0!</v>
      </c>
      <c r="AK1163" s="12"/>
      <c r="AL1163" s="13"/>
      <c r="AM1163" s="13"/>
      <c r="AN1163" s="25" t="e">
        <f>AVERAGE(Table1107989[Cov Porch % Base])</f>
        <v>#DIV/0!</v>
      </c>
      <c r="AO1163" s="12"/>
      <c r="AP1163" s="13"/>
      <c r="AQ1163" s="13"/>
      <c r="AR1163" s="25" t="e">
        <f>AVERAGE(Table1107989[Deck % Base])</f>
        <v>#DIV/0!</v>
      </c>
      <c r="AS1163" s="12"/>
      <c r="AT1163" s="13"/>
      <c r="AU1163" s="23" t="e">
        <f>AVERAGE(Table1107989[CovDeckVal/SqFt])</f>
        <v>#DIV/0!</v>
      </c>
      <c r="AV1163" s="25" t="e">
        <f>AVERAGE(Table1107989[CovDeck % Base])</f>
        <v>#DIV/0!</v>
      </c>
      <c r="AW1163" s="12"/>
      <c r="AX1163" s="13"/>
      <c r="AY1163" s="13"/>
      <c r="AZ1163" s="25" t="e">
        <f>AVERAGE(Table1107989[CarP % Base])</f>
        <v>#DIV/0!</v>
      </c>
      <c r="BA1163" s="12"/>
      <c r="BB1163" s="13"/>
      <c r="BC1163" s="13"/>
      <c r="BD1163" s="24">
        <f>AVERAGE(Table1107989[EFP % Base])</f>
        <v>0.32196229700765472</v>
      </c>
    </row>
    <row r="1165" spans="1:56" ht="15.75" thickBot="1" x14ac:dyDescent="0.3">
      <c r="A1165" s="82"/>
      <c r="B1165" t="s">
        <v>79</v>
      </c>
      <c r="C1165" s="78" t="s">
        <v>217</v>
      </c>
      <c r="E1165" t="s">
        <v>33</v>
      </c>
      <c r="F1165" s="79">
        <v>993</v>
      </c>
      <c r="H1165" t="s">
        <v>80</v>
      </c>
      <c r="I1165" t="s">
        <v>215</v>
      </c>
    </row>
    <row r="1166" spans="1:56" x14ac:dyDescent="0.25">
      <c r="A1166" s="112"/>
      <c r="B1166" s="113"/>
      <c r="C1166" s="113"/>
      <c r="D1166" s="114"/>
      <c r="E1166" s="115" t="s">
        <v>27</v>
      </c>
      <c r="F1166" s="116"/>
      <c r="G1166" s="116"/>
      <c r="H1166" s="117"/>
      <c r="I1166" s="118" t="s">
        <v>28</v>
      </c>
      <c r="J1166" s="119"/>
      <c r="K1166" s="119"/>
      <c r="L1166" s="120"/>
      <c r="M1166" s="121" t="s">
        <v>7</v>
      </c>
      <c r="N1166" s="122"/>
      <c r="O1166" s="122"/>
      <c r="P1166" s="123"/>
      <c r="Q1166" s="124" t="s">
        <v>29</v>
      </c>
      <c r="R1166" s="125"/>
      <c r="S1166" s="125"/>
      <c r="T1166" s="126"/>
      <c r="U1166" s="127" t="s">
        <v>8</v>
      </c>
      <c r="V1166" s="128"/>
      <c r="W1166" s="128"/>
      <c r="X1166" s="129"/>
      <c r="Y1166" s="130" t="s">
        <v>0</v>
      </c>
      <c r="Z1166" s="131"/>
      <c r="AA1166" s="131"/>
      <c r="AB1166" s="132"/>
      <c r="AC1166" s="133" t="s">
        <v>34</v>
      </c>
      <c r="AD1166" s="134"/>
      <c r="AE1166" s="134"/>
      <c r="AF1166" s="135"/>
      <c r="AG1166" s="115" t="s">
        <v>9</v>
      </c>
      <c r="AH1166" s="116"/>
      <c r="AI1166" s="116"/>
      <c r="AJ1166" s="117"/>
      <c r="AK1166" s="136" t="s">
        <v>35</v>
      </c>
      <c r="AL1166" s="137"/>
      <c r="AM1166" s="137"/>
      <c r="AN1166" s="138"/>
      <c r="AO1166" s="139" t="s">
        <v>10</v>
      </c>
      <c r="AP1166" s="140"/>
      <c r="AQ1166" s="140"/>
      <c r="AR1166" s="141"/>
      <c r="AS1166" s="124" t="s">
        <v>36</v>
      </c>
      <c r="AT1166" s="125"/>
      <c r="AU1166" s="125"/>
      <c r="AV1166" s="126"/>
      <c r="AW1166" s="142" t="s">
        <v>11</v>
      </c>
      <c r="AX1166" s="143"/>
      <c r="AY1166" s="143"/>
      <c r="AZ1166" s="144"/>
      <c r="BA1166" s="145" t="s">
        <v>216</v>
      </c>
      <c r="BB1166" s="146"/>
      <c r="BC1166" s="146"/>
      <c r="BD1166" s="147"/>
    </row>
    <row r="1167" spans="1:56" s="1" customFormat="1" ht="15.75" thickBot="1" x14ac:dyDescent="0.3">
      <c r="A1167" s="41" t="s">
        <v>13</v>
      </c>
      <c r="B1167" s="42" t="s">
        <v>15</v>
      </c>
      <c r="C1167" s="42" t="s">
        <v>32</v>
      </c>
      <c r="D1167" s="43" t="s">
        <v>18</v>
      </c>
      <c r="E1167" s="30" t="s">
        <v>30</v>
      </c>
      <c r="F1167" s="31" t="s">
        <v>61</v>
      </c>
      <c r="G1167" s="31" t="s">
        <v>38</v>
      </c>
      <c r="H1167" s="32" t="s">
        <v>62</v>
      </c>
      <c r="I1167" s="37" t="s">
        <v>31</v>
      </c>
      <c r="J1167" s="38" t="s">
        <v>39</v>
      </c>
      <c r="K1167" s="38" t="s">
        <v>40</v>
      </c>
      <c r="L1167" s="39" t="s">
        <v>63</v>
      </c>
      <c r="M1167" s="40" t="s">
        <v>19</v>
      </c>
      <c r="N1167" s="7" t="s">
        <v>41</v>
      </c>
      <c r="O1167" s="7" t="s">
        <v>37</v>
      </c>
      <c r="P1167" s="7" t="s">
        <v>64</v>
      </c>
      <c r="Q1167" s="27" t="s">
        <v>20</v>
      </c>
      <c r="R1167" s="28" t="s">
        <v>60</v>
      </c>
      <c r="S1167" s="28" t="s">
        <v>59</v>
      </c>
      <c r="T1167" s="29" t="s">
        <v>65</v>
      </c>
      <c r="U1167" s="48" t="s">
        <v>21</v>
      </c>
      <c r="V1167" s="48" t="s">
        <v>42</v>
      </c>
      <c r="W1167" s="48" t="s">
        <v>43</v>
      </c>
      <c r="X1167" s="49" t="s">
        <v>66</v>
      </c>
      <c r="Y1167" s="50" t="s">
        <v>22</v>
      </c>
      <c r="Z1167" s="51" t="s">
        <v>44</v>
      </c>
      <c r="AA1167" s="51" t="s">
        <v>45</v>
      </c>
      <c r="AB1167" s="52" t="s">
        <v>67</v>
      </c>
      <c r="AC1167" s="45" t="s">
        <v>23</v>
      </c>
      <c r="AD1167" s="46" t="s">
        <v>46</v>
      </c>
      <c r="AE1167" s="46" t="s">
        <v>47</v>
      </c>
      <c r="AF1167" s="47" t="s">
        <v>68</v>
      </c>
      <c r="AG1167" s="30" t="s">
        <v>24</v>
      </c>
      <c r="AH1167" s="31" t="s">
        <v>48</v>
      </c>
      <c r="AI1167" s="31" t="s">
        <v>49</v>
      </c>
      <c r="AJ1167" s="32" t="s">
        <v>69</v>
      </c>
      <c r="AK1167" s="53" t="s">
        <v>25</v>
      </c>
      <c r="AL1167" s="54" t="s">
        <v>50</v>
      </c>
      <c r="AM1167" s="54" t="s">
        <v>51</v>
      </c>
      <c r="AN1167" s="55" t="s">
        <v>70</v>
      </c>
      <c r="AO1167" s="56" t="s">
        <v>26</v>
      </c>
      <c r="AP1167" s="57" t="s">
        <v>52</v>
      </c>
      <c r="AQ1167" s="57" t="s">
        <v>53</v>
      </c>
      <c r="AR1167" s="58" t="s">
        <v>71</v>
      </c>
      <c r="AS1167" s="59" t="s">
        <v>55</v>
      </c>
      <c r="AT1167" s="60" t="s">
        <v>54</v>
      </c>
      <c r="AU1167" s="60" t="s">
        <v>56</v>
      </c>
      <c r="AV1167" s="61" t="s">
        <v>76</v>
      </c>
      <c r="AW1167" s="62" t="s">
        <v>72</v>
      </c>
      <c r="AX1167" s="63" t="s">
        <v>73</v>
      </c>
      <c r="AY1167" s="63" t="s">
        <v>74</v>
      </c>
      <c r="AZ1167" s="64" t="s">
        <v>75</v>
      </c>
      <c r="BA1167" s="71" t="s">
        <v>77</v>
      </c>
      <c r="BB1167" s="72" t="s">
        <v>57</v>
      </c>
      <c r="BC1167" s="72" t="s">
        <v>58</v>
      </c>
      <c r="BD1167" s="73" t="s">
        <v>78</v>
      </c>
    </row>
    <row r="1168" spans="1:56" ht="15.75" thickBot="1" x14ac:dyDescent="0.3">
      <c r="A1168" s="17" t="s">
        <v>1</v>
      </c>
      <c r="B1168" s="14">
        <v>52010</v>
      </c>
      <c r="C1168" s="34">
        <f>B1168/F1165</f>
        <v>52.376636455186301</v>
      </c>
      <c r="D1168" s="14">
        <v>1525</v>
      </c>
      <c r="E1168" s="67">
        <v>0</v>
      </c>
      <c r="F1168" s="69">
        <v>0</v>
      </c>
      <c r="G1168" s="34" t="e">
        <f t="shared" ref="G1168:G1174" si="2522">E1168/F1168</f>
        <v>#DIV/0!</v>
      </c>
      <c r="H1168" s="10" t="e">
        <f t="shared" ref="H1168:H1174" si="2523">G1168/C1168</f>
        <v>#DIV/0!</v>
      </c>
      <c r="I1168" s="34">
        <v>0</v>
      </c>
      <c r="J1168" s="69">
        <v>0</v>
      </c>
      <c r="K1168" s="34" t="e">
        <f t="shared" ref="K1168:K1174" si="2524">I1168/J1168</f>
        <v>#DIV/0!</v>
      </c>
      <c r="L1168" s="9" t="e">
        <f t="shared" ref="L1168:L1174" si="2525">K1168/C1168</f>
        <v>#DIV/0!</v>
      </c>
      <c r="M1168" s="67">
        <v>0</v>
      </c>
      <c r="N1168" s="26">
        <v>0</v>
      </c>
      <c r="O1168" s="34" t="e">
        <f t="shared" ref="O1168:O1174" si="2526">M1168/N1168</f>
        <v>#DIV/0!</v>
      </c>
      <c r="P1168" s="10" t="e">
        <f t="shared" ref="P1168:P1174" si="2527">O1168/C1168</f>
        <v>#DIV/0!</v>
      </c>
      <c r="Q1168" s="35">
        <v>0</v>
      </c>
      <c r="R1168" s="66">
        <v>0</v>
      </c>
      <c r="S1168" s="35" t="e">
        <f t="shared" ref="S1168:S1174" si="2528">Q1168/R1168</f>
        <v>#DIV/0!</v>
      </c>
      <c r="T1168" s="6" t="e">
        <f t="shared" ref="T1168:T1174" si="2529">S1168/C1168</f>
        <v>#DIV/0!</v>
      </c>
      <c r="U1168" s="67">
        <v>0</v>
      </c>
      <c r="V1168" s="65">
        <v>0</v>
      </c>
      <c r="W1168" s="18" t="e">
        <f t="shared" ref="W1168:W1174" si="2530">U1168/V1168</f>
        <v>#DIV/0!</v>
      </c>
      <c r="X1168" s="9" t="e">
        <f t="shared" ref="X1168:X1174" si="2531">W1168/C1168</f>
        <v>#DIV/0!</v>
      </c>
      <c r="Y1168" s="67">
        <v>42870</v>
      </c>
      <c r="Z1168" s="69">
        <v>1198</v>
      </c>
      <c r="AA1168" s="34">
        <f t="shared" ref="AA1168:AA1174" si="2532">Y1168/Z1168</f>
        <v>35.784641068447414</v>
      </c>
      <c r="AB1168" s="10">
        <f t="shared" ref="AB1168:AB1174" si="2533">AA1168/C1168</f>
        <v>0.6832176231680116</v>
      </c>
      <c r="AC1168" s="18">
        <v>10560</v>
      </c>
      <c r="AD1168" s="33">
        <v>750</v>
      </c>
      <c r="AE1168" s="34">
        <f t="shared" ref="AE1168:AE1174" si="2534">AC1168/AD1168</f>
        <v>14.08</v>
      </c>
      <c r="AF1168" s="9">
        <f t="shared" ref="AF1168:AF1174" si="2535">AE1168/C1168</f>
        <v>0.26882214958661799</v>
      </c>
      <c r="AG1168" s="67">
        <v>0</v>
      </c>
      <c r="AH1168" s="65">
        <v>0</v>
      </c>
      <c r="AI1168" s="34" t="e">
        <f t="shared" ref="AI1168:AI1174" si="2536">AG1168/AH1168</f>
        <v>#DIV/0!</v>
      </c>
      <c r="AJ1168" s="9" t="e">
        <f t="shared" ref="AJ1168:AJ1174" si="2537">AI1168/C1168</f>
        <v>#DIV/0!</v>
      </c>
      <c r="AK1168" s="67">
        <v>0</v>
      </c>
      <c r="AL1168" s="65">
        <v>0</v>
      </c>
      <c r="AM1168" s="34" t="e">
        <f t="shared" ref="AM1168:AM1174" si="2538">AK1168/AL1168</f>
        <v>#DIV/0!</v>
      </c>
      <c r="AN1168" s="9" t="e">
        <f t="shared" ref="AN1168:AN1174" si="2539">AM1168/C1168</f>
        <v>#DIV/0!</v>
      </c>
      <c r="AO1168" s="67">
        <v>0</v>
      </c>
      <c r="AP1168" s="65">
        <v>0</v>
      </c>
      <c r="AQ1168" s="34" t="e">
        <f t="shared" ref="AQ1168:AQ1174" si="2540">AO1168/AP1168</f>
        <v>#DIV/0!</v>
      </c>
      <c r="AR1168" s="9" t="e">
        <f t="shared" ref="AR1168:AR1174" si="2541">AQ1168/C1168</f>
        <v>#DIV/0!</v>
      </c>
      <c r="AS1168" s="67">
        <v>0</v>
      </c>
      <c r="AT1168" s="65">
        <v>0</v>
      </c>
      <c r="AU1168" s="34" t="e">
        <f t="shared" ref="AU1168:AU1174" si="2542">AS1168/AT1168</f>
        <v>#DIV/0!</v>
      </c>
      <c r="AV1168" s="9" t="e">
        <f t="shared" ref="AV1168:AV1174" si="2543">AU1168/C1168</f>
        <v>#DIV/0!</v>
      </c>
      <c r="AW1168" s="67">
        <v>0</v>
      </c>
      <c r="AX1168" s="65">
        <v>0</v>
      </c>
      <c r="AY1168" s="34" t="e">
        <f t="shared" ref="AY1168:AY1174" si="2544">AW1168/AX1168</f>
        <v>#DIV/0!</v>
      </c>
      <c r="AZ1168" s="9" t="e">
        <f t="shared" ref="AZ1168:AZ1174" si="2545">AY1168/C1168</f>
        <v>#DIV/0!</v>
      </c>
      <c r="BA1168" s="67">
        <v>900</v>
      </c>
      <c r="BB1168" s="65">
        <v>76</v>
      </c>
      <c r="BC1168" s="34">
        <f t="shared" ref="BC1168:BC1174" si="2546">BA1168/BB1168</f>
        <v>11.842105263157896</v>
      </c>
      <c r="BD1168" s="10">
        <f t="shared" ref="BD1168:BD1174" si="2547">BC1168/C1168</f>
        <v>0.22609518412451049</v>
      </c>
    </row>
    <row r="1169" spans="1:56" ht="15.75" thickBot="1" x14ac:dyDescent="0.3">
      <c r="A1169" s="19" t="s">
        <v>16</v>
      </c>
      <c r="B1169" s="8">
        <v>61190</v>
      </c>
      <c r="C1169" s="35">
        <f>B1169/F1165</f>
        <v>61.621349446122863</v>
      </c>
      <c r="D1169" s="8">
        <v>1525</v>
      </c>
      <c r="E1169" s="68">
        <v>0</v>
      </c>
      <c r="F1169" s="70">
        <v>0</v>
      </c>
      <c r="G1169" s="35" t="e">
        <f t="shared" si="2522"/>
        <v>#DIV/0!</v>
      </c>
      <c r="H1169" s="11" t="e">
        <f t="shared" si="2523"/>
        <v>#DIV/0!</v>
      </c>
      <c r="I1169" s="35">
        <v>0</v>
      </c>
      <c r="J1169" s="70">
        <v>0</v>
      </c>
      <c r="K1169" s="35" t="e">
        <f t="shared" si="2524"/>
        <v>#DIV/0!</v>
      </c>
      <c r="L1169" s="6" t="e">
        <f t="shared" si="2525"/>
        <v>#DIV/0!</v>
      </c>
      <c r="M1169" s="68">
        <v>0</v>
      </c>
      <c r="N1169" s="5">
        <v>0</v>
      </c>
      <c r="O1169" s="35" t="e">
        <f t="shared" si="2526"/>
        <v>#DIV/0!</v>
      </c>
      <c r="P1169" s="11" t="e">
        <f t="shared" si="2527"/>
        <v>#DIV/0!</v>
      </c>
      <c r="Q1169" s="35">
        <v>0</v>
      </c>
      <c r="R1169" s="66">
        <v>0</v>
      </c>
      <c r="S1169" s="35" t="e">
        <f t="shared" si="2528"/>
        <v>#DIV/0!</v>
      </c>
      <c r="T1169" s="6" t="e">
        <f t="shared" si="2529"/>
        <v>#DIV/0!</v>
      </c>
      <c r="U1169" s="68">
        <v>0</v>
      </c>
      <c r="V1169" s="66">
        <v>0</v>
      </c>
      <c r="W1169" s="20" t="e">
        <f t="shared" si="2530"/>
        <v>#DIV/0!</v>
      </c>
      <c r="X1169" s="6" t="e">
        <f t="shared" si="2531"/>
        <v>#DIV/0!</v>
      </c>
      <c r="Y1169" s="68">
        <v>58700</v>
      </c>
      <c r="Z1169" s="69">
        <v>1198</v>
      </c>
      <c r="AA1169" s="35">
        <f t="shared" si="2532"/>
        <v>48.998330550918197</v>
      </c>
      <c r="AB1169" s="11">
        <f t="shared" si="2533"/>
        <v>0.79515185875243943</v>
      </c>
      <c r="AC1169" s="20">
        <v>13710</v>
      </c>
      <c r="AD1169" s="33">
        <v>750</v>
      </c>
      <c r="AE1169" s="35">
        <f t="shared" si="2534"/>
        <v>18.28</v>
      </c>
      <c r="AF1169" s="6">
        <f t="shared" si="2535"/>
        <v>0.29665043307730021</v>
      </c>
      <c r="AG1169" s="68">
        <v>0</v>
      </c>
      <c r="AH1169" s="66">
        <v>0</v>
      </c>
      <c r="AI1169" s="35" t="e">
        <f t="shared" si="2536"/>
        <v>#DIV/0!</v>
      </c>
      <c r="AJ1169" s="6" t="e">
        <f t="shared" si="2537"/>
        <v>#DIV/0!</v>
      </c>
      <c r="AK1169" s="68">
        <v>0</v>
      </c>
      <c r="AL1169" s="66">
        <v>0</v>
      </c>
      <c r="AM1169" s="35" t="e">
        <f t="shared" si="2538"/>
        <v>#DIV/0!</v>
      </c>
      <c r="AN1169" s="6" t="e">
        <f t="shared" si="2539"/>
        <v>#DIV/0!</v>
      </c>
      <c r="AO1169" s="68">
        <v>0</v>
      </c>
      <c r="AP1169" s="66">
        <v>0</v>
      </c>
      <c r="AQ1169" s="35" t="e">
        <f t="shared" si="2540"/>
        <v>#DIV/0!</v>
      </c>
      <c r="AR1169" s="6" t="e">
        <f t="shared" si="2541"/>
        <v>#DIV/0!</v>
      </c>
      <c r="AS1169" s="68">
        <v>0</v>
      </c>
      <c r="AT1169" s="66">
        <v>0</v>
      </c>
      <c r="AU1169" s="35" t="e">
        <f t="shared" si="2542"/>
        <v>#DIV/0!</v>
      </c>
      <c r="AV1169" s="6" t="e">
        <f t="shared" si="2543"/>
        <v>#DIV/0!</v>
      </c>
      <c r="AW1169" s="68">
        <v>0</v>
      </c>
      <c r="AX1169" s="66">
        <v>0</v>
      </c>
      <c r="AY1169" s="35" t="e">
        <f t="shared" si="2544"/>
        <v>#DIV/0!</v>
      </c>
      <c r="AZ1169" s="6" t="e">
        <f t="shared" si="2545"/>
        <v>#DIV/0!</v>
      </c>
      <c r="BA1169" s="68">
        <v>1550</v>
      </c>
      <c r="BB1169" s="65">
        <v>76</v>
      </c>
      <c r="BC1169" s="35">
        <f t="shared" si="2546"/>
        <v>20.394736842105264</v>
      </c>
      <c r="BD1169" s="11">
        <f t="shared" si="2547"/>
        <v>0.33096868253326567</v>
      </c>
    </row>
    <row r="1170" spans="1:56" ht="15.75" thickBot="1" x14ac:dyDescent="0.3">
      <c r="A1170" s="19" t="s">
        <v>2</v>
      </c>
      <c r="B1170" s="8">
        <v>71640</v>
      </c>
      <c r="C1170" s="35">
        <f>B1170/F1165</f>
        <v>72.145015105740185</v>
      </c>
      <c r="D1170" s="8">
        <v>2100</v>
      </c>
      <c r="E1170" s="68">
        <v>0</v>
      </c>
      <c r="F1170" s="70">
        <v>0</v>
      </c>
      <c r="G1170" s="35" t="e">
        <f t="shared" si="2522"/>
        <v>#DIV/0!</v>
      </c>
      <c r="H1170" s="11" t="e">
        <f t="shared" si="2523"/>
        <v>#DIV/0!</v>
      </c>
      <c r="I1170" s="35">
        <v>0</v>
      </c>
      <c r="J1170" s="70">
        <v>0</v>
      </c>
      <c r="K1170" s="35" t="e">
        <f t="shared" si="2524"/>
        <v>#DIV/0!</v>
      </c>
      <c r="L1170" s="6" t="e">
        <f t="shared" si="2525"/>
        <v>#DIV/0!</v>
      </c>
      <c r="M1170" s="68">
        <v>0</v>
      </c>
      <c r="N1170" s="5">
        <v>0</v>
      </c>
      <c r="O1170" s="35" t="e">
        <f t="shared" si="2526"/>
        <v>#DIV/0!</v>
      </c>
      <c r="P1170" s="11" t="e">
        <f t="shared" si="2527"/>
        <v>#DIV/0!</v>
      </c>
      <c r="Q1170" s="35">
        <v>0</v>
      </c>
      <c r="R1170" s="66">
        <v>0</v>
      </c>
      <c r="S1170" s="35" t="e">
        <f t="shared" si="2528"/>
        <v>#DIV/0!</v>
      </c>
      <c r="T1170" s="6" t="e">
        <f t="shared" si="2529"/>
        <v>#DIV/0!</v>
      </c>
      <c r="U1170" s="68">
        <v>0</v>
      </c>
      <c r="V1170" s="66">
        <v>0</v>
      </c>
      <c r="W1170" s="20" t="e">
        <f t="shared" si="2530"/>
        <v>#DIV/0!</v>
      </c>
      <c r="X1170" s="6" t="e">
        <f t="shared" si="2531"/>
        <v>#DIV/0!</v>
      </c>
      <c r="Y1170" s="68">
        <v>67280</v>
      </c>
      <c r="Z1170" s="69">
        <v>1198</v>
      </c>
      <c r="AA1170" s="35">
        <f t="shared" si="2532"/>
        <v>56.160267111853088</v>
      </c>
      <c r="AB1170" s="11">
        <f t="shared" si="2533"/>
        <v>0.77843586323380953</v>
      </c>
      <c r="AC1170" s="20">
        <v>17860</v>
      </c>
      <c r="AD1170" s="33">
        <v>750</v>
      </c>
      <c r="AE1170" s="35">
        <f t="shared" si="2534"/>
        <v>23.813333333333333</v>
      </c>
      <c r="AF1170" s="6">
        <f t="shared" si="2535"/>
        <v>0.33007593523171408</v>
      </c>
      <c r="AG1170" s="68">
        <v>0</v>
      </c>
      <c r="AH1170" s="66">
        <v>0</v>
      </c>
      <c r="AI1170" s="35" t="e">
        <f t="shared" si="2536"/>
        <v>#DIV/0!</v>
      </c>
      <c r="AJ1170" s="6" t="e">
        <f t="shared" si="2537"/>
        <v>#DIV/0!</v>
      </c>
      <c r="AK1170" s="68">
        <v>0</v>
      </c>
      <c r="AL1170" s="66">
        <v>0</v>
      </c>
      <c r="AM1170" s="35" t="e">
        <f t="shared" si="2538"/>
        <v>#DIV/0!</v>
      </c>
      <c r="AN1170" s="6" t="e">
        <f t="shared" si="2539"/>
        <v>#DIV/0!</v>
      </c>
      <c r="AO1170" s="68">
        <v>0</v>
      </c>
      <c r="AP1170" s="66">
        <v>0</v>
      </c>
      <c r="AQ1170" s="35" t="e">
        <f t="shared" si="2540"/>
        <v>#DIV/0!</v>
      </c>
      <c r="AR1170" s="6" t="e">
        <f t="shared" si="2541"/>
        <v>#DIV/0!</v>
      </c>
      <c r="AS1170" s="68">
        <v>0</v>
      </c>
      <c r="AT1170" s="66">
        <v>0</v>
      </c>
      <c r="AU1170" s="35" t="e">
        <f t="shared" si="2542"/>
        <v>#DIV/0!</v>
      </c>
      <c r="AV1170" s="6" t="e">
        <f t="shared" si="2543"/>
        <v>#DIV/0!</v>
      </c>
      <c r="AW1170" s="68">
        <v>0</v>
      </c>
      <c r="AX1170" s="66">
        <v>0</v>
      </c>
      <c r="AY1170" s="35" t="e">
        <f t="shared" si="2544"/>
        <v>#DIV/0!</v>
      </c>
      <c r="AZ1170" s="6" t="e">
        <f t="shared" si="2545"/>
        <v>#DIV/0!</v>
      </c>
      <c r="BA1170" s="68">
        <v>1710</v>
      </c>
      <c r="BB1170" s="65">
        <v>76</v>
      </c>
      <c r="BC1170" s="35">
        <f t="shared" si="2546"/>
        <v>22.5</v>
      </c>
      <c r="BD1170" s="11">
        <f t="shared" si="2547"/>
        <v>0.31187185929648237</v>
      </c>
    </row>
    <row r="1171" spans="1:56" ht="15.75" thickBot="1" x14ac:dyDescent="0.3">
      <c r="A1171" s="19" t="s">
        <v>3</v>
      </c>
      <c r="B1171" s="8">
        <v>86440</v>
      </c>
      <c r="C1171" s="35">
        <f>B1171/F1165</f>
        <v>87.04934541792548</v>
      </c>
      <c r="D1171" s="8">
        <v>2700</v>
      </c>
      <c r="E1171" s="68">
        <v>0</v>
      </c>
      <c r="F1171" s="70">
        <v>0</v>
      </c>
      <c r="G1171" s="35" t="e">
        <f t="shared" si="2522"/>
        <v>#DIV/0!</v>
      </c>
      <c r="H1171" s="11" t="e">
        <f t="shared" si="2523"/>
        <v>#DIV/0!</v>
      </c>
      <c r="I1171" s="35">
        <v>0</v>
      </c>
      <c r="J1171" s="70">
        <v>0</v>
      </c>
      <c r="K1171" s="35" t="e">
        <f t="shared" si="2524"/>
        <v>#DIV/0!</v>
      </c>
      <c r="L1171" s="6" t="e">
        <f t="shared" si="2525"/>
        <v>#DIV/0!</v>
      </c>
      <c r="M1171" s="68">
        <v>0</v>
      </c>
      <c r="N1171" s="5">
        <v>0</v>
      </c>
      <c r="O1171" s="35" t="e">
        <f t="shared" si="2526"/>
        <v>#DIV/0!</v>
      </c>
      <c r="P1171" s="11" t="e">
        <f t="shared" si="2527"/>
        <v>#DIV/0!</v>
      </c>
      <c r="Q1171" s="35">
        <v>0</v>
      </c>
      <c r="R1171" s="66">
        <v>0</v>
      </c>
      <c r="S1171" s="35" t="e">
        <f t="shared" si="2528"/>
        <v>#DIV/0!</v>
      </c>
      <c r="T1171" s="6" t="e">
        <f t="shared" si="2529"/>
        <v>#DIV/0!</v>
      </c>
      <c r="U1171" s="68">
        <v>0</v>
      </c>
      <c r="V1171" s="66">
        <v>0</v>
      </c>
      <c r="W1171" s="20" t="e">
        <f t="shared" si="2530"/>
        <v>#DIV/0!</v>
      </c>
      <c r="X1171" s="6" t="e">
        <f t="shared" si="2531"/>
        <v>#DIV/0!</v>
      </c>
      <c r="Y1171" s="68">
        <v>76170</v>
      </c>
      <c r="Z1171" s="69">
        <v>1198</v>
      </c>
      <c r="AA1171" s="35">
        <f t="shared" si="2532"/>
        <v>63.580968280467445</v>
      </c>
      <c r="AB1171" s="11">
        <f t="shared" si="2533"/>
        <v>0.73040145190310246</v>
      </c>
      <c r="AC1171" s="20">
        <v>19020</v>
      </c>
      <c r="AD1171" s="33">
        <v>750</v>
      </c>
      <c r="AE1171" s="35">
        <f t="shared" si="2534"/>
        <v>25.36</v>
      </c>
      <c r="AF1171" s="6">
        <f t="shared" si="2535"/>
        <v>0.29132901434521052</v>
      </c>
      <c r="AG1171" s="68">
        <v>0</v>
      </c>
      <c r="AH1171" s="66">
        <v>0</v>
      </c>
      <c r="AI1171" s="35" t="e">
        <f t="shared" si="2536"/>
        <v>#DIV/0!</v>
      </c>
      <c r="AJ1171" s="6" t="e">
        <f t="shared" si="2537"/>
        <v>#DIV/0!</v>
      </c>
      <c r="AK1171" s="68">
        <v>0</v>
      </c>
      <c r="AL1171" s="66">
        <v>0</v>
      </c>
      <c r="AM1171" s="35" t="e">
        <f t="shared" si="2538"/>
        <v>#DIV/0!</v>
      </c>
      <c r="AN1171" s="6" t="e">
        <f t="shared" si="2539"/>
        <v>#DIV/0!</v>
      </c>
      <c r="AO1171" s="68">
        <v>0</v>
      </c>
      <c r="AP1171" s="66">
        <v>0</v>
      </c>
      <c r="AQ1171" s="35" t="e">
        <f t="shared" si="2540"/>
        <v>#DIV/0!</v>
      </c>
      <c r="AR1171" s="6" t="e">
        <f t="shared" si="2541"/>
        <v>#DIV/0!</v>
      </c>
      <c r="AS1171" s="68">
        <v>0</v>
      </c>
      <c r="AT1171" s="66">
        <v>0</v>
      </c>
      <c r="AU1171" s="35" t="e">
        <f t="shared" si="2542"/>
        <v>#DIV/0!</v>
      </c>
      <c r="AV1171" s="6" t="e">
        <f t="shared" si="2543"/>
        <v>#DIV/0!</v>
      </c>
      <c r="AW1171" s="68">
        <v>0</v>
      </c>
      <c r="AX1171" s="66">
        <v>0</v>
      </c>
      <c r="AY1171" s="35" t="e">
        <f t="shared" si="2544"/>
        <v>#DIV/0!</v>
      </c>
      <c r="AZ1171" s="6" t="e">
        <f t="shared" si="2545"/>
        <v>#DIV/0!</v>
      </c>
      <c r="BA1171" s="68">
        <v>1880</v>
      </c>
      <c r="BB1171" s="65">
        <v>76</v>
      </c>
      <c r="BC1171" s="35">
        <f t="shared" si="2546"/>
        <v>24.736842105263158</v>
      </c>
      <c r="BD1171" s="11">
        <f t="shared" si="2547"/>
        <v>0.28417034024209065</v>
      </c>
    </row>
    <row r="1172" spans="1:56" ht="15.75" thickBot="1" x14ac:dyDescent="0.3">
      <c r="A1172" s="19" t="s">
        <v>4</v>
      </c>
      <c r="B1172" s="8">
        <v>107800</v>
      </c>
      <c r="C1172" s="35">
        <f>B1172/F1165</f>
        <v>108.55991943605237</v>
      </c>
      <c r="D1172" s="8">
        <v>5250</v>
      </c>
      <c r="E1172" s="68">
        <v>0</v>
      </c>
      <c r="F1172" s="70">
        <v>0</v>
      </c>
      <c r="G1172" s="35" t="e">
        <f t="shared" si="2522"/>
        <v>#DIV/0!</v>
      </c>
      <c r="H1172" s="11" t="e">
        <f t="shared" si="2523"/>
        <v>#DIV/0!</v>
      </c>
      <c r="I1172" s="35">
        <v>0</v>
      </c>
      <c r="J1172" s="70">
        <v>0</v>
      </c>
      <c r="K1172" s="35" t="e">
        <f t="shared" si="2524"/>
        <v>#DIV/0!</v>
      </c>
      <c r="L1172" s="6" t="e">
        <f t="shared" si="2525"/>
        <v>#DIV/0!</v>
      </c>
      <c r="M1172" s="68">
        <v>0</v>
      </c>
      <c r="N1172" s="5">
        <v>0</v>
      </c>
      <c r="O1172" s="35" t="e">
        <f t="shared" si="2526"/>
        <v>#DIV/0!</v>
      </c>
      <c r="P1172" s="11" t="e">
        <f t="shared" si="2527"/>
        <v>#DIV/0!</v>
      </c>
      <c r="Q1172" s="35">
        <v>0</v>
      </c>
      <c r="R1172" s="66">
        <v>0</v>
      </c>
      <c r="S1172" s="35" t="e">
        <f t="shared" si="2528"/>
        <v>#DIV/0!</v>
      </c>
      <c r="T1172" s="6" t="e">
        <f t="shared" si="2529"/>
        <v>#DIV/0!</v>
      </c>
      <c r="U1172" s="68">
        <v>0</v>
      </c>
      <c r="V1172" s="66">
        <v>0</v>
      </c>
      <c r="W1172" s="20" t="e">
        <f t="shared" si="2530"/>
        <v>#DIV/0!</v>
      </c>
      <c r="X1172" s="6" t="e">
        <f t="shared" si="2531"/>
        <v>#DIV/0!</v>
      </c>
      <c r="Y1172" s="68">
        <v>97720</v>
      </c>
      <c r="Z1172" s="69">
        <v>1198</v>
      </c>
      <c r="AA1172" s="35">
        <f t="shared" si="2532"/>
        <v>81.569282136894827</v>
      </c>
      <c r="AB1172" s="11">
        <f t="shared" si="2533"/>
        <v>0.75137566940571954</v>
      </c>
      <c r="AC1172" s="20">
        <v>21610</v>
      </c>
      <c r="AD1172" s="33">
        <v>750</v>
      </c>
      <c r="AE1172" s="35">
        <f t="shared" si="2534"/>
        <v>28.813333333333333</v>
      </c>
      <c r="AF1172" s="6">
        <f t="shared" si="2535"/>
        <v>0.26541410018552875</v>
      </c>
      <c r="AG1172" s="68">
        <v>0</v>
      </c>
      <c r="AH1172" s="66">
        <v>0</v>
      </c>
      <c r="AI1172" s="35" t="e">
        <f t="shared" si="2536"/>
        <v>#DIV/0!</v>
      </c>
      <c r="AJ1172" s="6" t="e">
        <f t="shared" si="2537"/>
        <v>#DIV/0!</v>
      </c>
      <c r="AK1172" s="68">
        <v>0</v>
      </c>
      <c r="AL1172" s="66">
        <v>0</v>
      </c>
      <c r="AM1172" s="35" t="e">
        <f t="shared" si="2538"/>
        <v>#DIV/0!</v>
      </c>
      <c r="AN1172" s="6" t="e">
        <f t="shared" si="2539"/>
        <v>#DIV/0!</v>
      </c>
      <c r="AO1172" s="68">
        <v>0</v>
      </c>
      <c r="AP1172" s="66">
        <v>0</v>
      </c>
      <c r="AQ1172" s="35" t="e">
        <f t="shared" si="2540"/>
        <v>#DIV/0!</v>
      </c>
      <c r="AR1172" s="6" t="e">
        <f t="shared" si="2541"/>
        <v>#DIV/0!</v>
      </c>
      <c r="AS1172" s="68">
        <v>0</v>
      </c>
      <c r="AT1172" s="66">
        <v>0</v>
      </c>
      <c r="AU1172" s="35" t="e">
        <f t="shared" si="2542"/>
        <v>#DIV/0!</v>
      </c>
      <c r="AV1172" s="6" t="e">
        <f t="shared" si="2543"/>
        <v>#DIV/0!</v>
      </c>
      <c r="AW1172" s="68">
        <v>0</v>
      </c>
      <c r="AX1172" s="66">
        <v>0</v>
      </c>
      <c r="AY1172" s="35" t="e">
        <f t="shared" si="2544"/>
        <v>#DIV/0!</v>
      </c>
      <c r="AZ1172" s="6" t="e">
        <f t="shared" si="2545"/>
        <v>#DIV/0!</v>
      </c>
      <c r="BA1172" s="68">
        <v>2330</v>
      </c>
      <c r="BB1172" s="65">
        <v>76</v>
      </c>
      <c r="BC1172" s="35">
        <f t="shared" si="2546"/>
        <v>30.657894736842106</v>
      </c>
      <c r="BD1172" s="11">
        <f t="shared" si="2547"/>
        <v>0.28240528268723758</v>
      </c>
    </row>
    <row r="1173" spans="1:56" ht="15.75" thickBot="1" x14ac:dyDescent="0.3">
      <c r="A1173" s="19" t="s">
        <v>5</v>
      </c>
      <c r="B1173" s="8">
        <v>142050</v>
      </c>
      <c r="C1173" s="35">
        <f>B1173/F1165</f>
        <v>143.05135951661632</v>
      </c>
      <c r="D1173" s="8">
        <v>7050</v>
      </c>
      <c r="E1173" s="68">
        <v>0</v>
      </c>
      <c r="F1173" s="70">
        <v>0</v>
      </c>
      <c r="G1173" s="35" t="e">
        <f t="shared" si="2522"/>
        <v>#DIV/0!</v>
      </c>
      <c r="H1173" s="11" t="e">
        <f t="shared" si="2523"/>
        <v>#DIV/0!</v>
      </c>
      <c r="I1173" s="35">
        <v>0</v>
      </c>
      <c r="J1173" s="70">
        <v>0</v>
      </c>
      <c r="K1173" s="35" t="e">
        <f t="shared" si="2524"/>
        <v>#DIV/0!</v>
      </c>
      <c r="L1173" s="6" t="e">
        <f t="shared" si="2525"/>
        <v>#DIV/0!</v>
      </c>
      <c r="M1173" s="68">
        <v>0</v>
      </c>
      <c r="N1173" s="5">
        <v>0</v>
      </c>
      <c r="O1173" s="35" t="e">
        <f t="shared" si="2526"/>
        <v>#DIV/0!</v>
      </c>
      <c r="P1173" s="11" t="e">
        <f t="shared" si="2527"/>
        <v>#DIV/0!</v>
      </c>
      <c r="Q1173" s="35">
        <v>0</v>
      </c>
      <c r="R1173" s="66">
        <v>0</v>
      </c>
      <c r="S1173" s="35" t="e">
        <f t="shared" si="2528"/>
        <v>#DIV/0!</v>
      </c>
      <c r="T1173" s="6" t="e">
        <f t="shared" si="2529"/>
        <v>#DIV/0!</v>
      </c>
      <c r="U1173" s="68">
        <v>0</v>
      </c>
      <c r="V1173" s="66">
        <v>0</v>
      </c>
      <c r="W1173" s="20" t="e">
        <f t="shared" si="2530"/>
        <v>#DIV/0!</v>
      </c>
      <c r="X1173" s="6" t="e">
        <f t="shared" si="2531"/>
        <v>#DIV/0!</v>
      </c>
      <c r="Y1173" s="68">
        <v>131800</v>
      </c>
      <c r="Z1173" s="69">
        <v>1198</v>
      </c>
      <c r="AA1173" s="35">
        <f t="shared" si="2532"/>
        <v>110.01669449081803</v>
      </c>
      <c r="AB1173" s="11">
        <f t="shared" si="2533"/>
        <v>0.76907129622937209</v>
      </c>
      <c r="AC1173" s="20">
        <v>22800</v>
      </c>
      <c r="AD1173" s="33">
        <v>750</v>
      </c>
      <c r="AE1173" s="35">
        <f t="shared" si="2534"/>
        <v>30.4</v>
      </c>
      <c r="AF1173" s="6">
        <f t="shared" si="2535"/>
        <v>0.21251108764519533</v>
      </c>
      <c r="AG1173" s="68">
        <v>0</v>
      </c>
      <c r="AH1173" s="66">
        <v>0</v>
      </c>
      <c r="AI1173" s="35" t="e">
        <f t="shared" si="2536"/>
        <v>#DIV/0!</v>
      </c>
      <c r="AJ1173" s="6" t="e">
        <f t="shared" si="2537"/>
        <v>#DIV/0!</v>
      </c>
      <c r="AK1173" s="68">
        <v>0</v>
      </c>
      <c r="AL1173" s="66">
        <v>0</v>
      </c>
      <c r="AM1173" s="35" t="e">
        <f t="shared" si="2538"/>
        <v>#DIV/0!</v>
      </c>
      <c r="AN1173" s="6" t="e">
        <f t="shared" si="2539"/>
        <v>#DIV/0!</v>
      </c>
      <c r="AO1173" s="68">
        <v>0</v>
      </c>
      <c r="AP1173" s="66">
        <v>0</v>
      </c>
      <c r="AQ1173" s="35" t="e">
        <f t="shared" si="2540"/>
        <v>#DIV/0!</v>
      </c>
      <c r="AR1173" s="6" t="e">
        <f t="shared" si="2541"/>
        <v>#DIV/0!</v>
      </c>
      <c r="AS1173" s="68">
        <v>0</v>
      </c>
      <c r="AT1173" s="66">
        <v>0</v>
      </c>
      <c r="AU1173" s="35" t="e">
        <f t="shared" si="2542"/>
        <v>#DIV/0!</v>
      </c>
      <c r="AV1173" s="6" t="e">
        <f t="shared" si="2543"/>
        <v>#DIV/0!</v>
      </c>
      <c r="AW1173" s="68">
        <v>0</v>
      </c>
      <c r="AX1173" s="66">
        <v>0</v>
      </c>
      <c r="AY1173" s="35" t="e">
        <f t="shared" si="2544"/>
        <v>#DIV/0!</v>
      </c>
      <c r="AZ1173" s="6" t="e">
        <f t="shared" si="2545"/>
        <v>#DIV/0!</v>
      </c>
      <c r="BA1173" s="68">
        <v>2610</v>
      </c>
      <c r="BB1173" s="65">
        <v>76</v>
      </c>
      <c r="BC1173" s="35">
        <f t="shared" si="2546"/>
        <v>34.342105263157897</v>
      </c>
      <c r="BD1173" s="11">
        <f t="shared" si="2547"/>
        <v>0.2400683599177458</v>
      </c>
    </row>
    <row r="1174" spans="1:56" x14ac:dyDescent="0.25">
      <c r="A1174" s="19" t="s">
        <v>6</v>
      </c>
      <c r="B1174" s="8">
        <v>162680</v>
      </c>
      <c r="C1174" s="35">
        <f>B1174/F1165</f>
        <v>163.82678751258811</v>
      </c>
      <c r="D1174" s="8">
        <v>10950</v>
      </c>
      <c r="E1174" s="68">
        <v>0</v>
      </c>
      <c r="F1174" s="70">
        <v>0</v>
      </c>
      <c r="G1174" s="35" t="e">
        <f t="shared" si="2522"/>
        <v>#DIV/0!</v>
      </c>
      <c r="H1174" s="11" t="e">
        <f t="shared" si="2523"/>
        <v>#DIV/0!</v>
      </c>
      <c r="I1174" s="35">
        <v>0</v>
      </c>
      <c r="J1174" s="70">
        <v>0</v>
      </c>
      <c r="K1174" s="35" t="e">
        <f t="shared" si="2524"/>
        <v>#DIV/0!</v>
      </c>
      <c r="L1174" s="6" t="e">
        <f t="shared" si="2525"/>
        <v>#DIV/0!</v>
      </c>
      <c r="M1174" s="68">
        <v>0</v>
      </c>
      <c r="N1174" s="5">
        <v>0</v>
      </c>
      <c r="O1174" s="35" t="e">
        <f t="shared" si="2526"/>
        <v>#DIV/0!</v>
      </c>
      <c r="P1174" s="11" t="e">
        <f t="shared" si="2527"/>
        <v>#DIV/0!</v>
      </c>
      <c r="Q1174" s="35">
        <v>0</v>
      </c>
      <c r="R1174" s="66">
        <v>0</v>
      </c>
      <c r="S1174" s="35" t="e">
        <f t="shared" si="2528"/>
        <v>#DIV/0!</v>
      </c>
      <c r="T1174" s="6" t="e">
        <f t="shared" si="2529"/>
        <v>#DIV/0!</v>
      </c>
      <c r="U1174" s="68">
        <v>0</v>
      </c>
      <c r="V1174" s="66">
        <v>0</v>
      </c>
      <c r="W1174" s="20" t="e">
        <f t="shared" si="2530"/>
        <v>#DIV/0!</v>
      </c>
      <c r="X1174" s="6" t="e">
        <f t="shared" si="2531"/>
        <v>#DIV/0!</v>
      </c>
      <c r="Y1174" s="68">
        <v>150390</v>
      </c>
      <c r="Z1174" s="69">
        <v>1198</v>
      </c>
      <c r="AA1174" s="35">
        <f t="shared" si="2532"/>
        <v>125.53422370617696</v>
      </c>
      <c r="AB1174" s="11">
        <f t="shared" si="2533"/>
        <v>0.7662618892318277</v>
      </c>
      <c r="AC1174" s="20">
        <v>33140</v>
      </c>
      <c r="AD1174" s="33">
        <v>750</v>
      </c>
      <c r="AE1174" s="35">
        <f t="shared" si="2534"/>
        <v>44.186666666666667</v>
      </c>
      <c r="AF1174" s="6">
        <f t="shared" si="2535"/>
        <v>0.2697157610031965</v>
      </c>
      <c r="AG1174" s="68">
        <v>0</v>
      </c>
      <c r="AH1174" s="66">
        <v>0</v>
      </c>
      <c r="AI1174" s="35" t="e">
        <f t="shared" si="2536"/>
        <v>#DIV/0!</v>
      </c>
      <c r="AJ1174" s="6" t="e">
        <f t="shared" si="2537"/>
        <v>#DIV/0!</v>
      </c>
      <c r="AK1174" s="68">
        <v>0</v>
      </c>
      <c r="AL1174" s="66">
        <v>0</v>
      </c>
      <c r="AM1174" s="35" t="e">
        <f t="shared" si="2538"/>
        <v>#DIV/0!</v>
      </c>
      <c r="AN1174" s="6" t="e">
        <f t="shared" si="2539"/>
        <v>#DIV/0!</v>
      </c>
      <c r="AO1174" s="68">
        <v>0</v>
      </c>
      <c r="AP1174" s="66">
        <v>0</v>
      </c>
      <c r="AQ1174" s="35" t="e">
        <f t="shared" si="2540"/>
        <v>#DIV/0!</v>
      </c>
      <c r="AR1174" s="6" t="e">
        <f t="shared" si="2541"/>
        <v>#DIV/0!</v>
      </c>
      <c r="AS1174" s="68">
        <v>0</v>
      </c>
      <c r="AT1174" s="66">
        <v>0</v>
      </c>
      <c r="AU1174" s="35" t="e">
        <f t="shared" si="2542"/>
        <v>#DIV/0!</v>
      </c>
      <c r="AV1174" s="6" t="e">
        <f t="shared" si="2543"/>
        <v>#DIV/0!</v>
      </c>
      <c r="AW1174" s="68">
        <v>0</v>
      </c>
      <c r="AX1174" s="66">
        <v>0</v>
      </c>
      <c r="AY1174" s="35" t="e">
        <f t="shared" si="2544"/>
        <v>#DIV/0!</v>
      </c>
      <c r="AZ1174" s="6" t="e">
        <f t="shared" si="2545"/>
        <v>#DIV/0!</v>
      </c>
      <c r="BA1174" s="68">
        <v>2970</v>
      </c>
      <c r="BB1174" s="65">
        <v>76</v>
      </c>
      <c r="BC1174" s="35">
        <f t="shared" si="2546"/>
        <v>39.078947368421055</v>
      </c>
      <c r="BD1174" s="11">
        <f t="shared" si="2547"/>
        <v>0.23853820221810984</v>
      </c>
    </row>
    <row r="1175" spans="1:56" ht="15.75" thickBot="1" x14ac:dyDescent="0.3">
      <c r="A1175" s="21"/>
      <c r="B1175" s="22"/>
      <c r="C1175" s="23">
        <f>AVERAGE(Table1107990[MA $/Sq Ft])</f>
        <v>98.375773270033093</v>
      </c>
      <c r="D1175" s="22">
        <f>AVERAGE(Table1107990[Basic Allowance])</f>
        <v>4442.8571428571431</v>
      </c>
      <c r="E1175" s="16"/>
      <c r="F1175" s="22"/>
      <c r="G1175" s="15"/>
      <c r="H1175" s="24" t="e">
        <f>AVERAGE(Table1107990[Bsmt % Base])</f>
        <v>#DIV/0!</v>
      </c>
      <c r="I1175" s="15"/>
      <c r="J1175" s="15"/>
      <c r="K1175" s="15"/>
      <c r="L1175" s="25" t="e">
        <f>AVERAGE(Table1107990[[#Headers],[#Data],[UnfBsmt % Base]])</f>
        <v>#DIV/0!</v>
      </c>
      <c r="M1175" s="44"/>
      <c r="N1175" s="15"/>
      <c r="O1175" s="23" t="e">
        <f>AVERAGE(Table1107990[LowerVal/SqFt])</f>
        <v>#DIV/0!</v>
      </c>
      <c r="P1175" s="24" t="e">
        <f>AVERAGE(Table1107990[Lower % Base])</f>
        <v>#DIV/0!</v>
      </c>
      <c r="Q1175" s="13"/>
      <c r="R1175" s="13"/>
      <c r="S1175" s="13"/>
      <c r="T1175" s="25" t="e">
        <f>AVERAGE(Table1107990[Unf Lower % Base])</f>
        <v>#DIV/0!</v>
      </c>
      <c r="U1175" s="12"/>
      <c r="V1175" s="13"/>
      <c r="W1175" s="13"/>
      <c r="X1175" s="25" t="e">
        <f>AVERAGE(Table1107990[1/2 Story % Base])</f>
        <v>#DIV/0!</v>
      </c>
      <c r="Y1175" s="12"/>
      <c r="Z1175" s="13"/>
      <c r="AA1175" s="13"/>
      <c r="AB1175" s="24">
        <f>AVERAGE(Table1107990[2nd Story % Base])</f>
        <v>0.75341652170346907</v>
      </c>
      <c r="AC1175" s="13"/>
      <c r="AD1175" s="13"/>
      <c r="AE1175" s="23">
        <f>AVERAGE(Table1107990[AttGarVal/SqFt])</f>
        <v>26.419047619047621</v>
      </c>
      <c r="AF1175" s="25">
        <f>AVERAGE(Table1107990[Att Gar % Base])</f>
        <v>0.27635978301068054</v>
      </c>
      <c r="AG1175" s="12"/>
      <c r="AH1175" s="13"/>
      <c r="AI1175" s="13"/>
      <c r="AJ1175" s="25" t="e">
        <f>AVERAGE(Table1107990[Porch % Base])</f>
        <v>#DIV/0!</v>
      </c>
      <c r="AK1175" s="12"/>
      <c r="AL1175" s="13"/>
      <c r="AM1175" s="13"/>
      <c r="AN1175" s="25" t="e">
        <f>AVERAGE(Table1107990[Cov Porch % Base])</f>
        <v>#DIV/0!</v>
      </c>
      <c r="AO1175" s="12"/>
      <c r="AP1175" s="13"/>
      <c r="AQ1175" s="13"/>
      <c r="AR1175" s="25" t="e">
        <f>AVERAGE(Table1107990[Deck % Base])</f>
        <v>#DIV/0!</v>
      </c>
      <c r="AS1175" s="12"/>
      <c r="AT1175" s="13"/>
      <c r="AU1175" s="23" t="e">
        <f>AVERAGE(Table1107990[CovDeckVal/SqFt])</f>
        <v>#DIV/0!</v>
      </c>
      <c r="AV1175" s="25" t="e">
        <f>AVERAGE(Table1107990[CovDeck % Base])</f>
        <v>#DIV/0!</v>
      </c>
      <c r="AW1175" s="12"/>
      <c r="AX1175" s="13"/>
      <c r="AY1175" s="13"/>
      <c r="AZ1175" s="25" t="e">
        <f>AVERAGE(Table1107990[CarP % Base])</f>
        <v>#DIV/0!</v>
      </c>
      <c r="BA1175" s="12"/>
      <c r="BB1175" s="13"/>
      <c r="BC1175" s="13"/>
      <c r="BD1175" s="24">
        <f>AVERAGE(Table1107990[EFP % Base])</f>
        <v>0.27344541585992033</v>
      </c>
    </row>
    <row r="1177" spans="1:56" ht="15.75" thickBot="1" x14ac:dyDescent="0.3">
      <c r="A1177" s="82"/>
      <c r="B1177" t="s">
        <v>79</v>
      </c>
      <c r="C1177" s="78" t="s">
        <v>218</v>
      </c>
      <c r="E1177" t="s">
        <v>33</v>
      </c>
      <c r="F1177" s="79">
        <v>1008</v>
      </c>
      <c r="H1177" t="s">
        <v>80</v>
      </c>
      <c r="I1177" t="s">
        <v>219</v>
      </c>
    </row>
    <row r="1178" spans="1:56" x14ac:dyDescent="0.25">
      <c r="A1178" s="112"/>
      <c r="B1178" s="113"/>
      <c r="C1178" s="113"/>
      <c r="D1178" s="114"/>
      <c r="E1178" s="115" t="s">
        <v>27</v>
      </c>
      <c r="F1178" s="116"/>
      <c r="G1178" s="116"/>
      <c r="H1178" s="117"/>
      <c r="I1178" s="118" t="s">
        <v>28</v>
      </c>
      <c r="J1178" s="119"/>
      <c r="K1178" s="119"/>
      <c r="L1178" s="120"/>
      <c r="M1178" s="121" t="s">
        <v>7</v>
      </c>
      <c r="N1178" s="122"/>
      <c r="O1178" s="122"/>
      <c r="P1178" s="123"/>
      <c r="Q1178" s="124" t="s">
        <v>29</v>
      </c>
      <c r="R1178" s="125"/>
      <c r="S1178" s="125"/>
      <c r="T1178" s="126"/>
      <c r="U1178" s="127" t="s">
        <v>8</v>
      </c>
      <c r="V1178" s="128"/>
      <c r="W1178" s="128"/>
      <c r="X1178" s="129"/>
      <c r="Y1178" s="130" t="s">
        <v>0</v>
      </c>
      <c r="Z1178" s="131"/>
      <c r="AA1178" s="131"/>
      <c r="AB1178" s="132"/>
      <c r="AC1178" s="133" t="s">
        <v>34</v>
      </c>
      <c r="AD1178" s="134"/>
      <c r="AE1178" s="134"/>
      <c r="AF1178" s="135"/>
      <c r="AG1178" s="115" t="s">
        <v>9</v>
      </c>
      <c r="AH1178" s="116"/>
      <c r="AI1178" s="116"/>
      <c r="AJ1178" s="117"/>
      <c r="AK1178" s="136" t="s">
        <v>35</v>
      </c>
      <c r="AL1178" s="137"/>
      <c r="AM1178" s="137"/>
      <c r="AN1178" s="138"/>
      <c r="AO1178" s="139" t="s">
        <v>10</v>
      </c>
      <c r="AP1178" s="140"/>
      <c r="AQ1178" s="140"/>
      <c r="AR1178" s="141"/>
      <c r="AS1178" s="124" t="s">
        <v>36</v>
      </c>
      <c r="AT1178" s="125"/>
      <c r="AU1178" s="125"/>
      <c r="AV1178" s="126"/>
      <c r="AW1178" s="142" t="s">
        <v>11</v>
      </c>
      <c r="AX1178" s="143"/>
      <c r="AY1178" s="143"/>
      <c r="AZ1178" s="144"/>
      <c r="BA1178" s="148" t="s">
        <v>17</v>
      </c>
      <c r="BB1178" s="149"/>
      <c r="BC1178" s="149"/>
      <c r="BD1178" s="150"/>
    </row>
    <row r="1179" spans="1:56" s="1" customFormat="1" ht="15.75" thickBot="1" x14ac:dyDescent="0.3">
      <c r="A1179" s="41" t="s">
        <v>13</v>
      </c>
      <c r="B1179" s="42" t="s">
        <v>15</v>
      </c>
      <c r="C1179" s="42" t="s">
        <v>32</v>
      </c>
      <c r="D1179" s="43" t="s">
        <v>18</v>
      </c>
      <c r="E1179" s="30" t="s">
        <v>30</v>
      </c>
      <c r="F1179" s="31" t="s">
        <v>61</v>
      </c>
      <c r="G1179" s="31" t="s">
        <v>38</v>
      </c>
      <c r="H1179" s="32" t="s">
        <v>62</v>
      </c>
      <c r="I1179" s="37" t="s">
        <v>31</v>
      </c>
      <c r="J1179" s="38" t="s">
        <v>39</v>
      </c>
      <c r="K1179" s="38" t="s">
        <v>40</v>
      </c>
      <c r="L1179" s="39" t="s">
        <v>63</v>
      </c>
      <c r="M1179" s="40" t="s">
        <v>19</v>
      </c>
      <c r="N1179" s="7" t="s">
        <v>41</v>
      </c>
      <c r="O1179" s="7" t="s">
        <v>37</v>
      </c>
      <c r="P1179" s="7" t="s">
        <v>64</v>
      </c>
      <c r="Q1179" s="27" t="s">
        <v>20</v>
      </c>
      <c r="R1179" s="28" t="s">
        <v>60</v>
      </c>
      <c r="S1179" s="28" t="s">
        <v>59</v>
      </c>
      <c r="T1179" s="29" t="s">
        <v>65</v>
      </c>
      <c r="U1179" s="48" t="s">
        <v>21</v>
      </c>
      <c r="V1179" s="48" t="s">
        <v>42</v>
      </c>
      <c r="W1179" s="48" t="s">
        <v>43</v>
      </c>
      <c r="X1179" s="49" t="s">
        <v>66</v>
      </c>
      <c r="Y1179" s="50" t="s">
        <v>22</v>
      </c>
      <c r="Z1179" s="51" t="s">
        <v>44</v>
      </c>
      <c r="AA1179" s="51" t="s">
        <v>45</v>
      </c>
      <c r="AB1179" s="52" t="s">
        <v>67</v>
      </c>
      <c r="AC1179" s="45" t="s">
        <v>23</v>
      </c>
      <c r="AD1179" s="46" t="s">
        <v>46</v>
      </c>
      <c r="AE1179" s="46" t="s">
        <v>47</v>
      </c>
      <c r="AF1179" s="47" t="s">
        <v>68</v>
      </c>
      <c r="AG1179" s="30" t="s">
        <v>24</v>
      </c>
      <c r="AH1179" s="31" t="s">
        <v>48</v>
      </c>
      <c r="AI1179" s="31" t="s">
        <v>49</v>
      </c>
      <c r="AJ1179" s="32" t="s">
        <v>69</v>
      </c>
      <c r="AK1179" s="53" t="s">
        <v>25</v>
      </c>
      <c r="AL1179" s="54" t="s">
        <v>50</v>
      </c>
      <c r="AM1179" s="54" t="s">
        <v>51</v>
      </c>
      <c r="AN1179" s="55" t="s">
        <v>70</v>
      </c>
      <c r="AO1179" s="56" t="s">
        <v>26</v>
      </c>
      <c r="AP1179" s="57" t="s">
        <v>52</v>
      </c>
      <c r="AQ1179" s="57" t="s">
        <v>53</v>
      </c>
      <c r="AR1179" s="58" t="s">
        <v>71</v>
      </c>
      <c r="AS1179" s="59" t="s">
        <v>55</v>
      </c>
      <c r="AT1179" s="60" t="s">
        <v>54</v>
      </c>
      <c r="AU1179" s="60" t="s">
        <v>56</v>
      </c>
      <c r="AV1179" s="61" t="s">
        <v>76</v>
      </c>
      <c r="AW1179" s="62" t="s">
        <v>72</v>
      </c>
      <c r="AX1179" s="63" t="s">
        <v>73</v>
      </c>
      <c r="AY1179" s="63" t="s">
        <v>74</v>
      </c>
      <c r="AZ1179" s="64" t="s">
        <v>75</v>
      </c>
      <c r="BA1179" s="71" t="s">
        <v>77</v>
      </c>
      <c r="BB1179" s="72" t="s">
        <v>57</v>
      </c>
      <c r="BC1179" s="72" t="s">
        <v>58</v>
      </c>
      <c r="BD1179" s="73" t="s">
        <v>78</v>
      </c>
    </row>
    <row r="1180" spans="1:56" ht="15.75" thickBot="1" x14ac:dyDescent="0.3">
      <c r="A1180" s="17" t="s">
        <v>1</v>
      </c>
      <c r="B1180" s="14">
        <v>52660</v>
      </c>
      <c r="C1180" s="34">
        <f>B1180/F1177</f>
        <v>52.242063492063494</v>
      </c>
      <c r="D1180" s="14">
        <v>1525</v>
      </c>
      <c r="E1180" s="67">
        <v>27130</v>
      </c>
      <c r="F1180" s="69">
        <v>1008</v>
      </c>
      <c r="G1180" s="34">
        <f t="shared" ref="G1180:G1186" si="2548">E1180/F1180</f>
        <v>26.914682539682541</v>
      </c>
      <c r="H1180" s="10">
        <f t="shared" ref="H1180:H1186" si="2549">G1180/C1180</f>
        <v>0.51519179642992785</v>
      </c>
      <c r="I1180" s="34">
        <v>14090</v>
      </c>
      <c r="J1180" s="69">
        <v>1008</v>
      </c>
      <c r="K1180" s="34">
        <f t="shared" ref="K1180:K1186" si="2550">I1180/J1180</f>
        <v>13.978174603174603</v>
      </c>
      <c r="L1180" s="9">
        <f t="shared" ref="L1180:L1186" si="2551">K1180/C1180</f>
        <v>0.26756551462210404</v>
      </c>
      <c r="M1180" s="67">
        <v>0</v>
      </c>
      <c r="N1180" s="26">
        <v>0</v>
      </c>
      <c r="O1180" s="34" t="e">
        <f t="shared" ref="O1180:O1186" si="2552">M1180/N1180</f>
        <v>#DIV/0!</v>
      </c>
      <c r="P1180" s="10" t="e">
        <f t="shared" ref="P1180:P1186" si="2553">O1180/C1180</f>
        <v>#DIV/0!</v>
      </c>
      <c r="Q1180" s="35">
        <v>0</v>
      </c>
      <c r="R1180" s="66">
        <v>0</v>
      </c>
      <c r="S1180" s="35" t="e">
        <f t="shared" ref="S1180:S1186" si="2554">Q1180/R1180</f>
        <v>#DIV/0!</v>
      </c>
      <c r="T1180" s="6" t="e">
        <f t="shared" ref="T1180:T1186" si="2555">S1180/C1180</f>
        <v>#DIV/0!</v>
      </c>
      <c r="U1180" s="67">
        <v>0</v>
      </c>
      <c r="V1180" s="65">
        <v>0</v>
      </c>
      <c r="W1180" s="18" t="e">
        <f t="shared" ref="W1180:W1186" si="2556">U1180/V1180</f>
        <v>#DIV/0!</v>
      </c>
      <c r="X1180" s="9" t="e">
        <f t="shared" ref="X1180:X1186" si="2557">W1180/C1180</f>
        <v>#DIV/0!</v>
      </c>
      <c r="Y1180" s="67">
        <v>0</v>
      </c>
      <c r="Z1180" s="69">
        <v>0</v>
      </c>
      <c r="AA1180" s="34" t="e">
        <f t="shared" ref="AA1180:AA1186" si="2558">Y1180/Z1180</f>
        <v>#DIV/0!</v>
      </c>
      <c r="AB1180" s="10" t="e">
        <f t="shared" ref="AB1180:AB1186" si="2559">AA1180/C1180</f>
        <v>#DIV/0!</v>
      </c>
      <c r="AC1180" s="18">
        <v>8410</v>
      </c>
      <c r="AD1180" s="33">
        <v>572</v>
      </c>
      <c r="AE1180" s="34">
        <f t="shared" ref="AE1180:AE1186" si="2560">AC1180/AD1180</f>
        <v>14.702797202797203</v>
      </c>
      <c r="AF1180" s="9">
        <f t="shared" ref="AF1180:AF1186" si="2561">AE1180/C1180</f>
        <v>0.28143599658981355</v>
      </c>
      <c r="AG1180" s="67">
        <v>480</v>
      </c>
      <c r="AH1180" s="65">
        <v>192</v>
      </c>
      <c r="AI1180" s="34">
        <f t="shared" ref="AI1180:AI1186" si="2562">AG1180/AH1180</f>
        <v>2.5</v>
      </c>
      <c r="AJ1180" s="9">
        <f t="shared" ref="AJ1180:AJ1186" si="2563">AI1180/C1180</f>
        <v>4.7854158754272694E-2</v>
      </c>
      <c r="AK1180" s="67">
        <v>0</v>
      </c>
      <c r="AL1180" s="65">
        <v>0</v>
      </c>
      <c r="AM1180" s="34" t="e">
        <f t="shared" ref="AM1180:AM1186" si="2564">AK1180/AL1180</f>
        <v>#DIV/0!</v>
      </c>
      <c r="AN1180" s="9" t="e">
        <f t="shared" ref="AN1180:AN1186" si="2565">AM1180/C1180</f>
        <v>#DIV/0!</v>
      </c>
      <c r="AO1180" s="67">
        <v>1310</v>
      </c>
      <c r="AP1180" s="65">
        <v>144</v>
      </c>
      <c r="AQ1180" s="34">
        <f t="shared" ref="AQ1180:AQ1186" si="2566">AO1180/AP1180</f>
        <v>9.0972222222222214</v>
      </c>
      <c r="AR1180" s="9">
        <f t="shared" ref="AR1180:AR1186" si="2567">AQ1180/C1180</f>
        <v>0.17413596657804783</v>
      </c>
      <c r="AS1180" s="67">
        <v>0</v>
      </c>
      <c r="AT1180" s="65">
        <v>0</v>
      </c>
      <c r="AU1180" s="34" t="e">
        <f t="shared" ref="AU1180:AU1186" si="2568">AS1180/AT1180</f>
        <v>#DIV/0!</v>
      </c>
      <c r="AV1180" s="9" t="e">
        <f t="shared" ref="AV1180:AV1186" si="2569">AU1180/C1180</f>
        <v>#DIV/0!</v>
      </c>
      <c r="AW1180" s="67">
        <v>0</v>
      </c>
      <c r="AX1180" s="65">
        <v>0</v>
      </c>
      <c r="AY1180" s="34" t="e">
        <f t="shared" ref="AY1180:AY1186" si="2570">AW1180/AX1180</f>
        <v>#DIV/0!</v>
      </c>
      <c r="AZ1180" s="9" t="e">
        <f t="shared" ref="AZ1180:AZ1186" si="2571">AY1180/C1180</f>
        <v>#DIV/0!</v>
      </c>
      <c r="BA1180" s="67">
        <v>0</v>
      </c>
      <c r="BB1180" s="65">
        <v>0</v>
      </c>
      <c r="BC1180" s="34" t="e">
        <f t="shared" ref="BC1180:BC1186" si="2572">BA1180/BB1180</f>
        <v>#DIV/0!</v>
      </c>
      <c r="BD1180" s="10" t="e">
        <f t="shared" ref="BD1180:BD1186" si="2573">BC1180/C1180</f>
        <v>#DIV/0!</v>
      </c>
    </row>
    <row r="1181" spans="1:56" ht="15.75" thickBot="1" x14ac:dyDescent="0.3">
      <c r="A1181" s="19" t="s">
        <v>16</v>
      </c>
      <c r="B1181" s="8">
        <v>61950</v>
      </c>
      <c r="C1181" s="35">
        <f>B1181/F1177</f>
        <v>61.458333333333336</v>
      </c>
      <c r="D1181" s="8">
        <v>1525</v>
      </c>
      <c r="E1181" s="68">
        <v>36940</v>
      </c>
      <c r="F1181" s="69">
        <v>1008</v>
      </c>
      <c r="G1181" s="35">
        <f t="shared" si="2548"/>
        <v>36.646825396825399</v>
      </c>
      <c r="H1181" s="11">
        <f t="shared" si="2549"/>
        <v>0.5962873284907183</v>
      </c>
      <c r="I1181" s="35">
        <v>19420</v>
      </c>
      <c r="J1181" s="69">
        <v>1008</v>
      </c>
      <c r="K1181" s="35">
        <f t="shared" si="2550"/>
        <v>19.265873015873016</v>
      </c>
      <c r="L1181" s="6">
        <f t="shared" si="2551"/>
        <v>0.31347861178369651</v>
      </c>
      <c r="M1181" s="68">
        <v>0</v>
      </c>
      <c r="N1181" s="5">
        <v>0</v>
      </c>
      <c r="O1181" s="35" t="e">
        <f t="shared" si="2552"/>
        <v>#DIV/0!</v>
      </c>
      <c r="P1181" s="11" t="e">
        <f t="shared" si="2553"/>
        <v>#DIV/0!</v>
      </c>
      <c r="Q1181" s="35">
        <v>0</v>
      </c>
      <c r="R1181" s="66">
        <v>0</v>
      </c>
      <c r="S1181" s="35" t="e">
        <f t="shared" si="2554"/>
        <v>#DIV/0!</v>
      </c>
      <c r="T1181" s="6" t="e">
        <f t="shared" si="2555"/>
        <v>#DIV/0!</v>
      </c>
      <c r="U1181" s="68">
        <v>0</v>
      </c>
      <c r="V1181" s="66">
        <v>0</v>
      </c>
      <c r="W1181" s="20" t="e">
        <f t="shared" si="2556"/>
        <v>#DIV/0!</v>
      </c>
      <c r="X1181" s="6" t="e">
        <f t="shared" si="2557"/>
        <v>#DIV/0!</v>
      </c>
      <c r="Y1181" s="68">
        <v>0</v>
      </c>
      <c r="Z1181" s="70">
        <v>0</v>
      </c>
      <c r="AA1181" s="35" t="e">
        <f t="shared" si="2558"/>
        <v>#DIV/0!</v>
      </c>
      <c r="AB1181" s="11" t="e">
        <f t="shared" si="2559"/>
        <v>#DIV/0!</v>
      </c>
      <c r="AC1181" s="20">
        <v>11400</v>
      </c>
      <c r="AD1181" s="33">
        <v>572</v>
      </c>
      <c r="AE1181" s="35">
        <f t="shared" si="2560"/>
        <v>19.93006993006993</v>
      </c>
      <c r="AF1181" s="6">
        <f t="shared" si="2561"/>
        <v>0.32428588360791749</v>
      </c>
      <c r="AG1181" s="68">
        <v>600</v>
      </c>
      <c r="AH1181" s="65">
        <v>192</v>
      </c>
      <c r="AI1181" s="35">
        <f t="shared" si="2562"/>
        <v>3.125</v>
      </c>
      <c r="AJ1181" s="6">
        <f t="shared" si="2563"/>
        <v>5.084745762711864E-2</v>
      </c>
      <c r="AK1181" s="68">
        <v>0</v>
      </c>
      <c r="AL1181" s="66">
        <v>0</v>
      </c>
      <c r="AM1181" s="35" t="e">
        <f t="shared" si="2564"/>
        <v>#DIV/0!</v>
      </c>
      <c r="AN1181" s="6" t="e">
        <f t="shared" si="2565"/>
        <v>#DIV/0!</v>
      </c>
      <c r="AO1181" s="68">
        <v>1840</v>
      </c>
      <c r="AP1181" s="65">
        <v>144</v>
      </c>
      <c r="AQ1181" s="35">
        <f t="shared" si="2566"/>
        <v>12.777777777777779</v>
      </c>
      <c r="AR1181" s="6">
        <f t="shared" si="2567"/>
        <v>0.20790960451977403</v>
      </c>
      <c r="AS1181" s="68">
        <v>0</v>
      </c>
      <c r="AT1181" s="66">
        <v>0</v>
      </c>
      <c r="AU1181" s="35" t="e">
        <f t="shared" si="2568"/>
        <v>#DIV/0!</v>
      </c>
      <c r="AV1181" s="6" t="e">
        <f t="shared" si="2569"/>
        <v>#DIV/0!</v>
      </c>
      <c r="AW1181" s="68">
        <v>0</v>
      </c>
      <c r="AX1181" s="66">
        <v>0</v>
      </c>
      <c r="AY1181" s="35" t="e">
        <f t="shared" si="2570"/>
        <v>#DIV/0!</v>
      </c>
      <c r="AZ1181" s="6" t="e">
        <f t="shared" si="2571"/>
        <v>#DIV/0!</v>
      </c>
      <c r="BA1181" s="68">
        <v>0</v>
      </c>
      <c r="BB1181" s="66">
        <v>0</v>
      </c>
      <c r="BC1181" s="35" t="e">
        <f t="shared" si="2572"/>
        <v>#DIV/0!</v>
      </c>
      <c r="BD1181" s="11" t="e">
        <f t="shared" si="2573"/>
        <v>#DIV/0!</v>
      </c>
    </row>
    <row r="1182" spans="1:56" ht="15.75" thickBot="1" x14ac:dyDescent="0.3">
      <c r="A1182" s="19" t="s">
        <v>2</v>
      </c>
      <c r="B1182" s="8">
        <v>72530</v>
      </c>
      <c r="C1182" s="35">
        <f>B1182/F1177</f>
        <v>71.954365079365076</v>
      </c>
      <c r="D1182" s="8">
        <v>2100</v>
      </c>
      <c r="E1182" s="68">
        <v>41740</v>
      </c>
      <c r="F1182" s="69">
        <v>1008</v>
      </c>
      <c r="G1182" s="35">
        <f t="shared" si="2548"/>
        <v>41.408730158730158</v>
      </c>
      <c r="H1182" s="11">
        <f t="shared" si="2549"/>
        <v>0.5754860057907073</v>
      </c>
      <c r="I1182" s="35">
        <v>21600</v>
      </c>
      <c r="J1182" s="69">
        <v>1008</v>
      </c>
      <c r="K1182" s="35">
        <f t="shared" si="2550"/>
        <v>21.428571428571427</v>
      </c>
      <c r="L1182" s="6">
        <f t="shared" si="2551"/>
        <v>0.29780780366744797</v>
      </c>
      <c r="M1182" s="68">
        <v>0</v>
      </c>
      <c r="N1182" s="5">
        <v>0</v>
      </c>
      <c r="O1182" s="35" t="e">
        <f t="shared" si="2552"/>
        <v>#DIV/0!</v>
      </c>
      <c r="P1182" s="11" t="e">
        <f t="shared" si="2553"/>
        <v>#DIV/0!</v>
      </c>
      <c r="Q1182" s="35">
        <v>0</v>
      </c>
      <c r="R1182" s="66">
        <v>0</v>
      </c>
      <c r="S1182" s="35" t="e">
        <f t="shared" si="2554"/>
        <v>#DIV/0!</v>
      </c>
      <c r="T1182" s="6" t="e">
        <f t="shared" si="2555"/>
        <v>#DIV/0!</v>
      </c>
      <c r="U1182" s="68">
        <v>0</v>
      </c>
      <c r="V1182" s="66">
        <v>0</v>
      </c>
      <c r="W1182" s="20" t="e">
        <f t="shared" si="2556"/>
        <v>#DIV/0!</v>
      </c>
      <c r="X1182" s="6" t="e">
        <f t="shared" si="2557"/>
        <v>#DIV/0!</v>
      </c>
      <c r="Y1182" s="68">
        <v>0</v>
      </c>
      <c r="Z1182" s="70">
        <v>0</v>
      </c>
      <c r="AA1182" s="35" t="e">
        <f t="shared" si="2558"/>
        <v>#DIV/0!</v>
      </c>
      <c r="AB1182" s="11" t="e">
        <f t="shared" si="2559"/>
        <v>#DIV/0!</v>
      </c>
      <c r="AC1182" s="20">
        <v>14350</v>
      </c>
      <c r="AD1182" s="33">
        <v>572</v>
      </c>
      <c r="AE1182" s="35">
        <f t="shared" si="2560"/>
        <v>25.087412587412587</v>
      </c>
      <c r="AF1182" s="6">
        <f t="shared" si="2561"/>
        <v>0.34865727130996677</v>
      </c>
      <c r="AG1182" s="68">
        <v>650</v>
      </c>
      <c r="AH1182" s="65">
        <v>192</v>
      </c>
      <c r="AI1182" s="35">
        <f t="shared" si="2562"/>
        <v>3.3854166666666665</v>
      </c>
      <c r="AJ1182" s="6">
        <f t="shared" si="2563"/>
        <v>4.7049496759961396E-2</v>
      </c>
      <c r="AK1182" s="68">
        <v>0</v>
      </c>
      <c r="AL1182" s="66">
        <v>0</v>
      </c>
      <c r="AM1182" s="35" t="e">
        <f t="shared" si="2564"/>
        <v>#DIV/0!</v>
      </c>
      <c r="AN1182" s="6" t="e">
        <f t="shared" si="2565"/>
        <v>#DIV/0!</v>
      </c>
      <c r="AO1182" s="68">
        <v>1930</v>
      </c>
      <c r="AP1182" s="65">
        <v>144</v>
      </c>
      <c r="AQ1182" s="35">
        <f t="shared" si="2566"/>
        <v>13.402777777777779</v>
      </c>
      <c r="AR1182" s="6">
        <f t="shared" si="2567"/>
        <v>0.18626775127533438</v>
      </c>
      <c r="AS1182" s="68">
        <v>0</v>
      </c>
      <c r="AT1182" s="66">
        <v>0</v>
      </c>
      <c r="AU1182" s="35" t="e">
        <f t="shared" si="2568"/>
        <v>#DIV/0!</v>
      </c>
      <c r="AV1182" s="6" t="e">
        <f t="shared" si="2569"/>
        <v>#DIV/0!</v>
      </c>
      <c r="AW1182" s="68">
        <v>0</v>
      </c>
      <c r="AX1182" s="66">
        <v>0</v>
      </c>
      <c r="AY1182" s="35" t="e">
        <f t="shared" si="2570"/>
        <v>#DIV/0!</v>
      </c>
      <c r="AZ1182" s="6" t="e">
        <f t="shared" si="2571"/>
        <v>#DIV/0!</v>
      </c>
      <c r="BA1182" s="68">
        <v>0</v>
      </c>
      <c r="BB1182" s="66">
        <v>0</v>
      </c>
      <c r="BC1182" s="35" t="e">
        <f t="shared" si="2572"/>
        <v>#DIV/0!</v>
      </c>
      <c r="BD1182" s="11" t="e">
        <f t="shared" si="2573"/>
        <v>#DIV/0!</v>
      </c>
    </row>
    <row r="1183" spans="1:56" ht="15.75" thickBot="1" x14ac:dyDescent="0.3">
      <c r="A1183" s="19" t="s">
        <v>3</v>
      </c>
      <c r="B1183" s="8">
        <v>87540</v>
      </c>
      <c r="C1183" s="35">
        <f>B1183/F1177</f>
        <v>86.845238095238102</v>
      </c>
      <c r="D1183" s="8">
        <v>2700</v>
      </c>
      <c r="E1183" s="68">
        <v>48620</v>
      </c>
      <c r="F1183" s="69">
        <v>1008</v>
      </c>
      <c r="G1183" s="35">
        <f t="shared" si="2548"/>
        <v>48.234126984126981</v>
      </c>
      <c r="H1183" s="11">
        <f t="shared" si="2549"/>
        <v>0.55540324423120846</v>
      </c>
      <c r="I1183" s="35">
        <v>25530</v>
      </c>
      <c r="J1183" s="69">
        <v>1008</v>
      </c>
      <c r="K1183" s="35">
        <f t="shared" si="2550"/>
        <v>25.327380952380953</v>
      </c>
      <c r="L1183" s="6">
        <f t="shared" si="2551"/>
        <v>0.29163810829335157</v>
      </c>
      <c r="M1183" s="68">
        <v>0</v>
      </c>
      <c r="N1183" s="5">
        <v>0</v>
      </c>
      <c r="O1183" s="35" t="e">
        <f t="shared" si="2552"/>
        <v>#DIV/0!</v>
      </c>
      <c r="P1183" s="11" t="e">
        <f t="shared" si="2553"/>
        <v>#DIV/0!</v>
      </c>
      <c r="Q1183" s="35">
        <v>0</v>
      </c>
      <c r="R1183" s="66">
        <v>0</v>
      </c>
      <c r="S1183" s="35" t="e">
        <f t="shared" si="2554"/>
        <v>#DIV/0!</v>
      </c>
      <c r="T1183" s="6" t="e">
        <f t="shared" si="2555"/>
        <v>#DIV/0!</v>
      </c>
      <c r="U1183" s="68">
        <v>0</v>
      </c>
      <c r="V1183" s="66">
        <v>0</v>
      </c>
      <c r="W1183" s="20" t="e">
        <f t="shared" si="2556"/>
        <v>#DIV/0!</v>
      </c>
      <c r="X1183" s="6" t="e">
        <f t="shared" si="2557"/>
        <v>#DIV/0!</v>
      </c>
      <c r="Y1183" s="68">
        <v>0</v>
      </c>
      <c r="Z1183" s="70">
        <v>0</v>
      </c>
      <c r="AA1183" s="35" t="e">
        <f t="shared" si="2558"/>
        <v>#DIV/0!</v>
      </c>
      <c r="AB1183" s="11" t="e">
        <f t="shared" si="2559"/>
        <v>#DIV/0!</v>
      </c>
      <c r="AC1183" s="20">
        <v>15270</v>
      </c>
      <c r="AD1183" s="33">
        <v>572</v>
      </c>
      <c r="AE1183" s="35">
        <f t="shared" si="2560"/>
        <v>26.695804195804197</v>
      </c>
      <c r="AF1183" s="6">
        <f t="shared" si="2561"/>
        <v>0.30739514084270764</v>
      </c>
      <c r="AG1183" s="68">
        <v>710</v>
      </c>
      <c r="AH1183" s="65">
        <v>192</v>
      </c>
      <c r="AI1183" s="35">
        <f t="shared" si="2562"/>
        <v>3.6979166666666665</v>
      </c>
      <c r="AJ1183" s="6">
        <f t="shared" si="2563"/>
        <v>4.2580534612748452E-2</v>
      </c>
      <c r="AK1183" s="68">
        <v>0</v>
      </c>
      <c r="AL1183" s="66">
        <v>0</v>
      </c>
      <c r="AM1183" s="35" t="e">
        <f t="shared" si="2564"/>
        <v>#DIV/0!</v>
      </c>
      <c r="AN1183" s="6" t="e">
        <f t="shared" si="2565"/>
        <v>#DIV/0!</v>
      </c>
      <c r="AO1183" s="68">
        <v>2020</v>
      </c>
      <c r="AP1183" s="65">
        <v>144</v>
      </c>
      <c r="AQ1183" s="35">
        <f t="shared" si="2566"/>
        <v>14.027777777777779</v>
      </c>
      <c r="AR1183" s="6">
        <f t="shared" si="2567"/>
        <v>0.16152615946995658</v>
      </c>
      <c r="AS1183" s="68">
        <v>0</v>
      </c>
      <c r="AT1183" s="66">
        <v>0</v>
      </c>
      <c r="AU1183" s="35" t="e">
        <f t="shared" si="2568"/>
        <v>#DIV/0!</v>
      </c>
      <c r="AV1183" s="6" t="e">
        <f t="shared" si="2569"/>
        <v>#DIV/0!</v>
      </c>
      <c r="AW1183" s="68">
        <v>0</v>
      </c>
      <c r="AX1183" s="66">
        <v>0</v>
      </c>
      <c r="AY1183" s="35" t="e">
        <f t="shared" si="2570"/>
        <v>#DIV/0!</v>
      </c>
      <c r="AZ1183" s="6" t="e">
        <f t="shared" si="2571"/>
        <v>#DIV/0!</v>
      </c>
      <c r="BA1183" s="68">
        <v>0</v>
      </c>
      <c r="BB1183" s="66">
        <v>0</v>
      </c>
      <c r="BC1183" s="35" t="e">
        <f t="shared" si="2572"/>
        <v>#DIV/0!</v>
      </c>
      <c r="BD1183" s="11" t="e">
        <f t="shared" si="2573"/>
        <v>#DIV/0!</v>
      </c>
    </row>
    <row r="1184" spans="1:56" ht="15.75" thickBot="1" x14ac:dyDescent="0.3">
      <c r="A1184" s="19" t="s">
        <v>4</v>
      </c>
      <c r="B1184" s="8">
        <v>109160</v>
      </c>
      <c r="C1184" s="35">
        <f>B1184/F1177</f>
        <v>108.2936507936508</v>
      </c>
      <c r="D1184" s="8">
        <v>5250</v>
      </c>
      <c r="E1184" s="68">
        <v>67420</v>
      </c>
      <c r="F1184" s="69">
        <v>1008</v>
      </c>
      <c r="G1184" s="35">
        <f t="shared" si="2548"/>
        <v>66.884920634920633</v>
      </c>
      <c r="H1184" s="11">
        <f t="shared" si="2549"/>
        <v>0.61762550384756321</v>
      </c>
      <c r="I1184" s="35">
        <v>32560</v>
      </c>
      <c r="J1184" s="69">
        <v>1008</v>
      </c>
      <c r="K1184" s="35">
        <f t="shared" si="2550"/>
        <v>32.301587301587304</v>
      </c>
      <c r="L1184" s="6">
        <f t="shared" si="2551"/>
        <v>0.29827775742030049</v>
      </c>
      <c r="M1184" s="68">
        <v>0</v>
      </c>
      <c r="N1184" s="5">
        <v>0</v>
      </c>
      <c r="O1184" s="35" t="e">
        <f t="shared" si="2552"/>
        <v>#DIV/0!</v>
      </c>
      <c r="P1184" s="11" t="e">
        <f t="shared" si="2553"/>
        <v>#DIV/0!</v>
      </c>
      <c r="Q1184" s="35">
        <v>0</v>
      </c>
      <c r="R1184" s="66">
        <v>0</v>
      </c>
      <c r="S1184" s="35" t="e">
        <f t="shared" si="2554"/>
        <v>#DIV/0!</v>
      </c>
      <c r="T1184" s="6" t="e">
        <f t="shared" si="2555"/>
        <v>#DIV/0!</v>
      </c>
      <c r="U1184" s="68">
        <v>0</v>
      </c>
      <c r="V1184" s="66">
        <v>0</v>
      </c>
      <c r="W1184" s="20" t="e">
        <f t="shared" si="2556"/>
        <v>#DIV/0!</v>
      </c>
      <c r="X1184" s="6" t="e">
        <f t="shared" si="2557"/>
        <v>#DIV/0!</v>
      </c>
      <c r="Y1184" s="68">
        <v>0</v>
      </c>
      <c r="Z1184" s="70">
        <v>0</v>
      </c>
      <c r="AA1184" s="35" t="e">
        <f t="shared" si="2558"/>
        <v>#DIV/0!</v>
      </c>
      <c r="AB1184" s="11" t="e">
        <f t="shared" si="2559"/>
        <v>#DIV/0!</v>
      </c>
      <c r="AC1184" s="20">
        <v>17380</v>
      </c>
      <c r="AD1184" s="33">
        <v>572</v>
      </c>
      <c r="AE1184" s="35">
        <f t="shared" si="2560"/>
        <v>30.384615384615383</v>
      </c>
      <c r="AF1184" s="6">
        <f t="shared" si="2561"/>
        <v>0.28057614792682578</v>
      </c>
      <c r="AG1184" s="68">
        <v>850</v>
      </c>
      <c r="AH1184" s="65">
        <v>192</v>
      </c>
      <c r="AI1184" s="35">
        <f t="shared" si="2562"/>
        <v>4.427083333333333</v>
      </c>
      <c r="AJ1184" s="6">
        <f t="shared" si="2563"/>
        <v>4.0880359105899593E-2</v>
      </c>
      <c r="AK1184" s="68">
        <v>0</v>
      </c>
      <c r="AL1184" s="66">
        <v>0</v>
      </c>
      <c r="AM1184" s="35" t="e">
        <f t="shared" si="2564"/>
        <v>#DIV/0!</v>
      </c>
      <c r="AN1184" s="6" t="e">
        <f t="shared" si="2565"/>
        <v>#DIV/0!</v>
      </c>
      <c r="AO1184" s="68">
        <v>2630</v>
      </c>
      <c r="AP1184" s="65">
        <v>144</v>
      </c>
      <c r="AQ1184" s="35">
        <f t="shared" si="2566"/>
        <v>18.263888888888889</v>
      </c>
      <c r="AR1184" s="6">
        <f t="shared" si="2567"/>
        <v>0.16865152070355441</v>
      </c>
      <c r="AS1184" s="68">
        <v>0</v>
      </c>
      <c r="AT1184" s="66">
        <v>0</v>
      </c>
      <c r="AU1184" s="35" t="e">
        <f t="shared" si="2568"/>
        <v>#DIV/0!</v>
      </c>
      <c r="AV1184" s="6" t="e">
        <f t="shared" si="2569"/>
        <v>#DIV/0!</v>
      </c>
      <c r="AW1184" s="68">
        <v>0</v>
      </c>
      <c r="AX1184" s="66">
        <v>0</v>
      </c>
      <c r="AY1184" s="35" t="e">
        <f t="shared" si="2570"/>
        <v>#DIV/0!</v>
      </c>
      <c r="AZ1184" s="6" t="e">
        <f t="shared" si="2571"/>
        <v>#DIV/0!</v>
      </c>
      <c r="BA1184" s="68">
        <v>0</v>
      </c>
      <c r="BB1184" s="66">
        <v>0</v>
      </c>
      <c r="BC1184" s="35" t="e">
        <f t="shared" si="2572"/>
        <v>#DIV/0!</v>
      </c>
      <c r="BD1184" s="11" t="e">
        <f t="shared" si="2573"/>
        <v>#DIV/0!</v>
      </c>
    </row>
    <row r="1185" spans="1:56" ht="15.75" thickBot="1" x14ac:dyDescent="0.3">
      <c r="A1185" s="19" t="s">
        <v>5</v>
      </c>
      <c r="B1185" s="8">
        <v>140000</v>
      </c>
      <c r="C1185" s="35">
        <f>B1185/F1177</f>
        <v>138.88888888888889</v>
      </c>
      <c r="D1185" s="8">
        <v>7050</v>
      </c>
      <c r="E1185" s="68">
        <v>76220</v>
      </c>
      <c r="F1185" s="69">
        <v>1008</v>
      </c>
      <c r="G1185" s="35">
        <f t="shared" si="2548"/>
        <v>75.615079365079367</v>
      </c>
      <c r="H1185" s="11">
        <f t="shared" si="2549"/>
        <v>0.54442857142857148</v>
      </c>
      <c r="I1185" s="35">
        <v>37750</v>
      </c>
      <c r="J1185" s="69">
        <v>1008</v>
      </c>
      <c r="K1185" s="35">
        <f t="shared" si="2550"/>
        <v>37.450396825396822</v>
      </c>
      <c r="L1185" s="6">
        <f t="shared" si="2551"/>
        <v>0.26964285714285713</v>
      </c>
      <c r="M1185" s="68">
        <v>0</v>
      </c>
      <c r="N1185" s="5">
        <v>0</v>
      </c>
      <c r="O1185" s="35" t="e">
        <f t="shared" si="2552"/>
        <v>#DIV/0!</v>
      </c>
      <c r="P1185" s="11" t="e">
        <f t="shared" si="2553"/>
        <v>#DIV/0!</v>
      </c>
      <c r="Q1185" s="35">
        <v>0</v>
      </c>
      <c r="R1185" s="66">
        <v>0</v>
      </c>
      <c r="S1185" s="35" t="e">
        <f t="shared" si="2554"/>
        <v>#DIV/0!</v>
      </c>
      <c r="T1185" s="6" t="e">
        <f t="shared" si="2555"/>
        <v>#DIV/0!</v>
      </c>
      <c r="U1185" s="68">
        <v>0</v>
      </c>
      <c r="V1185" s="66">
        <v>0</v>
      </c>
      <c r="W1185" s="20" t="e">
        <f t="shared" si="2556"/>
        <v>#DIV/0!</v>
      </c>
      <c r="X1185" s="6" t="e">
        <f t="shared" si="2557"/>
        <v>#DIV/0!</v>
      </c>
      <c r="Y1185" s="68">
        <v>0</v>
      </c>
      <c r="Z1185" s="70">
        <v>0</v>
      </c>
      <c r="AA1185" s="35" t="e">
        <f t="shared" si="2558"/>
        <v>#DIV/0!</v>
      </c>
      <c r="AB1185" s="11" t="e">
        <f t="shared" si="2559"/>
        <v>#DIV/0!</v>
      </c>
      <c r="AC1185" s="20">
        <v>19440</v>
      </c>
      <c r="AD1185" s="33">
        <v>572</v>
      </c>
      <c r="AE1185" s="35">
        <f t="shared" si="2560"/>
        <v>33.986013986013987</v>
      </c>
      <c r="AF1185" s="6">
        <f t="shared" si="2561"/>
        <v>0.24469930069930071</v>
      </c>
      <c r="AG1185" s="68">
        <v>1290</v>
      </c>
      <c r="AH1185" s="65">
        <v>192</v>
      </c>
      <c r="AI1185" s="35">
        <f t="shared" si="2562"/>
        <v>6.71875</v>
      </c>
      <c r="AJ1185" s="6">
        <f t="shared" si="2563"/>
        <v>4.8375000000000001E-2</v>
      </c>
      <c r="AK1185" s="68">
        <v>0</v>
      </c>
      <c r="AL1185" s="66">
        <v>0</v>
      </c>
      <c r="AM1185" s="35" t="e">
        <f t="shared" si="2564"/>
        <v>#DIV/0!</v>
      </c>
      <c r="AN1185" s="6" t="e">
        <f t="shared" si="2565"/>
        <v>#DIV/0!</v>
      </c>
      <c r="AO1185" s="68">
        <v>3110</v>
      </c>
      <c r="AP1185" s="65">
        <v>144</v>
      </c>
      <c r="AQ1185" s="35">
        <f t="shared" si="2566"/>
        <v>21.597222222222221</v>
      </c>
      <c r="AR1185" s="6">
        <f t="shared" si="2567"/>
        <v>0.1555</v>
      </c>
      <c r="AS1185" s="68">
        <v>0</v>
      </c>
      <c r="AT1185" s="66">
        <v>0</v>
      </c>
      <c r="AU1185" s="35" t="e">
        <f t="shared" si="2568"/>
        <v>#DIV/0!</v>
      </c>
      <c r="AV1185" s="6" t="e">
        <f t="shared" si="2569"/>
        <v>#DIV/0!</v>
      </c>
      <c r="AW1185" s="68">
        <v>0</v>
      </c>
      <c r="AX1185" s="66">
        <v>0</v>
      </c>
      <c r="AY1185" s="35" t="e">
        <f t="shared" si="2570"/>
        <v>#DIV/0!</v>
      </c>
      <c r="AZ1185" s="6" t="e">
        <f t="shared" si="2571"/>
        <v>#DIV/0!</v>
      </c>
      <c r="BA1185" s="68">
        <v>0</v>
      </c>
      <c r="BB1185" s="66">
        <v>0</v>
      </c>
      <c r="BC1185" s="35" t="e">
        <f t="shared" si="2572"/>
        <v>#DIV/0!</v>
      </c>
      <c r="BD1185" s="11" t="e">
        <f t="shared" si="2573"/>
        <v>#DIV/0!</v>
      </c>
    </row>
    <row r="1186" spans="1:56" x14ac:dyDescent="0.25">
      <c r="A1186" s="19" t="s">
        <v>6</v>
      </c>
      <c r="B1186" s="8">
        <v>165140</v>
      </c>
      <c r="C1186" s="35">
        <f>B1186/F1177</f>
        <v>163.82936507936509</v>
      </c>
      <c r="D1186" s="8">
        <v>10950</v>
      </c>
      <c r="E1186" s="68">
        <v>92900</v>
      </c>
      <c r="F1186" s="69">
        <v>1008</v>
      </c>
      <c r="G1186" s="35">
        <f t="shared" si="2548"/>
        <v>92.162698412698418</v>
      </c>
      <c r="H1186" s="11">
        <f t="shared" si="2549"/>
        <v>0.56255298534576725</v>
      </c>
      <c r="I1186" s="35">
        <v>46890</v>
      </c>
      <c r="J1186" s="69">
        <v>1008</v>
      </c>
      <c r="K1186" s="35">
        <f t="shared" si="2550"/>
        <v>46.517857142857146</v>
      </c>
      <c r="L1186" s="6">
        <f t="shared" si="2551"/>
        <v>0.28394089863146421</v>
      </c>
      <c r="M1186" s="68">
        <v>0</v>
      </c>
      <c r="N1186" s="5">
        <v>0</v>
      </c>
      <c r="O1186" s="35" t="e">
        <f t="shared" si="2552"/>
        <v>#DIV/0!</v>
      </c>
      <c r="P1186" s="11" t="e">
        <f t="shared" si="2553"/>
        <v>#DIV/0!</v>
      </c>
      <c r="Q1186" s="35">
        <v>0</v>
      </c>
      <c r="R1186" s="66">
        <v>0</v>
      </c>
      <c r="S1186" s="35" t="e">
        <f t="shared" si="2554"/>
        <v>#DIV/0!</v>
      </c>
      <c r="T1186" s="6" t="e">
        <f t="shared" si="2555"/>
        <v>#DIV/0!</v>
      </c>
      <c r="U1186" s="68">
        <v>0</v>
      </c>
      <c r="V1186" s="66">
        <v>0</v>
      </c>
      <c r="W1186" s="20" t="e">
        <f t="shared" si="2556"/>
        <v>#DIV/0!</v>
      </c>
      <c r="X1186" s="6" t="e">
        <f t="shared" si="2557"/>
        <v>#DIV/0!</v>
      </c>
      <c r="Y1186" s="68">
        <v>0</v>
      </c>
      <c r="Z1186" s="70">
        <v>0</v>
      </c>
      <c r="AA1186" s="35" t="e">
        <f t="shared" si="2558"/>
        <v>#DIV/0!</v>
      </c>
      <c r="AB1186" s="11" t="e">
        <f t="shared" si="2559"/>
        <v>#DIV/0!</v>
      </c>
      <c r="AC1186" s="20">
        <v>27870</v>
      </c>
      <c r="AD1186" s="33">
        <v>572</v>
      </c>
      <c r="AE1186" s="35">
        <f t="shared" si="2560"/>
        <v>48.723776223776227</v>
      </c>
      <c r="AF1186" s="6">
        <f t="shared" si="2561"/>
        <v>0.29740563421076927</v>
      </c>
      <c r="AG1186" s="68">
        <v>1570</v>
      </c>
      <c r="AH1186" s="65">
        <v>192</v>
      </c>
      <c r="AI1186" s="35">
        <f t="shared" si="2562"/>
        <v>8.1770833333333339</v>
      </c>
      <c r="AJ1186" s="6">
        <f t="shared" si="2563"/>
        <v>4.9912195712728598E-2</v>
      </c>
      <c r="AK1186" s="68">
        <v>0</v>
      </c>
      <c r="AL1186" s="66">
        <v>0</v>
      </c>
      <c r="AM1186" s="35" t="e">
        <f t="shared" si="2564"/>
        <v>#DIV/0!</v>
      </c>
      <c r="AN1186" s="6" t="e">
        <f t="shared" si="2565"/>
        <v>#DIV/0!</v>
      </c>
      <c r="AO1186" s="68">
        <v>3350</v>
      </c>
      <c r="AP1186" s="65">
        <v>144</v>
      </c>
      <c r="AQ1186" s="35">
        <f t="shared" si="2566"/>
        <v>23.263888888888889</v>
      </c>
      <c r="AR1186" s="6">
        <f t="shared" si="2567"/>
        <v>0.14200072665617053</v>
      </c>
      <c r="AS1186" s="68">
        <v>0</v>
      </c>
      <c r="AT1186" s="66">
        <v>0</v>
      </c>
      <c r="AU1186" s="35" t="e">
        <f t="shared" si="2568"/>
        <v>#DIV/0!</v>
      </c>
      <c r="AV1186" s="6" t="e">
        <f t="shared" si="2569"/>
        <v>#DIV/0!</v>
      </c>
      <c r="AW1186" s="68">
        <v>0</v>
      </c>
      <c r="AX1186" s="66">
        <v>0</v>
      </c>
      <c r="AY1186" s="35" t="e">
        <f t="shared" si="2570"/>
        <v>#DIV/0!</v>
      </c>
      <c r="AZ1186" s="6" t="e">
        <f t="shared" si="2571"/>
        <v>#DIV/0!</v>
      </c>
      <c r="BA1186" s="68">
        <v>0</v>
      </c>
      <c r="BB1186" s="66">
        <v>0</v>
      </c>
      <c r="BC1186" s="35" t="e">
        <f t="shared" si="2572"/>
        <v>#DIV/0!</v>
      </c>
      <c r="BD1186" s="11" t="e">
        <f t="shared" si="2573"/>
        <v>#DIV/0!</v>
      </c>
    </row>
    <row r="1187" spans="1:56" ht="15.75" thickBot="1" x14ac:dyDescent="0.3">
      <c r="A1187" s="21"/>
      <c r="B1187" s="22"/>
      <c r="C1187" s="23">
        <f>AVERAGE(Table1107991[MA $/Sq Ft])</f>
        <v>97.644557823129247</v>
      </c>
      <c r="D1187" s="22">
        <f>AVERAGE(Table1107991[Basic Allowance])</f>
        <v>4442.8571428571431</v>
      </c>
      <c r="E1187" s="16"/>
      <c r="F1187" s="22"/>
      <c r="G1187" s="15"/>
      <c r="H1187" s="24">
        <f>AVERAGE(Table1107991[Bsmt % Base])</f>
        <v>0.5667107765092092</v>
      </c>
      <c r="I1187" s="15"/>
      <c r="J1187" s="15"/>
      <c r="K1187" s="15"/>
      <c r="L1187" s="25">
        <f>AVERAGE(Table1107991[[#Headers],[#Data],[UnfBsmt % Base]])</f>
        <v>0.28890736450874599</v>
      </c>
      <c r="M1187" s="44"/>
      <c r="N1187" s="15"/>
      <c r="O1187" s="23" t="e">
        <f>AVERAGE(Table1107991[LowerVal/SqFt])</f>
        <v>#DIV/0!</v>
      </c>
      <c r="P1187" s="24" t="e">
        <f>AVERAGE(Table1107991[Lower % Base])</f>
        <v>#DIV/0!</v>
      </c>
      <c r="Q1187" s="13"/>
      <c r="R1187" s="13"/>
      <c r="S1187" s="13"/>
      <c r="T1187" s="25" t="e">
        <f>AVERAGE(Table1107991[Unf Lower % Base])</f>
        <v>#DIV/0!</v>
      </c>
      <c r="U1187" s="12"/>
      <c r="V1187" s="13"/>
      <c r="W1187" s="13"/>
      <c r="X1187" s="25" t="e">
        <f>AVERAGE(Table1107991[1/2 Story % Base])</f>
        <v>#DIV/0!</v>
      </c>
      <c r="Y1187" s="12"/>
      <c r="Z1187" s="13"/>
      <c r="AA1187" s="13"/>
      <c r="AB1187" s="24" t="e">
        <f>AVERAGE(Table1107991[2nd Story % Base])</f>
        <v>#DIV/0!</v>
      </c>
      <c r="AC1187" s="13"/>
      <c r="AD1187" s="13"/>
      <c r="AE1187" s="23">
        <f>AVERAGE(Table1107991[AttGarVal/SqFt])</f>
        <v>28.501498501498499</v>
      </c>
      <c r="AF1187" s="25">
        <f>AVERAGE(Table1107991[Att Gar % Base])</f>
        <v>0.29777933931247164</v>
      </c>
      <c r="AG1187" s="12"/>
      <c r="AH1187" s="13"/>
      <c r="AI1187" s="13"/>
      <c r="AJ1187" s="25">
        <f>AVERAGE(Table1107991[Porch % Base])</f>
        <v>4.6785600367532765E-2</v>
      </c>
      <c r="AK1187" s="12"/>
      <c r="AL1187" s="13"/>
      <c r="AM1187" s="13"/>
      <c r="AN1187" s="25" t="e">
        <f>AVERAGE(Table1107991[Cov Porch % Base])</f>
        <v>#DIV/0!</v>
      </c>
      <c r="AO1187" s="12"/>
      <c r="AP1187" s="13"/>
      <c r="AQ1187" s="13"/>
      <c r="AR1187" s="25">
        <f>AVERAGE(Table1107991[Deck % Base])</f>
        <v>0.17085596131469111</v>
      </c>
      <c r="AS1187" s="12"/>
      <c r="AT1187" s="13"/>
      <c r="AU1187" s="23" t="e">
        <f>AVERAGE(Table1107991[CovDeckVal/SqFt])</f>
        <v>#DIV/0!</v>
      </c>
      <c r="AV1187" s="25" t="e">
        <f>AVERAGE(Table1107991[CovDeck % Base])</f>
        <v>#DIV/0!</v>
      </c>
      <c r="AW1187" s="12"/>
      <c r="AX1187" s="13"/>
      <c r="AY1187" s="13"/>
      <c r="AZ1187" s="25" t="e">
        <f>AVERAGE(Table1107991[CarP % Base])</f>
        <v>#DIV/0!</v>
      </c>
      <c r="BA1187" s="12"/>
      <c r="BB1187" s="13"/>
      <c r="BC1187" s="13"/>
      <c r="BD1187" s="24" t="e">
        <f>AVERAGE(Table1107991[EFP % Base])</f>
        <v>#DIV/0!</v>
      </c>
    </row>
  </sheetData>
  <mergeCells count="1381">
    <mergeCell ref="A1118:D1118"/>
    <mergeCell ref="E1118:H1118"/>
    <mergeCell ref="I1118:L1118"/>
    <mergeCell ref="M1118:P1118"/>
    <mergeCell ref="Q1118:T1118"/>
    <mergeCell ref="U1118:X1118"/>
    <mergeCell ref="Y1118:AB1118"/>
    <mergeCell ref="AC1118:AF1118"/>
    <mergeCell ref="AG1118:AJ1118"/>
    <mergeCell ref="AK1118:AN1118"/>
    <mergeCell ref="AO1118:AR1118"/>
    <mergeCell ref="AS1118:AV1118"/>
    <mergeCell ref="AW1118:AZ1118"/>
    <mergeCell ref="BA1118:BD1118"/>
    <mergeCell ref="A1094:D1094"/>
    <mergeCell ref="E1094:H1094"/>
    <mergeCell ref="I1094:L1094"/>
    <mergeCell ref="M1094:P1094"/>
    <mergeCell ref="Q1094:T1094"/>
    <mergeCell ref="U1094:X1094"/>
    <mergeCell ref="Y1094:AB1094"/>
    <mergeCell ref="AC1094:AF1094"/>
    <mergeCell ref="AG1094:AJ1094"/>
    <mergeCell ref="AK1094:AN1094"/>
    <mergeCell ref="AO1094:AR1094"/>
    <mergeCell ref="AS1094:AV1094"/>
    <mergeCell ref="AW1094:AZ1094"/>
    <mergeCell ref="BA1094:BD1094"/>
    <mergeCell ref="A1106:D1106"/>
    <mergeCell ref="E1106:H1106"/>
    <mergeCell ref="I1106:L1106"/>
    <mergeCell ref="M1106:P1106"/>
    <mergeCell ref="Q1106:T1106"/>
    <mergeCell ref="U1106:X1106"/>
    <mergeCell ref="Y1106:AB1106"/>
    <mergeCell ref="AC1106:AF1106"/>
    <mergeCell ref="AG1106:AJ1106"/>
    <mergeCell ref="AK1106:AN1106"/>
    <mergeCell ref="AO1106:AR1106"/>
    <mergeCell ref="AS1106:AV1106"/>
    <mergeCell ref="AW1106:AZ1106"/>
    <mergeCell ref="BA1106:BD1106"/>
    <mergeCell ref="A1070:D1070"/>
    <mergeCell ref="E1070:H1070"/>
    <mergeCell ref="I1070:L1070"/>
    <mergeCell ref="M1070:P1070"/>
    <mergeCell ref="Q1070:T1070"/>
    <mergeCell ref="U1070:X1070"/>
    <mergeCell ref="Y1070:AB1070"/>
    <mergeCell ref="AC1070:AF1070"/>
    <mergeCell ref="AG1070:AJ1070"/>
    <mergeCell ref="AK1070:AN1070"/>
    <mergeCell ref="AO1070:AR1070"/>
    <mergeCell ref="AS1070:AV1070"/>
    <mergeCell ref="AW1070:AZ1070"/>
    <mergeCell ref="BA1070:BD1070"/>
    <mergeCell ref="A1082:D1082"/>
    <mergeCell ref="E1082:H1082"/>
    <mergeCell ref="I1082:L1082"/>
    <mergeCell ref="M1082:P1082"/>
    <mergeCell ref="Q1082:T1082"/>
    <mergeCell ref="U1082:X1082"/>
    <mergeCell ref="Y1082:AB1082"/>
    <mergeCell ref="AC1082:AF1082"/>
    <mergeCell ref="AW1082:AZ1082"/>
    <mergeCell ref="BA1082:BD1082"/>
    <mergeCell ref="A962:D962"/>
    <mergeCell ref="E962:H962"/>
    <mergeCell ref="I962:L962"/>
    <mergeCell ref="M962:P962"/>
    <mergeCell ref="Q962:T962"/>
    <mergeCell ref="U962:X962"/>
    <mergeCell ref="Y962:AB962"/>
    <mergeCell ref="AC962:AF962"/>
    <mergeCell ref="AG962:AJ962"/>
    <mergeCell ref="AK962:AN962"/>
    <mergeCell ref="AO962:AR962"/>
    <mergeCell ref="AS962:AV962"/>
    <mergeCell ref="AW962:AZ962"/>
    <mergeCell ref="BA962:BD962"/>
    <mergeCell ref="A974:D974"/>
    <mergeCell ref="E974:H974"/>
    <mergeCell ref="I974:L974"/>
    <mergeCell ref="M974:P974"/>
    <mergeCell ref="Q974:T974"/>
    <mergeCell ref="U974:X974"/>
    <mergeCell ref="Y974:AB974"/>
    <mergeCell ref="AC974:AF974"/>
    <mergeCell ref="AG974:AJ974"/>
    <mergeCell ref="AK974:AN974"/>
    <mergeCell ref="AO974:AR974"/>
    <mergeCell ref="AS974:AV974"/>
    <mergeCell ref="AW974:AZ974"/>
    <mergeCell ref="BA974:BD974"/>
    <mergeCell ref="A986:D986"/>
    <mergeCell ref="E986:H986"/>
    <mergeCell ref="A938:D938"/>
    <mergeCell ref="E938:H938"/>
    <mergeCell ref="I938:L938"/>
    <mergeCell ref="M938:P938"/>
    <mergeCell ref="Q938:T938"/>
    <mergeCell ref="U938:X938"/>
    <mergeCell ref="Y938:AB938"/>
    <mergeCell ref="AC938:AF938"/>
    <mergeCell ref="AG938:AJ938"/>
    <mergeCell ref="AK938:AN938"/>
    <mergeCell ref="AO938:AR938"/>
    <mergeCell ref="AS938:AV938"/>
    <mergeCell ref="AW938:AZ938"/>
    <mergeCell ref="BA938:BD938"/>
    <mergeCell ref="A950:D950"/>
    <mergeCell ref="E950:H950"/>
    <mergeCell ref="I950:L950"/>
    <mergeCell ref="M950:P950"/>
    <mergeCell ref="Q950:T950"/>
    <mergeCell ref="U950:X950"/>
    <mergeCell ref="Y950:AB950"/>
    <mergeCell ref="AC950:AF950"/>
    <mergeCell ref="AG950:AJ950"/>
    <mergeCell ref="AK950:AN950"/>
    <mergeCell ref="AO950:AR950"/>
    <mergeCell ref="AS950:AV950"/>
    <mergeCell ref="AW950:AZ950"/>
    <mergeCell ref="BA950:BD950"/>
    <mergeCell ref="AK914:AN914"/>
    <mergeCell ref="AK902:AN902"/>
    <mergeCell ref="AK890:AN890"/>
    <mergeCell ref="AO914:AR914"/>
    <mergeCell ref="AO902:AR902"/>
    <mergeCell ref="AO890:AR890"/>
    <mergeCell ref="AS914:AV914"/>
    <mergeCell ref="AS902:AV902"/>
    <mergeCell ref="AS890:AV890"/>
    <mergeCell ref="AW914:AZ914"/>
    <mergeCell ref="AW902:AZ902"/>
    <mergeCell ref="AW890:AZ890"/>
    <mergeCell ref="BA914:BD914"/>
    <mergeCell ref="BA902:BD902"/>
    <mergeCell ref="BA890:BD890"/>
    <mergeCell ref="A926:D926"/>
    <mergeCell ref="E926:H926"/>
    <mergeCell ref="I926:L926"/>
    <mergeCell ref="M926:P926"/>
    <mergeCell ref="Q926:T926"/>
    <mergeCell ref="U926:X926"/>
    <mergeCell ref="Y926:AB926"/>
    <mergeCell ref="AC926:AF926"/>
    <mergeCell ref="AG926:AJ926"/>
    <mergeCell ref="AK926:AN926"/>
    <mergeCell ref="AO926:AR926"/>
    <mergeCell ref="AS926:AV926"/>
    <mergeCell ref="AW926:AZ926"/>
    <mergeCell ref="BA926:BD926"/>
    <mergeCell ref="BA878:BD878"/>
    <mergeCell ref="BA866:BD866"/>
    <mergeCell ref="E914:H914"/>
    <mergeCell ref="E902:H902"/>
    <mergeCell ref="E890:H890"/>
    <mergeCell ref="I914:L914"/>
    <mergeCell ref="I902:L902"/>
    <mergeCell ref="I890:L890"/>
    <mergeCell ref="M914:P914"/>
    <mergeCell ref="M902:P902"/>
    <mergeCell ref="M890:P890"/>
    <mergeCell ref="Q914:T914"/>
    <mergeCell ref="Q902:T902"/>
    <mergeCell ref="Q890:T890"/>
    <mergeCell ref="U914:X914"/>
    <mergeCell ref="U902:X902"/>
    <mergeCell ref="U890:X890"/>
    <mergeCell ref="M878:P878"/>
    <mergeCell ref="Y914:AB914"/>
    <mergeCell ref="Y902:AB902"/>
    <mergeCell ref="Y890:AB890"/>
    <mergeCell ref="Y878:AB878"/>
    <mergeCell ref="AC914:AF914"/>
    <mergeCell ref="AC902:AF902"/>
    <mergeCell ref="AC890:AF890"/>
    <mergeCell ref="AC878:AF878"/>
    <mergeCell ref="AG914:AJ914"/>
    <mergeCell ref="AG902:AJ902"/>
    <mergeCell ref="AG890:AJ890"/>
    <mergeCell ref="AG878:AJ878"/>
    <mergeCell ref="I866:L866"/>
    <mergeCell ref="I878:L878"/>
    <mergeCell ref="E878:H878"/>
    <mergeCell ref="E866:H866"/>
    <mergeCell ref="M866:P866"/>
    <mergeCell ref="Q866:T866"/>
    <mergeCell ref="U866:X866"/>
    <mergeCell ref="Y866:AB866"/>
    <mergeCell ref="AC866:AF866"/>
    <mergeCell ref="AG866:AJ866"/>
    <mergeCell ref="AK878:AN878"/>
    <mergeCell ref="AK866:AN866"/>
    <mergeCell ref="AO878:AR878"/>
    <mergeCell ref="AO866:AR866"/>
    <mergeCell ref="AS878:AV878"/>
    <mergeCell ref="AS866:AV866"/>
    <mergeCell ref="AW878:AZ878"/>
    <mergeCell ref="AW866:AZ866"/>
    <mergeCell ref="AK854:AN854"/>
    <mergeCell ref="AO854:AR854"/>
    <mergeCell ref="AS854:AV854"/>
    <mergeCell ref="AW854:AZ854"/>
    <mergeCell ref="BA854:BD854"/>
    <mergeCell ref="A854:D854"/>
    <mergeCell ref="E854:H854"/>
    <mergeCell ref="I854:L854"/>
    <mergeCell ref="M854:P854"/>
    <mergeCell ref="Q854:T854"/>
    <mergeCell ref="U854:X854"/>
    <mergeCell ref="Y854:AB854"/>
    <mergeCell ref="AC854:AF854"/>
    <mergeCell ref="AG854:AJ854"/>
    <mergeCell ref="Q878:T878"/>
    <mergeCell ref="U878:X878"/>
    <mergeCell ref="AK830:AN830"/>
    <mergeCell ref="AO830:AR830"/>
    <mergeCell ref="AS830:AV830"/>
    <mergeCell ref="AW830:AZ830"/>
    <mergeCell ref="BA830:BD830"/>
    <mergeCell ref="A842:D842"/>
    <mergeCell ref="E842:H842"/>
    <mergeCell ref="I842:L842"/>
    <mergeCell ref="M842:P842"/>
    <mergeCell ref="Q842:T842"/>
    <mergeCell ref="U842:X842"/>
    <mergeCell ref="Y842:AB842"/>
    <mergeCell ref="AC842:AF842"/>
    <mergeCell ref="AG842:AJ842"/>
    <mergeCell ref="AK842:AN842"/>
    <mergeCell ref="AO842:AR842"/>
    <mergeCell ref="AS842:AV842"/>
    <mergeCell ref="AW842:AZ842"/>
    <mergeCell ref="BA842:BD842"/>
    <mergeCell ref="A830:D830"/>
    <mergeCell ref="E830:H830"/>
    <mergeCell ref="I830:L830"/>
    <mergeCell ref="M830:P830"/>
    <mergeCell ref="Q830:T830"/>
    <mergeCell ref="U830:X830"/>
    <mergeCell ref="Y830:AB830"/>
    <mergeCell ref="AC830:AF830"/>
    <mergeCell ref="AG830:AJ830"/>
    <mergeCell ref="AK806:AN806"/>
    <mergeCell ref="AO806:AR806"/>
    <mergeCell ref="AS806:AV806"/>
    <mergeCell ref="AW806:AZ806"/>
    <mergeCell ref="BA806:BD806"/>
    <mergeCell ref="A818:D818"/>
    <mergeCell ref="E818:H818"/>
    <mergeCell ref="I818:L818"/>
    <mergeCell ref="M818:P818"/>
    <mergeCell ref="Q818:T818"/>
    <mergeCell ref="U818:X818"/>
    <mergeCell ref="Y818:AB818"/>
    <mergeCell ref="AC818:AF818"/>
    <mergeCell ref="AG818:AJ818"/>
    <mergeCell ref="AK818:AN818"/>
    <mergeCell ref="AO818:AR818"/>
    <mergeCell ref="AS818:AV818"/>
    <mergeCell ref="AW818:AZ818"/>
    <mergeCell ref="BA818:BD818"/>
    <mergeCell ref="A806:D806"/>
    <mergeCell ref="E806:H806"/>
    <mergeCell ref="I806:L806"/>
    <mergeCell ref="M806:P806"/>
    <mergeCell ref="Q806:T806"/>
    <mergeCell ref="U806:X806"/>
    <mergeCell ref="Y806:AB806"/>
    <mergeCell ref="AC806:AF806"/>
    <mergeCell ref="AG806:AJ806"/>
    <mergeCell ref="AW14:AZ14"/>
    <mergeCell ref="AW2:AZ2"/>
    <mergeCell ref="AO26:AR26"/>
    <mergeCell ref="AS26:AV26"/>
    <mergeCell ref="AW26:AZ26"/>
    <mergeCell ref="BA2:BD2"/>
    <mergeCell ref="A14:D14"/>
    <mergeCell ref="E14:H14"/>
    <mergeCell ref="I14:L14"/>
    <mergeCell ref="M14:P14"/>
    <mergeCell ref="Q14:T14"/>
    <mergeCell ref="U14:X14"/>
    <mergeCell ref="Y14:AB14"/>
    <mergeCell ref="A2:D2"/>
    <mergeCell ref="E2:H2"/>
    <mergeCell ref="I2:L2"/>
    <mergeCell ref="M2:P2"/>
    <mergeCell ref="Q2:T2"/>
    <mergeCell ref="U2:X2"/>
    <mergeCell ref="BA14:BD14"/>
    <mergeCell ref="AC14:AF14"/>
    <mergeCell ref="AG14:AJ14"/>
    <mergeCell ref="AK14:AN14"/>
    <mergeCell ref="AO14:AR14"/>
    <mergeCell ref="AS14:AV14"/>
    <mergeCell ref="I26:L26"/>
    <mergeCell ref="M26:P26"/>
    <mergeCell ref="Q26:T26"/>
    <mergeCell ref="Y2:AB2"/>
    <mergeCell ref="AC2:AF2"/>
    <mergeCell ref="AG2:AJ2"/>
    <mergeCell ref="AK2:AN2"/>
    <mergeCell ref="AO2:AR2"/>
    <mergeCell ref="AS2:AV2"/>
    <mergeCell ref="AO62:AR62"/>
    <mergeCell ref="AS62:AV62"/>
    <mergeCell ref="AW62:AZ62"/>
    <mergeCell ref="BA62:BD62"/>
    <mergeCell ref="BA26:BD26"/>
    <mergeCell ref="A38:D38"/>
    <mergeCell ref="E38:H38"/>
    <mergeCell ref="I38:L38"/>
    <mergeCell ref="M38:P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U26:X26"/>
    <mergeCell ref="Y26:AB26"/>
    <mergeCell ref="AC26:AF26"/>
    <mergeCell ref="AG26:AJ26"/>
    <mergeCell ref="AK26:AN26"/>
    <mergeCell ref="A26:D26"/>
    <mergeCell ref="E26:H26"/>
    <mergeCell ref="AW38:AZ38"/>
    <mergeCell ref="BA38:BD38"/>
    <mergeCell ref="A50:D50"/>
    <mergeCell ref="E50:H50"/>
    <mergeCell ref="I50:L50"/>
    <mergeCell ref="M50:P50"/>
    <mergeCell ref="Q50:T50"/>
    <mergeCell ref="U50:X50"/>
    <mergeCell ref="Y50:AB50"/>
    <mergeCell ref="AC50:AF50"/>
    <mergeCell ref="AG50:AJ50"/>
    <mergeCell ref="AK50:AN50"/>
    <mergeCell ref="AO50:AR50"/>
    <mergeCell ref="AS50:AV50"/>
    <mergeCell ref="AW50:AZ50"/>
    <mergeCell ref="BA50:BD50"/>
    <mergeCell ref="U62:X62"/>
    <mergeCell ref="Y62:AB62"/>
    <mergeCell ref="AC62:AF62"/>
    <mergeCell ref="AG62:AJ62"/>
    <mergeCell ref="AK62:AN62"/>
    <mergeCell ref="A62:D62"/>
    <mergeCell ref="E62:H62"/>
    <mergeCell ref="I62:L62"/>
    <mergeCell ref="A74:D74"/>
    <mergeCell ref="E74:H74"/>
    <mergeCell ref="I74:L74"/>
    <mergeCell ref="M74:P74"/>
    <mergeCell ref="Q74:T74"/>
    <mergeCell ref="U74:X74"/>
    <mergeCell ref="Y74:AB74"/>
    <mergeCell ref="AC74:AF74"/>
    <mergeCell ref="AG74:AJ74"/>
    <mergeCell ref="M62:P62"/>
    <mergeCell ref="Q62:T62"/>
    <mergeCell ref="AW74:AZ74"/>
    <mergeCell ref="BA74:BD74"/>
    <mergeCell ref="A86:D86"/>
    <mergeCell ref="E86:H86"/>
    <mergeCell ref="I86:L86"/>
    <mergeCell ref="M86:P86"/>
    <mergeCell ref="Q86:T86"/>
    <mergeCell ref="U86:X86"/>
    <mergeCell ref="Y86:AB86"/>
    <mergeCell ref="AC86:AF86"/>
    <mergeCell ref="AG86:AJ86"/>
    <mergeCell ref="AK86:AN86"/>
    <mergeCell ref="AO86:AR86"/>
    <mergeCell ref="AS86:AV86"/>
    <mergeCell ref="AW86:AZ86"/>
    <mergeCell ref="BA86:BD86"/>
    <mergeCell ref="AK74:AN74"/>
    <mergeCell ref="AO74:AR74"/>
    <mergeCell ref="AS74:AV74"/>
    <mergeCell ref="A98:D98"/>
    <mergeCell ref="E98:H98"/>
    <mergeCell ref="I98:L98"/>
    <mergeCell ref="M98:P98"/>
    <mergeCell ref="Q98:T98"/>
    <mergeCell ref="U98:X98"/>
    <mergeCell ref="Y98:AB98"/>
    <mergeCell ref="AC98:AF98"/>
    <mergeCell ref="AG98:AJ98"/>
    <mergeCell ref="AO122:AR122"/>
    <mergeCell ref="AS122:AV122"/>
    <mergeCell ref="AW122:AZ122"/>
    <mergeCell ref="BA122:BD122"/>
    <mergeCell ref="A110:D110"/>
    <mergeCell ref="E110:H110"/>
    <mergeCell ref="I110:L110"/>
    <mergeCell ref="M110:P110"/>
    <mergeCell ref="Q110:T110"/>
    <mergeCell ref="U110:X110"/>
    <mergeCell ref="Y110:AB110"/>
    <mergeCell ref="AC110:AF110"/>
    <mergeCell ref="AG110:AJ110"/>
    <mergeCell ref="AK98:AN98"/>
    <mergeCell ref="AO98:AR98"/>
    <mergeCell ref="AS98:AV98"/>
    <mergeCell ref="AW98:AZ98"/>
    <mergeCell ref="BA98:BD98"/>
    <mergeCell ref="AK110:AN110"/>
    <mergeCell ref="AO110:AR110"/>
    <mergeCell ref="AS110:AV110"/>
    <mergeCell ref="AW110:AZ110"/>
    <mergeCell ref="BA110:BD110"/>
    <mergeCell ref="AK134:AN134"/>
    <mergeCell ref="AO134:AR134"/>
    <mergeCell ref="AS134:AV134"/>
    <mergeCell ref="AW134:AZ134"/>
    <mergeCell ref="BA134:BD134"/>
    <mergeCell ref="A122:D122"/>
    <mergeCell ref="E122:H122"/>
    <mergeCell ref="I122:L122"/>
    <mergeCell ref="M122:P122"/>
    <mergeCell ref="Q122:T122"/>
    <mergeCell ref="A134:D134"/>
    <mergeCell ref="E134:H134"/>
    <mergeCell ref="I134:L134"/>
    <mergeCell ref="M134:P134"/>
    <mergeCell ref="Q134:T134"/>
    <mergeCell ref="U134:X134"/>
    <mergeCell ref="Y134:AB134"/>
    <mergeCell ref="AC134:AF134"/>
    <mergeCell ref="AG134:AJ134"/>
    <mergeCell ref="U122:X122"/>
    <mergeCell ref="Y122:AB122"/>
    <mergeCell ref="AC122:AF122"/>
    <mergeCell ref="AG122:AJ122"/>
    <mergeCell ref="AK122:AN122"/>
    <mergeCell ref="A146:D146"/>
    <mergeCell ref="E146:H146"/>
    <mergeCell ref="I146:L146"/>
    <mergeCell ref="M146:P146"/>
    <mergeCell ref="Q146:T146"/>
    <mergeCell ref="U146:X146"/>
    <mergeCell ref="Y146:AB146"/>
    <mergeCell ref="AC146:AF146"/>
    <mergeCell ref="AG146:AJ146"/>
    <mergeCell ref="AO170:AR170"/>
    <mergeCell ref="AS170:AV170"/>
    <mergeCell ref="AW170:AZ170"/>
    <mergeCell ref="BA170:BD170"/>
    <mergeCell ref="A158:D158"/>
    <mergeCell ref="E158:H158"/>
    <mergeCell ref="I158:L158"/>
    <mergeCell ref="M158:P158"/>
    <mergeCell ref="Q158:T158"/>
    <mergeCell ref="U158:X158"/>
    <mergeCell ref="Y158:AB158"/>
    <mergeCell ref="AC158:AF158"/>
    <mergeCell ref="AG158:AJ158"/>
    <mergeCell ref="AK146:AN146"/>
    <mergeCell ref="AO146:AR146"/>
    <mergeCell ref="AS146:AV146"/>
    <mergeCell ref="AW146:AZ146"/>
    <mergeCell ref="BA146:BD146"/>
    <mergeCell ref="AK158:AN158"/>
    <mergeCell ref="AO158:AR158"/>
    <mergeCell ref="AS158:AV158"/>
    <mergeCell ref="AW158:AZ158"/>
    <mergeCell ref="BA158:BD158"/>
    <mergeCell ref="AK182:AN182"/>
    <mergeCell ref="AO182:AR182"/>
    <mergeCell ref="AS182:AV182"/>
    <mergeCell ref="AW182:AZ182"/>
    <mergeCell ref="BA182:BD182"/>
    <mergeCell ref="A170:D170"/>
    <mergeCell ref="E170:H170"/>
    <mergeCell ref="I170:L170"/>
    <mergeCell ref="M170:P170"/>
    <mergeCell ref="Q170:T170"/>
    <mergeCell ref="A182:D182"/>
    <mergeCell ref="E182:H182"/>
    <mergeCell ref="I182:L182"/>
    <mergeCell ref="M182:P182"/>
    <mergeCell ref="Q182:T182"/>
    <mergeCell ref="U182:X182"/>
    <mergeCell ref="Y182:AB182"/>
    <mergeCell ref="AC182:AF182"/>
    <mergeCell ref="AG182:AJ182"/>
    <mergeCell ref="U170:X170"/>
    <mergeCell ref="Y170:AB170"/>
    <mergeCell ref="AC170:AF170"/>
    <mergeCell ref="AG170:AJ170"/>
    <mergeCell ref="AK170:AN170"/>
    <mergeCell ref="A194:D194"/>
    <mergeCell ref="E194:H194"/>
    <mergeCell ref="I194:L194"/>
    <mergeCell ref="M194:P194"/>
    <mergeCell ref="Q194:T194"/>
    <mergeCell ref="U194:X194"/>
    <mergeCell ref="Y194:AB194"/>
    <mergeCell ref="AC194:AF194"/>
    <mergeCell ref="AG194:AJ194"/>
    <mergeCell ref="AO218:AR218"/>
    <mergeCell ref="AS218:AV218"/>
    <mergeCell ref="AW218:AZ218"/>
    <mergeCell ref="BA218:BD218"/>
    <mergeCell ref="A206:D206"/>
    <mergeCell ref="E206:H206"/>
    <mergeCell ref="I206:L206"/>
    <mergeCell ref="M206:P206"/>
    <mergeCell ref="Q206:T206"/>
    <mergeCell ref="U206:X206"/>
    <mergeCell ref="Y206:AB206"/>
    <mergeCell ref="AC206:AF206"/>
    <mergeCell ref="AG206:AJ206"/>
    <mergeCell ref="AK194:AN194"/>
    <mergeCell ref="AO194:AR194"/>
    <mergeCell ref="AS194:AV194"/>
    <mergeCell ref="AW194:AZ194"/>
    <mergeCell ref="BA194:BD194"/>
    <mergeCell ref="AK206:AN206"/>
    <mergeCell ref="AO206:AR206"/>
    <mergeCell ref="AS206:AV206"/>
    <mergeCell ref="AW206:AZ206"/>
    <mergeCell ref="BA206:BD206"/>
    <mergeCell ref="AK230:AN230"/>
    <mergeCell ref="AO230:AR230"/>
    <mergeCell ref="AS230:AV230"/>
    <mergeCell ref="AW230:AZ230"/>
    <mergeCell ref="BA230:BD230"/>
    <mergeCell ref="A218:D218"/>
    <mergeCell ref="E218:H218"/>
    <mergeCell ref="I218:L218"/>
    <mergeCell ref="M218:P218"/>
    <mergeCell ref="Q218:T218"/>
    <mergeCell ref="A230:D230"/>
    <mergeCell ref="E230:H230"/>
    <mergeCell ref="I230:L230"/>
    <mergeCell ref="M230:P230"/>
    <mergeCell ref="Q230:T230"/>
    <mergeCell ref="U230:X230"/>
    <mergeCell ref="Y230:AB230"/>
    <mergeCell ref="AC230:AF230"/>
    <mergeCell ref="AG230:AJ230"/>
    <mergeCell ref="U218:X218"/>
    <mergeCell ref="Y218:AB218"/>
    <mergeCell ref="AC218:AF218"/>
    <mergeCell ref="AG218:AJ218"/>
    <mergeCell ref="AK218:AN218"/>
    <mergeCell ref="A242:D242"/>
    <mergeCell ref="E242:H242"/>
    <mergeCell ref="I242:L242"/>
    <mergeCell ref="M242:P242"/>
    <mergeCell ref="Q242:T242"/>
    <mergeCell ref="U242:X242"/>
    <mergeCell ref="Y242:AB242"/>
    <mergeCell ref="AC242:AF242"/>
    <mergeCell ref="AG242:AJ242"/>
    <mergeCell ref="AO266:AR266"/>
    <mergeCell ref="AS266:AV266"/>
    <mergeCell ref="AW266:AZ266"/>
    <mergeCell ref="BA266:BD266"/>
    <mergeCell ref="A254:D254"/>
    <mergeCell ref="E254:H254"/>
    <mergeCell ref="I254:L254"/>
    <mergeCell ref="M254:P254"/>
    <mergeCell ref="Q254:T254"/>
    <mergeCell ref="U254:X254"/>
    <mergeCell ref="Y254:AB254"/>
    <mergeCell ref="AC254:AF254"/>
    <mergeCell ref="AG254:AJ254"/>
    <mergeCell ref="AK242:AN242"/>
    <mergeCell ref="AO242:AR242"/>
    <mergeCell ref="AS242:AV242"/>
    <mergeCell ref="AW242:AZ242"/>
    <mergeCell ref="BA242:BD242"/>
    <mergeCell ref="AK254:AN254"/>
    <mergeCell ref="AO254:AR254"/>
    <mergeCell ref="AS254:AV254"/>
    <mergeCell ref="AW254:AZ254"/>
    <mergeCell ref="BA254:BD254"/>
    <mergeCell ref="AK278:AN278"/>
    <mergeCell ref="AO278:AR278"/>
    <mergeCell ref="AS278:AV278"/>
    <mergeCell ref="AW278:AZ278"/>
    <mergeCell ref="BA278:BD278"/>
    <mergeCell ref="A266:D266"/>
    <mergeCell ref="E266:H266"/>
    <mergeCell ref="I266:L266"/>
    <mergeCell ref="M266:P266"/>
    <mergeCell ref="Q266:T266"/>
    <mergeCell ref="A278:D278"/>
    <mergeCell ref="E278:H278"/>
    <mergeCell ref="I278:L278"/>
    <mergeCell ref="M278:P278"/>
    <mergeCell ref="Q278:T278"/>
    <mergeCell ref="U278:X278"/>
    <mergeCell ref="Y278:AB278"/>
    <mergeCell ref="AC278:AF278"/>
    <mergeCell ref="AG278:AJ278"/>
    <mergeCell ref="U266:X266"/>
    <mergeCell ref="Y266:AB266"/>
    <mergeCell ref="AC266:AF266"/>
    <mergeCell ref="AG266:AJ266"/>
    <mergeCell ref="AK266:AN266"/>
    <mergeCell ref="A290:D290"/>
    <mergeCell ref="E290:H290"/>
    <mergeCell ref="I290:L290"/>
    <mergeCell ref="M290:P290"/>
    <mergeCell ref="Q290:T290"/>
    <mergeCell ref="U290:X290"/>
    <mergeCell ref="Y290:AB290"/>
    <mergeCell ref="AC290:AF290"/>
    <mergeCell ref="AG290:AJ290"/>
    <mergeCell ref="AO314:AR314"/>
    <mergeCell ref="AS314:AV314"/>
    <mergeCell ref="AW314:AZ314"/>
    <mergeCell ref="BA314:BD314"/>
    <mergeCell ref="A302:D302"/>
    <mergeCell ref="E302:H302"/>
    <mergeCell ref="I302:L302"/>
    <mergeCell ref="M302:P302"/>
    <mergeCell ref="Q302:T302"/>
    <mergeCell ref="U302:X302"/>
    <mergeCell ref="Y302:AB302"/>
    <mergeCell ref="AC302:AF302"/>
    <mergeCell ref="AG302:AJ302"/>
    <mergeCell ref="AK290:AN290"/>
    <mergeCell ref="AO290:AR290"/>
    <mergeCell ref="AS290:AV290"/>
    <mergeCell ref="AW290:AZ290"/>
    <mergeCell ref="BA290:BD290"/>
    <mergeCell ref="AK302:AN302"/>
    <mergeCell ref="AO302:AR302"/>
    <mergeCell ref="AS302:AV302"/>
    <mergeCell ref="AW302:AZ302"/>
    <mergeCell ref="BA302:BD302"/>
    <mergeCell ref="AK326:AN326"/>
    <mergeCell ref="AO326:AR326"/>
    <mergeCell ref="AS326:AV326"/>
    <mergeCell ref="AW326:AZ326"/>
    <mergeCell ref="BA326:BD326"/>
    <mergeCell ref="A314:D314"/>
    <mergeCell ref="E314:H314"/>
    <mergeCell ref="I314:L314"/>
    <mergeCell ref="M314:P314"/>
    <mergeCell ref="Q314:T314"/>
    <mergeCell ref="A326:D326"/>
    <mergeCell ref="E326:H326"/>
    <mergeCell ref="I326:L326"/>
    <mergeCell ref="M326:P326"/>
    <mergeCell ref="Q326:T326"/>
    <mergeCell ref="U326:X326"/>
    <mergeCell ref="Y326:AB326"/>
    <mergeCell ref="AC326:AF326"/>
    <mergeCell ref="AG326:AJ326"/>
    <mergeCell ref="U314:X314"/>
    <mergeCell ref="Y314:AB314"/>
    <mergeCell ref="AC314:AF314"/>
    <mergeCell ref="AG314:AJ314"/>
    <mergeCell ref="AK314:AN314"/>
    <mergeCell ref="A338:D338"/>
    <mergeCell ref="E338:H338"/>
    <mergeCell ref="I338:L338"/>
    <mergeCell ref="M338:P338"/>
    <mergeCell ref="Q338:T338"/>
    <mergeCell ref="U338:X338"/>
    <mergeCell ref="Y338:AB338"/>
    <mergeCell ref="AC338:AF338"/>
    <mergeCell ref="AG338:AJ338"/>
    <mergeCell ref="AO362:AR362"/>
    <mergeCell ref="AS362:AV362"/>
    <mergeCell ref="AW362:AZ362"/>
    <mergeCell ref="BA362:BD362"/>
    <mergeCell ref="A350:D350"/>
    <mergeCell ref="E350:H350"/>
    <mergeCell ref="I350:L350"/>
    <mergeCell ref="M350:P350"/>
    <mergeCell ref="Q350:T350"/>
    <mergeCell ref="U350:X350"/>
    <mergeCell ref="Y350:AB350"/>
    <mergeCell ref="AC350:AF350"/>
    <mergeCell ref="AG350:AJ350"/>
    <mergeCell ref="AK338:AN338"/>
    <mergeCell ref="AO338:AR338"/>
    <mergeCell ref="AS338:AV338"/>
    <mergeCell ref="AW338:AZ338"/>
    <mergeCell ref="BA338:BD338"/>
    <mergeCell ref="AK350:AN350"/>
    <mergeCell ref="AO350:AR350"/>
    <mergeCell ref="AS350:AV350"/>
    <mergeCell ref="AW350:AZ350"/>
    <mergeCell ref="BA350:BD350"/>
    <mergeCell ref="AK374:AN374"/>
    <mergeCell ref="AO374:AR374"/>
    <mergeCell ref="AS374:AV374"/>
    <mergeCell ref="AW374:AZ374"/>
    <mergeCell ref="BA374:BD374"/>
    <mergeCell ref="A362:D362"/>
    <mergeCell ref="E362:H362"/>
    <mergeCell ref="I362:L362"/>
    <mergeCell ref="M362:P362"/>
    <mergeCell ref="Q362:T362"/>
    <mergeCell ref="A374:D374"/>
    <mergeCell ref="E374:H374"/>
    <mergeCell ref="I374:L374"/>
    <mergeCell ref="M374:P374"/>
    <mergeCell ref="Q374:T374"/>
    <mergeCell ref="U374:X374"/>
    <mergeCell ref="Y374:AB374"/>
    <mergeCell ref="AC374:AF374"/>
    <mergeCell ref="AG374:AJ374"/>
    <mergeCell ref="U362:X362"/>
    <mergeCell ref="Y362:AB362"/>
    <mergeCell ref="AC362:AF362"/>
    <mergeCell ref="AG362:AJ362"/>
    <mergeCell ref="AK362:AN362"/>
    <mergeCell ref="A386:D386"/>
    <mergeCell ref="E386:H386"/>
    <mergeCell ref="I386:L386"/>
    <mergeCell ref="M386:P386"/>
    <mergeCell ref="Q386:T386"/>
    <mergeCell ref="U386:X386"/>
    <mergeCell ref="Y386:AB386"/>
    <mergeCell ref="AC386:AF386"/>
    <mergeCell ref="AG386:AJ386"/>
    <mergeCell ref="AO410:AR410"/>
    <mergeCell ref="AS410:AV410"/>
    <mergeCell ref="AW410:AZ410"/>
    <mergeCell ref="BA410:BD410"/>
    <mergeCell ref="A398:D398"/>
    <mergeCell ref="E398:H398"/>
    <mergeCell ref="I398:L398"/>
    <mergeCell ref="M398:P398"/>
    <mergeCell ref="Q398:T398"/>
    <mergeCell ref="U398:X398"/>
    <mergeCell ref="Y398:AB398"/>
    <mergeCell ref="AC398:AF398"/>
    <mergeCell ref="AG398:AJ398"/>
    <mergeCell ref="AK386:AN386"/>
    <mergeCell ref="AO386:AR386"/>
    <mergeCell ref="AS386:AV386"/>
    <mergeCell ref="AW386:AZ386"/>
    <mergeCell ref="BA386:BD386"/>
    <mergeCell ref="AK398:AN398"/>
    <mergeCell ref="AO398:AR398"/>
    <mergeCell ref="AS398:AV398"/>
    <mergeCell ref="AW398:AZ398"/>
    <mergeCell ref="BA398:BD398"/>
    <mergeCell ref="AK422:AN422"/>
    <mergeCell ref="AO422:AR422"/>
    <mergeCell ref="AS422:AV422"/>
    <mergeCell ref="AW422:AZ422"/>
    <mergeCell ref="BA422:BD422"/>
    <mergeCell ref="A410:D410"/>
    <mergeCell ref="E410:H410"/>
    <mergeCell ref="I410:L410"/>
    <mergeCell ref="M410:P410"/>
    <mergeCell ref="Q410:T410"/>
    <mergeCell ref="A422:D422"/>
    <mergeCell ref="E422:H422"/>
    <mergeCell ref="I422:L422"/>
    <mergeCell ref="M422:P422"/>
    <mergeCell ref="Q422:T422"/>
    <mergeCell ref="U422:X422"/>
    <mergeCell ref="Y422:AB422"/>
    <mergeCell ref="AC422:AF422"/>
    <mergeCell ref="AG422:AJ422"/>
    <mergeCell ref="U410:X410"/>
    <mergeCell ref="Y410:AB410"/>
    <mergeCell ref="AC410:AF410"/>
    <mergeCell ref="AG410:AJ410"/>
    <mergeCell ref="AK410:AN410"/>
    <mergeCell ref="A434:D434"/>
    <mergeCell ref="E434:H434"/>
    <mergeCell ref="I434:L434"/>
    <mergeCell ref="M434:P434"/>
    <mergeCell ref="Q434:T434"/>
    <mergeCell ref="U434:X434"/>
    <mergeCell ref="Y434:AB434"/>
    <mergeCell ref="AC434:AF434"/>
    <mergeCell ref="AG434:AJ434"/>
    <mergeCell ref="AO458:AR458"/>
    <mergeCell ref="AS458:AV458"/>
    <mergeCell ref="AW458:AZ458"/>
    <mergeCell ref="BA458:BD458"/>
    <mergeCell ref="A446:D446"/>
    <mergeCell ref="E446:H446"/>
    <mergeCell ref="I446:L446"/>
    <mergeCell ref="M446:P446"/>
    <mergeCell ref="Q446:T446"/>
    <mergeCell ref="U446:X446"/>
    <mergeCell ref="Y446:AB446"/>
    <mergeCell ref="AC446:AF446"/>
    <mergeCell ref="AG446:AJ446"/>
    <mergeCell ref="AK434:AN434"/>
    <mergeCell ref="AO434:AR434"/>
    <mergeCell ref="AS434:AV434"/>
    <mergeCell ref="AW434:AZ434"/>
    <mergeCell ref="BA434:BD434"/>
    <mergeCell ref="AK446:AN446"/>
    <mergeCell ref="AO446:AR446"/>
    <mergeCell ref="AS446:AV446"/>
    <mergeCell ref="AW446:AZ446"/>
    <mergeCell ref="BA446:BD446"/>
    <mergeCell ref="AK470:AN470"/>
    <mergeCell ref="AO470:AR470"/>
    <mergeCell ref="AS470:AV470"/>
    <mergeCell ref="AW470:AZ470"/>
    <mergeCell ref="BA470:BD470"/>
    <mergeCell ref="A458:D458"/>
    <mergeCell ref="E458:H458"/>
    <mergeCell ref="I458:L458"/>
    <mergeCell ref="M458:P458"/>
    <mergeCell ref="Q458:T458"/>
    <mergeCell ref="A470:D470"/>
    <mergeCell ref="E470:H470"/>
    <mergeCell ref="I470:L470"/>
    <mergeCell ref="M470:P470"/>
    <mergeCell ref="Q470:T470"/>
    <mergeCell ref="U470:X470"/>
    <mergeCell ref="Y470:AB470"/>
    <mergeCell ref="AC470:AF470"/>
    <mergeCell ref="AG470:AJ470"/>
    <mergeCell ref="U458:X458"/>
    <mergeCell ref="Y458:AB458"/>
    <mergeCell ref="AC458:AF458"/>
    <mergeCell ref="AG458:AJ458"/>
    <mergeCell ref="AK458:AN458"/>
    <mergeCell ref="A482:D482"/>
    <mergeCell ref="E482:H482"/>
    <mergeCell ref="I482:L482"/>
    <mergeCell ref="M482:P482"/>
    <mergeCell ref="Q482:T482"/>
    <mergeCell ref="U482:X482"/>
    <mergeCell ref="Y482:AB482"/>
    <mergeCell ref="AC482:AF482"/>
    <mergeCell ref="AG482:AJ482"/>
    <mergeCell ref="AO506:AR506"/>
    <mergeCell ref="AS506:AV506"/>
    <mergeCell ref="AW506:AZ506"/>
    <mergeCell ref="BA506:BD506"/>
    <mergeCell ref="A494:D494"/>
    <mergeCell ref="E494:H494"/>
    <mergeCell ref="I494:L494"/>
    <mergeCell ref="M494:P494"/>
    <mergeCell ref="Q494:T494"/>
    <mergeCell ref="U494:X494"/>
    <mergeCell ref="Y494:AB494"/>
    <mergeCell ref="AC494:AF494"/>
    <mergeCell ref="AG494:AJ494"/>
    <mergeCell ref="AK482:AN482"/>
    <mergeCell ref="AO482:AR482"/>
    <mergeCell ref="AS482:AV482"/>
    <mergeCell ref="AW482:AZ482"/>
    <mergeCell ref="BA482:BD482"/>
    <mergeCell ref="AK494:AN494"/>
    <mergeCell ref="AO494:AR494"/>
    <mergeCell ref="AS494:AV494"/>
    <mergeCell ref="AW494:AZ494"/>
    <mergeCell ref="BA494:BD494"/>
    <mergeCell ref="AK518:AN518"/>
    <mergeCell ref="AO518:AR518"/>
    <mergeCell ref="AS518:AV518"/>
    <mergeCell ref="AW518:AZ518"/>
    <mergeCell ref="BA518:BD518"/>
    <mergeCell ref="A506:D506"/>
    <mergeCell ref="E506:H506"/>
    <mergeCell ref="I506:L506"/>
    <mergeCell ref="M506:P506"/>
    <mergeCell ref="Q506:T506"/>
    <mergeCell ref="A518:D518"/>
    <mergeCell ref="E518:H518"/>
    <mergeCell ref="I518:L518"/>
    <mergeCell ref="M518:P518"/>
    <mergeCell ref="Q518:T518"/>
    <mergeCell ref="U518:X518"/>
    <mergeCell ref="Y518:AB518"/>
    <mergeCell ref="AC518:AF518"/>
    <mergeCell ref="AG518:AJ518"/>
    <mergeCell ref="U506:X506"/>
    <mergeCell ref="Y506:AB506"/>
    <mergeCell ref="AC506:AF506"/>
    <mergeCell ref="AG506:AJ506"/>
    <mergeCell ref="AK506:AN506"/>
    <mergeCell ref="A530:D530"/>
    <mergeCell ref="E530:H530"/>
    <mergeCell ref="I530:L530"/>
    <mergeCell ref="M530:P530"/>
    <mergeCell ref="Q530:T530"/>
    <mergeCell ref="U530:X530"/>
    <mergeCell ref="Y530:AB530"/>
    <mergeCell ref="AC530:AF530"/>
    <mergeCell ref="AG530:AJ530"/>
    <mergeCell ref="AO554:AR554"/>
    <mergeCell ref="AS554:AV554"/>
    <mergeCell ref="AW554:AZ554"/>
    <mergeCell ref="BA554:BD554"/>
    <mergeCell ref="A542:D542"/>
    <mergeCell ref="E542:H542"/>
    <mergeCell ref="I542:L542"/>
    <mergeCell ref="M542:P542"/>
    <mergeCell ref="Q542:T542"/>
    <mergeCell ref="U542:X542"/>
    <mergeCell ref="Y542:AB542"/>
    <mergeCell ref="AC542:AF542"/>
    <mergeCell ref="AG542:AJ542"/>
    <mergeCell ref="AK530:AN530"/>
    <mergeCell ref="AO530:AR530"/>
    <mergeCell ref="AS530:AV530"/>
    <mergeCell ref="AW530:AZ530"/>
    <mergeCell ref="BA530:BD530"/>
    <mergeCell ref="AK542:AN542"/>
    <mergeCell ref="AO542:AR542"/>
    <mergeCell ref="AS542:AV542"/>
    <mergeCell ref="AW542:AZ542"/>
    <mergeCell ref="BA542:BD542"/>
    <mergeCell ref="AK566:AN566"/>
    <mergeCell ref="AO566:AR566"/>
    <mergeCell ref="AS566:AV566"/>
    <mergeCell ref="AW566:AZ566"/>
    <mergeCell ref="BA566:BD566"/>
    <mergeCell ref="A554:D554"/>
    <mergeCell ref="E554:H554"/>
    <mergeCell ref="I554:L554"/>
    <mergeCell ref="M554:P554"/>
    <mergeCell ref="Q554:T554"/>
    <mergeCell ref="A566:D566"/>
    <mergeCell ref="E566:H566"/>
    <mergeCell ref="I566:L566"/>
    <mergeCell ref="M566:P566"/>
    <mergeCell ref="Q566:T566"/>
    <mergeCell ref="U566:X566"/>
    <mergeCell ref="Y566:AB566"/>
    <mergeCell ref="AC566:AF566"/>
    <mergeCell ref="AG566:AJ566"/>
    <mergeCell ref="U554:X554"/>
    <mergeCell ref="Y554:AB554"/>
    <mergeCell ref="AC554:AF554"/>
    <mergeCell ref="AG554:AJ554"/>
    <mergeCell ref="AK554:AN554"/>
    <mergeCell ref="A578:D578"/>
    <mergeCell ref="E578:H578"/>
    <mergeCell ref="I578:L578"/>
    <mergeCell ref="M578:P578"/>
    <mergeCell ref="Q578:T578"/>
    <mergeCell ref="U578:X578"/>
    <mergeCell ref="Y578:AB578"/>
    <mergeCell ref="AC578:AF578"/>
    <mergeCell ref="AG578:AJ578"/>
    <mergeCell ref="A590:D590"/>
    <mergeCell ref="E590:H590"/>
    <mergeCell ref="I590:L590"/>
    <mergeCell ref="M590:P590"/>
    <mergeCell ref="Q590:T590"/>
    <mergeCell ref="U590:X590"/>
    <mergeCell ref="Y590:AB590"/>
    <mergeCell ref="AC590:AF590"/>
    <mergeCell ref="AG590:AJ590"/>
    <mergeCell ref="AK578:AN578"/>
    <mergeCell ref="AO578:AR578"/>
    <mergeCell ref="AS578:AV578"/>
    <mergeCell ref="AW578:AZ578"/>
    <mergeCell ref="BA578:BD578"/>
    <mergeCell ref="AK590:AN590"/>
    <mergeCell ref="AO590:AR590"/>
    <mergeCell ref="AS590:AV590"/>
    <mergeCell ref="AW590:AZ590"/>
    <mergeCell ref="BA590:BD590"/>
    <mergeCell ref="AO614:AR614"/>
    <mergeCell ref="AS614:AV614"/>
    <mergeCell ref="AW614:AZ614"/>
    <mergeCell ref="BA614:BD614"/>
    <mergeCell ref="A602:D602"/>
    <mergeCell ref="E602:H602"/>
    <mergeCell ref="I602:L602"/>
    <mergeCell ref="M602:P602"/>
    <mergeCell ref="Q602:T602"/>
    <mergeCell ref="A614:D614"/>
    <mergeCell ref="E614:H614"/>
    <mergeCell ref="I614:L614"/>
    <mergeCell ref="M614:P614"/>
    <mergeCell ref="Q614:T614"/>
    <mergeCell ref="U602:X602"/>
    <mergeCell ref="Y602:AB602"/>
    <mergeCell ref="AC602:AF602"/>
    <mergeCell ref="AG602:AJ602"/>
    <mergeCell ref="AK602:AN602"/>
    <mergeCell ref="AO602:AR602"/>
    <mergeCell ref="AS602:AV602"/>
    <mergeCell ref="AW602:AZ602"/>
    <mergeCell ref="BA602:BD602"/>
    <mergeCell ref="U626:X626"/>
    <mergeCell ref="Y626:AB626"/>
    <mergeCell ref="AC626:AF626"/>
    <mergeCell ref="AG626:AJ626"/>
    <mergeCell ref="U614:X614"/>
    <mergeCell ref="Y614:AB614"/>
    <mergeCell ref="AC614:AF614"/>
    <mergeCell ref="AG614:AJ614"/>
    <mergeCell ref="AK614:AN614"/>
    <mergeCell ref="AK626:AN626"/>
    <mergeCell ref="AO626:AR626"/>
    <mergeCell ref="AS626:AV626"/>
    <mergeCell ref="AW626:AZ626"/>
    <mergeCell ref="BA626:BD626"/>
    <mergeCell ref="A638:D638"/>
    <mergeCell ref="E638:H638"/>
    <mergeCell ref="I638:L638"/>
    <mergeCell ref="M638:P638"/>
    <mergeCell ref="Q638:T638"/>
    <mergeCell ref="U638:X638"/>
    <mergeCell ref="Y638:AB638"/>
    <mergeCell ref="AC638:AF638"/>
    <mergeCell ref="AG638:AJ638"/>
    <mergeCell ref="AK638:AN638"/>
    <mergeCell ref="AO638:AR638"/>
    <mergeCell ref="AS638:AV638"/>
    <mergeCell ref="AW638:AZ638"/>
    <mergeCell ref="BA638:BD638"/>
    <mergeCell ref="A626:D626"/>
    <mergeCell ref="E626:H626"/>
    <mergeCell ref="I626:L626"/>
    <mergeCell ref="BA650:BD650"/>
    <mergeCell ref="A650:D650"/>
    <mergeCell ref="E650:H650"/>
    <mergeCell ref="I650:L650"/>
    <mergeCell ref="M650:P650"/>
    <mergeCell ref="Q650:T650"/>
    <mergeCell ref="U650:X650"/>
    <mergeCell ref="Y650:AB650"/>
    <mergeCell ref="AC650:AF650"/>
    <mergeCell ref="AG650:AJ650"/>
    <mergeCell ref="A662:D662"/>
    <mergeCell ref="E662:H662"/>
    <mergeCell ref="I662:L662"/>
    <mergeCell ref="M662:P662"/>
    <mergeCell ref="Q662:T662"/>
    <mergeCell ref="U662:X662"/>
    <mergeCell ref="Y662:AB662"/>
    <mergeCell ref="AC662:AF662"/>
    <mergeCell ref="AG662:AJ662"/>
    <mergeCell ref="BA662:BD662"/>
    <mergeCell ref="U674:X674"/>
    <mergeCell ref="Y674:AB674"/>
    <mergeCell ref="AC674:AF674"/>
    <mergeCell ref="AG674:AJ674"/>
    <mergeCell ref="U686:X686"/>
    <mergeCell ref="Y686:AB686"/>
    <mergeCell ref="AC686:AF686"/>
    <mergeCell ref="AG686:AJ686"/>
    <mergeCell ref="AK662:AN662"/>
    <mergeCell ref="AO662:AR662"/>
    <mergeCell ref="AS662:AV662"/>
    <mergeCell ref="AW662:AZ662"/>
    <mergeCell ref="AK674:AN674"/>
    <mergeCell ref="AO674:AR674"/>
    <mergeCell ref="AS674:AV674"/>
    <mergeCell ref="AW674:AZ674"/>
    <mergeCell ref="M626:P626"/>
    <mergeCell ref="Q626:T626"/>
    <mergeCell ref="AK650:AN650"/>
    <mergeCell ref="AO650:AR650"/>
    <mergeCell ref="AS650:AV650"/>
    <mergeCell ref="AW650:AZ650"/>
    <mergeCell ref="AC722:AF722"/>
    <mergeCell ref="AG722:AJ722"/>
    <mergeCell ref="BA674:BD674"/>
    <mergeCell ref="AK686:AN686"/>
    <mergeCell ref="AO686:AR686"/>
    <mergeCell ref="AS686:AV686"/>
    <mergeCell ref="AW686:AZ686"/>
    <mergeCell ref="BA686:BD686"/>
    <mergeCell ref="A698:D698"/>
    <mergeCell ref="E698:H698"/>
    <mergeCell ref="I698:L698"/>
    <mergeCell ref="M698:P698"/>
    <mergeCell ref="Q698:T698"/>
    <mergeCell ref="U698:X698"/>
    <mergeCell ref="Y698:AB698"/>
    <mergeCell ref="AC698:AF698"/>
    <mergeCell ref="AG698:AJ698"/>
    <mergeCell ref="AK698:AN698"/>
    <mergeCell ref="AO698:AR698"/>
    <mergeCell ref="AS698:AV698"/>
    <mergeCell ref="AW698:AZ698"/>
    <mergeCell ref="BA698:BD698"/>
    <mergeCell ref="A686:D686"/>
    <mergeCell ref="E686:H686"/>
    <mergeCell ref="I686:L686"/>
    <mergeCell ref="M686:P686"/>
    <mergeCell ref="Q686:T686"/>
    <mergeCell ref="A674:D674"/>
    <mergeCell ref="E674:H674"/>
    <mergeCell ref="I674:L674"/>
    <mergeCell ref="M674:P674"/>
    <mergeCell ref="Q674:T674"/>
    <mergeCell ref="AS770:AV770"/>
    <mergeCell ref="AK710:AN710"/>
    <mergeCell ref="AO710:AR710"/>
    <mergeCell ref="AS710:AV710"/>
    <mergeCell ref="AW710:AZ710"/>
    <mergeCell ref="BA710:BD710"/>
    <mergeCell ref="AK722:AN722"/>
    <mergeCell ref="AO722:AR722"/>
    <mergeCell ref="AS722:AV722"/>
    <mergeCell ref="AW722:AZ722"/>
    <mergeCell ref="BA722:BD722"/>
    <mergeCell ref="AK734:AN734"/>
    <mergeCell ref="AO734:AR734"/>
    <mergeCell ref="AS734:AV734"/>
    <mergeCell ref="AW734:AZ734"/>
    <mergeCell ref="BA734:BD734"/>
    <mergeCell ref="A710:D710"/>
    <mergeCell ref="E710:H710"/>
    <mergeCell ref="I710:L710"/>
    <mergeCell ref="M710:P710"/>
    <mergeCell ref="Q710:T710"/>
    <mergeCell ref="U710:X710"/>
    <mergeCell ref="Y710:AB710"/>
    <mergeCell ref="AC710:AF710"/>
    <mergeCell ref="AG710:AJ710"/>
    <mergeCell ref="A722:D722"/>
    <mergeCell ref="E722:H722"/>
    <mergeCell ref="I722:L722"/>
    <mergeCell ref="M722:P722"/>
    <mergeCell ref="Q722:T722"/>
    <mergeCell ref="U722:X722"/>
    <mergeCell ref="Y722:AB722"/>
    <mergeCell ref="A746:D746"/>
    <mergeCell ref="E746:H746"/>
    <mergeCell ref="I746:L746"/>
    <mergeCell ref="M746:P746"/>
    <mergeCell ref="Q746:T746"/>
    <mergeCell ref="U746:X746"/>
    <mergeCell ref="Y746:AB746"/>
    <mergeCell ref="AC746:AF746"/>
    <mergeCell ref="AG746:AJ746"/>
    <mergeCell ref="AK746:AN746"/>
    <mergeCell ref="AO746:AR746"/>
    <mergeCell ref="AS746:AV746"/>
    <mergeCell ref="AW746:AZ746"/>
    <mergeCell ref="BA746:BD746"/>
    <mergeCell ref="A734:D734"/>
    <mergeCell ref="E734:H734"/>
    <mergeCell ref="I734:L734"/>
    <mergeCell ref="M734:P734"/>
    <mergeCell ref="Q734:T734"/>
    <mergeCell ref="U734:X734"/>
    <mergeCell ref="Y734:AB734"/>
    <mergeCell ref="AC734:AF734"/>
    <mergeCell ref="AG734:AJ734"/>
    <mergeCell ref="AW770:AZ770"/>
    <mergeCell ref="BA770:BD770"/>
    <mergeCell ref="AK782:AN782"/>
    <mergeCell ref="AO782:AR782"/>
    <mergeCell ref="AS782:AV782"/>
    <mergeCell ref="AW782:AZ782"/>
    <mergeCell ref="BA782:BD782"/>
    <mergeCell ref="A758:D758"/>
    <mergeCell ref="E758:H758"/>
    <mergeCell ref="I758:L758"/>
    <mergeCell ref="M758:P758"/>
    <mergeCell ref="Q758:T758"/>
    <mergeCell ref="U758:X758"/>
    <mergeCell ref="Y758:AB758"/>
    <mergeCell ref="AC758:AF758"/>
    <mergeCell ref="AG758:AJ758"/>
    <mergeCell ref="A770:D770"/>
    <mergeCell ref="E770:H770"/>
    <mergeCell ref="I770:L770"/>
    <mergeCell ref="M770:P770"/>
    <mergeCell ref="Q770:T770"/>
    <mergeCell ref="U770:X770"/>
    <mergeCell ref="Y770:AB770"/>
    <mergeCell ref="AC770:AF770"/>
    <mergeCell ref="AG770:AJ770"/>
    <mergeCell ref="AK758:AN758"/>
    <mergeCell ref="AO758:AR758"/>
    <mergeCell ref="AS758:AV758"/>
    <mergeCell ref="AW758:AZ758"/>
    <mergeCell ref="BA758:BD758"/>
    <mergeCell ref="AK770:AN770"/>
    <mergeCell ref="AO770:AR770"/>
    <mergeCell ref="A794:D794"/>
    <mergeCell ref="E794:H794"/>
    <mergeCell ref="I794:L794"/>
    <mergeCell ref="M794:P794"/>
    <mergeCell ref="Q794:T794"/>
    <mergeCell ref="U794:X794"/>
    <mergeCell ref="Y794:AB794"/>
    <mergeCell ref="AC794:AF794"/>
    <mergeCell ref="AG794:AJ794"/>
    <mergeCell ref="AK794:AN794"/>
    <mergeCell ref="AO794:AR794"/>
    <mergeCell ref="AS794:AV794"/>
    <mergeCell ref="AW794:AZ794"/>
    <mergeCell ref="BA794:BD794"/>
    <mergeCell ref="A782:D782"/>
    <mergeCell ref="E782:H782"/>
    <mergeCell ref="I782:L782"/>
    <mergeCell ref="M782:P782"/>
    <mergeCell ref="Q782:T782"/>
    <mergeCell ref="U782:X782"/>
    <mergeCell ref="Y782:AB782"/>
    <mergeCell ref="AC782:AF782"/>
    <mergeCell ref="AG782:AJ782"/>
    <mergeCell ref="I986:L986"/>
    <mergeCell ref="M986:P986"/>
    <mergeCell ref="Q986:T986"/>
    <mergeCell ref="U986:X986"/>
    <mergeCell ref="Y986:AB986"/>
    <mergeCell ref="AC986:AF986"/>
    <mergeCell ref="AG986:AJ986"/>
    <mergeCell ref="AK986:AN986"/>
    <mergeCell ref="AO986:AR986"/>
    <mergeCell ref="AS986:AV986"/>
    <mergeCell ref="AW986:AZ986"/>
    <mergeCell ref="BA986:BD986"/>
    <mergeCell ref="A998:D998"/>
    <mergeCell ref="E998:H998"/>
    <mergeCell ref="I998:L998"/>
    <mergeCell ref="M998:P998"/>
    <mergeCell ref="Q998:T998"/>
    <mergeCell ref="U998:X998"/>
    <mergeCell ref="Y998:AB998"/>
    <mergeCell ref="AC998:AF998"/>
    <mergeCell ref="AG998:AJ998"/>
    <mergeCell ref="AK998:AN998"/>
    <mergeCell ref="AO998:AR998"/>
    <mergeCell ref="AS998:AV998"/>
    <mergeCell ref="AW998:AZ998"/>
    <mergeCell ref="BA998:BD998"/>
    <mergeCell ref="A1010:D1010"/>
    <mergeCell ref="E1010:H1010"/>
    <mergeCell ref="I1010:L1010"/>
    <mergeCell ref="M1010:P1010"/>
    <mergeCell ref="Q1010:T1010"/>
    <mergeCell ref="U1010:X1010"/>
    <mergeCell ref="Y1010:AB1010"/>
    <mergeCell ref="AC1010:AF1010"/>
    <mergeCell ref="AG1010:AJ1010"/>
    <mergeCell ref="AK1010:AN1010"/>
    <mergeCell ref="AO1010:AR1010"/>
    <mergeCell ref="AS1010:AV1010"/>
    <mergeCell ref="AW1010:AZ1010"/>
    <mergeCell ref="BA1010:BD1010"/>
    <mergeCell ref="A1022:D1022"/>
    <mergeCell ref="E1022:H1022"/>
    <mergeCell ref="I1022:L1022"/>
    <mergeCell ref="M1022:P1022"/>
    <mergeCell ref="Q1022:T1022"/>
    <mergeCell ref="U1022:X1022"/>
    <mergeCell ref="Y1022:AB1022"/>
    <mergeCell ref="AC1022:AF1022"/>
    <mergeCell ref="AG1022:AJ1022"/>
    <mergeCell ref="AK1022:AN1022"/>
    <mergeCell ref="AO1022:AR1022"/>
    <mergeCell ref="AS1022:AV1022"/>
    <mergeCell ref="AW1022:AZ1022"/>
    <mergeCell ref="BA1022:BD1022"/>
    <mergeCell ref="A1034:D1034"/>
    <mergeCell ref="E1034:H1034"/>
    <mergeCell ref="I1034:L1034"/>
    <mergeCell ref="M1034:P1034"/>
    <mergeCell ref="Q1034:T1034"/>
    <mergeCell ref="U1034:X1034"/>
    <mergeCell ref="Y1034:AB1034"/>
    <mergeCell ref="AC1034:AF1034"/>
    <mergeCell ref="AG1034:AJ1034"/>
    <mergeCell ref="AK1034:AN1034"/>
    <mergeCell ref="AO1034:AR1034"/>
    <mergeCell ref="AS1034:AV1034"/>
    <mergeCell ref="AW1034:AZ1034"/>
    <mergeCell ref="BA1034:BD1034"/>
    <mergeCell ref="A1046:D1046"/>
    <mergeCell ref="E1046:H1046"/>
    <mergeCell ref="I1046:L1046"/>
    <mergeCell ref="M1046:P1046"/>
    <mergeCell ref="Q1046:T1046"/>
    <mergeCell ref="U1046:X1046"/>
    <mergeCell ref="Y1046:AB1046"/>
    <mergeCell ref="AC1046:AF1046"/>
    <mergeCell ref="AG1046:AJ1046"/>
    <mergeCell ref="AK1046:AN1046"/>
    <mergeCell ref="AO1046:AR1046"/>
    <mergeCell ref="AS1046:AV1046"/>
    <mergeCell ref="AW1046:AZ1046"/>
    <mergeCell ref="BA1046:BD1046"/>
    <mergeCell ref="A1058:D1058"/>
    <mergeCell ref="E1058:H1058"/>
    <mergeCell ref="I1058:L1058"/>
    <mergeCell ref="M1058:P1058"/>
    <mergeCell ref="Q1058:T1058"/>
    <mergeCell ref="U1058:X1058"/>
    <mergeCell ref="Y1058:AB1058"/>
    <mergeCell ref="AC1058:AF1058"/>
    <mergeCell ref="AG1058:AJ1058"/>
    <mergeCell ref="AK1058:AN1058"/>
    <mergeCell ref="AO1058:AR1058"/>
    <mergeCell ref="AS1058:AV1058"/>
    <mergeCell ref="AW1058:AZ1058"/>
    <mergeCell ref="BA1058:BD1058"/>
    <mergeCell ref="A1130:D1130"/>
    <mergeCell ref="E1130:H1130"/>
    <mergeCell ref="I1130:L1130"/>
    <mergeCell ref="M1130:P1130"/>
    <mergeCell ref="Q1130:T1130"/>
    <mergeCell ref="U1130:X1130"/>
    <mergeCell ref="Y1130:AB1130"/>
    <mergeCell ref="AC1130:AF1130"/>
    <mergeCell ref="AG1130:AJ1130"/>
    <mergeCell ref="AK1130:AN1130"/>
    <mergeCell ref="AO1130:AR1130"/>
    <mergeCell ref="AS1130:AV1130"/>
    <mergeCell ref="AW1130:AZ1130"/>
    <mergeCell ref="BA1130:BD1130"/>
    <mergeCell ref="AG1082:AJ1082"/>
    <mergeCell ref="AK1082:AN1082"/>
    <mergeCell ref="AO1082:AR1082"/>
    <mergeCell ref="AS1082:AV1082"/>
    <mergeCell ref="A1142:D1142"/>
    <mergeCell ref="E1142:H1142"/>
    <mergeCell ref="I1142:L1142"/>
    <mergeCell ref="M1142:P1142"/>
    <mergeCell ref="Q1142:T1142"/>
    <mergeCell ref="U1142:X1142"/>
    <mergeCell ref="Y1142:AB1142"/>
    <mergeCell ref="AC1142:AF1142"/>
    <mergeCell ref="AG1142:AJ1142"/>
    <mergeCell ref="AK1142:AN1142"/>
    <mergeCell ref="AO1142:AR1142"/>
    <mergeCell ref="AS1142:AV1142"/>
    <mergeCell ref="AW1142:AZ1142"/>
    <mergeCell ref="BA1142:BD1142"/>
    <mergeCell ref="A1154:D1154"/>
    <mergeCell ref="E1154:H1154"/>
    <mergeCell ref="I1154:L1154"/>
    <mergeCell ref="M1154:P1154"/>
    <mergeCell ref="Q1154:T1154"/>
    <mergeCell ref="U1154:X1154"/>
    <mergeCell ref="Y1154:AB1154"/>
    <mergeCell ref="AC1154:AF1154"/>
    <mergeCell ref="AG1154:AJ1154"/>
    <mergeCell ref="AK1154:AN1154"/>
    <mergeCell ref="AO1154:AR1154"/>
    <mergeCell ref="AS1154:AV1154"/>
    <mergeCell ref="AW1154:AZ1154"/>
    <mergeCell ref="BA1154:BD1154"/>
    <mergeCell ref="A1166:D1166"/>
    <mergeCell ref="E1166:H1166"/>
    <mergeCell ref="I1166:L1166"/>
    <mergeCell ref="M1166:P1166"/>
    <mergeCell ref="Q1166:T1166"/>
    <mergeCell ref="U1166:X1166"/>
    <mergeCell ref="Y1166:AB1166"/>
    <mergeCell ref="AC1166:AF1166"/>
    <mergeCell ref="AG1166:AJ1166"/>
    <mergeCell ref="AK1166:AN1166"/>
    <mergeCell ref="AO1166:AR1166"/>
    <mergeCell ref="AS1166:AV1166"/>
    <mergeCell ref="AW1166:AZ1166"/>
    <mergeCell ref="BA1166:BD1166"/>
    <mergeCell ref="A1178:D1178"/>
    <mergeCell ref="E1178:H1178"/>
    <mergeCell ref="I1178:L1178"/>
    <mergeCell ref="M1178:P1178"/>
    <mergeCell ref="Q1178:T1178"/>
    <mergeCell ref="U1178:X1178"/>
    <mergeCell ref="Y1178:AB1178"/>
    <mergeCell ref="AC1178:AF1178"/>
    <mergeCell ref="AG1178:AJ1178"/>
    <mergeCell ref="AK1178:AN1178"/>
    <mergeCell ref="AO1178:AR1178"/>
    <mergeCell ref="AS1178:AV1178"/>
    <mergeCell ref="AW1178:AZ1178"/>
    <mergeCell ref="BA1178:BD1178"/>
  </mergeCells>
  <pageMargins left="0.7" right="0.7" top="0.75" bottom="0.75" header="0.3" footer="0.3"/>
  <pageSetup orientation="portrait" r:id="rId1"/>
  <tableParts count="9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"/>
  <sheetViews>
    <sheetView zoomScale="85" zoomScaleNormal="85" workbookViewId="0">
      <pane xSplit="1" topLeftCell="B1" activePane="topRight" state="frozen"/>
      <selection pane="topRight" activeCell="F14" sqref="F14:F17"/>
    </sheetView>
  </sheetViews>
  <sheetFormatPr defaultRowHeight="15" x14ac:dyDescent="0.25"/>
  <sheetData>
    <row r="1" spans="1:56" ht="15.75" thickBot="1" x14ac:dyDescent="0.3">
      <c r="A1" s="74"/>
      <c r="B1" s="74" t="s">
        <v>79</v>
      </c>
      <c r="C1" s="74"/>
      <c r="D1" s="74"/>
      <c r="E1" s="74" t="s">
        <v>33</v>
      </c>
      <c r="F1" s="75">
        <v>0</v>
      </c>
      <c r="G1" s="74"/>
      <c r="H1" s="74" t="s">
        <v>80</v>
      </c>
      <c r="I1" s="74"/>
      <c r="J1" s="74" t="s">
        <v>83</v>
      </c>
      <c r="K1" s="75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6"/>
    </row>
    <row r="2" spans="1:56" x14ac:dyDescent="0.25">
      <c r="A2" s="112"/>
      <c r="B2" s="113"/>
      <c r="C2" s="113"/>
      <c r="D2" s="114"/>
      <c r="E2" s="115" t="s">
        <v>27</v>
      </c>
      <c r="F2" s="116"/>
      <c r="G2" s="116"/>
      <c r="H2" s="117"/>
      <c r="I2" s="118" t="s">
        <v>28</v>
      </c>
      <c r="J2" s="119"/>
      <c r="K2" s="119"/>
      <c r="L2" s="120"/>
      <c r="M2" s="121" t="s">
        <v>7</v>
      </c>
      <c r="N2" s="122"/>
      <c r="O2" s="122"/>
      <c r="P2" s="122"/>
      <c r="Q2" s="124" t="s">
        <v>29</v>
      </c>
      <c r="R2" s="125"/>
      <c r="S2" s="125"/>
      <c r="T2" s="126"/>
      <c r="U2" s="128" t="s">
        <v>8</v>
      </c>
      <c r="V2" s="128"/>
      <c r="W2" s="128"/>
      <c r="X2" s="129"/>
      <c r="Y2" s="130" t="s">
        <v>0</v>
      </c>
      <c r="Z2" s="131"/>
      <c r="AA2" s="131"/>
      <c r="AB2" s="132"/>
      <c r="AC2" s="133" t="s">
        <v>34</v>
      </c>
      <c r="AD2" s="134"/>
      <c r="AE2" s="134"/>
      <c r="AF2" s="135"/>
      <c r="AG2" s="115" t="s">
        <v>9</v>
      </c>
      <c r="AH2" s="116"/>
      <c r="AI2" s="116"/>
      <c r="AJ2" s="117"/>
      <c r="AK2" s="136" t="s">
        <v>35</v>
      </c>
      <c r="AL2" s="137"/>
      <c r="AM2" s="137"/>
      <c r="AN2" s="138"/>
      <c r="AO2" s="139" t="s">
        <v>10</v>
      </c>
      <c r="AP2" s="140"/>
      <c r="AQ2" s="140"/>
      <c r="AR2" s="141"/>
      <c r="AS2" s="124" t="s">
        <v>36</v>
      </c>
      <c r="AT2" s="125"/>
      <c r="AU2" s="125"/>
      <c r="AV2" s="126"/>
      <c r="AW2" s="142" t="s">
        <v>11</v>
      </c>
      <c r="AX2" s="143"/>
      <c r="AY2" s="143"/>
      <c r="AZ2" s="144"/>
      <c r="BA2" s="148" t="s">
        <v>17</v>
      </c>
      <c r="BB2" s="149"/>
      <c r="BC2" s="149"/>
      <c r="BD2" s="150"/>
    </row>
    <row r="3" spans="1:56" s="1" customFormat="1" ht="15.75" thickBot="1" x14ac:dyDescent="0.3">
      <c r="A3" s="41" t="s">
        <v>13</v>
      </c>
      <c r="B3" s="42" t="s">
        <v>15</v>
      </c>
      <c r="C3" s="42" t="s">
        <v>32</v>
      </c>
      <c r="D3" s="43" t="s">
        <v>18</v>
      </c>
      <c r="E3" s="30" t="s">
        <v>30</v>
      </c>
      <c r="F3" s="31" t="s">
        <v>61</v>
      </c>
      <c r="G3" s="31" t="s">
        <v>38</v>
      </c>
      <c r="H3" s="32" t="s">
        <v>62</v>
      </c>
      <c r="I3" s="37" t="s">
        <v>31</v>
      </c>
      <c r="J3" s="38" t="s">
        <v>39</v>
      </c>
      <c r="K3" s="38" t="s">
        <v>40</v>
      </c>
      <c r="L3" s="39" t="s">
        <v>63</v>
      </c>
      <c r="M3" s="40" t="s">
        <v>19</v>
      </c>
      <c r="N3" s="7" t="s">
        <v>41</v>
      </c>
      <c r="O3" s="7" t="s">
        <v>37</v>
      </c>
      <c r="P3" s="7" t="s">
        <v>64</v>
      </c>
      <c r="Q3" s="27" t="s">
        <v>20</v>
      </c>
      <c r="R3" s="28" t="s">
        <v>60</v>
      </c>
      <c r="S3" s="28" t="s">
        <v>59</v>
      </c>
      <c r="T3" s="29" t="s">
        <v>65</v>
      </c>
      <c r="U3" s="48" t="s">
        <v>21</v>
      </c>
      <c r="V3" s="48" t="s">
        <v>42</v>
      </c>
      <c r="W3" s="48" t="s">
        <v>43</v>
      </c>
      <c r="X3" s="49" t="s">
        <v>66</v>
      </c>
      <c r="Y3" s="50" t="s">
        <v>22</v>
      </c>
      <c r="Z3" s="51" t="s">
        <v>44</v>
      </c>
      <c r="AA3" s="51" t="s">
        <v>45</v>
      </c>
      <c r="AB3" s="52" t="s">
        <v>67</v>
      </c>
      <c r="AC3" s="45" t="s">
        <v>23</v>
      </c>
      <c r="AD3" s="46" t="s">
        <v>46</v>
      </c>
      <c r="AE3" s="46" t="s">
        <v>47</v>
      </c>
      <c r="AF3" s="47" t="s">
        <v>68</v>
      </c>
      <c r="AG3" s="30" t="s">
        <v>24</v>
      </c>
      <c r="AH3" s="31" t="s">
        <v>48</v>
      </c>
      <c r="AI3" s="31" t="s">
        <v>49</v>
      </c>
      <c r="AJ3" s="32" t="s">
        <v>69</v>
      </c>
      <c r="AK3" s="53" t="s">
        <v>25</v>
      </c>
      <c r="AL3" s="54" t="s">
        <v>50</v>
      </c>
      <c r="AM3" s="54" t="s">
        <v>51</v>
      </c>
      <c r="AN3" s="55" t="s">
        <v>70</v>
      </c>
      <c r="AO3" s="56" t="s">
        <v>26</v>
      </c>
      <c r="AP3" s="57" t="s">
        <v>52</v>
      </c>
      <c r="AQ3" s="57" t="s">
        <v>53</v>
      </c>
      <c r="AR3" s="58" t="s">
        <v>71</v>
      </c>
      <c r="AS3" s="59" t="s">
        <v>55</v>
      </c>
      <c r="AT3" s="60" t="s">
        <v>54</v>
      </c>
      <c r="AU3" s="60" t="s">
        <v>56</v>
      </c>
      <c r="AV3" s="61" t="s">
        <v>76</v>
      </c>
      <c r="AW3" s="62" t="s">
        <v>72</v>
      </c>
      <c r="AX3" s="63" t="s">
        <v>73</v>
      </c>
      <c r="AY3" s="63" t="s">
        <v>74</v>
      </c>
      <c r="AZ3" s="64" t="s">
        <v>75</v>
      </c>
      <c r="BA3" s="71" t="s">
        <v>77</v>
      </c>
      <c r="BB3" s="72" t="s">
        <v>57</v>
      </c>
      <c r="BC3" s="72" t="s">
        <v>58</v>
      </c>
      <c r="BD3" s="73" t="s">
        <v>78</v>
      </c>
    </row>
    <row r="4" spans="1:56" x14ac:dyDescent="0.25">
      <c r="A4" s="17" t="s">
        <v>1</v>
      </c>
      <c r="B4" s="14">
        <v>0</v>
      </c>
      <c r="C4" s="34" t="e">
        <f>B4/F1</f>
        <v>#DIV/0!</v>
      </c>
      <c r="D4" s="14">
        <v>1525</v>
      </c>
      <c r="E4" s="67">
        <v>0</v>
      </c>
      <c r="F4" s="69">
        <v>0</v>
      </c>
      <c r="G4" s="34" t="e">
        <f t="shared" ref="G4:G10" si="0">E4/F4</f>
        <v>#DIV/0!</v>
      </c>
      <c r="H4" s="10" t="e">
        <f t="shared" ref="H4:H10" si="1">G4/C4</f>
        <v>#DIV/0!</v>
      </c>
      <c r="I4" s="34">
        <v>0</v>
      </c>
      <c r="J4" s="69">
        <v>0</v>
      </c>
      <c r="K4" s="34" t="e">
        <f t="shared" ref="K4:K10" si="2">I4/J4</f>
        <v>#DIV/0!</v>
      </c>
      <c r="L4" s="9" t="e">
        <f t="shared" ref="L4:L10" si="3">K4/C4</f>
        <v>#DIV/0!</v>
      </c>
      <c r="M4" s="67">
        <v>0</v>
      </c>
      <c r="N4" s="26">
        <v>0</v>
      </c>
      <c r="O4" s="34" t="e">
        <f t="shared" ref="O4:O10" si="4">M4/N4</f>
        <v>#DIV/0!</v>
      </c>
      <c r="P4" s="10" t="e">
        <f t="shared" ref="P4:P10" si="5">O4/C4</f>
        <v>#DIV/0!</v>
      </c>
      <c r="Q4" s="35">
        <v>0</v>
      </c>
      <c r="R4" s="66">
        <v>0</v>
      </c>
      <c r="S4" s="35" t="e">
        <f t="shared" ref="S4:S10" si="6">Q4/R4</f>
        <v>#DIV/0!</v>
      </c>
      <c r="T4" s="6" t="e">
        <f t="shared" ref="T4:T10" si="7">S4/C4</f>
        <v>#DIV/0!</v>
      </c>
      <c r="U4" s="67">
        <v>0</v>
      </c>
      <c r="V4" s="65">
        <v>0</v>
      </c>
      <c r="W4" s="34" t="e">
        <f t="shared" ref="W4:W10" si="8">U4/V4</f>
        <v>#DIV/0!</v>
      </c>
      <c r="X4" s="9" t="e">
        <f t="shared" ref="X4:X10" si="9">W4/C4</f>
        <v>#DIV/0!</v>
      </c>
      <c r="Y4" s="67">
        <v>0</v>
      </c>
      <c r="Z4" s="69">
        <v>0</v>
      </c>
      <c r="AA4" s="34" t="e">
        <f t="shared" ref="AA4:AA10" si="10">Y4/Z4</f>
        <v>#DIV/0!</v>
      </c>
      <c r="AB4" s="10" t="e">
        <f t="shared" ref="AB4:AB10" si="11">AA4/C4</f>
        <v>#DIV/0!</v>
      </c>
      <c r="AC4" s="34">
        <v>0</v>
      </c>
      <c r="AD4" s="33">
        <v>0</v>
      </c>
      <c r="AE4" s="34" t="e">
        <f t="shared" ref="AE4:AE10" si="12">AC4/AD4</f>
        <v>#DIV/0!</v>
      </c>
      <c r="AF4" s="9" t="e">
        <f t="shared" ref="AF4:AF10" si="13">AE4/C4</f>
        <v>#DIV/0!</v>
      </c>
      <c r="AG4" s="67">
        <v>0</v>
      </c>
      <c r="AH4" s="65">
        <v>0</v>
      </c>
      <c r="AI4" s="34" t="e">
        <f t="shared" ref="AI4:AI10" si="14">AG4/AH4</f>
        <v>#DIV/0!</v>
      </c>
      <c r="AJ4" s="9" t="e">
        <f t="shared" ref="AJ4:AJ10" si="15">AI4/C4</f>
        <v>#DIV/0!</v>
      </c>
      <c r="AK4" s="67">
        <v>0</v>
      </c>
      <c r="AL4" s="65">
        <v>0</v>
      </c>
      <c r="AM4" s="34" t="e">
        <f t="shared" ref="AM4:AM10" si="16">AK4/AL4</f>
        <v>#DIV/0!</v>
      </c>
      <c r="AN4" s="9" t="e">
        <f t="shared" ref="AN4:AN10" si="17">AM4/C4</f>
        <v>#DIV/0!</v>
      </c>
      <c r="AO4" s="67">
        <v>0</v>
      </c>
      <c r="AP4" s="65">
        <v>0</v>
      </c>
      <c r="AQ4" s="34" t="e">
        <f t="shared" ref="AQ4:AQ10" si="18">AO4/AP4</f>
        <v>#DIV/0!</v>
      </c>
      <c r="AR4" s="9" t="e">
        <f t="shared" ref="AR4:AR10" si="19">AQ4/C4</f>
        <v>#DIV/0!</v>
      </c>
      <c r="AS4" s="67">
        <v>0</v>
      </c>
      <c r="AT4" s="65">
        <v>0</v>
      </c>
      <c r="AU4" s="34" t="e">
        <f t="shared" ref="AU4:AU10" si="20">AS4/AT4</f>
        <v>#DIV/0!</v>
      </c>
      <c r="AV4" s="9" t="e">
        <f t="shared" ref="AV4:AV10" si="21">AU4/C4</f>
        <v>#DIV/0!</v>
      </c>
      <c r="AW4" s="67">
        <v>0</v>
      </c>
      <c r="AX4" s="65">
        <v>0</v>
      </c>
      <c r="AY4" s="34" t="e">
        <f t="shared" ref="AY4:AY10" si="22">AW4/AX4</f>
        <v>#DIV/0!</v>
      </c>
      <c r="AZ4" s="9" t="e">
        <f t="shared" ref="AZ4:AZ10" si="23">AY4/C4</f>
        <v>#DIV/0!</v>
      </c>
      <c r="BA4" s="67">
        <v>0</v>
      </c>
      <c r="BB4" s="65">
        <v>0</v>
      </c>
      <c r="BC4" s="34" t="e">
        <f t="shared" ref="BC4:BC10" si="24">BA4/BB4</f>
        <v>#DIV/0!</v>
      </c>
      <c r="BD4" s="10" t="e">
        <f t="shared" ref="BD4:BD10" si="25">BC4/C4</f>
        <v>#DIV/0!</v>
      </c>
    </row>
    <row r="5" spans="1:56" x14ac:dyDescent="0.25">
      <c r="A5" s="19" t="s">
        <v>16</v>
      </c>
      <c r="B5" s="8">
        <v>0</v>
      </c>
      <c r="C5" s="35" t="e">
        <f>B5/F1</f>
        <v>#DIV/0!</v>
      </c>
      <c r="D5" s="8">
        <v>1525</v>
      </c>
      <c r="E5" s="68">
        <v>0</v>
      </c>
      <c r="F5" s="70">
        <v>0</v>
      </c>
      <c r="G5" s="35" t="e">
        <f t="shared" si="0"/>
        <v>#DIV/0!</v>
      </c>
      <c r="H5" s="11" t="e">
        <f t="shared" si="1"/>
        <v>#DIV/0!</v>
      </c>
      <c r="I5" s="35">
        <v>0</v>
      </c>
      <c r="J5" s="70">
        <v>0</v>
      </c>
      <c r="K5" s="35" t="e">
        <f t="shared" si="2"/>
        <v>#DIV/0!</v>
      </c>
      <c r="L5" s="6" t="e">
        <f t="shared" si="3"/>
        <v>#DIV/0!</v>
      </c>
      <c r="M5" s="68">
        <v>0</v>
      </c>
      <c r="N5" s="5">
        <v>0</v>
      </c>
      <c r="O5" s="35" t="e">
        <f t="shared" si="4"/>
        <v>#DIV/0!</v>
      </c>
      <c r="P5" s="11" t="e">
        <f t="shared" si="5"/>
        <v>#DIV/0!</v>
      </c>
      <c r="Q5" s="35">
        <v>0</v>
      </c>
      <c r="R5" s="66">
        <v>0</v>
      </c>
      <c r="S5" s="35" t="e">
        <f t="shared" si="6"/>
        <v>#DIV/0!</v>
      </c>
      <c r="T5" s="6" t="e">
        <f t="shared" si="7"/>
        <v>#DIV/0!</v>
      </c>
      <c r="U5" s="68">
        <v>0</v>
      </c>
      <c r="V5" s="66">
        <v>0</v>
      </c>
      <c r="W5" s="35" t="e">
        <f t="shared" si="8"/>
        <v>#DIV/0!</v>
      </c>
      <c r="X5" s="6" t="e">
        <f t="shared" si="9"/>
        <v>#DIV/0!</v>
      </c>
      <c r="Y5" s="68">
        <v>0</v>
      </c>
      <c r="Z5" s="70">
        <v>0</v>
      </c>
      <c r="AA5" s="35" t="e">
        <f t="shared" si="10"/>
        <v>#DIV/0!</v>
      </c>
      <c r="AB5" s="11" t="e">
        <f t="shared" si="11"/>
        <v>#DIV/0!</v>
      </c>
      <c r="AC5" s="35">
        <v>0</v>
      </c>
      <c r="AD5" s="36">
        <v>0</v>
      </c>
      <c r="AE5" s="35" t="e">
        <f t="shared" si="12"/>
        <v>#DIV/0!</v>
      </c>
      <c r="AF5" s="6" t="e">
        <f t="shared" si="13"/>
        <v>#DIV/0!</v>
      </c>
      <c r="AG5" s="68">
        <v>0</v>
      </c>
      <c r="AH5" s="66">
        <v>0</v>
      </c>
      <c r="AI5" s="35" t="e">
        <f t="shared" si="14"/>
        <v>#DIV/0!</v>
      </c>
      <c r="AJ5" s="6" t="e">
        <f t="shared" si="15"/>
        <v>#DIV/0!</v>
      </c>
      <c r="AK5" s="68">
        <v>0</v>
      </c>
      <c r="AL5" s="66">
        <v>0</v>
      </c>
      <c r="AM5" s="35" t="e">
        <f t="shared" si="16"/>
        <v>#DIV/0!</v>
      </c>
      <c r="AN5" s="6" t="e">
        <f t="shared" si="17"/>
        <v>#DIV/0!</v>
      </c>
      <c r="AO5" s="68">
        <v>0</v>
      </c>
      <c r="AP5" s="66">
        <v>0</v>
      </c>
      <c r="AQ5" s="35" t="e">
        <f t="shared" si="18"/>
        <v>#DIV/0!</v>
      </c>
      <c r="AR5" s="6" t="e">
        <f t="shared" si="19"/>
        <v>#DIV/0!</v>
      </c>
      <c r="AS5" s="68">
        <v>0</v>
      </c>
      <c r="AT5" s="66">
        <v>0</v>
      </c>
      <c r="AU5" s="35" t="e">
        <f t="shared" si="20"/>
        <v>#DIV/0!</v>
      </c>
      <c r="AV5" s="6" t="e">
        <f t="shared" si="21"/>
        <v>#DIV/0!</v>
      </c>
      <c r="AW5" s="68">
        <v>0</v>
      </c>
      <c r="AX5" s="66">
        <v>0</v>
      </c>
      <c r="AY5" s="35" t="e">
        <f t="shared" si="22"/>
        <v>#DIV/0!</v>
      </c>
      <c r="AZ5" s="6" t="e">
        <f t="shared" si="23"/>
        <v>#DIV/0!</v>
      </c>
      <c r="BA5" s="68">
        <v>0</v>
      </c>
      <c r="BB5" s="66">
        <v>0</v>
      </c>
      <c r="BC5" s="35" t="e">
        <f t="shared" si="24"/>
        <v>#DIV/0!</v>
      </c>
      <c r="BD5" s="11" t="e">
        <f t="shared" si="25"/>
        <v>#DIV/0!</v>
      </c>
    </row>
    <row r="6" spans="1:56" x14ac:dyDescent="0.25">
      <c r="A6" s="19" t="s">
        <v>2</v>
      </c>
      <c r="B6" s="8">
        <v>0</v>
      </c>
      <c r="C6" s="35" t="e">
        <f>B6/F1</f>
        <v>#DIV/0!</v>
      </c>
      <c r="D6" s="8">
        <v>2100</v>
      </c>
      <c r="E6" s="68">
        <v>0</v>
      </c>
      <c r="F6" s="70">
        <v>0</v>
      </c>
      <c r="G6" s="35" t="e">
        <f t="shared" si="0"/>
        <v>#DIV/0!</v>
      </c>
      <c r="H6" s="11" t="e">
        <f t="shared" si="1"/>
        <v>#DIV/0!</v>
      </c>
      <c r="I6" s="35">
        <v>0</v>
      </c>
      <c r="J6" s="70">
        <v>0</v>
      </c>
      <c r="K6" s="35" t="e">
        <f t="shared" si="2"/>
        <v>#DIV/0!</v>
      </c>
      <c r="L6" s="6" t="e">
        <f t="shared" si="3"/>
        <v>#DIV/0!</v>
      </c>
      <c r="M6" s="68">
        <v>0</v>
      </c>
      <c r="N6" s="5">
        <v>0</v>
      </c>
      <c r="O6" s="35" t="e">
        <f t="shared" si="4"/>
        <v>#DIV/0!</v>
      </c>
      <c r="P6" s="11" t="e">
        <f t="shared" si="5"/>
        <v>#DIV/0!</v>
      </c>
      <c r="Q6" s="35">
        <v>0</v>
      </c>
      <c r="R6" s="66">
        <v>0</v>
      </c>
      <c r="S6" s="35" t="e">
        <f t="shared" si="6"/>
        <v>#DIV/0!</v>
      </c>
      <c r="T6" s="6" t="e">
        <f t="shared" si="7"/>
        <v>#DIV/0!</v>
      </c>
      <c r="U6" s="68">
        <v>0</v>
      </c>
      <c r="V6" s="66">
        <v>0</v>
      </c>
      <c r="W6" s="35" t="e">
        <f t="shared" si="8"/>
        <v>#DIV/0!</v>
      </c>
      <c r="X6" s="6" t="e">
        <f t="shared" si="9"/>
        <v>#DIV/0!</v>
      </c>
      <c r="Y6" s="68">
        <v>0</v>
      </c>
      <c r="Z6" s="70">
        <v>0</v>
      </c>
      <c r="AA6" s="35" t="e">
        <f t="shared" si="10"/>
        <v>#DIV/0!</v>
      </c>
      <c r="AB6" s="11" t="e">
        <f t="shared" si="11"/>
        <v>#DIV/0!</v>
      </c>
      <c r="AC6" s="35">
        <v>0</v>
      </c>
      <c r="AD6" s="36">
        <v>0</v>
      </c>
      <c r="AE6" s="35" t="e">
        <f t="shared" si="12"/>
        <v>#DIV/0!</v>
      </c>
      <c r="AF6" s="6" t="e">
        <f t="shared" si="13"/>
        <v>#DIV/0!</v>
      </c>
      <c r="AG6" s="68">
        <v>0</v>
      </c>
      <c r="AH6" s="66">
        <v>0</v>
      </c>
      <c r="AI6" s="35" t="e">
        <f t="shared" si="14"/>
        <v>#DIV/0!</v>
      </c>
      <c r="AJ6" s="6" t="e">
        <f t="shared" si="15"/>
        <v>#DIV/0!</v>
      </c>
      <c r="AK6" s="68">
        <v>0</v>
      </c>
      <c r="AL6" s="66">
        <v>0</v>
      </c>
      <c r="AM6" s="35" t="e">
        <f t="shared" si="16"/>
        <v>#DIV/0!</v>
      </c>
      <c r="AN6" s="6" t="e">
        <f t="shared" si="17"/>
        <v>#DIV/0!</v>
      </c>
      <c r="AO6" s="68">
        <v>0</v>
      </c>
      <c r="AP6" s="66">
        <v>0</v>
      </c>
      <c r="AQ6" s="35" t="e">
        <f t="shared" si="18"/>
        <v>#DIV/0!</v>
      </c>
      <c r="AR6" s="6" t="e">
        <f t="shared" si="19"/>
        <v>#DIV/0!</v>
      </c>
      <c r="AS6" s="68">
        <v>0</v>
      </c>
      <c r="AT6" s="66">
        <v>0</v>
      </c>
      <c r="AU6" s="35" t="e">
        <f t="shared" si="20"/>
        <v>#DIV/0!</v>
      </c>
      <c r="AV6" s="6" t="e">
        <f t="shared" si="21"/>
        <v>#DIV/0!</v>
      </c>
      <c r="AW6" s="68">
        <v>0</v>
      </c>
      <c r="AX6" s="66">
        <v>0</v>
      </c>
      <c r="AY6" s="35" t="e">
        <f t="shared" si="22"/>
        <v>#DIV/0!</v>
      </c>
      <c r="AZ6" s="6" t="e">
        <f t="shared" si="23"/>
        <v>#DIV/0!</v>
      </c>
      <c r="BA6" s="68">
        <v>0</v>
      </c>
      <c r="BB6" s="66">
        <v>0</v>
      </c>
      <c r="BC6" s="35" t="e">
        <f t="shared" si="24"/>
        <v>#DIV/0!</v>
      </c>
      <c r="BD6" s="11" t="e">
        <f t="shared" si="25"/>
        <v>#DIV/0!</v>
      </c>
    </row>
    <row r="7" spans="1:56" x14ac:dyDescent="0.25">
      <c r="A7" s="19" t="s">
        <v>3</v>
      </c>
      <c r="B7" s="8">
        <v>0</v>
      </c>
      <c r="C7" s="35" t="e">
        <f>B7/F1</f>
        <v>#DIV/0!</v>
      </c>
      <c r="D7" s="8">
        <v>2700</v>
      </c>
      <c r="E7" s="68">
        <v>0</v>
      </c>
      <c r="F7" s="70">
        <v>0</v>
      </c>
      <c r="G7" s="35" t="e">
        <f t="shared" si="0"/>
        <v>#DIV/0!</v>
      </c>
      <c r="H7" s="11" t="e">
        <f t="shared" si="1"/>
        <v>#DIV/0!</v>
      </c>
      <c r="I7" s="35">
        <v>0</v>
      </c>
      <c r="J7" s="70">
        <v>0</v>
      </c>
      <c r="K7" s="35" t="e">
        <f t="shared" si="2"/>
        <v>#DIV/0!</v>
      </c>
      <c r="L7" s="6" t="e">
        <f t="shared" si="3"/>
        <v>#DIV/0!</v>
      </c>
      <c r="M7" s="68">
        <v>0</v>
      </c>
      <c r="N7" s="5">
        <v>0</v>
      </c>
      <c r="O7" s="35" t="e">
        <f t="shared" si="4"/>
        <v>#DIV/0!</v>
      </c>
      <c r="P7" s="11" t="e">
        <f t="shared" si="5"/>
        <v>#DIV/0!</v>
      </c>
      <c r="Q7" s="35">
        <v>0</v>
      </c>
      <c r="R7" s="66">
        <v>0</v>
      </c>
      <c r="S7" s="35" t="e">
        <f t="shared" si="6"/>
        <v>#DIV/0!</v>
      </c>
      <c r="T7" s="6" t="e">
        <f t="shared" si="7"/>
        <v>#DIV/0!</v>
      </c>
      <c r="U7" s="68">
        <v>0</v>
      </c>
      <c r="V7" s="66">
        <v>0</v>
      </c>
      <c r="W7" s="35" t="e">
        <f t="shared" si="8"/>
        <v>#DIV/0!</v>
      </c>
      <c r="X7" s="6" t="e">
        <f t="shared" si="9"/>
        <v>#DIV/0!</v>
      </c>
      <c r="Y7" s="68">
        <v>0</v>
      </c>
      <c r="Z7" s="70">
        <v>0</v>
      </c>
      <c r="AA7" s="35" t="e">
        <f t="shared" si="10"/>
        <v>#DIV/0!</v>
      </c>
      <c r="AB7" s="11" t="e">
        <f t="shared" si="11"/>
        <v>#DIV/0!</v>
      </c>
      <c r="AC7" s="35">
        <v>0</v>
      </c>
      <c r="AD7" s="36">
        <v>0</v>
      </c>
      <c r="AE7" s="35" t="e">
        <f t="shared" si="12"/>
        <v>#DIV/0!</v>
      </c>
      <c r="AF7" s="6" t="e">
        <f t="shared" si="13"/>
        <v>#DIV/0!</v>
      </c>
      <c r="AG7" s="68">
        <v>0</v>
      </c>
      <c r="AH7" s="66">
        <v>0</v>
      </c>
      <c r="AI7" s="35" t="e">
        <f t="shared" si="14"/>
        <v>#DIV/0!</v>
      </c>
      <c r="AJ7" s="6" t="e">
        <f t="shared" si="15"/>
        <v>#DIV/0!</v>
      </c>
      <c r="AK7" s="68">
        <v>0</v>
      </c>
      <c r="AL7" s="66">
        <v>0</v>
      </c>
      <c r="AM7" s="35" t="e">
        <f t="shared" si="16"/>
        <v>#DIV/0!</v>
      </c>
      <c r="AN7" s="6" t="e">
        <f t="shared" si="17"/>
        <v>#DIV/0!</v>
      </c>
      <c r="AO7" s="68">
        <v>0</v>
      </c>
      <c r="AP7" s="66">
        <v>0</v>
      </c>
      <c r="AQ7" s="35" t="e">
        <f t="shared" si="18"/>
        <v>#DIV/0!</v>
      </c>
      <c r="AR7" s="6" t="e">
        <f t="shared" si="19"/>
        <v>#DIV/0!</v>
      </c>
      <c r="AS7" s="68">
        <v>0</v>
      </c>
      <c r="AT7" s="66">
        <v>0</v>
      </c>
      <c r="AU7" s="35" t="e">
        <f t="shared" si="20"/>
        <v>#DIV/0!</v>
      </c>
      <c r="AV7" s="6" t="e">
        <f t="shared" si="21"/>
        <v>#DIV/0!</v>
      </c>
      <c r="AW7" s="68">
        <v>0</v>
      </c>
      <c r="AX7" s="66">
        <v>0</v>
      </c>
      <c r="AY7" s="35" t="e">
        <f t="shared" si="22"/>
        <v>#DIV/0!</v>
      </c>
      <c r="AZ7" s="6" t="e">
        <f t="shared" si="23"/>
        <v>#DIV/0!</v>
      </c>
      <c r="BA7" s="68">
        <v>0</v>
      </c>
      <c r="BB7" s="66">
        <v>0</v>
      </c>
      <c r="BC7" s="35" t="e">
        <f t="shared" si="24"/>
        <v>#DIV/0!</v>
      </c>
      <c r="BD7" s="11" t="e">
        <f t="shared" si="25"/>
        <v>#DIV/0!</v>
      </c>
    </row>
    <row r="8" spans="1:56" x14ac:dyDescent="0.25">
      <c r="A8" s="19" t="s">
        <v>4</v>
      </c>
      <c r="B8" s="8">
        <v>0</v>
      </c>
      <c r="C8" s="35" t="e">
        <f>B8/F1</f>
        <v>#DIV/0!</v>
      </c>
      <c r="D8" s="8">
        <v>5250</v>
      </c>
      <c r="E8" s="68">
        <v>0</v>
      </c>
      <c r="F8" s="70">
        <v>0</v>
      </c>
      <c r="G8" s="35" t="e">
        <f t="shared" si="0"/>
        <v>#DIV/0!</v>
      </c>
      <c r="H8" s="11" t="e">
        <f t="shared" si="1"/>
        <v>#DIV/0!</v>
      </c>
      <c r="I8" s="35">
        <v>0</v>
      </c>
      <c r="J8" s="70">
        <v>0</v>
      </c>
      <c r="K8" s="35" t="e">
        <f t="shared" si="2"/>
        <v>#DIV/0!</v>
      </c>
      <c r="L8" s="6" t="e">
        <f t="shared" si="3"/>
        <v>#DIV/0!</v>
      </c>
      <c r="M8" s="68">
        <v>0</v>
      </c>
      <c r="N8" s="5">
        <v>0</v>
      </c>
      <c r="O8" s="35" t="e">
        <f t="shared" si="4"/>
        <v>#DIV/0!</v>
      </c>
      <c r="P8" s="11" t="e">
        <f t="shared" si="5"/>
        <v>#DIV/0!</v>
      </c>
      <c r="Q8" s="35">
        <v>0</v>
      </c>
      <c r="R8" s="66">
        <v>0</v>
      </c>
      <c r="S8" s="35" t="e">
        <f t="shared" si="6"/>
        <v>#DIV/0!</v>
      </c>
      <c r="T8" s="6" t="e">
        <f t="shared" si="7"/>
        <v>#DIV/0!</v>
      </c>
      <c r="U8" s="68">
        <v>0</v>
      </c>
      <c r="V8" s="66">
        <v>0</v>
      </c>
      <c r="W8" s="35" t="e">
        <f t="shared" si="8"/>
        <v>#DIV/0!</v>
      </c>
      <c r="X8" s="6" t="e">
        <f t="shared" si="9"/>
        <v>#DIV/0!</v>
      </c>
      <c r="Y8" s="68">
        <v>0</v>
      </c>
      <c r="Z8" s="70">
        <v>0</v>
      </c>
      <c r="AA8" s="35" t="e">
        <f t="shared" si="10"/>
        <v>#DIV/0!</v>
      </c>
      <c r="AB8" s="11" t="e">
        <f t="shared" si="11"/>
        <v>#DIV/0!</v>
      </c>
      <c r="AC8" s="35">
        <v>0</v>
      </c>
      <c r="AD8" s="36">
        <v>0</v>
      </c>
      <c r="AE8" s="35" t="e">
        <f t="shared" si="12"/>
        <v>#DIV/0!</v>
      </c>
      <c r="AF8" s="6" t="e">
        <f t="shared" si="13"/>
        <v>#DIV/0!</v>
      </c>
      <c r="AG8" s="68">
        <v>0</v>
      </c>
      <c r="AH8" s="66">
        <v>0</v>
      </c>
      <c r="AI8" s="35" t="e">
        <f t="shared" si="14"/>
        <v>#DIV/0!</v>
      </c>
      <c r="AJ8" s="6" t="e">
        <f t="shared" si="15"/>
        <v>#DIV/0!</v>
      </c>
      <c r="AK8" s="68">
        <v>0</v>
      </c>
      <c r="AL8" s="66">
        <v>0</v>
      </c>
      <c r="AM8" s="35" t="e">
        <f t="shared" si="16"/>
        <v>#DIV/0!</v>
      </c>
      <c r="AN8" s="6" t="e">
        <f t="shared" si="17"/>
        <v>#DIV/0!</v>
      </c>
      <c r="AO8" s="68">
        <v>0</v>
      </c>
      <c r="AP8" s="66">
        <v>0</v>
      </c>
      <c r="AQ8" s="35" t="e">
        <f t="shared" si="18"/>
        <v>#DIV/0!</v>
      </c>
      <c r="AR8" s="6" t="e">
        <f t="shared" si="19"/>
        <v>#DIV/0!</v>
      </c>
      <c r="AS8" s="68">
        <v>0</v>
      </c>
      <c r="AT8" s="66">
        <v>0</v>
      </c>
      <c r="AU8" s="35" t="e">
        <f t="shared" si="20"/>
        <v>#DIV/0!</v>
      </c>
      <c r="AV8" s="6" t="e">
        <f t="shared" si="21"/>
        <v>#DIV/0!</v>
      </c>
      <c r="AW8" s="68">
        <v>0</v>
      </c>
      <c r="AX8" s="66">
        <v>0</v>
      </c>
      <c r="AY8" s="35" t="e">
        <f t="shared" si="22"/>
        <v>#DIV/0!</v>
      </c>
      <c r="AZ8" s="6" t="e">
        <f t="shared" si="23"/>
        <v>#DIV/0!</v>
      </c>
      <c r="BA8" s="68">
        <v>0</v>
      </c>
      <c r="BB8" s="66">
        <v>0</v>
      </c>
      <c r="BC8" s="35" t="e">
        <f t="shared" si="24"/>
        <v>#DIV/0!</v>
      </c>
      <c r="BD8" s="11" t="e">
        <f t="shared" si="25"/>
        <v>#DIV/0!</v>
      </c>
    </row>
    <row r="9" spans="1:56" x14ac:dyDescent="0.25">
      <c r="A9" s="19" t="s">
        <v>5</v>
      </c>
      <c r="B9" s="8">
        <v>0</v>
      </c>
      <c r="C9" s="35" t="e">
        <f>B9/F1</f>
        <v>#DIV/0!</v>
      </c>
      <c r="D9" s="8">
        <v>7050</v>
      </c>
      <c r="E9" s="68">
        <v>0</v>
      </c>
      <c r="F9" s="70">
        <v>0</v>
      </c>
      <c r="G9" s="35" t="e">
        <f t="shared" si="0"/>
        <v>#DIV/0!</v>
      </c>
      <c r="H9" s="11" t="e">
        <f t="shared" si="1"/>
        <v>#DIV/0!</v>
      </c>
      <c r="I9" s="35">
        <v>0</v>
      </c>
      <c r="J9" s="70">
        <v>0</v>
      </c>
      <c r="K9" s="35" t="e">
        <f t="shared" si="2"/>
        <v>#DIV/0!</v>
      </c>
      <c r="L9" s="6" t="e">
        <f t="shared" si="3"/>
        <v>#DIV/0!</v>
      </c>
      <c r="M9" s="68">
        <v>0</v>
      </c>
      <c r="N9" s="5">
        <v>0</v>
      </c>
      <c r="O9" s="35" t="e">
        <f t="shared" si="4"/>
        <v>#DIV/0!</v>
      </c>
      <c r="P9" s="11" t="e">
        <f t="shared" si="5"/>
        <v>#DIV/0!</v>
      </c>
      <c r="Q9" s="35">
        <v>0</v>
      </c>
      <c r="R9" s="66">
        <v>0</v>
      </c>
      <c r="S9" s="35" t="e">
        <f t="shared" si="6"/>
        <v>#DIV/0!</v>
      </c>
      <c r="T9" s="6" t="e">
        <f t="shared" si="7"/>
        <v>#DIV/0!</v>
      </c>
      <c r="U9" s="68">
        <v>0</v>
      </c>
      <c r="V9" s="66">
        <v>0</v>
      </c>
      <c r="W9" s="35" t="e">
        <f t="shared" si="8"/>
        <v>#DIV/0!</v>
      </c>
      <c r="X9" s="6" t="e">
        <f t="shared" si="9"/>
        <v>#DIV/0!</v>
      </c>
      <c r="Y9" s="68">
        <v>0</v>
      </c>
      <c r="Z9" s="70">
        <v>0</v>
      </c>
      <c r="AA9" s="35" t="e">
        <f t="shared" si="10"/>
        <v>#DIV/0!</v>
      </c>
      <c r="AB9" s="11" t="e">
        <f t="shared" si="11"/>
        <v>#DIV/0!</v>
      </c>
      <c r="AC9" s="35">
        <v>0</v>
      </c>
      <c r="AD9" s="36">
        <v>0</v>
      </c>
      <c r="AE9" s="35" t="e">
        <f t="shared" si="12"/>
        <v>#DIV/0!</v>
      </c>
      <c r="AF9" s="6" t="e">
        <f t="shared" si="13"/>
        <v>#DIV/0!</v>
      </c>
      <c r="AG9" s="68">
        <v>0</v>
      </c>
      <c r="AH9" s="66">
        <v>0</v>
      </c>
      <c r="AI9" s="35" t="e">
        <f t="shared" si="14"/>
        <v>#DIV/0!</v>
      </c>
      <c r="AJ9" s="6" t="e">
        <f t="shared" si="15"/>
        <v>#DIV/0!</v>
      </c>
      <c r="AK9" s="68">
        <v>0</v>
      </c>
      <c r="AL9" s="66">
        <v>0</v>
      </c>
      <c r="AM9" s="35" t="e">
        <f t="shared" si="16"/>
        <v>#DIV/0!</v>
      </c>
      <c r="AN9" s="6" t="e">
        <f t="shared" si="17"/>
        <v>#DIV/0!</v>
      </c>
      <c r="AO9" s="68">
        <v>0</v>
      </c>
      <c r="AP9" s="66">
        <v>0</v>
      </c>
      <c r="AQ9" s="35" t="e">
        <f t="shared" si="18"/>
        <v>#DIV/0!</v>
      </c>
      <c r="AR9" s="6" t="e">
        <f t="shared" si="19"/>
        <v>#DIV/0!</v>
      </c>
      <c r="AS9" s="68">
        <v>0</v>
      </c>
      <c r="AT9" s="66">
        <v>0</v>
      </c>
      <c r="AU9" s="35" t="e">
        <f t="shared" si="20"/>
        <v>#DIV/0!</v>
      </c>
      <c r="AV9" s="6" t="e">
        <f t="shared" si="21"/>
        <v>#DIV/0!</v>
      </c>
      <c r="AW9" s="68">
        <v>0</v>
      </c>
      <c r="AX9" s="66">
        <v>0</v>
      </c>
      <c r="AY9" s="35" t="e">
        <f t="shared" si="22"/>
        <v>#DIV/0!</v>
      </c>
      <c r="AZ9" s="6" t="e">
        <f t="shared" si="23"/>
        <v>#DIV/0!</v>
      </c>
      <c r="BA9" s="68">
        <v>0</v>
      </c>
      <c r="BB9" s="66">
        <v>0</v>
      </c>
      <c r="BC9" s="35" t="e">
        <f t="shared" si="24"/>
        <v>#DIV/0!</v>
      </c>
      <c r="BD9" s="11" t="e">
        <f t="shared" si="25"/>
        <v>#DIV/0!</v>
      </c>
    </row>
    <row r="10" spans="1:56" x14ac:dyDescent="0.25">
      <c r="A10" s="19" t="s">
        <v>6</v>
      </c>
      <c r="B10" s="8">
        <v>0</v>
      </c>
      <c r="C10" s="35" t="e">
        <f>B10/F1</f>
        <v>#DIV/0!</v>
      </c>
      <c r="D10" s="8">
        <v>10950</v>
      </c>
      <c r="E10" s="68">
        <v>0</v>
      </c>
      <c r="F10" s="70">
        <v>0</v>
      </c>
      <c r="G10" s="35" t="e">
        <f t="shared" si="0"/>
        <v>#DIV/0!</v>
      </c>
      <c r="H10" s="11" t="e">
        <f t="shared" si="1"/>
        <v>#DIV/0!</v>
      </c>
      <c r="I10" s="35">
        <v>0</v>
      </c>
      <c r="J10" s="70">
        <v>0</v>
      </c>
      <c r="K10" s="35" t="e">
        <f t="shared" si="2"/>
        <v>#DIV/0!</v>
      </c>
      <c r="L10" s="6" t="e">
        <f t="shared" si="3"/>
        <v>#DIV/0!</v>
      </c>
      <c r="M10" s="68">
        <v>0</v>
      </c>
      <c r="N10" s="5">
        <v>0</v>
      </c>
      <c r="O10" s="35" t="e">
        <f t="shared" si="4"/>
        <v>#DIV/0!</v>
      </c>
      <c r="P10" s="11" t="e">
        <f t="shared" si="5"/>
        <v>#DIV/0!</v>
      </c>
      <c r="Q10" s="35">
        <v>0</v>
      </c>
      <c r="R10" s="66">
        <v>0</v>
      </c>
      <c r="S10" s="35" t="e">
        <f t="shared" si="6"/>
        <v>#DIV/0!</v>
      </c>
      <c r="T10" s="6" t="e">
        <f t="shared" si="7"/>
        <v>#DIV/0!</v>
      </c>
      <c r="U10" s="68">
        <v>0</v>
      </c>
      <c r="V10" s="66">
        <v>0</v>
      </c>
      <c r="W10" s="35" t="e">
        <f t="shared" si="8"/>
        <v>#DIV/0!</v>
      </c>
      <c r="X10" s="6" t="e">
        <f t="shared" si="9"/>
        <v>#DIV/0!</v>
      </c>
      <c r="Y10" s="68">
        <v>0</v>
      </c>
      <c r="Z10" s="70">
        <v>0</v>
      </c>
      <c r="AA10" s="35" t="e">
        <f t="shared" si="10"/>
        <v>#DIV/0!</v>
      </c>
      <c r="AB10" s="11" t="e">
        <f t="shared" si="11"/>
        <v>#DIV/0!</v>
      </c>
      <c r="AC10" s="35">
        <v>0</v>
      </c>
      <c r="AD10" s="36">
        <v>0</v>
      </c>
      <c r="AE10" s="35" t="e">
        <f t="shared" si="12"/>
        <v>#DIV/0!</v>
      </c>
      <c r="AF10" s="6" t="e">
        <f t="shared" si="13"/>
        <v>#DIV/0!</v>
      </c>
      <c r="AG10" s="68">
        <v>0</v>
      </c>
      <c r="AH10" s="66">
        <v>0</v>
      </c>
      <c r="AI10" s="35" t="e">
        <f t="shared" si="14"/>
        <v>#DIV/0!</v>
      </c>
      <c r="AJ10" s="6" t="e">
        <f t="shared" si="15"/>
        <v>#DIV/0!</v>
      </c>
      <c r="AK10" s="68">
        <v>0</v>
      </c>
      <c r="AL10" s="66">
        <v>0</v>
      </c>
      <c r="AM10" s="35" t="e">
        <f t="shared" si="16"/>
        <v>#DIV/0!</v>
      </c>
      <c r="AN10" s="6" t="e">
        <f t="shared" si="17"/>
        <v>#DIV/0!</v>
      </c>
      <c r="AO10" s="68">
        <v>0</v>
      </c>
      <c r="AP10" s="66">
        <v>0</v>
      </c>
      <c r="AQ10" s="35" t="e">
        <f t="shared" si="18"/>
        <v>#DIV/0!</v>
      </c>
      <c r="AR10" s="6" t="e">
        <f t="shared" si="19"/>
        <v>#DIV/0!</v>
      </c>
      <c r="AS10" s="68">
        <v>0</v>
      </c>
      <c r="AT10" s="66">
        <v>0</v>
      </c>
      <c r="AU10" s="35" t="e">
        <f t="shared" si="20"/>
        <v>#DIV/0!</v>
      </c>
      <c r="AV10" s="6" t="e">
        <f t="shared" si="21"/>
        <v>#DIV/0!</v>
      </c>
      <c r="AW10" s="68">
        <v>0</v>
      </c>
      <c r="AX10" s="66">
        <v>0</v>
      </c>
      <c r="AY10" s="35" t="e">
        <f t="shared" si="22"/>
        <v>#DIV/0!</v>
      </c>
      <c r="AZ10" s="6" t="e">
        <f t="shared" si="23"/>
        <v>#DIV/0!</v>
      </c>
      <c r="BA10" s="68">
        <v>0</v>
      </c>
      <c r="BB10" s="66">
        <v>0</v>
      </c>
      <c r="BC10" s="35" t="e">
        <f t="shared" si="24"/>
        <v>#DIV/0!</v>
      </c>
      <c r="BD10" s="11" t="e">
        <f t="shared" si="25"/>
        <v>#DIV/0!</v>
      </c>
    </row>
    <row r="11" spans="1:56" ht="15.75" thickBot="1" x14ac:dyDescent="0.3">
      <c r="A11" s="21"/>
      <c r="B11" s="22"/>
      <c r="C11" s="23" t="e">
        <f>AVERAGE(Table110[MA $/Sq Ft])</f>
        <v>#DIV/0!</v>
      </c>
      <c r="D11" s="22">
        <f>AVERAGE(Table110[Basic Allowance])</f>
        <v>4442.8571428571431</v>
      </c>
      <c r="E11" s="16"/>
      <c r="F11" s="22"/>
      <c r="G11" s="15"/>
      <c r="H11" s="24" t="e">
        <f>AVERAGE(Table110[Bsmt % Base])</f>
        <v>#DIV/0!</v>
      </c>
      <c r="I11" s="15"/>
      <c r="J11" s="15"/>
      <c r="K11" s="15"/>
      <c r="L11" s="25" t="e">
        <f>AVERAGE(Table110[[#Headers],[#Data],[UnfBsmt % Base]])</f>
        <v>#DIV/0!</v>
      </c>
      <c r="M11" s="44"/>
      <c r="N11" s="15"/>
      <c r="O11" s="23" t="e">
        <f>AVERAGE(Table110[LowerVal/SqFt])</f>
        <v>#DIV/0!</v>
      </c>
      <c r="P11" s="24" t="e">
        <f>AVERAGE(Table110[Lower % Base])</f>
        <v>#DIV/0!</v>
      </c>
      <c r="Q11" s="13"/>
      <c r="R11" s="13"/>
      <c r="S11" s="13"/>
      <c r="T11" s="25" t="e">
        <f>AVERAGE(Table110[Unf Lower % Base])</f>
        <v>#DIV/0!</v>
      </c>
      <c r="U11" s="12"/>
      <c r="V11" s="13"/>
      <c r="W11" s="13"/>
      <c r="X11" s="25" t="e">
        <f>AVERAGE(Table110[1/2 Story % Base])</f>
        <v>#DIV/0!</v>
      </c>
      <c r="Y11" s="12"/>
      <c r="Z11" s="13"/>
      <c r="AA11" s="13"/>
      <c r="AB11" s="24" t="e">
        <f>AVERAGE(Table110[2nd Story % Base])</f>
        <v>#DIV/0!</v>
      </c>
      <c r="AC11" s="13"/>
      <c r="AD11" s="13"/>
      <c r="AE11" s="23" t="e">
        <f>AVERAGE(Table110[AttGarVal/SqFt])</f>
        <v>#DIV/0!</v>
      </c>
      <c r="AF11" s="25" t="e">
        <f>AVERAGE(Table110[Att Gar % Base])</f>
        <v>#DIV/0!</v>
      </c>
      <c r="AG11" s="12"/>
      <c r="AH11" s="13"/>
      <c r="AI11" s="13"/>
      <c r="AJ11" s="25" t="e">
        <f>AVERAGE(Table110[Porch % Base])</f>
        <v>#DIV/0!</v>
      </c>
      <c r="AK11" s="12"/>
      <c r="AL11" s="13"/>
      <c r="AM11" s="13"/>
      <c r="AN11" s="25" t="e">
        <f>AVERAGE(Table110[Cov Porch % Base])</f>
        <v>#DIV/0!</v>
      </c>
      <c r="AO11" s="12"/>
      <c r="AP11" s="13"/>
      <c r="AQ11" s="13"/>
      <c r="AR11" s="25" t="e">
        <f>AVERAGE(Table110[Deck % Base])</f>
        <v>#DIV/0!</v>
      </c>
      <c r="AS11" s="12"/>
      <c r="AT11" s="13"/>
      <c r="AU11" s="23" t="e">
        <f>AVERAGE(Table110[CovDeckVal/SqFt])</f>
        <v>#DIV/0!</v>
      </c>
      <c r="AV11" s="25" t="e">
        <f>AVERAGE(Table110[CovDeck % Base])</f>
        <v>#DIV/0!</v>
      </c>
      <c r="AW11" s="12"/>
      <c r="AX11" s="13"/>
      <c r="AY11" s="13"/>
      <c r="AZ11" s="25" t="e">
        <f>AVERAGE(Table110[CarP % Base])</f>
        <v>#DIV/0!</v>
      </c>
      <c r="BA11" s="12"/>
      <c r="BB11" s="13"/>
      <c r="BC11" s="13"/>
      <c r="BD11" s="24" t="e">
        <f>AVERAGE(Table110[EFP % Base])</f>
        <v>#DIV/0!</v>
      </c>
    </row>
  </sheetData>
  <mergeCells count="14">
    <mergeCell ref="Y2:AB2"/>
    <mergeCell ref="A2:D2"/>
    <mergeCell ref="E2:H2"/>
    <mergeCell ref="I2:L2"/>
    <mergeCell ref="M2:P2"/>
    <mergeCell ref="Q2:T2"/>
    <mergeCell ref="U2:X2"/>
    <mergeCell ref="BA2:BD2"/>
    <mergeCell ref="AC2:AF2"/>
    <mergeCell ref="AG2:AJ2"/>
    <mergeCell ref="AK2:AN2"/>
    <mergeCell ref="AO2:AR2"/>
    <mergeCell ref="AS2:AV2"/>
    <mergeCell ref="AW2:AZ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Percentages</vt:lpstr>
      <vt:lpstr>Worksheet</vt:lpstr>
      <vt:lpstr>Template</vt:lpstr>
    </vt:vector>
  </TitlesOfParts>
  <Company>Benton County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Plummer</dc:creator>
  <cp:lastModifiedBy>Christopher Plummer</cp:lastModifiedBy>
  <dcterms:created xsi:type="dcterms:W3CDTF">2017-01-05T16:34:59Z</dcterms:created>
  <dcterms:modified xsi:type="dcterms:W3CDTF">2017-01-24T18:54:33Z</dcterms:modified>
</cp:coreProperties>
</file>