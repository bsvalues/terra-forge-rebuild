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nboxes\Chris\PACS\"/>
    </mc:Choice>
  </mc:AlternateContent>
  <bookViews>
    <workbookView xWindow="0" yWindow="0" windowWidth="28800" windowHeight="13020"/>
  </bookViews>
  <sheets>
    <sheet name="109892080017012" sheetId="1" r:id="rId1"/>
    <sheet name="127984040000009" sheetId="2" r:id="rId2"/>
    <sheet name="127984040000058" sheetId="3" r:id="rId3"/>
    <sheet name="135981040002008" sheetId="4" r:id="rId4"/>
    <sheet name="131993030003029" sheetId="5" r:id="rId5"/>
    <sheet name="107972040004004" sheetId="6" r:id="rId6"/>
    <sheet name="101843040000018" sheetId="7" r:id="rId7"/>
    <sheet name="102891070002004" sheetId="8" r:id="rId8"/>
    <sheet name="101891030007010" sheetId="9" r:id="rId9"/>
    <sheet name="106802040009016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0" l="1"/>
  <c r="C24" i="10"/>
  <c r="F21" i="9"/>
  <c r="C21" i="9"/>
  <c r="F24" i="8"/>
  <c r="C24" i="8"/>
  <c r="F23" i="7"/>
  <c r="C23" i="7"/>
  <c r="F18" i="6"/>
  <c r="C18" i="6"/>
  <c r="F25" i="5"/>
  <c r="C25" i="5"/>
  <c r="F23" i="4"/>
  <c r="C23" i="4"/>
  <c r="F28" i="3"/>
  <c r="C28" i="3"/>
  <c r="C29" i="2"/>
</calcChain>
</file>

<file path=xl/sharedStrings.xml><?xml version="1.0" encoding="utf-8"?>
<sst xmlns="http://schemas.openxmlformats.org/spreadsheetml/2006/main" count="118" uniqueCount="24">
  <si>
    <t xml:space="preserve">MA: </t>
  </si>
  <si>
    <t>AttGar:</t>
  </si>
  <si>
    <t>Cov Porch:</t>
  </si>
  <si>
    <t>ProVal</t>
  </si>
  <si>
    <t>Percentage of Base</t>
  </si>
  <si>
    <t>MA:</t>
  </si>
  <si>
    <t>[(MA $/sq ft) X (Segment %)] X (Segment sq ft)</t>
  </si>
  <si>
    <t>(80.97 X 30.65%)(441)</t>
  </si>
  <si>
    <t>(80.97 X 19.09%)(30)</t>
  </si>
  <si>
    <t>Imp Total:</t>
  </si>
  <si>
    <t xml:space="preserve">Imp Total: </t>
  </si>
  <si>
    <t>2nd Story:</t>
  </si>
  <si>
    <t>Total:</t>
  </si>
  <si>
    <t>($83.57 X 83.02%)(990)</t>
  </si>
  <si>
    <t>($83.57 X 30.65%)(420)</t>
  </si>
  <si>
    <t>Bsmt:</t>
  </si>
  <si>
    <t>$56,586 X .9 (10% unfinished bsmt)</t>
  </si>
  <si>
    <t>Att Gar:</t>
  </si>
  <si>
    <t>Wood Deck:</t>
  </si>
  <si>
    <t>Wd Deck:</t>
  </si>
  <si>
    <t>Percentage of Base:</t>
  </si>
  <si>
    <t>EFP:</t>
  </si>
  <si>
    <t>1/2 Story:</t>
  </si>
  <si>
    <t>at 2 St % of Base: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</si>
</sst>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10" fontId="0" fillId="2" borderId="0" xfId="0" applyNumberFormat="1" applyFill="1"/>
    <xf numFmtId="9" fontId="0" fillId="2" borderId="0" xfId="0" applyNumberFormat="1" applyFill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6</xdr:col>
      <xdr:colOff>484432</xdr:colOff>
      <xdr:row>21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90500"/>
          <a:ext cx="3770556" cy="381952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</xdr:row>
      <xdr:rowOff>19051</xdr:rowOff>
    </xdr:from>
    <xdr:to>
      <xdr:col>12</xdr:col>
      <xdr:colOff>544285</xdr:colOff>
      <xdr:row>13</xdr:row>
      <xdr:rowOff>38101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3975" y="209551"/>
          <a:ext cx="2963635" cy="2305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190499</xdr:rowOff>
    </xdr:from>
    <xdr:to>
      <xdr:col>5</xdr:col>
      <xdr:colOff>540480</xdr:colOff>
      <xdr:row>21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499"/>
          <a:ext cx="3245580" cy="398145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396393</xdr:colOff>
      <xdr:row>16</xdr:row>
      <xdr:rowOff>28575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7700" y="190500"/>
          <a:ext cx="3444393" cy="2886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6</xdr:col>
      <xdr:colOff>408456</xdr:colOff>
      <xdr:row>21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90501"/>
          <a:ext cx="386603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</xdr:row>
      <xdr:rowOff>0</xdr:rowOff>
    </xdr:from>
    <xdr:to>
      <xdr:col>12</xdr:col>
      <xdr:colOff>316231</xdr:colOff>
      <xdr:row>13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1" y="190500"/>
          <a:ext cx="2754630" cy="2295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476250</xdr:colOff>
      <xdr:row>15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286250" cy="2714625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</xdr:row>
      <xdr:rowOff>0</xdr:rowOff>
    </xdr:from>
    <xdr:to>
      <xdr:col>13</xdr:col>
      <xdr:colOff>512995</xdr:colOff>
      <xdr:row>14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1" y="190500"/>
          <a:ext cx="2951394" cy="2495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6</xdr:col>
      <xdr:colOff>445449</xdr:colOff>
      <xdr:row>18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90500"/>
          <a:ext cx="3779198" cy="3238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12</xdr:col>
      <xdr:colOff>25209</xdr:colOff>
      <xdr:row>12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90500"/>
          <a:ext cx="2463609" cy="2105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9525</xdr:rowOff>
    </xdr:from>
    <xdr:to>
      <xdr:col>6</xdr:col>
      <xdr:colOff>371042</xdr:colOff>
      <xdr:row>8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200025"/>
          <a:ext cx="3409517" cy="14287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</xdr:row>
      <xdr:rowOff>1</xdr:rowOff>
    </xdr:from>
    <xdr:to>
      <xdr:col>10</xdr:col>
      <xdr:colOff>414427</xdr:colOff>
      <xdr:row>10</xdr:row>
      <xdr:rowOff>171451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1" y="190501"/>
          <a:ext cx="2243226" cy="18859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8</xdr:col>
      <xdr:colOff>313306</xdr:colOff>
      <xdr:row>15</xdr:row>
      <xdr:rowOff>171451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1"/>
          <a:ext cx="4742431" cy="28384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13</xdr:col>
      <xdr:colOff>523845</xdr:colOff>
      <xdr:row>11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90500"/>
          <a:ext cx="2352645" cy="19145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1</xdr:row>
      <xdr:rowOff>38100</xdr:rowOff>
    </xdr:from>
    <xdr:to>
      <xdr:col>4</xdr:col>
      <xdr:colOff>600076</xdr:colOff>
      <xdr:row>18</xdr:row>
      <xdr:rowOff>175272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6" y="228600"/>
          <a:ext cx="2419350" cy="33756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10</xdr:col>
      <xdr:colOff>246251</xdr:colOff>
      <xdr:row>12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190500"/>
          <a:ext cx="2684651" cy="2095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4</xdr:col>
      <xdr:colOff>565791</xdr:colOff>
      <xdr:row>15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90500"/>
          <a:ext cx="2470790" cy="26670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</xdr:row>
      <xdr:rowOff>0</xdr:rowOff>
    </xdr:from>
    <xdr:to>
      <xdr:col>9</xdr:col>
      <xdr:colOff>597851</xdr:colOff>
      <xdr:row>12</xdr:row>
      <xdr:rowOff>28575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1" y="190500"/>
          <a:ext cx="2540950" cy="21240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588726</xdr:colOff>
      <xdr:row>18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874601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</xdr:row>
      <xdr:rowOff>0</xdr:rowOff>
    </xdr:from>
    <xdr:to>
      <xdr:col>8</xdr:col>
      <xdr:colOff>551143</xdr:colOff>
      <xdr:row>10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1" y="190500"/>
          <a:ext cx="2379942" cy="189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I29"/>
  <sheetViews>
    <sheetView tabSelected="1" workbookViewId="0">
      <selection activeCell="K27" sqref="K27"/>
    </sheetView>
  </sheetViews>
  <sheetFormatPr defaultRowHeight="15" x14ac:dyDescent="0.25"/>
  <cols>
    <col min="2" max="2" width="11" customWidth="1"/>
    <col min="5" max="5" width="10.85546875" customWidth="1"/>
  </cols>
  <sheetData>
    <row r="15" spans="9:9" x14ac:dyDescent="0.25">
      <c r="I15" t="s">
        <v>6</v>
      </c>
    </row>
    <row r="23" spans="2:7" x14ac:dyDescent="0.25">
      <c r="B23" t="s">
        <v>3</v>
      </c>
      <c r="E23" t="s">
        <v>4</v>
      </c>
    </row>
    <row r="24" spans="2:7" x14ac:dyDescent="0.25">
      <c r="B24" t="s">
        <v>0</v>
      </c>
      <c r="C24" s="1">
        <v>132710</v>
      </c>
      <c r="E24" t="s">
        <v>5</v>
      </c>
      <c r="F24" s="1">
        <v>132710</v>
      </c>
    </row>
    <row r="25" spans="2:7" x14ac:dyDescent="0.25">
      <c r="B25" t="s">
        <v>1</v>
      </c>
      <c r="C25" s="1">
        <v>11970</v>
      </c>
      <c r="E25" t="s">
        <v>1</v>
      </c>
      <c r="F25" s="1">
        <v>10945</v>
      </c>
      <c r="G25" t="s">
        <v>7</v>
      </c>
    </row>
    <row r="26" spans="2:7" x14ac:dyDescent="0.25">
      <c r="B26" t="s">
        <v>2</v>
      </c>
      <c r="C26" s="1">
        <v>530</v>
      </c>
      <c r="E26" t="s">
        <v>2</v>
      </c>
      <c r="F26" s="1">
        <v>465</v>
      </c>
      <c r="G26" t="s">
        <v>8</v>
      </c>
    </row>
    <row r="27" spans="2:7" x14ac:dyDescent="0.25">
      <c r="B27" t="s">
        <v>9</v>
      </c>
      <c r="C27" s="1">
        <v>145210</v>
      </c>
      <c r="E27" t="s">
        <v>10</v>
      </c>
      <c r="F27" s="1">
        <v>144120</v>
      </c>
    </row>
    <row r="28" spans="2:7" x14ac:dyDescent="0.25">
      <c r="F28" s="2">
        <v>0.99250000000000005</v>
      </c>
    </row>
    <row r="29" spans="2:7" x14ac:dyDescent="0.25">
      <c r="F2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H30"/>
  <sheetViews>
    <sheetView workbookViewId="0">
      <selection activeCell="H18" sqref="H18"/>
    </sheetView>
  </sheetViews>
  <sheetFormatPr defaultRowHeight="15" x14ac:dyDescent="0.25"/>
  <cols>
    <col min="2" max="2" width="12" customWidth="1"/>
    <col min="5" max="5" width="10.28515625" customWidth="1"/>
  </cols>
  <sheetData>
    <row r="18" spans="2:8" x14ac:dyDescent="0.25">
      <c r="H18" t="s">
        <v>6</v>
      </c>
    </row>
    <row r="24" spans="2:8" x14ac:dyDescent="0.25">
      <c r="B24" t="s">
        <v>3</v>
      </c>
      <c r="E24" t="s">
        <v>4</v>
      </c>
    </row>
    <row r="25" spans="2:8" x14ac:dyDescent="0.25">
      <c r="B25" t="s">
        <v>5</v>
      </c>
      <c r="C25" s="1">
        <v>105460</v>
      </c>
      <c r="E25" t="s">
        <v>5</v>
      </c>
      <c r="F25" s="1">
        <v>105460</v>
      </c>
    </row>
    <row r="26" spans="2:8" x14ac:dyDescent="0.25">
      <c r="B26" t="s">
        <v>11</v>
      </c>
      <c r="C26" s="1">
        <v>65160</v>
      </c>
      <c r="E26" t="s">
        <v>11</v>
      </c>
      <c r="F26" s="1">
        <v>68685</v>
      </c>
      <c r="G26" t="s">
        <v>13</v>
      </c>
    </row>
    <row r="27" spans="2:8" x14ac:dyDescent="0.25">
      <c r="B27" t="s">
        <v>1</v>
      </c>
      <c r="C27" s="1">
        <v>11430</v>
      </c>
      <c r="E27" t="s">
        <v>1</v>
      </c>
      <c r="F27" s="1">
        <v>10758</v>
      </c>
      <c r="G27" t="s">
        <v>14</v>
      </c>
    </row>
    <row r="28" spans="2:8" x14ac:dyDescent="0.25">
      <c r="B28" t="s">
        <v>2</v>
      </c>
      <c r="C28" s="1">
        <v>2460</v>
      </c>
      <c r="E28" t="s">
        <v>2</v>
      </c>
      <c r="F28" s="1">
        <v>2201</v>
      </c>
    </row>
    <row r="29" spans="2:8" x14ac:dyDescent="0.25">
      <c r="B29" t="s">
        <v>12</v>
      </c>
      <c r="C29" s="1">
        <f>SUM(C25:C28)</f>
        <v>184510</v>
      </c>
      <c r="E29" t="s">
        <v>12</v>
      </c>
      <c r="F29" s="1">
        <v>187104</v>
      </c>
    </row>
    <row r="30" spans="2:8" x14ac:dyDescent="0.25">
      <c r="F30" s="3">
        <v>1.01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I29"/>
  <sheetViews>
    <sheetView workbookViewId="0">
      <selection activeCell="I15" sqref="I15"/>
    </sheetView>
  </sheetViews>
  <sheetFormatPr defaultRowHeight="15" x14ac:dyDescent="0.25"/>
  <cols>
    <col min="2" max="2" width="12.5703125" customWidth="1"/>
    <col min="5" max="5" width="10.140625" customWidth="1"/>
    <col min="6" max="6" width="10.85546875" bestFit="1" customWidth="1"/>
  </cols>
  <sheetData>
    <row r="15" spans="9:9" x14ac:dyDescent="0.25">
      <c r="I15" t="s">
        <v>6</v>
      </c>
    </row>
    <row r="23" spans="2:7" x14ac:dyDescent="0.25">
      <c r="B23" t="s">
        <v>3</v>
      </c>
      <c r="E23" t="s">
        <v>4</v>
      </c>
    </row>
    <row r="24" spans="2:7" x14ac:dyDescent="0.25">
      <c r="B24" t="s">
        <v>5</v>
      </c>
      <c r="C24" s="1">
        <v>147240</v>
      </c>
      <c r="E24" t="s">
        <v>5</v>
      </c>
      <c r="F24" s="1">
        <v>147240</v>
      </c>
      <c r="G24" s="4">
        <v>101.97</v>
      </c>
    </row>
    <row r="25" spans="2:7" x14ac:dyDescent="0.25">
      <c r="B25" t="s">
        <v>11</v>
      </c>
      <c r="C25" s="1">
        <v>45270</v>
      </c>
      <c r="E25" t="s">
        <v>11</v>
      </c>
      <c r="F25" s="1">
        <v>43682</v>
      </c>
    </row>
    <row r="26" spans="2:7" x14ac:dyDescent="0.25">
      <c r="B26" t="s">
        <v>1</v>
      </c>
      <c r="C26" s="1">
        <v>13630</v>
      </c>
      <c r="E26" t="s">
        <v>1</v>
      </c>
      <c r="F26" s="1">
        <v>13752</v>
      </c>
    </row>
    <row r="27" spans="2:7" x14ac:dyDescent="0.25">
      <c r="B27" t="s">
        <v>2</v>
      </c>
      <c r="C27" s="1">
        <v>1170</v>
      </c>
      <c r="E27" t="s">
        <v>2</v>
      </c>
      <c r="F27" s="1">
        <v>1168</v>
      </c>
    </row>
    <row r="28" spans="2:7" x14ac:dyDescent="0.25">
      <c r="B28" t="s">
        <v>12</v>
      </c>
      <c r="C28" s="1">
        <f>SUM(C24:C27)</f>
        <v>207310</v>
      </c>
      <c r="E28" t="s">
        <v>12</v>
      </c>
      <c r="F28" s="1">
        <f>SUM(F24:F27)</f>
        <v>205842</v>
      </c>
    </row>
    <row r="29" spans="2:7" x14ac:dyDescent="0.25">
      <c r="E29" s="1"/>
      <c r="F29" s="2">
        <v>0.9929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6:K24"/>
  <sheetViews>
    <sheetView workbookViewId="0">
      <selection activeCell="J16" sqref="J16"/>
    </sheetView>
  </sheetViews>
  <sheetFormatPr defaultRowHeight="15" x14ac:dyDescent="0.25"/>
  <cols>
    <col min="2" max="2" width="10" customWidth="1"/>
    <col min="5" max="5" width="10.5703125" customWidth="1"/>
  </cols>
  <sheetData>
    <row r="16" spans="10:10" x14ac:dyDescent="0.25">
      <c r="J16" t="s">
        <v>6</v>
      </c>
    </row>
    <row r="18" spans="2:11" x14ac:dyDescent="0.25">
      <c r="B18" t="s">
        <v>3</v>
      </c>
      <c r="E18" t="s">
        <v>4</v>
      </c>
    </row>
    <row r="19" spans="2:11" x14ac:dyDescent="0.25">
      <c r="B19" t="s">
        <v>5</v>
      </c>
      <c r="C19" s="1">
        <v>105130</v>
      </c>
      <c r="E19" t="s">
        <v>5</v>
      </c>
      <c r="F19" s="1">
        <v>105130</v>
      </c>
      <c r="G19" s="4">
        <v>83.74</v>
      </c>
    </row>
    <row r="20" spans="2:11" x14ac:dyDescent="0.25">
      <c r="B20" t="s">
        <v>15</v>
      </c>
      <c r="C20" s="1">
        <v>49130</v>
      </c>
      <c r="E20" t="s">
        <v>15</v>
      </c>
      <c r="F20" s="1">
        <v>53258</v>
      </c>
      <c r="G20" t="s">
        <v>16</v>
      </c>
      <c r="K20" s="1">
        <v>50900</v>
      </c>
    </row>
    <row r="21" spans="2:11" x14ac:dyDescent="0.25">
      <c r="B21" t="s">
        <v>1</v>
      </c>
      <c r="C21" s="1">
        <v>11430</v>
      </c>
      <c r="E21" t="s">
        <v>1</v>
      </c>
      <c r="F21" s="1">
        <v>10780</v>
      </c>
      <c r="K21" s="1">
        <v>2358</v>
      </c>
    </row>
    <row r="22" spans="2:11" x14ac:dyDescent="0.25">
      <c r="B22" t="s">
        <v>2</v>
      </c>
      <c r="C22" s="1">
        <v>3590</v>
      </c>
      <c r="E22" t="s">
        <v>2</v>
      </c>
      <c r="F22" s="1">
        <v>1998</v>
      </c>
    </row>
    <row r="23" spans="2:11" x14ac:dyDescent="0.25">
      <c r="B23" t="s">
        <v>12</v>
      </c>
      <c r="C23" s="1">
        <f>SUM(C19:C22)</f>
        <v>169280</v>
      </c>
      <c r="E23" t="s">
        <v>12</v>
      </c>
      <c r="F23" s="1">
        <f>SUM(F19:F22)</f>
        <v>171166</v>
      </c>
    </row>
    <row r="24" spans="2:11" x14ac:dyDescent="0.25">
      <c r="F24" s="2">
        <v>1.0170999999999999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I26"/>
  <sheetViews>
    <sheetView workbookViewId="0">
      <selection activeCell="I14" sqref="I14"/>
    </sheetView>
  </sheetViews>
  <sheetFormatPr defaultRowHeight="15" x14ac:dyDescent="0.25"/>
  <cols>
    <col min="2" max="2" width="11.42578125" customWidth="1"/>
    <col min="5" max="5" width="11.140625" customWidth="1"/>
  </cols>
  <sheetData>
    <row r="14" spans="9:9" x14ac:dyDescent="0.25">
      <c r="I14" t="s">
        <v>6</v>
      </c>
    </row>
    <row r="20" spans="2:7" x14ac:dyDescent="0.25">
      <c r="B20" t="s">
        <v>3</v>
      </c>
      <c r="E20" t="s">
        <v>4</v>
      </c>
    </row>
    <row r="21" spans="2:7" x14ac:dyDescent="0.25">
      <c r="B21" t="s">
        <v>5</v>
      </c>
      <c r="C21" s="1">
        <v>128840</v>
      </c>
      <c r="E21" t="s">
        <v>5</v>
      </c>
      <c r="F21" s="1">
        <v>128840</v>
      </c>
      <c r="G21" s="4">
        <v>80.930000000000007</v>
      </c>
    </row>
    <row r="22" spans="2:7" x14ac:dyDescent="0.25">
      <c r="B22" t="s">
        <v>17</v>
      </c>
      <c r="C22" s="1">
        <v>12350</v>
      </c>
      <c r="E22" t="s">
        <v>17</v>
      </c>
      <c r="F22" s="1">
        <v>11311</v>
      </c>
    </row>
    <row r="23" spans="2:7" x14ac:dyDescent="0.25">
      <c r="B23" t="s">
        <v>18</v>
      </c>
      <c r="C23" s="1">
        <v>2780</v>
      </c>
      <c r="E23" t="s">
        <v>18</v>
      </c>
      <c r="F23" s="1">
        <v>4079</v>
      </c>
    </row>
    <row r="24" spans="2:7" x14ac:dyDescent="0.25">
      <c r="B24" t="s">
        <v>2</v>
      </c>
      <c r="C24" s="1">
        <v>1000</v>
      </c>
      <c r="E24" t="s">
        <v>2</v>
      </c>
      <c r="F24" s="1">
        <v>865</v>
      </c>
    </row>
    <row r="25" spans="2:7" x14ac:dyDescent="0.25">
      <c r="C25" s="1">
        <f>SUM(C21:C24)</f>
        <v>144970</v>
      </c>
      <c r="F25" s="1">
        <f>SUM(F21:F24)</f>
        <v>145095</v>
      </c>
    </row>
    <row r="26" spans="2:7" x14ac:dyDescent="0.25">
      <c r="F26" s="2">
        <v>1.0008999999999999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:H19"/>
  <sheetViews>
    <sheetView workbookViewId="0">
      <selection activeCell="E19" sqref="E19"/>
    </sheetView>
  </sheetViews>
  <sheetFormatPr defaultRowHeight="15" x14ac:dyDescent="0.25"/>
  <sheetData>
    <row r="13" spans="2:8" x14ac:dyDescent="0.25">
      <c r="H13" t="s">
        <v>6</v>
      </c>
    </row>
    <row r="15" spans="2:8" x14ac:dyDescent="0.25">
      <c r="B15" t="s">
        <v>3</v>
      </c>
      <c r="E15" t="s">
        <v>4</v>
      </c>
    </row>
    <row r="16" spans="2:8" x14ac:dyDescent="0.25">
      <c r="B16" t="s">
        <v>5</v>
      </c>
      <c r="C16" s="1">
        <v>92530</v>
      </c>
      <c r="E16" t="s">
        <v>5</v>
      </c>
      <c r="F16" s="1">
        <v>92530</v>
      </c>
    </row>
    <row r="17" spans="2:6" x14ac:dyDescent="0.25">
      <c r="B17" t="s">
        <v>1</v>
      </c>
      <c r="C17" s="1">
        <v>8820</v>
      </c>
      <c r="E17" t="s">
        <v>1</v>
      </c>
      <c r="F17" s="1">
        <v>6302</v>
      </c>
    </row>
    <row r="18" spans="2:6" x14ac:dyDescent="0.25">
      <c r="B18" t="s">
        <v>12</v>
      </c>
      <c r="C18" s="1">
        <f>SUM(C16:C17)</f>
        <v>101350</v>
      </c>
      <c r="E18" t="s">
        <v>12</v>
      </c>
      <c r="F18" s="1">
        <f>SUM(F16:F17)</f>
        <v>98832</v>
      </c>
    </row>
    <row r="19" spans="2:6" x14ac:dyDescent="0.25">
      <c r="F19" s="2">
        <v>0.97519999999999996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:K24"/>
  <sheetViews>
    <sheetView workbookViewId="0">
      <selection activeCell="K13" sqref="K13"/>
    </sheetView>
  </sheetViews>
  <sheetFormatPr defaultRowHeight="15" x14ac:dyDescent="0.25"/>
  <cols>
    <col min="2" max="2" width="10.5703125" customWidth="1"/>
    <col min="5" max="5" width="10.140625" customWidth="1"/>
  </cols>
  <sheetData>
    <row r="13" spans="11:11" x14ac:dyDescent="0.25">
      <c r="K13" t="s">
        <v>6</v>
      </c>
    </row>
    <row r="18" spans="2:7" x14ac:dyDescent="0.25">
      <c r="B18" t="s">
        <v>3</v>
      </c>
      <c r="E18" t="s">
        <v>20</v>
      </c>
    </row>
    <row r="19" spans="2:7" x14ac:dyDescent="0.25">
      <c r="B19" t="s">
        <v>5</v>
      </c>
      <c r="C19" s="1">
        <v>95950</v>
      </c>
      <c r="E19" t="s">
        <v>5</v>
      </c>
      <c r="F19" s="1">
        <v>95950</v>
      </c>
      <c r="G19" s="4">
        <v>85.29</v>
      </c>
    </row>
    <row r="20" spans="2:7" x14ac:dyDescent="0.25">
      <c r="B20" t="s">
        <v>1</v>
      </c>
      <c r="C20" s="1">
        <v>13120</v>
      </c>
      <c r="E20" t="s">
        <v>1</v>
      </c>
      <c r="F20" s="1">
        <v>12704</v>
      </c>
    </row>
    <row r="21" spans="2:7" x14ac:dyDescent="0.25">
      <c r="B21" t="s">
        <v>2</v>
      </c>
      <c r="C21" s="1">
        <v>2580</v>
      </c>
      <c r="E21" t="s">
        <v>2</v>
      </c>
      <c r="F21" s="1">
        <v>1302</v>
      </c>
    </row>
    <row r="22" spans="2:7" x14ac:dyDescent="0.25">
      <c r="B22" t="s">
        <v>19</v>
      </c>
      <c r="C22" s="1">
        <v>1860</v>
      </c>
      <c r="E22" t="s">
        <v>19</v>
      </c>
      <c r="F22" s="1">
        <v>1775</v>
      </c>
    </row>
    <row r="23" spans="2:7" x14ac:dyDescent="0.25">
      <c r="B23" t="s">
        <v>12</v>
      </c>
      <c r="C23" s="1">
        <f>SUM(C19:C22)</f>
        <v>113510</v>
      </c>
      <c r="E23" t="s">
        <v>12</v>
      </c>
      <c r="F23" s="1">
        <f>SUM(F19:F22)</f>
        <v>111731</v>
      </c>
    </row>
    <row r="24" spans="2:7" x14ac:dyDescent="0.25">
      <c r="F24" s="2">
        <v>0.98429999999999995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G25"/>
  <sheetViews>
    <sheetView workbookViewId="0">
      <selection activeCell="G14" sqref="G14"/>
    </sheetView>
  </sheetViews>
  <sheetFormatPr defaultRowHeight="15" x14ac:dyDescent="0.25"/>
  <sheetData>
    <row r="14" spans="7:7" x14ac:dyDescent="0.25">
      <c r="G14" t="s">
        <v>6</v>
      </c>
    </row>
    <row r="21" spans="2:6" x14ac:dyDescent="0.25">
      <c r="B21" t="s">
        <v>3</v>
      </c>
      <c r="E21" t="s">
        <v>4</v>
      </c>
    </row>
    <row r="22" spans="2:6" x14ac:dyDescent="0.25">
      <c r="B22" t="s">
        <v>5</v>
      </c>
      <c r="C22" s="1">
        <v>72770</v>
      </c>
      <c r="E22" t="s">
        <v>5</v>
      </c>
      <c r="F22" s="1">
        <v>72770</v>
      </c>
    </row>
    <row r="23" spans="2:6" x14ac:dyDescent="0.25">
      <c r="B23" t="s">
        <v>21</v>
      </c>
      <c r="C23" s="1">
        <v>3840</v>
      </c>
      <c r="E23" t="s">
        <v>21</v>
      </c>
      <c r="F23" s="1">
        <v>3255</v>
      </c>
    </row>
    <row r="24" spans="2:6" x14ac:dyDescent="0.25">
      <c r="B24" t="s">
        <v>12</v>
      </c>
      <c r="C24" s="1">
        <f>SUM(C22:C23)</f>
        <v>76610</v>
      </c>
      <c r="E24" t="s">
        <v>12</v>
      </c>
      <c r="F24" s="1">
        <f>SUM(F22:F23)</f>
        <v>76025</v>
      </c>
    </row>
    <row r="25" spans="2:6" x14ac:dyDescent="0.25">
      <c r="F25" s="2">
        <v>0.99239999999999995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I22"/>
  <sheetViews>
    <sheetView workbookViewId="0">
      <selection activeCell="G14" sqref="G14"/>
    </sheetView>
  </sheetViews>
  <sheetFormatPr defaultRowHeight="15" x14ac:dyDescent="0.25"/>
  <cols>
    <col min="2" max="2" width="10.28515625" customWidth="1"/>
    <col min="5" max="5" width="10.140625" customWidth="1"/>
    <col min="6" max="6" width="9.85546875" bestFit="1" customWidth="1"/>
    <col min="9" max="9" width="10.85546875" bestFit="1" customWidth="1"/>
  </cols>
  <sheetData>
    <row r="14" spans="7:7" x14ac:dyDescent="0.25">
      <c r="G14" t="s">
        <v>6</v>
      </c>
    </row>
    <row r="17" spans="2:9" x14ac:dyDescent="0.25">
      <c r="B17" t="s">
        <v>3</v>
      </c>
      <c r="E17" t="s">
        <v>4</v>
      </c>
    </row>
    <row r="18" spans="2:9" x14ac:dyDescent="0.25">
      <c r="B18" t="s">
        <v>5</v>
      </c>
      <c r="C18" s="1">
        <v>52500</v>
      </c>
      <c r="E18" t="s">
        <v>5</v>
      </c>
      <c r="F18" s="1">
        <v>52500</v>
      </c>
      <c r="G18" s="4">
        <v>77.78</v>
      </c>
    </row>
    <row r="19" spans="2:9" x14ac:dyDescent="0.25">
      <c r="B19" t="s">
        <v>22</v>
      </c>
      <c r="C19" s="1">
        <v>35720</v>
      </c>
      <c r="E19" t="s">
        <v>22</v>
      </c>
      <c r="F19" s="1">
        <v>26845</v>
      </c>
      <c r="G19" t="s">
        <v>23</v>
      </c>
      <c r="I19" s="4">
        <v>33126</v>
      </c>
    </row>
    <row r="20" spans="2:9" x14ac:dyDescent="0.25">
      <c r="B20" t="s">
        <v>2</v>
      </c>
      <c r="C20" s="1">
        <v>4520</v>
      </c>
      <c r="E20" t="s">
        <v>2</v>
      </c>
      <c r="F20" s="4">
        <v>2524.19</v>
      </c>
    </row>
    <row r="21" spans="2:9" x14ac:dyDescent="0.25">
      <c r="B21" t="s">
        <v>12</v>
      </c>
      <c r="C21" s="1">
        <f>SUM(C18:C20)</f>
        <v>92740</v>
      </c>
      <c r="E21" t="s">
        <v>12</v>
      </c>
      <c r="F21" s="1">
        <f>SUM(F18:F20)</f>
        <v>81869.19</v>
      </c>
      <c r="I21" s="1">
        <v>88150</v>
      </c>
    </row>
    <row r="22" spans="2:9" x14ac:dyDescent="0.25">
      <c r="F22" s="2">
        <v>0.88280000000000003</v>
      </c>
      <c r="I22" s="2">
        <v>0.95050000000000001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:G25"/>
  <sheetViews>
    <sheetView workbookViewId="0">
      <selection activeCell="H24" sqref="H24"/>
    </sheetView>
  </sheetViews>
  <sheetFormatPr defaultRowHeight="15" x14ac:dyDescent="0.25"/>
  <cols>
    <col min="2" max="2" width="10.140625" customWidth="1"/>
    <col min="5" max="5" width="10" customWidth="1"/>
  </cols>
  <sheetData>
    <row r="13" spans="6:6" x14ac:dyDescent="0.25">
      <c r="F13" t="s">
        <v>6</v>
      </c>
    </row>
    <row r="21" spans="2:7" x14ac:dyDescent="0.25">
      <c r="B21" t="s">
        <v>3</v>
      </c>
      <c r="E21" t="s">
        <v>4</v>
      </c>
    </row>
    <row r="22" spans="2:7" x14ac:dyDescent="0.25">
      <c r="B22" t="s">
        <v>5</v>
      </c>
      <c r="C22" s="1">
        <v>87450</v>
      </c>
      <c r="E22" t="s">
        <v>5</v>
      </c>
      <c r="F22" s="1">
        <v>87450</v>
      </c>
      <c r="G22" s="4">
        <v>69.290000000000006</v>
      </c>
    </row>
    <row r="23" spans="2:7" x14ac:dyDescent="0.25">
      <c r="B23" t="s">
        <v>11</v>
      </c>
      <c r="C23" s="1">
        <v>13640</v>
      </c>
      <c r="E23" t="s">
        <v>11</v>
      </c>
      <c r="F23" s="1">
        <v>10930</v>
      </c>
    </row>
    <row r="24" spans="2:7" x14ac:dyDescent="0.25">
      <c r="B24" t="s">
        <v>12</v>
      </c>
      <c r="C24" s="1">
        <f>SUM(C22:C23)</f>
        <v>101090</v>
      </c>
      <c r="E24" t="s">
        <v>12</v>
      </c>
      <c r="F24" s="1">
        <f>SUM(F22:F23)</f>
        <v>98380</v>
      </c>
    </row>
    <row r="25" spans="2:7" x14ac:dyDescent="0.25">
      <c r="F25" s="2">
        <v>0.97319999999999995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109892080017012</vt:lpstr>
      <vt:lpstr>127984040000009</vt:lpstr>
      <vt:lpstr>127984040000058</vt:lpstr>
      <vt:lpstr>135981040002008</vt:lpstr>
      <vt:lpstr>131993030003029</vt:lpstr>
      <vt:lpstr>107972040004004</vt:lpstr>
      <vt:lpstr>101843040000018</vt:lpstr>
      <vt:lpstr>102891070002004</vt:lpstr>
      <vt:lpstr>101891030007010</vt:lpstr>
      <vt:lpstr>106802040009016</vt:lpstr>
    </vt:vector>
  </TitlesOfParts>
  <Company>Benton County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Plummer</dc:creator>
  <cp:lastModifiedBy>Christopher Plummer</cp:lastModifiedBy>
  <dcterms:created xsi:type="dcterms:W3CDTF">2017-01-24T14:39:24Z</dcterms:created>
  <dcterms:modified xsi:type="dcterms:W3CDTF">2017-01-24T18:52:45Z</dcterms:modified>
</cp:coreProperties>
</file>