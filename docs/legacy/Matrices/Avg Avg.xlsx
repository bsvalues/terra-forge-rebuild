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Matrices\"/>
    </mc:Choice>
  </mc:AlternateContent>
  <bookViews>
    <workbookView xWindow="0" yWindow="0" windowWidth="28800" windowHeight="130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E4" i="2"/>
  <c r="F4" i="2"/>
  <c r="G4" i="2"/>
  <c r="H4" i="2"/>
  <c r="I4" i="2"/>
  <c r="J4" i="2"/>
  <c r="K4" i="2"/>
  <c r="L4" i="2"/>
  <c r="M4" i="2"/>
  <c r="D4" i="2"/>
  <c r="D3" i="2"/>
  <c r="E3" i="2"/>
  <c r="F3" i="2"/>
  <c r="G3" i="2"/>
  <c r="H3" i="2"/>
  <c r="I3" i="2"/>
  <c r="J3" i="2"/>
  <c r="K3" i="2"/>
  <c r="L3" i="2"/>
  <c r="M3" i="2"/>
  <c r="C3" i="2"/>
  <c r="C4" i="2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</calcChain>
</file>

<file path=xl/sharedStrings.xml><?xml version="1.0" encoding="utf-8"?>
<sst xmlns="http://schemas.openxmlformats.org/spreadsheetml/2006/main" count="20" uniqueCount="20">
  <si>
    <t>Total Area</t>
  </si>
  <si>
    <t>M&amp;S Book</t>
  </si>
  <si>
    <t>M&amp;S PACS</t>
  </si>
  <si>
    <t>2017 Build Avg/Avg 1 Story</t>
  </si>
  <si>
    <t>Difference</t>
  </si>
  <si>
    <t>1 Fixture</t>
  </si>
  <si>
    <t>1/2 bath (3 fixtures)</t>
  </si>
  <si>
    <t>Full bath (5 fixtures)</t>
  </si>
  <si>
    <t>Chp</t>
  </si>
  <si>
    <t>Low</t>
  </si>
  <si>
    <t>Fair</t>
  </si>
  <si>
    <t>Avg</t>
  </si>
  <si>
    <t>Good</t>
  </si>
  <si>
    <t>VGd</t>
  </si>
  <si>
    <t>Exc</t>
  </si>
  <si>
    <t>Low+</t>
  </si>
  <si>
    <t>Fair+</t>
  </si>
  <si>
    <t>Avg+</t>
  </si>
  <si>
    <t>Good+</t>
  </si>
  <si>
    <t>Vgd+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</si>
</sst>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20</xdr:col>
      <xdr:colOff>190500</xdr:colOff>
      <xdr:row>34</xdr:row>
      <xdr:rowOff>49833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190500"/>
          <a:ext cx="9334500" cy="6336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5" sqref="D25"/>
    </sheetView>
  </sheetViews>
  <sheetFormatPr defaultRowHeight="15" x14ac:dyDescent="0.25"/>
  <cols>
    <col min="1" max="1" width="10.42578125" customWidth="1"/>
    <col min="2" max="2" width="10.85546875" style="1" customWidth="1"/>
    <col min="3" max="3" width="10.140625" style="1" customWidth="1"/>
    <col min="4" max="4" width="9.85546875" customWidth="1"/>
  </cols>
  <sheetData>
    <row r="1" spans="1:4" x14ac:dyDescent="0.25">
      <c r="A1" t="s">
        <v>3</v>
      </c>
    </row>
    <row r="3" spans="1:4" x14ac:dyDescent="0.25">
      <c r="A3" t="s">
        <v>0</v>
      </c>
      <c r="B3" s="1" t="s">
        <v>1</v>
      </c>
      <c r="C3" s="1" t="s">
        <v>2</v>
      </c>
      <c r="D3" t="s">
        <v>4</v>
      </c>
    </row>
    <row r="4" spans="1:4" x14ac:dyDescent="0.25">
      <c r="A4">
        <v>600</v>
      </c>
      <c r="B4" s="1">
        <v>100.53</v>
      </c>
      <c r="C4" s="1">
        <v>112.27</v>
      </c>
      <c r="D4" s="1">
        <f>SUM(C4-B4)</f>
        <v>11.739999999999995</v>
      </c>
    </row>
    <row r="5" spans="1:4" x14ac:dyDescent="0.25">
      <c r="A5">
        <v>800</v>
      </c>
      <c r="B5" s="1">
        <v>95.26</v>
      </c>
      <c r="C5" s="1">
        <v>105.43</v>
      </c>
      <c r="D5" s="1">
        <f t="shared" ref="D5:D22" si="0">SUM(C5-B5)</f>
        <v>10.170000000000002</v>
      </c>
    </row>
    <row r="6" spans="1:4" x14ac:dyDescent="0.25">
      <c r="A6">
        <v>1000</v>
      </c>
      <c r="B6" s="1">
        <v>91.37</v>
      </c>
      <c r="C6" s="1">
        <v>100.58</v>
      </c>
      <c r="D6" s="1">
        <f t="shared" si="0"/>
        <v>9.2099999999999937</v>
      </c>
    </row>
    <row r="7" spans="1:4" x14ac:dyDescent="0.25">
      <c r="A7">
        <v>1200</v>
      </c>
      <c r="B7" s="1">
        <v>88.31</v>
      </c>
      <c r="C7" s="1">
        <v>96.86</v>
      </c>
      <c r="D7" s="1">
        <f t="shared" si="0"/>
        <v>8.5499999999999972</v>
      </c>
    </row>
    <row r="8" spans="1:4" x14ac:dyDescent="0.25">
      <c r="A8">
        <v>1300</v>
      </c>
      <c r="B8" s="1">
        <v>86.99</v>
      </c>
      <c r="C8" s="1">
        <v>95.3</v>
      </c>
      <c r="D8" s="1">
        <f t="shared" si="0"/>
        <v>8.3100000000000023</v>
      </c>
    </row>
    <row r="9" spans="1:4" x14ac:dyDescent="0.25">
      <c r="A9">
        <v>1400</v>
      </c>
      <c r="B9" s="1">
        <v>85.8</v>
      </c>
      <c r="C9" s="1">
        <v>93.9</v>
      </c>
      <c r="D9" s="1">
        <f t="shared" si="0"/>
        <v>8.1000000000000085</v>
      </c>
    </row>
    <row r="10" spans="1:4" x14ac:dyDescent="0.25">
      <c r="A10">
        <v>1500</v>
      </c>
      <c r="B10" s="1">
        <v>84.7</v>
      </c>
      <c r="C10" s="1">
        <v>92.6</v>
      </c>
      <c r="D10" s="1">
        <f t="shared" si="0"/>
        <v>7.8999999999999915</v>
      </c>
    </row>
    <row r="11" spans="1:4" x14ac:dyDescent="0.25">
      <c r="A11">
        <v>1600</v>
      </c>
      <c r="B11" s="1">
        <v>83.68</v>
      </c>
      <c r="C11" s="1">
        <v>91.41</v>
      </c>
      <c r="D11" s="1">
        <f t="shared" si="0"/>
        <v>7.7299999999999898</v>
      </c>
    </row>
    <row r="12" spans="1:4" x14ac:dyDescent="0.25">
      <c r="A12">
        <v>1700</v>
      </c>
      <c r="B12" s="1">
        <v>82.74</v>
      </c>
      <c r="C12" s="1">
        <v>90.32</v>
      </c>
      <c r="D12" s="1">
        <f t="shared" si="0"/>
        <v>7.5799999999999983</v>
      </c>
    </row>
    <row r="13" spans="1:4" x14ac:dyDescent="0.25">
      <c r="A13">
        <v>1800</v>
      </c>
      <c r="B13" s="1">
        <v>81.86</v>
      </c>
      <c r="C13" s="1">
        <v>89.31</v>
      </c>
      <c r="D13" s="1">
        <f t="shared" si="0"/>
        <v>7.4500000000000028</v>
      </c>
    </row>
    <row r="14" spans="1:4" x14ac:dyDescent="0.25">
      <c r="A14">
        <v>1900</v>
      </c>
      <c r="B14" s="1">
        <v>81.03</v>
      </c>
      <c r="C14" s="1">
        <v>88.36</v>
      </c>
      <c r="D14" s="1">
        <f t="shared" si="0"/>
        <v>7.3299999999999983</v>
      </c>
    </row>
    <row r="15" spans="1:4" x14ac:dyDescent="0.25">
      <c r="A15">
        <v>2000</v>
      </c>
      <c r="B15" s="1">
        <v>80.260000000000005</v>
      </c>
      <c r="C15" s="1">
        <v>87.5</v>
      </c>
      <c r="D15" s="1">
        <f t="shared" si="0"/>
        <v>7.2399999999999949</v>
      </c>
    </row>
    <row r="16" spans="1:4" x14ac:dyDescent="0.25">
      <c r="A16">
        <v>2100</v>
      </c>
      <c r="B16" s="1">
        <v>79.53</v>
      </c>
      <c r="C16" s="1">
        <v>86.66</v>
      </c>
      <c r="D16" s="1">
        <f t="shared" si="0"/>
        <v>7.1299999999999955</v>
      </c>
    </row>
    <row r="17" spans="1:4" x14ac:dyDescent="0.25">
      <c r="A17">
        <v>2200</v>
      </c>
      <c r="B17" s="1">
        <v>78.84</v>
      </c>
      <c r="C17" s="1">
        <v>85.88</v>
      </c>
      <c r="D17" s="1">
        <f t="shared" si="0"/>
        <v>7.039999999999992</v>
      </c>
    </row>
    <row r="18" spans="1:4" x14ac:dyDescent="0.25">
      <c r="A18">
        <v>2400</v>
      </c>
      <c r="B18" s="1">
        <v>77.569999999999993</v>
      </c>
      <c r="C18" s="1">
        <v>84.45</v>
      </c>
      <c r="D18" s="1">
        <f t="shared" si="0"/>
        <v>6.8800000000000097</v>
      </c>
    </row>
    <row r="19" spans="1:4" x14ac:dyDescent="0.25">
      <c r="A19">
        <v>2600</v>
      </c>
      <c r="B19" s="1">
        <v>76.42</v>
      </c>
      <c r="C19" s="1">
        <v>83.16</v>
      </c>
      <c r="D19" s="1">
        <f t="shared" si="0"/>
        <v>6.7399999999999949</v>
      </c>
    </row>
    <row r="20" spans="1:4" x14ac:dyDescent="0.25">
      <c r="A20">
        <v>2800</v>
      </c>
      <c r="B20" s="1">
        <v>75.36</v>
      </c>
      <c r="C20" s="1">
        <v>81.99</v>
      </c>
      <c r="D20" s="1">
        <f t="shared" si="0"/>
        <v>6.6299999999999955</v>
      </c>
    </row>
    <row r="21" spans="1:4" x14ac:dyDescent="0.25">
      <c r="A21">
        <v>3000</v>
      </c>
      <c r="B21" s="1">
        <v>74.400000000000006</v>
      </c>
      <c r="C21" s="1">
        <v>80.92</v>
      </c>
      <c r="D21" s="1">
        <f t="shared" si="0"/>
        <v>6.519999999999996</v>
      </c>
    </row>
    <row r="22" spans="1:4" x14ac:dyDescent="0.25">
      <c r="A22">
        <v>3200</v>
      </c>
      <c r="B22" s="1">
        <v>73.510000000000005</v>
      </c>
      <c r="C22" s="1">
        <v>79.95</v>
      </c>
      <c r="D22" s="1">
        <f t="shared" si="0"/>
        <v>6.4399999999999977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B8" sqref="B8"/>
    </sheetView>
  </sheetViews>
  <sheetFormatPr defaultRowHeight="15" x14ac:dyDescent="0.25"/>
  <cols>
    <col min="1" max="1" width="18.42578125" customWidth="1"/>
    <col min="2" max="13" width="9.7109375" customWidth="1"/>
  </cols>
  <sheetData>
    <row r="1" spans="1:13" x14ac:dyDescent="0.25">
      <c r="B1" t="s">
        <v>8</v>
      </c>
      <c r="C1" t="s">
        <v>9</v>
      </c>
      <c r="D1" t="s">
        <v>15</v>
      </c>
      <c r="E1" t="s">
        <v>10</v>
      </c>
      <c r="F1" t="s">
        <v>16</v>
      </c>
      <c r="G1" t="s">
        <v>11</v>
      </c>
      <c r="H1" t="s">
        <v>17</v>
      </c>
      <c r="I1" t="s">
        <v>12</v>
      </c>
      <c r="J1" t="s">
        <v>18</v>
      </c>
      <c r="K1" t="s">
        <v>13</v>
      </c>
      <c r="L1" t="s">
        <v>19</v>
      </c>
      <c r="M1" t="s">
        <v>14</v>
      </c>
    </row>
    <row r="2" spans="1:13" x14ac:dyDescent="0.25">
      <c r="A2" t="s">
        <v>5</v>
      </c>
      <c r="B2">
        <v>750</v>
      </c>
      <c r="C2" s="2">
        <v>872</v>
      </c>
      <c r="D2" s="2">
        <v>984</v>
      </c>
      <c r="E2" s="2">
        <v>1097</v>
      </c>
      <c r="F2" s="2">
        <v>1239</v>
      </c>
      <c r="G2" s="2">
        <v>1381</v>
      </c>
      <c r="H2" s="2">
        <v>1793</v>
      </c>
      <c r="I2" s="2">
        <v>2205</v>
      </c>
      <c r="J2" s="2">
        <v>2520</v>
      </c>
      <c r="K2" s="2">
        <v>2835</v>
      </c>
      <c r="L2" s="2">
        <v>3255</v>
      </c>
      <c r="M2" s="2">
        <v>3675</v>
      </c>
    </row>
    <row r="3" spans="1:13" x14ac:dyDescent="0.25">
      <c r="A3" t="s">
        <v>6</v>
      </c>
      <c r="B3" s="2">
        <f>SUM(B2*3)</f>
        <v>2250</v>
      </c>
      <c r="C3" s="2">
        <f>SUM(C2*3)</f>
        <v>2616</v>
      </c>
      <c r="D3" s="2">
        <f t="shared" ref="D3:M3" si="0">SUM(D2*3)</f>
        <v>2952</v>
      </c>
      <c r="E3" s="2">
        <f t="shared" si="0"/>
        <v>3291</v>
      </c>
      <c r="F3" s="2">
        <f t="shared" si="0"/>
        <v>3717</v>
      </c>
      <c r="G3" s="2">
        <f t="shared" si="0"/>
        <v>4143</v>
      </c>
      <c r="H3" s="2">
        <f t="shared" si="0"/>
        <v>5379</v>
      </c>
      <c r="I3" s="2">
        <f t="shared" si="0"/>
        <v>6615</v>
      </c>
      <c r="J3" s="2">
        <f t="shared" si="0"/>
        <v>7560</v>
      </c>
      <c r="K3" s="2">
        <f t="shared" si="0"/>
        <v>8505</v>
      </c>
      <c r="L3" s="2">
        <f t="shared" si="0"/>
        <v>9765</v>
      </c>
      <c r="M3" s="2">
        <f t="shared" si="0"/>
        <v>11025</v>
      </c>
    </row>
    <row r="4" spans="1:13" x14ac:dyDescent="0.25">
      <c r="A4" t="s">
        <v>7</v>
      </c>
      <c r="B4" s="2">
        <f>SUM(B3*5)</f>
        <v>11250</v>
      </c>
      <c r="C4" s="2">
        <f>SUM(C3*5)</f>
        <v>13080</v>
      </c>
      <c r="D4" s="2">
        <f>SUM(D2*5)</f>
        <v>4920</v>
      </c>
      <c r="E4" s="2">
        <f t="shared" ref="E4:M4" si="1">SUM(E2*5)</f>
        <v>5485</v>
      </c>
      <c r="F4" s="2">
        <f t="shared" si="1"/>
        <v>6195</v>
      </c>
      <c r="G4" s="2">
        <f t="shared" si="1"/>
        <v>6905</v>
      </c>
      <c r="H4" s="2">
        <f t="shared" si="1"/>
        <v>8965</v>
      </c>
      <c r="I4" s="2">
        <f t="shared" si="1"/>
        <v>11025</v>
      </c>
      <c r="J4" s="2">
        <f t="shared" si="1"/>
        <v>12600</v>
      </c>
      <c r="K4" s="2">
        <f t="shared" si="1"/>
        <v>14175</v>
      </c>
      <c r="L4" s="2">
        <f t="shared" si="1"/>
        <v>16275</v>
      </c>
      <c r="M4" s="2">
        <f t="shared" si="1"/>
        <v>18375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2017-03-01T19:37:25Z</dcterms:created>
  <dcterms:modified xsi:type="dcterms:W3CDTF">2017-03-01T21:42:41Z</dcterms:modified>
</cp:coreProperties>
</file>