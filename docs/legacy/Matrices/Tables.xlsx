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Inboxes\Chris\PACS\Matrices\"/>
    </mc:Choice>
  </mc:AlternateContent>
  <bookViews>
    <workbookView xWindow="0" yWindow="0" windowWidth="28800" windowHeight="13020" activeTab="8"/>
  </bookViews>
  <sheets>
    <sheet name="Comparison" sheetId="1" r:id="rId1"/>
    <sheet name="Bathrooms" sheetId="2" r:id="rId2"/>
    <sheet name="Patio - Covered" sheetId="3" r:id="rId3"/>
    <sheet name="Patio" sheetId="4" r:id="rId4"/>
    <sheet name="Deck" sheetId="5" r:id="rId5"/>
    <sheet name="Carport" sheetId="6" r:id="rId6"/>
    <sheet name="Enclosed Porch" sheetId="7" r:id="rId7"/>
    <sheet name="Balcony" sheetId="8" r:id="rId8"/>
    <sheet name="Foundation" sheetId="9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" l="1"/>
  <c r="B4" i="2"/>
  <c r="D4" i="2"/>
  <c r="B5" i="6" l="1"/>
  <c r="D5" i="6"/>
  <c r="E5" i="6"/>
  <c r="F5" i="6"/>
  <c r="G5" i="6"/>
  <c r="H5" i="6"/>
  <c r="C5" i="6"/>
  <c r="B3" i="2" l="1"/>
  <c r="E4" i="2"/>
  <c r="F4" i="2"/>
  <c r="G4" i="2"/>
  <c r="H4" i="2"/>
  <c r="I4" i="2"/>
  <c r="J4" i="2"/>
  <c r="K4" i="2"/>
  <c r="L4" i="2"/>
  <c r="M4" i="2"/>
  <c r="D3" i="2"/>
  <c r="E3" i="2"/>
  <c r="F3" i="2"/>
  <c r="G3" i="2"/>
  <c r="H3" i="2"/>
  <c r="I3" i="2"/>
  <c r="J3" i="2"/>
  <c r="K3" i="2"/>
  <c r="L3" i="2"/>
  <c r="M3" i="2"/>
  <c r="C3" i="2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4" i="1"/>
</calcChain>
</file>

<file path=xl/sharedStrings.xml><?xml version="1.0" encoding="utf-8"?>
<sst xmlns="http://schemas.openxmlformats.org/spreadsheetml/2006/main" count="107" uniqueCount="39">
  <si>
    <t>Total Area</t>
  </si>
  <si>
    <t>M&amp;S Book</t>
  </si>
  <si>
    <t>M&amp;S PACS</t>
  </si>
  <si>
    <t>2017 Build Avg/Avg 1 Story</t>
  </si>
  <si>
    <t>Difference</t>
  </si>
  <si>
    <t>1 Fixture</t>
  </si>
  <si>
    <t>1/2 bath (3 fixtures)</t>
  </si>
  <si>
    <t>Full bath (5 fixtures)</t>
  </si>
  <si>
    <t>Chp</t>
  </si>
  <si>
    <t>Low</t>
  </si>
  <si>
    <t>Fair</t>
  </si>
  <si>
    <t>Avg</t>
  </si>
  <si>
    <t>Good</t>
  </si>
  <si>
    <t>VGd</t>
  </si>
  <si>
    <t>Exc</t>
  </si>
  <si>
    <t>Low+</t>
  </si>
  <si>
    <t>Fair+</t>
  </si>
  <si>
    <t>Avg+</t>
  </si>
  <si>
    <t>Good+</t>
  </si>
  <si>
    <t>Vgd+</t>
  </si>
  <si>
    <t>Deck - Covered</t>
  </si>
  <si>
    <t>Flat Roof</t>
  </si>
  <si>
    <t>Gable Roof</t>
  </si>
  <si>
    <t>Average</t>
  </si>
  <si>
    <t>Per Marshall &amp; Swift, carports are valued on a flat value per square roof with consideration given to roofing type.</t>
  </si>
  <si>
    <t>However, this gives us a value greater than covered patio, which was pulled from using ProVal data.</t>
  </si>
  <si>
    <t>Since most carports have gravel underneath them, we will use the covered patio value minus the patio value,</t>
  </si>
  <si>
    <t>to arrive at a value of a cover without a patio portion.</t>
  </si>
  <si>
    <t>*</t>
  </si>
  <si>
    <t xml:space="preserve">Deck </t>
  </si>
  <si>
    <t>ProVal</t>
  </si>
  <si>
    <t>M&amp;S</t>
  </si>
  <si>
    <t>Balcony</t>
  </si>
  <si>
    <t>Covered Balcony</t>
  </si>
  <si>
    <t>None/Dirt</t>
  </si>
  <si>
    <t>Post &amp; Pier</t>
  </si>
  <si>
    <t>Concrete Block</t>
  </si>
  <si>
    <t>Slab</t>
  </si>
  <si>
    <t>Crawl/Concrete Perimeter Piers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</si>
</sst>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0" fillId="2" borderId="0" xfId="0" applyNumberFormat="1" applyFill="1"/>
    <xf numFmtId="2" fontId="0" fillId="0" borderId="1" xfId="0" applyNumberFormat="1" applyBorder="1"/>
    <xf numFmtId="2" fontId="0" fillId="0" borderId="2" xfId="0" applyNumberFormat="1" applyBorder="1"/>
    <xf numFmtId="2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47625</xdr:colOff>
      <xdr:row>0</xdr:row>
      <xdr:rowOff>76200</xdr:rowOff>
    </xdr:from>
    <xdr:to>
      <xdr:col>19</xdr:col>
      <xdr:colOff>238125</xdr:colOff>
      <xdr:row>33</xdr:row>
      <xdr:rowOff>126033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0350" y="76200"/>
          <a:ext cx="9334500" cy="6336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17</xdr:col>
      <xdr:colOff>180975</xdr:colOff>
      <xdr:row>33</xdr:row>
      <xdr:rowOff>133350</xdr:rowOff>
    </xdr:to>
    <xdr:sp macro="" textlink="">
      <xdr:nvSpPr>
        <xdr:cNvPr id="3" name="Multiply 2"/>
        <xdr:cNvSpPr/>
      </xdr:nvSpPr>
      <xdr:spPr>
        <a:xfrm>
          <a:off x="0" y="0"/>
          <a:ext cx="10858500" cy="6419850"/>
        </a:xfrm>
        <a:prstGeom prst="mathMultiply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3</xdr:col>
      <xdr:colOff>609371</xdr:colOff>
      <xdr:row>24</xdr:row>
      <xdr:rowOff>123595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857500"/>
          <a:ext cx="1828571" cy="183809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7</xdr:col>
      <xdr:colOff>609371</xdr:colOff>
      <xdr:row>24</xdr:row>
      <xdr:rowOff>152167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2857500"/>
          <a:ext cx="1828571" cy="1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>
      <selection activeCell="W23" sqref="W23"/>
    </sheetView>
  </sheetViews>
  <sheetFormatPr defaultRowHeight="15" x14ac:dyDescent="0.25"/>
  <cols>
    <col min="1" max="1" width="10.42578125" customWidth="1"/>
    <col min="2" max="2" width="10.85546875" style="1" customWidth="1"/>
    <col min="3" max="3" width="10.140625" style="1" customWidth="1"/>
    <col min="4" max="4" width="9.85546875" customWidth="1"/>
  </cols>
  <sheetData>
    <row r="1" spans="1:4" x14ac:dyDescent="0.25">
      <c r="A1" t="s">
        <v>3</v>
      </c>
    </row>
    <row r="3" spans="1:4" x14ac:dyDescent="0.25">
      <c r="A3" t="s">
        <v>0</v>
      </c>
      <c r="B3" s="1" t="s">
        <v>1</v>
      </c>
      <c r="C3" s="1" t="s">
        <v>2</v>
      </c>
      <c r="D3" t="s">
        <v>4</v>
      </c>
    </row>
    <row r="4" spans="1:4" x14ac:dyDescent="0.25">
      <c r="A4">
        <v>600</v>
      </c>
      <c r="B4" s="1">
        <v>100.53</v>
      </c>
      <c r="C4" s="1">
        <v>112.27</v>
      </c>
      <c r="D4" s="1">
        <f>SUM(C4-B4)</f>
        <v>11.739999999999995</v>
      </c>
    </row>
    <row r="5" spans="1:4" x14ac:dyDescent="0.25">
      <c r="A5">
        <v>800</v>
      </c>
      <c r="B5" s="1">
        <v>95.26</v>
      </c>
      <c r="C5" s="1">
        <v>105.43</v>
      </c>
      <c r="D5" s="1">
        <f t="shared" ref="D5:D22" si="0">SUM(C5-B5)</f>
        <v>10.170000000000002</v>
      </c>
    </row>
    <row r="6" spans="1:4" x14ac:dyDescent="0.25">
      <c r="A6">
        <v>1000</v>
      </c>
      <c r="B6" s="1">
        <v>91.37</v>
      </c>
      <c r="C6" s="1">
        <v>100.58</v>
      </c>
      <c r="D6" s="1">
        <f t="shared" si="0"/>
        <v>9.2099999999999937</v>
      </c>
    </row>
    <row r="7" spans="1:4" x14ac:dyDescent="0.25">
      <c r="A7">
        <v>1200</v>
      </c>
      <c r="B7" s="1">
        <v>88.31</v>
      </c>
      <c r="C7" s="1">
        <v>96.86</v>
      </c>
      <c r="D7" s="1">
        <f t="shared" si="0"/>
        <v>8.5499999999999972</v>
      </c>
    </row>
    <row r="8" spans="1:4" x14ac:dyDescent="0.25">
      <c r="A8">
        <v>1300</v>
      </c>
      <c r="B8" s="1">
        <v>86.99</v>
      </c>
      <c r="C8" s="1">
        <v>95.3</v>
      </c>
      <c r="D8" s="1">
        <f t="shared" si="0"/>
        <v>8.3100000000000023</v>
      </c>
    </row>
    <row r="9" spans="1:4" x14ac:dyDescent="0.25">
      <c r="A9">
        <v>1400</v>
      </c>
      <c r="B9" s="1">
        <v>85.8</v>
      </c>
      <c r="C9" s="1">
        <v>93.9</v>
      </c>
      <c r="D9" s="1">
        <f t="shared" si="0"/>
        <v>8.1000000000000085</v>
      </c>
    </row>
    <row r="10" spans="1:4" x14ac:dyDescent="0.25">
      <c r="A10">
        <v>1500</v>
      </c>
      <c r="B10" s="1">
        <v>84.7</v>
      </c>
      <c r="C10" s="1">
        <v>92.6</v>
      </c>
      <c r="D10" s="1">
        <f t="shared" si="0"/>
        <v>7.8999999999999915</v>
      </c>
    </row>
    <row r="11" spans="1:4" x14ac:dyDescent="0.25">
      <c r="A11">
        <v>1600</v>
      </c>
      <c r="B11" s="1">
        <v>83.68</v>
      </c>
      <c r="C11" s="1">
        <v>91.41</v>
      </c>
      <c r="D11" s="1">
        <f t="shared" si="0"/>
        <v>7.7299999999999898</v>
      </c>
    </row>
    <row r="12" spans="1:4" x14ac:dyDescent="0.25">
      <c r="A12">
        <v>1700</v>
      </c>
      <c r="B12" s="1">
        <v>82.74</v>
      </c>
      <c r="C12" s="1">
        <v>90.32</v>
      </c>
      <c r="D12" s="1">
        <f t="shared" si="0"/>
        <v>7.5799999999999983</v>
      </c>
    </row>
    <row r="13" spans="1:4" x14ac:dyDescent="0.25">
      <c r="A13">
        <v>1800</v>
      </c>
      <c r="B13" s="1">
        <v>81.86</v>
      </c>
      <c r="C13" s="1">
        <v>89.31</v>
      </c>
      <c r="D13" s="1">
        <f t="shared" si="0"/>
        <v>7.4500000000000028</v>
      </c>
    </row>
    <row r="14" spans="1:4" x14ac:dyDescent="0.25">
      <c r="A14">
        <v>1900</v>
      </c>
      <c r="B14" s="1">
        <v>81.03</v>
      </c>
      <c r="C14" s="1">
        <v>88.36</v>
      </c>
      <c r="D14" s="1">
        <f t="shared" si="0"/>
        <v>7.3299999999999983</v>
      </c>
    </row>
    <row r="15" spans="1:4" x14ac:dyDescent="0.25">
      <c r="A15">
        <v>2000</v>
      </c>
      <c r="B15" s="1">
        <v>80.260000000000005</v>
      </c>
      <c r="C15" s="1">
        <v>87.5</v>
      </c>
      <c r="D15" s="1">
        <f t="shared" si="0"/>
        <v>7.2399999999999949</v>
      </c>
    </row>
    <row r="16" spans="1:4" x14ac:dyDescent="0.25">
      <c r="A16">
        <v>2100</v>
      </c>
      <c r="B16" s="1">
        <v>79.53</v>
      </c>
      <c r="C16" s="1">
        <v>86.66</v>
      </c>
      <c r="D16" s="1">
        <f t="shared" si="0"/>
        <v>7.1299999999999955</v>
      </c>
    </row>
    <row r="17" spans="1:4" x14ac:dyDescent="0.25">
      <c r="A17">
        <v>2200</v>
      </c>
      <c r="B17" s="1">
        <v>78.84</v>
      </c>
      <c r="C17" s="1">
        <v>85.88</v>
      </c>
      <c r="D17" s="1">
        <f t="shared" si="0"/>
        <v>7.039999999999992</v>
      </c>
    </row>
    <row r="18" spans="1:4" x14ac:dyDescent="0.25">
      <c r="A18">
        <v>2400</v>
      </c>
      <c r="B18" s="1">
        <v>77.569999999999993</v>
      </c>
      <c r="C18" s="1">
        <v>84.45</v>
      </c>
      <c r="D18" s="1">
        <f t="shared" si="0"/>
        <v>6.8800000000000097</v>
      </c>
    </row>
    <row r="19" spans="1:4" x14ac:dyDescent="0.25">
      <c r="A19">
        <v>2600</v>
      </c>
      <c r="B19" s="1">
        <v>76.42</v>
      </c>
      <c r="C19" s="1">
        <v>83.16</v>
      </c>
      <c r="D19" s="1">
        <f t="shared" si="0"/>
        <v>6.7399999999999949</v>
      </c>
    </row>
    <row r="20" spans="1:4" x14ac:dyDescent="0.25">
      <c r="A20">
        <v>2800</v>
      </c>
      <c r="B20" s="1">
        <v>75.36</v>
      </c>
      <c r="C20" s="1">
        <v>81.99</v>
      </c>
      <c r="D20" s="1">
        <f t="shared" si="0"/>
        <v>6.6299999999999955</v>
      </c>
    </row>
    <row r="21" spans="1:4" x14ac:dyDescent="0.25">
      <c r="A21">
        <v>3000</v>
      </c>
      <c r="B21" s="1">
        <v>74.400000000000006</v>
      </c>
      <c r="C21" s="1">
        <v>80.92</v>
      </c>
      <c r="D21" s="1">
        <f t="shared" si="0"/>
        <v>6.519999999999996</v>
      </c>
    </row>
    <row r="22" spans="1:4" x14ac:dyDescent="0.25">
      <c r="A22">
        <v>3200</v>
      </c>
      <c r="B22" s="1">
        <v>73.510000000000005</v>
      </c>
      <c r="C22" s="1">
        <v>79.95</v>
      </c>
      <c r="D22" s="1">
        <f t="shared" si="0"/>
        <v>6.4399999999999977</v>
      </c>
    </row>
  </sheetData>
  <pageMargins left="0.7" right="0.7" top="0.75" bottom="0.75" header="0.3" footer="0.3"/>
  <pageSetup scale="6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"/>
  <sheetViews>
    <sheetView workbookViewId="0">
      <selection activeCell="B4" sqref="B4"/>
    </sheetView>
  </sheetViews>
  <sheetFormatPr defaultRowHeight="15" x14ac:dyDescent="0.25"/>
  <cols>
    <col min="1" max="1" width="18.42578125" customWidth="1"/>
    <col min="2" max="13" width="9.7109375" customWidth="1"/>
  </cols>
  <sheetData>
    <row r="1" spans="1:13" x14ac:dyDescent="0.25">
      <c r="B1" t="s">
        <v>8</v>
      </c>
      <c r="C1" t="s">
        <v>9</v>
      </c>
      <c r="D1" t="s">
        <v>15</v>
      </c>
      <c r="E1" t="s">
        <v>10</v>
      </c>
      <c r="F1" t="s">
        <v>16</v>
      </c>
      <c r="G1" t="s">
        <v>11</v>
      </c>
      <c r="H1" t="s">
        <v>17</v>
      </c>
      <c r="I1" t="s">
        <v>12</v>
      </c>
      <c r="J1" t="s">
        <v>18</v>
      </c>
      <c r="K1" t="s">
        <v>13</v>
      </c>
      <c r="L1" t="s">
        <v>19</v>
      </c>
      <c r="M1" t="s">
        <v>14</v>
      </c>
    </row>
    <row r="2" spans="1:13" x14ac:dyDescent="0.25">
      <c r="A2" t="s">
        <v>5</v>
      </c>
      <c r="B2">
        <v>750</v>
      </c>
      <c r="C2" s="2">
        <v>872</v>
      </c>
      <c r="D2" s="2">
        <v>984</v>
      </c>
      <c r="E2" s="2">
        <v>1097</v>
      </c>
      <c r="F2" s="2">
        <v>1239</v>
      </c>
      <c r="G2" s="2">
        <v>1381</v>
      </c>
      <c r="H2" s="2">
        <v>1793</v>
      </c>
      <c r="I2" s="2">
        <v>2205</v>
      </c>
      <c r="J2" s="2">
        <v>2520</v>
      </c>
      <c r="K2" s="2">
        <v>2835</v>
      </c>
      <c r="L2" s="2">
        <v>3255</v>
      </c>
      <c r="M2" s="2">
        <v>3675</v>
      </c>
    </row>
    <row r="3" spans="1:13" x14ac:dyDescent="0.25">
      <c r="A3" t="s">
        <v>6</v>
      </c>
      <c r="B3" s="2">
        <f>SUM(B2*3)</f>
        <v>2250</v>
      </c>
      <c r="C3" s="2">
        <f>SUM(C2*3)</f>
        <v>2616</v>
      </c>
      <c r="D3" s="2">
        <f t="shared" ref="D3:M3" si="0">SUM(D2*3)</f>
        <v>2952</v>
      </c>
      <c r="E3" s="2">
        <f t="shared" si="0"/>
        <v>3291</v>
      </c>
      <c r="F3" s="2">
        <f t="shared" si="0"/>
        <v>3717</v>
      </c>
      <c r="G3" s="2">
        <f t="shared" si="0"/>
        <v>4143</v>
      </c>
      <c r="H3" s="2">
        <f t="shared" si="0"/>
        <v>5379</v>
      </c>
      <c r="I3" s="2">
        <f t="shared" si="0"/>
        <v>6615</v>
      </c>
      <c r="J3" s="2">
        <f t="shared" si="0"/>
        <v>7560</v>
      </c>
      <c r="K3" s="2">
        <f t="shared" si="0"/>
        <v>8505</v>
      </c>
      <c r="L3" s="2">
        <f t="shared" si="0"/>
        <v>9765</v>
      </c>
      <c r="M3" s="2">
        <f t="shared" si="0"/>
        <v>11025</v>
      </c>
    </row>
    <row r="4" spans="1:13" x14ac:dyDescent="0.25">
      <c r="A4" t="s">
        <v>7</v>
      </c>
      <c r="B4" s="2">
        <f>SUM(B2*5)</f>
        <v>3750</v>
      </c>
      <c r="C4" s="2">
        <f>SUM(C2*5)</f>
        <v>4360</v>
      </c>
      <c r="D4" s="2">
        <f>SUM(D2*5)</f>
        <v>4920</v>
      </c>
      <c r="E4" s="2">
        <f t="shared" ref="E4:M4" si="1">SUM(E2*5)</f>
        <v>5485</v>
      </c>
      <c r="F4" s="2">
        <f t="shared" si="1"/>
        <v>6195</v>
      </c>
      <c r="G4" s="2">
        <f t="shared" si="1"/>
        <v>6905</v>
      </c>
      <c r="H4" s="2">
        <f t="shared" si="1"/>
        <v>8965</v>
      </c>
      <c r="I4" s="2">
        <f t="shared" si="1"/>
        <v>11025</v>
      </c>
      <c r="J4" s="2">
        <f t="shared" si="1"/>
        <v>12600</v>
      </c>
      <c r="K4" s="2">
        <f t="shared" si="1"/>
        <v>14175</v>
      </c>
      <c r="L4" s="2">
        <f t="shared" si="1"/>
        <v>16275</v>
      </c>
      <c r="M4" s="2">
        <f t="shared" si="1"/>
        <v>18375</v>
      </c>
    </row>
  </sheetData>
  <pageMargins left="0.7" right="0.7" top="0.75" bottom="0.75" header="0.3" footer="0.3"/>
  <pageSetup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8"/>
  <sheetViews>
    <sheetView workbookViewId="0">
      <selection activeCell="B3" sqref="B3:B11"/>
    </sheetView>
  </sheetViews>
  <sheetFormatPr defaultRowHeight="15" x14ac:dyDescent="0.25"/>
  <cols>
    <col min="1" max="1" width="1.5703125" customWidth="1"/>
  </cols>
  <sheetData>
    <row r="1" spans="2:9" ht="7.5" customHeight="1" x14ac:dyDescent="0.25"/>
    <row r="2" spans="2:9" x14ac:dyDescent="0.25"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</row>
    <row r="3" spans="2:9" x14ac:dyDescent="0.25">
      <c r="B3">
        <v>40</v>
      </c>
      <c r="C3" s="3">
        <v>340</v>
      </c>
      <c r="D3" s="3">
        <v>460</v>
      </c>
      <c r="E3" s="3">
        <v>550</v>
      </c>
      <c r="F3" s="3">
        <v>720</v>
      </c>
      <c r="G3" s="3">
        <v>780</v>
      </c>
      <c r="H3" s="3">
        <v>960</v>
      </c>
      <c r="I3" s="3">
        <v>1160</v>
      </c>
    </row>
    <row r="4" spans="2:9" x14ac:dyDescent="0.25">
      <c r="B4">
        <v>50</v>
      </c>
      <c r="C4" s="3">
        <v>430</v>
      </c>
      <c r="D4" s="3">
        <v>590</v>
      </c>
      <c r="E4" s="3">
        <v>680</v>
      </c>
      <c r="F4" s="3">
        <v>890</v>
      </c>
      <c r="G4" s="3">
        <v>980</v>
      </c>
      <c r="H4" s="3">
        <v>1200</v>
      </c>
      <c r="I4" s="3">
        <v>1450</v>
      </c>
    </row>
    <row r="5" spans="2:9" x14ac:dyDescent="0.25">
      <c r="B5">
        <v>60</v>
      </c>
      <c r="C5" s="3"/>
      <c r="D5" s="3"/>
      <c r="E5" s="3"/>
      <c r="F5" s="3"/>
      <c r="G5" s="3"/>
      <c r="H5" s="3"/>
      <c r="I5" s="3"/>
    </row>
    <row r="6" spans="2:9" x14ac:dyDescent="0.25">
      <c r="B6">
        <v>80</v>
      </c>
      <c r="C6" s="3"/>
      <c r="D6" s="3"/>
      <c r="E6" s="3"/>
      <c r="F6" s="3"/>
      <c r="G6" s="3"/>
      <c r="H6" s="3"/>
      <c r="I6" s="3"/>
    </row>
    <row r="7" spans="2:9" x14ac:dyDescent="0.25">
      <c r="B7">
        <v>100</v>
      </c>
      <c r="C7" s="3">
        <v>840</v>
      </c>
      <c r="D7" s="3">
        <v>1160</v>
      </c>
      <c r="E7" s="3">
        <v>1360</v>
      </c>
      <c r="F7" s="3">
        <v>1780</v>
      </c>
      <c r="G7" s="3">
        <v>1950</v>
      </c>
      <c r="H7" s="3">
        <v>2390</v>
      </c>
      <c r="I7" s="3">
        <v>2910</v>
      </c>
    </row>
    <row r="8" spans="2:9" x14ac:dyDescent="0.25">
      <c r="B8">
        <v>150</v>
      </c>
      <c r="C8" s="3"/>
      <c r="D8" s="3"/>
      <c r="E8" s="3"/>
      <c r="F8" s="3"/>
      <c r="G8" s="3"/>
      <c r="H8" s="3"/>
      <c r="I8" s="3"/>
    </row>
    <row r="9" spans="2:9" x14ac:dyDescent="0.25">
      <c r="B9">
        <v>200</v>
      </c>
      <c r="C9" s="3"/>
      <c r="D9" s="3"/>
      <c r="E9" s="3"/>
      <c r="F9" s="3"/>
      <c r="G9" s="3"/>
      <c r="H9" s="3"/>
      <c r="I9" s="3"/>
    </row>
    <row r="10" spans="2:9" x14ac:dyDescent="0.25">
      <c r="B10">
        <v>300</v>
      </c>
      <c r="C10" s="3"/>
      <c r="D10" s="3"/>
      <c r="E10" s="3"/>
      <c r="F10" s="3"/>
      <c r="G10" s="3"/>
      <c r="H10" s="3"/>
      <c r="I10" s="3"/>
    </row>
    <row r="11" spans="2:9" x14ac:dyDescent="0.25">
      <c r="B11">
        <v>500</v>
      </c>
      <c r="C11" s="3">
        <v>4220</v>
      </c>
      <c r="D11" s="3"/>
      <c r="E11" s="3"/>
      <c r="F11" s="3"/>
      <c r="G11" s="3"/>
      <c r="H11" s="3"/>
      <c r="I11" s="3">
        <v>14510</v>
      </c>
    </row>
    <row r="28" spans="5:5" x14ac:dyDescent="0.25">
      <c r="E28">
        <v>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"/>
  <sheetViews>
    <sheetView workbookViewId="0">
      <selection activeCell="I17" sqref="I17:I23"/>
    </sheetView>
  </sheetViews>
  <sheetFormatPr defaultRowHeight="15" x14ac:dyDescent="0.25"/>
  <sheetData>
    <row r="2" spans="1:8" x14ac:dyDescent="0.25"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x14ac:dyDescent="0.25">
      <c r="A3">
        <v>40</v>
      </c>
      <c r="B3">
        <v>100</v>
      </c>
      <c r="C3">
        <v>120</v>
      </c>
      <c r="D3">
        <v>140</v>
      </c>
      <c r="E3">
        <v>150</v>
      </c>
      <c r="F3">
        <v>180</v>
      </c>
      <c r="G3">
        <v>270</v>
      </c>
      <c r="H3">
        <v>330</v>
      </c>
    </row>
    <row r="4" spans="1:8" x14ac:dyDescent="0.25">
      <c r="A4">
        <v>50</v>
      </c>
    </row>
    <row r="5" spans="1:8" x14ac:dyDescent="0.25">
      <c r="A5">
        <v>60</v>
      </c>
    </row>
    <row r="6" spans="1:8" x14ac:dyDescent="0.25">
      <c r="A6">
        <v>80</v>
      </c>
    </row>
    <row r="7" spans="1:8" x14ac:dyDescent="0.25">
      <c r="A7">
        <v>100</v>
      </c>
    </row>
    <row r="8" spans="1:8" x14ac:dyDescent="0.25">
      <c r="A8">
        <v>150</v>
      </c>
    </row>
    <row r="9" spans="1:8" x14ac:dyDescent="0.25">
      <c r="A9">
        <v>200</v>
      </c>
    </row>
    <row r="10" spans="1:8" x14ac:dyDescent="0.25">
      <c r="A10">
        <v>300</v>
      </c>
    </row>
    <row r="11" spans="1:8" x14ac:dyDescent="0.25">
      <c r="A11">
        <v>500</v>
      </c>
      <c r="B11">
        <v>1250</v>
      </c>
      <c r="C11">
        <v>1560</v>
      </c>
      <c r="D11">
        <v>1690</v>
      </c>
      <c r="E11">
        <v>1840</v>
      </c>
      <c r="F11">
        <v>2200</v>
      </c>
      <c r="G11">
        <v>3370</v>
      </c>
      <c r="H11">
        <v>4080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1"/>
  <sheetViews>
    <sheetView workbookViewId="0">
      <selection activeCell="F14" sqref="F14:F20"/>
    </sheetView>
  </sheetViews>
  <sheetFormatPr defaultRowHeight="15" x14ac:dyDescent="0.25"/>
  <sheetData>
    <row r="2" spans="2:8" x14ac:dyDescent="0.25">
      <c r="B2" t="s">
        <v>20</v>
      </c>
    </row>
    <row r="3" spans="2:8" x14ac:dyDescent="0.25">
      <c r="B3" s="3"/>
      <c r="C3" s="3" t="s">
        <v>28</v>
      </c>
      <c r="D3" s="3"/>
      <c r="E3" s="3"/>
      <c r="F3" s="3"/>
      <c r="G3" s="3"/>
      <c r="H3" s="3"/>
    </row>
    <row r="4" spans="2:8" x14ac:dyDescent="0.25">
      <c r="B4" t="s">
        <v>8</v>
      </c>
      <c r="C4" s="1">
        <v>19.78</v>
      </c>
    </row>
    <row r="5" spans="2:8" x14ac:dyDescent="0.25">
      <c r="B5" t="s">
        <v>9</v>
      </c>
      <c r="C5" s="1">
        <v>27.65</v>
      </c>
    </row>
    <row r="6" spans="2:8" x14ac:dyDescent="0.25">
      <c r="B6" t="s">
        <v>10</v>
      </c>
      <c r="C6" s="1">
        <v>31.4</v>
      </c>
    </row>
    <row r="7" spans="2:8" x14ac:dyDescent="0.25">
      <c r="B7" t="s">
        <v>11</v>
      </c>
      <c r="C7" s="1">
        <v>37.619999999999997</v>
      </c>
    </row>
    <row r="8" spans="2:8" x14ac:dyDescent="0.25">
      <c r="B8" t="s">
        <v>12</v>
      </c>
      <c r="C8" s="1">
        <v>43.57</v>
      </c>
    </row>
    <row r="9" spans="2:8" x14ac:dyDescent="0.25">
      <c r="B9" t="s">
        <v>13</v>
      </c>
      <c r="C9" s="1">
        <v>48.47</v>
      </c>
    </row>
    <row r="10" spans="2:8" x14ac:dyDescent="0.25">
      <c r="B10" t="s">
        <v>14</v>
      </c>
      <c r="C10" s="1">
        <v>55.76</v>
      </c>
    </row>
    <row r="11" spans="2:8" x14ac:dyDescent="0.25">
      <c r="B11" s="3"/>
      <c r="C11" s="3"/>
      <c r="D11" s="3"/>
      <c r="E11" s="3"/>
      <c r="F11" s="3"/>
      <c r="G11" s="3"/>
      <c r="H11" s="3"/>
    </row>
    <row r="12" spans="2:8" x14ac:dyDescent="0.25">
      <c r="B12" t="s">
        <v>29</v>
      </c>
    </row>
    <row r="13" spans="2:8" x14ac:dyDescent="0.25">
      <c r="B13" s="3"/>
      <c r="C13" s="3" t="s">
        <v>28</v>
      </c>
    </row>
    <row r="14" spans="2:8" x14ac:dyDescent="0.25">
      <c r="B14" t="s">
        <v>8</v>
      </c>
      <c r="C14" s="5">
        <v>12.25</v>
      </c>
      <c r="D14">
        <v>13.78</v>
      </c>
      <c r="F14">
        <v>6</v>
      </c>
    </row>
    <row r="15" spans="2:8" x14ac:dyDescent="0.25">
      <c r="B15" t="s">
        <v>9</v>
      </c>
      <c r="C15" s="5">
        <v>18.02</v>
      </c>
      <c r="D15">
        <v>19.149999999999999</v>
      </c>
      <c r="F15">
        <v>8.5</v>
      </c>
    </row>
    <row r="16" spans="2:8" x14ac:dyDescent="0.25">
      <c r="B16" t="s">
        <v>10</v>
      </c>
      <c r="C16" s="5">
        <v>18.87</v>
      </c>
      <c r="D16">
        <v>21.15</v>
      </c>
      <c r="F16">
        <v>10.25</v>
      </c>
    </row>
    <row r="17" spans="2:6" x14ac:dyDescent="0.25">
      <c r="B17" t="s">
        <v>11</v>
      </c>
      <c r="C17" s="5">
        <v>30.86</v>
      </c>
      <c r="D17">
        <v>23.37</v>
      </c>
      <c r="F17">
        <v>14.25</v>
      </c>
    </row>
    <row r="18" spans="2:6" x14ac:dyDescent="0.25">
      <c r="B18" t="s">
        <v>12</v>
      </c>
      <c r="C18" s="5">
        <v>49.4</v>
      </c>
      <c r="D18">
        <v>28.57</v>
      </c>
      <c r="F18">
        <v>15</v>
      </c>
    </row>
    <row r="19" spans="2:6" x14ac:dyDescent="0.25">
      <c r="B19" t="s">
        <v>13</v>
      </c>
      <c r="C19" s="5">
        <v>28.85</v>
      </c>
      <c r="D19">
        <v>31.62</v>
      </c>
      <c r="F19">
        <v>17.25</v>
      </c>
    </row>
    <row r="20" spans="2:6" x14ac:dyDescent="0.25">
      <c r="B20" t="s">
        <v>14</v>
      </c>
      <c r="C20" s="5">
        <v>34.4</v>
      </c>
      <c r="D20">
        <v>35.01</v>
      </c>
      <c r="F20">
        <v>20.75</v>
      </c>
    </row>
    <row r="21" spans="2:6" x14ac:dyDescent="0.25">
      <c r="C21" s="3" t="s">
        <v>30</v>
      </c>
      <c r="D21" s="3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3"/>
  <sheetViews>
    <sheetView workbookViewId="0">
      <selection activeCell="C18" sqref="C18"/>
    </sheetView>
  </sheetViews>
  <sheetFormatPr defaultRowHeight="15" x14ac:dyDescent="0.25"/>
  <cols>
    <col min="1" max="1" width="10.5703125" customWidth="1"/>
  </cols>
  <sheetData>
    <row r="2" spans="1:8" x14ac:dyDescent="0.25"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x14ac:dyDescent="0.25">
      <c r="A3" t="s">
        <v>21</v>
      </c>
      <c r="B3" s="1"/>
      <c r="C3" s="1">
        <v>10.35</v>
      </c>
      <c r="D3" s="1">
        <v>11.4</v>
      </c>
      <c r="E3" s="1">
        <v>12.5</v>
      </c>
      <c r="F3" s="1">
        <v>16.8</v>
      </c>
      <c r="G3" s="1">
        <v>19.05</v>
      </c>
      <c r="H3" s="1">
        <v>30.15</v>
      </c>
    </row>
    <row r="4" spans="1:8" x14ac:dyDescent="0.25">
      <c r="A4" t="s">
        <v>22</v>
      </c>
      <c r="B4" s="1"/>
      <c r="C4" s="1">
        <v>12.75</v>
      </c>
      <c r="D4" s="1">
        <v>15.5</v>
      </c>
      <c r="E4" s="1">
        <v>18</v>
      </c>
      <c r="F4" s="1">
        <v>24.65</v>
      </c>
      <c r="G4" s="1">
        <v>29.55</v>
      </c>
      <c r="H4" s="1">
        <v>40.6</v>
      </c>
    </row>
    <row r="5" spans="1:8" x14ac:dyDescent="0.25">
      <c r="A5" t="s">
        <v>23</v>
      </c>
      <c r="B5" s="1">
        <f>SUM((B3+B4)/2)</f>
        <v>0</v>
      </c>
      <c r="C5" s="1">
        <f>SUM((C3+C4)/2)</f>
        <v>11.55</v>
      </c>
      <c r="D5" s="1">
        <f t="shared" ref="D5:H5" si="0">SUM((D3+D4)/2)</f>
        <v>13.45</v>
      </c>
      <c r="E5" s="1">
        <f t="shared" si="0"/>
        <v>15.25</v>
      </c>
      <c r="F5" s="1">
        <f t="shared" si="0"/>
        <v>20.725000000000001</v>
      </c>
      <c r="G5" s="1">
        <f t="shared" si="0"/>
        <v>24.3</v>
      </c>
      <c r="H5" s="1">
        <f t="shared" si="0"/>
        <v>35.375</v>
      </c>
    </row>
    <row r="6" spans="1:8" x14ac:dyDescent="0.25">
      <c r="A6" t="s">
        <v>24</v>
      </c>
    </row>
    <row r="8" spans="1:8" x14ac:dyDescent="0.25">
      <c r="A8" t="s">
        <v>25</v>
      </c>
    </row>
    <row r="9" spans="1:8" x14ac:dyDescent="0.25">
      <c r="A9" t="s">
        <v>26</v>
      </c>
    </row>
    <row r="10" spans="1:8" x14ac:dyDescent="0.25">
      <c r="A10" t="s">
        <v>27</v>
      </c>
    </row>
    <row r="12" spans="1:8" x14ac:dyDescent="0.25"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13</v>
      </c>
      <c r="H12" s="3" t="s">
        <v>14</v>
      </c>
    </row>
    <row r="13" spans="1:8" x14ac:dyDescent="0.25">
      <c r="B13" s="1">
        <v>6</v>
      </c>
      <c r="C13" s="1">
        <v>7.35</v>
      </c>
      <c r="D13" s="1">
        <v>10.25</v>
      </c>
      <c r="E13" s="1">
        <v>14.25</v>
      </c>
      <c r="F13" s="1">
        <v>15</v>
      </c>
      <c r="G13" s="1">
        <v>17.25</v>
      </c>
      <c r="H13" s="1">
        <v>20.75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8"/>
  <sheetViews>
    <sheetView workbookViewId="0">
      <selection activeCell="C9" sqref="C9"/>
    </sheetView>
  </sheetViews>
  <sheetFormatPr defaultRowHeight="15" x14ac:dyDescent="0.25"/>
  <cols>
    <col min="3" max="3" width="9.28515625" customWidth="1"/>
  </cols>
  <sheetData>
    <row r="1" spans="2:3" x14ac:dyDescent="0.25">
      <c r="C1" s="4" t="s">
        <v>28</v>
      </c>
    </row>
    <row r="2" spans="2:3" x14ac:dyDescent="0.25">
      <c r="B2" t="s">
        <v>8</v>
      </c>
      <c r="C2" s="1">
        <v>26.01</v>
      </c>
    </row>
    <row r="3" spans="2:3" x14ac:dyDescent="0.25">
      <c r="B3" t="s">
        <v>9</v>
      </c>
      <c r="C3" s="1">
        <v>38.299999999999997</v>
      </c>
    </row>
    <row r="4" spans="2:3" x14ac:dyDescent="0.25">
      <c r="B4" t="s">
        <v>10</v>
      </c>
      <c r="C4" s="1">
        <v>42.97</v>
      </c>
    </row>
    <row r="5" spans="2:3" x14ac:dyDescent="0.25">
      <c r="B5" t="s">
        <v>11</v>
      </c>
      <c r="C5" s="1">
        <v>50.24</v>
      </c>
    </row>
    <row r="6" spans="2:3" x14ac:dyDescent="0.25">
      <c r="B6" t="s">
        <v>12</v>
      </c>
      <c r="C6" s="1">
        <v>62.79</v>
      </c>
    </row>
    <row r="7" spans="2:3" x14ac:dyDescent="0.25">
      <c r="B7" t="s">
        <v>13</v>
      </c>
      <c r="C7" s="1">
        <v>72.97</v>
      </c>
    </row>
    <row r="8" spans="2:3" x14ac:dyDescent="0.25">
      <c r="B8" t="s">
        <v>14</v>
      </c>
      <c r="C8" s="1">
        <v>84.47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0"/>
  <sheetViews>
    <sheetView workbookViewId="0">
      <selection activeCell="E33" sqref="E33"/>
    </sheetView>
  </sheetViews>
  <sheetFormatPr defaultRowHeight="15" x14ac:dyDescent="0.25"/>
  <sheetData>
    <row r="2" spans="2:11" x14ac:dyDescent="0.25">
      <c r="B2" t="s">
        <v>32</v>
      </c>
    </row>
    <row r="3" spans="2:11" x14ac:dyDescent="0.25">
      <c r="C3" t="s">
        <v>28</v>
      </c>
    </row>
    <row r="4" spans="2:11" x14ac:dyDescent="0.25">
      <c r="B4" t="s">
        <v>8</v>
      </c>
      <c r="C4" s="1">
        <v>22.08</v>
      </c>
      <c r="K4" s="6"/>
    </row>
    <row r="5" spans="2:11" x14ac:dyDescent="0.25">
      <c r="B5" t="s">
        <v>9</v>
      </c>
      <c r="C5" s="1">
        <v>24.49</v>
      </c>
      <c r="K5" s="7"/>
    </row>
    <row r="6" spans="2:11" x14ac:dyDescent="0.25">
      <c r="B6" t="s">
        <v>10</v>
      </c>
      <c r="C6" s="1">
        <v>26.9</v>
      </c>
      <c r="K6" s="7"/>
    </row>
    <row r="7" spans="2:11" x14ac:dyDescent="0.25">
      <c r="B7" t="s">
        <v>11</v>
      </c>
      <c r="C7" s="1">
        <v>29.52</v>
      </c>
      <c r="K7" s="7"/>
    </row>
    <row r="8" spans="2:11" x14ac:dyDescent="0.25">
      <c r="B8" t="s">
        <v>12</v>
      </c>
      <c r="C8" s="1">
        <v>36.25</v>
      </c>
      <c r="K8" s="7"/>
    </row>
    <row r="9" spans="2:11" x14ac:dyDescent="0.25">
      <c r="B9" t="s">
        <v>13</v>
      </c>
      <c r="C9" s="1">
        <v>40.47</v>
      </c>
      <c r="K9" s="7"/>
    </row>
    <row r="10" spans="2:11" x14ac:dyDescent="0.25">
      <c r="B10" t="s">
        <v>14</v>
      </c>
      <c r="C10" s="1">
        <v>45.88</v>
      </c>
      <c r="K10" s="7"/>
    </row>
    <row r="11" spans="2:11" x14ac:dyDescent="0.25">
      <c r="K11" s="8"/>
    </row>
    <row r="12" spans="2:11" x14ac:dyDescent="0.25">
      <c r="B12" t="s">
        <v>33</v>
      </c>
      <c r="K12" s="1"/>
    </row>
    <row r="13" spans="2:11" x14ac:dyDescent="0.25">
      <c r="C13" t="s">
        <v>28</v>
      </c>
    </row>
    <row r="14" spans="2:11" x14ac:dyDescent="0.25">
      <c r="B14" t="s">
        <v>8</v>
      </c>
      <c r="C14" s="1">
        <v>28.08</v>
      </c>
    </row>
    <row r="15" spans="2:11" x14ac:dyDescent="0.25">
      <c r="B15" t="s">
        <v>9</v>
      </c>
      <c r="C15" s="1">
        <v>32.99</v>
      </c>
    </row>
    <row r="16" spans="2:11" x14ac:dyDescent="0.25">
      <c r="B16" t="s">
        <v>10</v>
      </c>
      <c r="C16" s="1">
        <v>37.15</v>
      </c>
    </row>
    <row r="17" spans="2:3" x14ac:dyDescent="0.25">
      <c r="B17" t="s">
        <v>11</v>
      </c>
      <c r="C17" s="1">
        <v>43.77</v>
      </c>
    </row>
    <row r="18" spans="2:3" x14ac:dyDescent="0.25">
      <c r="B18" t="s">
        <v>12</v>
      </c>
      <c r="C18" s="1">
        <v>51.25</v>
      </c>
    </row>
    <row r="19" spans="2:3" x14ac:dyDescent="0.25">
      <c r="B19" t="s">
        <v>13</v>
      </c>
      <c r="C19" s="1">
        <v>57.72</v>
      </c>
    </row>
    <row r="20" spans="2:3" x14ac:dyDescent="0.25">
      <c r="B20" t="s">
        <v>14</v>
      </c>
      <c r="C20" s="1">
        <v>66.63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7"/>
  <sheetViews>
    <sheetView tabSelected="1" workbookViewId="0">
      <selection activeCell="C8" sqref="C8"/>
    </sheetView>
  </sheetViews>
  <sheetFormatPr defaultRowHeight="15" x14ac:dyDescent="0.25"/>
  <cols>
    <col min="2" max="2" width="29.7109375" customWidth="1"/>
  </cols>
  <sheetData>
    <row r="2" spans="2:3" x14ac:dyDescent="0.25">
      <c r="C2" s="4" t="s">
        <v>28</v>
      </c>
    </row>
    <row r="3" spans="2:3" x14ac:dyDescent="0.25">
      <c r="B3" t="s">
        <v>34</v>
      </c>
      <c r="C3" s="1">
        <v>0</v>
      </c>
    </row>
    <row r="4" spans="2:3" x14ac:dyDescent="0.25">
      <c r="B4" t="s">
        <v>35</v>
      </c>
      <c r="C4" s="1">
        <v>0</v>
      </c>
    </row>
    <row r="5" spans="2:3" x14ac:dyDescent="0.25">
      <c r="B5" t="s">
        <v>36</v>
      </c>
      <c r="C5" s="1">
        <v>0</v>
      </c>
    </row>
    <row r="6" spans="2:3" x14ac:dyDescent="0.25">
      <c r="B6" t="s">
        <v>37</v>
      </c>
      <c r="C6" s="1">
        <v>0</v>
      </c>
    </row>
    <row r="7" spans="2:3" x14ac:dyDescent="0.25">
      <c r="B7" t="s">
        <v>38</v>
      </c>
      <c r="C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Comparison</vt:lpstr>
      <vt:lpstr>Bathrooms</vt:lpstr>
      <vt:lpstr>Patio - Covered</vt:lpstr>
      <vt:lpstr>Patio</vt:lpstr>
      <vt:lpstr>Deck</vt:lpstr>
      <vt:lpstr>Carport</vt:lpstr>
      <vt:lpstr>Enclosed Porch</vt:lpstr>
      <vt:lpstr>Balcony</vt:lpstr>
      <vt:lpstr>Foundation</vt:lpstr>
    </vt:vector>
  </TitlesOfParts>
  <Company>Benton County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Plummer</dc:creator>
  <cp:lastModifiedBy>Christopher Plummer</cp:lastModifiedBy>
  <cp:lastPrinted>2017-03-01T21:51:45Z</cp:lastPrinted>
  <dcterms:created xsi:type="dcterms:W3CDTF">2017-03-01T19:37:25Z</dcterms:created>
  <dcterms:modified xsi:type="dcterms:W3CDTF">2017-03-08T23:35:34Z</dcterms:modified>
</cp:coreProperties>
</file>